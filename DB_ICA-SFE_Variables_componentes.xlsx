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bcsfcomar.sharepoint.com/sites/grp_ces/Documentos compartidos/BD_sp/"/>
    </mc:Choice>
  </mc:AlternateContent>
  <xr:revisionPtr revIDLastSave="8" documentId="109_{A0CC96A3-E6DE-4598-9251-117E3E125C3A}" xr6:coauthVersionLast="47" xr6:coauthVersionMax="47" xr10:uidLastSave="{0A8A3931-E0B4-4BEB-AA3D-E66AA70B9B71}"/>
  <bookViews>
    <workbookView xWindow="-120" yWindow="-120" windowWidth="29040" windowHeight="15720" tabRatio="706" xr2:uid="{00000000-000D-0000-FFFF-FFFF00000000}"/>
  </bookViews>
  <sheets>
    <sheet name="INDICE" sheetId="53" r:id="rId1"/>
    <sheet name="1.1" sheetId="55" r:id="rId2"/>
    <sheet name="1.2" sheetId="64" r:id="rId3"/>
    <sheet name="1.3" sheetId="128" r:id="rId4"/>
    <sheet name="1.4" sheetId="130" r:id="rId5"/>
    <sheet name="1.5" sheetId="131" r:id="rId6"/>
    <sheet name="1.6" sheetId="138" r:id="rId7"/>
    <sheet name="1.7" sheetId="139" r:id="rId8"/>
    <sheet name="1.8" sheetId="140" r:id="rId9"/>
    <sheet name="1.9" sheetId="141" r:id="rId10"/>
  </sheets>
  <definedNames>
    <definedName name="adfsd">#REF!</definedName>
    <definedName name="adsf">#REF!</definedName>
    <definedName name="AJESTA">#REF!</definedName>
    <definedName name="ALFA">#REF!</definedName>
    <definedName name="CEMENTO">#REF!</definedName>
    <definedName name="CICESP">#REF!</definedName>
    <definedName name="CO">#REF!</definedName>
    <definedName name="COMB">#REF!</definedName>
    <definedName name="CONSTRUC">#REF!</definedName>
    <definedName name="DIFTA">#REF!</definedName>
    <definedName name="EEI">#REF!</definedName>
    <definedName name="EMPLEO">#REF!</definedName>
    <definedName name="EPH">#REF!</definedName>
    <definedName name="EPH_POB">#REF!</definedName>
    <definedName name="FAE_BOVINOS">#REF!</definedName>
    <definedName name="GAS">#REF!</definedName>
    <definedName name="ICC_FM">#REF!</definedName>
    <definedName name="IDL_UTDT">#REF!</definedName>
    <definedName name="IND_ACEITERA">#REF!</definedName>
    <definedName name="IPC_GBA">#REF!</definedName>
    <definedName name="IPC_NAC">#REF!</definedName>
    <definedName name="IPC_SFE">#REF!</definedName>
    <definedName name="IPM">#REF!</definedName>
    <definedName name="IPMPE">#REF!</definedName>
    <definedName name="IRR">#REF!</definedName>
    <definedName name="LACTEA">#REF!</definedName>
    <definedName name="MAQ_AGR">#REF!</definedName>
    <definedName name="NA">#REF!</definedName>
    <definedName name="OLE_LINK1" localSheetId="2">'1.2'!#REF!</definedName>
    <definedName name="OLE_LINK1" localSheetId="3">'1.3'!#REF!</definedName>
    <definedName name="OLE_LINK1" localSheetId="4">'1.4'!#REF!</definedName>
    <definedName name="OLE_LINK1" localSheetId="5">'1.5'!#REF!</definedName>
    <definedName name="OLE_LINK1" localSheetId="6">'1.6'!#REF!</definedName>
    <definedName name="OLE_LINK1" localSheetId="7">'1.7'!#REF!</definedName>
    <definedName name="OLE_LINK1" localSheetId="8">'1.8'!#REF!</definedName>
    <definedName name="OLE_LINK1" localSheetId="9">'1.9'!#REF!</definedName>
    <definedName name="OLE_LINK2" localSheetId="2">'1.2'!#REF!</definedName>
    <definedName name="OLE_LINK2" localSheetId="3">'1.3'!#REF!</definedName>
    <definedName name="OLE_LINK2" localSheetId="4">'1.4'!#REF!</definedName>
    <definedName name="OLE_LINK2" localSheetId="5">'1.5'!#REF!</definedName>
    <definedName name="OLE_LINK2" localSheetId="6">'1.6'!#REF!</definedName>
    <definedName name="OLE_LINK2" localSheetId="7">'1.7'!#REF!</definedName>
    <definedName name="OLE_LINK2" localSheetId="8">'1.8'!#REF!</definedName>
    <definedName name="OLE_LINK2" localSheetId="9">'1.9'!#REF!</definedName>
    <definedName name="PATENTES">#REF!</definedName>
    <definedName name="PBG">#REF!</definedName>
    <definedName name="PGCLAS">#REF!</definedName>
    <definedName name="PGCREC">#REF!</definedName>
    <definedName name="REC">#REF!</definedName>
    <definedName name="sct">#REF!</definedName>
    <definedName name="T">#REF!</definedName>
    <definedName name="Trigo">#REF!</definedName>
    <definedName name="VARCRI">#REF!</definedName>
    <definedName name="VARTA">#REF!</definedName>
    <definedName name="VENTAS">#REF!</definedName>
    <definedName name="XC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06" i="140" l="1"/>
  <c r="A407" i="140"/>
  <c r="A408" i="140"/>
  <c r="A409" i="140"/>
  <c r="A410" i="140"/>
  <c r="A411" i="140"/>
  <c r="A412" i="140"/>
  <c r="A413" i="140"/>
  <c r="A414" i="140"/>
  <c r="A415" i="140"/>
  <c r="A416" i="140"/>
  <c r="A417" i="140"/>
  <c r="A418" i="140"/>
  <c r="A419" i="140"/>
  <c r="A420" i="140"/>
  <c r="A421" i="140"/>
  <c r="A422" i="140"/>
  <c r="A423" i="140"/>
  <c r="A424" i="140"/>
  <c r="A425" i="140"/>
  <c r="A426" i="140"/>
  <c r="A427" i="140"/>
  <c r="A428" i="140"/>
  <c r="A429" i="140"/>
  <c r="A430" i="140"/>
  <c r="A431" i="140"/>
  <c r="A432" i="140"/>
  <c r="A433" i="140"/>
  <c r="A434" i="140"/>
  <c r="A435" i="140"/>
  <c r="A436" i="140"/>
  <c r="A437" i="140"/>
  <c r="A438" i="140"/>
  <c r="A439" i="140"/>
  <c r="A440" i="140"/>
  <c r="A441" i="140"/>
  <c r="A442" i="140"/>
  <c r="A443" i="140"/>
  <c r="A444" i="140"/>
  <c r="A445" i="140"/>
  <c r="A446" i="140"/>
  <c r="A447" i="140"/>
  <c r="A448" i="140"/>
  <c r="A449" i="140"/>
  <c r="A450" i="140"/>
  <c r="A451" i="140"/>
  <c r="A452" i="140"/>
  <c r="A453" i="140"/>
  <c r="A406" i="139"/>
  <c r="A407" i="139"/>
  <c r="A408" i="139"/>
  <c r="A409" i="139"/>
  <c r="A410" i="139"/>
  <c r="A411" i="139"/>
  <c r="A412" i="139"/>
  <c r="A413" i="139"/>
  <c r="A414" i="139"/>
  <c r="A415" i="139"/>
  <c r="A416" i="139"/>
  <c r="A417" i="139"/>
  <c r="A418" i="139"/>
  <c r="A419" i="139"/>
  <c r="A420" i="139"/>
  <c r="A421" i="139"/>
  <c r="A422" i="139"/>
  <c r="A423" i="139"/>
  <c r="A424" i="139"/>
  <c r="A425" i="139"/>
  <c r="A426" i="139"/>
  <c r="A427" i="139"/>
  <c r="A428" i="139"/>
  <c r="A429" i="139"/>
  <c r="A430" i="139"/>
  <c r="A431" i="139"/>
  <c r="A432" i="139"/>
  <c r="A433" i="139"/>
  <c r="A434" i="139"/>
  <c r="A435" i="139"/>
  <c r="A436" i="139"/>
  <c r="A437" i="139"/>
  <c r="A438" i="139"/>
  <c r="A439" i="139"/>
  <c r="A440" i="139"/>
  <c r="A441" i="139"/>
  <c r="A442" i="139"/>
  <c r="A443" i="139"/>
  <c r="A444" i="139"/>
  <c r="A445" i="139"/>
  <c r="A446" i="139"/>
  <c r="A447" i="139"/>
  <c r="A448" i="139"/>
  <c r="A449" i="139"/>
  <c r="A450" i="139"/>
  <c r="A451" i="139"/>
  <c r="A452" i="139"/>
  <c r="A453" i="139"/>
  <c r="A406" i="138"/>
  <c r="A407" i="138"/>
  <c r="A408" i="138"/>
  <c r="A409" i="138"/>
  <c r="A410" i="138"/>
  <c r="A411" i="138"/>
  <c r="A412" i="138"/>
  <c r="A413" i="138"/>
  <c r="A414" i="138"/>
  <c r="A415" i="138"/>
  <c r="A416" i="138"/>
  <c r="A417" i="138"/>
  <c r="A418" i="138"/>
  <c r="A419" i="138"/>
  <c r="A420" i="138"/>
  <c r="A421" i="138"/>
  <c r="A422" i="138"/>
  <c r="A423" i="138"/>
  <c r="A424" i="138"/>
  <c r="A425" i="138"/>
  <c r="A426" i="138"/>
  <c r="A427" i="138"/>
  <c r="A428" i="138"/>
  <c r="A429" i="138"/>
  <c r="A430" i="138"/>
  <c r="A431" i="138"/>
  <c r="A432" i="138"/>
  <c r="A433" i="138"/>
  <c r="A434" i="138"/>
  <c r="A435" i="138"/>
  <c r="A436" i="138"/>
  <c r="A437" i="138"/>
  <c r="A438" i="138"/>
  <c r="A439" i="138"/>
  <c r="A440" i="138"/>
  <c r="A441" i="138"/>
  <c r="A442" i="138"/>
  <c r="A443" i="138"/>
  <c r="A444" i="138"/>
  <c r="A445" i="138"/>
  <c r="A446" i="138"/>
  <c r="A447" i="138"/>
  <c r="A448" i="138"/>
  <c r="A449" i="138"/>
  <c r="A450" i="138"/>
  <c r="A451" i="138"/>
  <c r="A452" i="138"/>
  <c r="A453" i="138"/>
  <c r="A406" i="131"/>
  <c r="A407" i="131"/>
  <c r="A408" i="131"/>
  <c r="A409" i="131"/>
  <c r="A410" i="131"/>
  <c r="A411" i="131"/>
  <c r="A412" i="131"/>
  <c r="A413" i="131"/>
  <c r="A414" i="131"/>
  <c r="A415" i="131"/>
  <c r="A416" i="131"/>
  <c r="A417" i="131"/>
  <c r="A418" i="131"/>
  <c r="A419" i="131"/>
  <c r="A420" i="131"/>
  <c r="A421" i="131"/>
  <c r="A422" i="131"/>
  <c r="A423" i="131"/>
  <c r="A424" i="131"/>
  <c r="A425" i="131"/>
  <c r="A426" i="131"/>
  <c r="A427" i="131"/>
  <c r="A428" i="131"/>
  <c r="A429" i="131"/>
  <c r="A430" i="131"/>
  <c r="A431" i="131"/>
  <c r="A432" i="131"/>
  <c r="A433" i="131"/>
  <c r="A434" i="131"/>
  <c r="A435" i="131"/>
  <c r="A436" i="131"/>
  <c r="A437" i="131"/>
  <c r="A438" i="131"/>
  <c r="A439" i="131"/>
  <c r="A440" i="131"/>
  <c r="A441" i="131"/>
  <c r="A442" i="131"/>
  <c r="A443" i="131"/>
  <c r="A444" i="131"/>
  <c r="A445" i="131"/>
  <c r="A446" i="131"/>
  <c r="A447" i="131"/>
  <c r="A448" i="131"/>
  <c r="A449" i="131"/>
  <c r="A450" i="131"/>
  <c r="A451" i="131"/>
  <c r="A452" i="131"/>
  <c r="A453" i="131"/>
  <c r="A406" i="130"/>
  <c r="A407" i="130"/>
  <c r="A408" i="130"/>
  <c r="A409" i="130"/>
  <c r="A410" i="130"/>
  <c r="A411" i="130"/>
  <c r="A412" i="130"/>
  <c r="A413" i="130"/>
  <c r="A414" i="130"/>
  <c r="A415" i="130"/>
  <c r="A416" i="130"/>
  <c r="A417" i="130"/>
  <c r="A418" i="130"/>
  <c r="A419" i="130"/>
  <c r="A420" i="130"/>
  <c r="A421" i="130"/>
  <c r="A422" i="130"/>
  <c r="A423" i="130"/>
  <c r="A424" i="130"/>
  <c r="A425" i="130"/>
  <c r="A426" i="130"/>
  <c r="A427" i="130"/>
  <c r="A428" i="130"/>
  <c r="A429" i="130"/>
  <c r="A430" i="130"/>
  <c r="A431" i="130"/>
  <c r="A432" i="130"/>
  <c r="A433" i="130"/>
  <c r="A434" i="130"/>
  <c r="A435" i="130"/>
  <c r="A436" i="130"/>
  <c r="A437" i="130"/>
  <c r="A438" i="130"/>
  <c r="A439" i="130"/>
  <c r="A440" i="130"/>
  <c r="A441" i="130"/>
  <c r="A442" i="130"/>
  <c r="A443" i="130"/>
  <c r="A444" i="130"/>
  <c r="A445" i="130"/>
  <c r="A446" i="130"/>
  <c r="A447" i="130"/>
  <c r="A448" i="130"/>
  <c r="A449" i="130"/>
  <c r="A450" i="130"/>
  <c r="A451" i="130"/>
  <c r="A452" i="130"/>
  <c r="A453" i="130"/>
  <c r="A406" i="128"/>
  <c r="A407" i="128"/>
  <c r="A408" i="128"/>
  <c r="A409" i="128"/>
  <c r="A410" i="128"/>
  <c r="A411" i="128"/>
  <c r="A412" i="128"/>
  <c r="A413" i="128"/>
  <c r="A414" i="128"/>
  <c r="A415" i="128"/>
  <c r="A416" i="128"/>
  <c r="A417" i="128"/>
  <c r="A418" i="128"/>
  <c r="A419" i="128"/>
  <c r="A420" i="128"/>
  <c r="A421" i="128"/>
  <c r="A422" i="128"/>
  <c r="A423" i="128"/>
  <c r="A424" i="128"/>
  <c r="A425" i="128"/>
  <c r="A426" i="128"/>
  <c r="A427" i="128"/>
  <c r="A428" i="128"/>
  <c r="A429" i="128"/>
  <c r="A430" i="128"/>
  <c r="A431" i="128"/>
  <c r="A432" i="128"/>
  <c r="A433" i="128"/>
  <c r="A434" i="128"/>
  <c r="A435" i="128"/>
  <c r="A436" i="128"/>
  <c r="A437" i="128"/>
  <c r="A438" i="128"/>
  <c r="A439" i="128"/>
  <c r="A440" i="128"/>
  <c r="A441" i="128"/>
  <c r="A442" i="128"/>
  <c r="A443" i="128"/>
  <c r="A444" i="128"/>
  <c r="A445" i="128"/>
  <c r="A446" i="128"/>
  <c r="A447" i="128"/>
  <c r="A448" i="128"/>
  <c r="A449" i="128"/>
  <c r="A450" i="128"/>
  <c r="A451" i="128"/>
  <c r="A452" i="128"/>
  <c r="A453" i="128"/>
  <c r="A406" i="64"/>
  <c r="A407" i="64"/>
  <c r="A408" i="64"/>
  <c r="A409" i="64"/>
  <c r="A410" i="64"/>
  <c r="A411" i="64"/>
  <c r="A412" i="64"/>
  <c r="A413" i="64"/>
  <c r="A414" i="64"/>
  <c r="A415" i="64"/>
  <c r="A416" i="64"/>
  <c r="A417" i="64"/>
  <c r="A418" i="64"/>
  <c r="A419" i="64"/>
  <c r="A420" i="64"/>
  <c r="A421" i="64"/>
  <c r="A422" i="64"/>
  <c r="A423" i="64"/>
  <c r="A424" i="64"/>
  <c r="A425" i="64"/>
  <c r="A426" i="64"/>
  <c r="A427" i="64"/>
  <c r="A428" i="64"/>
  <c r="A429" i="64"/>
  <c r="A430" i="64"/>
  <c r="A431" i="64"/>
  <c r="A432" i="64"/>
  <c r="A433" i="64"/>
  <c r="A434" i="64"/>
  <c r="A435" i="64"/>
  <c r="A436" i="64"/>
  <c r="A437" i="64"/>
  <c r="A438" i="64"/>
  <c r="A439" i="64"/>
  <c r="A440" i="64"/>
  <c r="A441" i="64"/>
  <c r="A442" i="64"/>
  <c r="A443" i="64"/>
  <c r="A444" i="64"/>
  <c r="A445" i="64"/>
  <c r="A446" i="64"/>
  <c r="A447" i="64"/>
  <c r="A448" i="64"/>
  <c r="A449" i="64"/>
  <c r="A450" i="64"/>
  <c r="A451" i="64"/>
  <c r="A452" i="64"/>
  <c r="A453" i="64"/>
  <c r="A405" i="140" l="1"/>
  <c r="A394" i="140"/>
  <c r="A395" i="140"/>
  <c r="A396" i="140"/>
  <c r="A397" i="140"/>
  <c r="A398" i="140"/>
  <c r="A399" i="140"/>
  <c r="A400" i="140"/>
  <c r="A401" i="140"/>
  <c r="A402" i="140"/>
  <c r="A403" i="140"/>
  <c r="A404" i="140"/>
  <c r="A405" i="139"/>
  <c r="A402" i="139"/>
  <c r="A403" i="139"/>
  <c r="A404" i="139"/>
  <c r="A394" i="139"/>
  <c r="A395" i="139"/>
  <c r="A396" i="139"/>
  <c r="A397" i="139"/>
  <c r="A398" i="139"/>
  <c r="A399" i="139"/>
  <c r="A400" i="139"/>
  <c r="A401" i="139"/>
  <c r="A404" i="138"/>
  <c r="A405" i="138"/>
  <c r="A394" i="138"/>
  <c r="A395" i="138"/>
  <c r="A396" i="138"/>
  <c r="A397" i="138"/>
  <c r="A398" i="138"/>
  <c r="A399" i="138"/>
  <c r="A400" i="138"/>
  <c r="A401" i="138"/>
  <c r="A402" i="138"/>
  <c r="A403" i="138"/>
  <c r="A403" i="131"/>
  <c r="A404" i="131"/>
  <c r="A405" i="131"/>
  <c r="A394" i="131"/>
  <c r="A395" i="131"/>
  <c r="A396" i="131"/>
  <c r="A397" i="131"/>
  <c r="A398" i="131"/>
  <c r="A399" i="131"/>
  <c r="A400" i="131"/>
  <c r="A401" i="131"/>
  <c r="A402" i="131"/>
  <c r="A394" i="64"/>
  <c r="A395" i="64"/>
  <c r="A396" i="64"/>
  <c r="A397" i="64"/>
  <c r="A398" i="64"/>
  <c r="A399" i="64"/>
  <c r="A400" i="64"/>
  <c r="A401" i="64"/>
  <c r="A402" i="64"/>
  <c r="A403" i="64"/>
  <c r="A404" i="64"/>
  <c r="A405" i="64"/>
  <c r="G14" i="53" l="1"/>
  <c r="G13" i="53"/>
  <c r="A213" i="141" l="1"/>
  <c r="A225" i="141" s="1"/>
  <c r="A237" i="141" s="1"/>
  <c r="A249" i="141" s="1"/>
  <c r="A261" i="141" s="1"/>
  <c r="A273" i="141" s="1"/>
  <c r="A285" i="141" s="1"/>
  <c r="A297" i="141" s="1"/>
  <c r="A309" i="141" s="1"/>
  <c r="A321" i="141" s="1"/>
  <c r="A333" i="141" s="1"/>
  <c r="A345" i="141" s="1"/>
  <c r="A357" i="141" s="1"/>
  <c r="A369" i="141" s="1"/>
  <c r="A381" i="141" s="1"/>
  <c r="A393" i="141" s="1"/>
  <c r="A405" i="141" s="1"/>
  <c r="A417" i="141" s="1"/>
  <c r="A429" i="141" s="1"/>
  <c r="A441" i="141" s="1"/>
  <c r="A453" i="141" s="1"/>
  <c r="A465" i="141" s="1"/>
  <c r="A477" i="141" s="1"/>
  <c r="A212" i="141"/>
  <c r="A224" i="141" s="1"/>
  <c r="A236" i="141" s="1"/>
  <c r="A248" i="141" s="1"/>
  <c r="A260" i="141" s="1"/>
  <c r="A272" i="141" s="1"/>
  <c r="A284" i="141" s="1"/>
  <c r="A296" i="141" s="1"/>
  <c r="A308" i="141" s="1"/>
  <c r="A320" i="141" s="1"/>
  <c r="A332" i="141" s="1"/>
  <c r="A344" i="141" s="1"/>
  <c r="A356" i="141" s="1"/>
  <c r="A368" i="141" s="1"/>
  <c r="A380" i="141" s="1"/>
  <c r="A392" i="141" s="1"/>
  <c r="A404" i="141" s="1"/>
  <c r="A416" i="141" s="1"/>
  <c r="A428" i="141" s="1"/>
  <c r="A440" i="141" s="1"/>
  <c r="A452" i="141" s="1"/>
  <c r="A464" i="141" s="1"/>
  <c r="A476" i="141" s="1"/>
  <c r="A211" i="141"/>
  <c r="A223" i="141" s="1"/>
  <c r="A235" i="141" s="1"/>
  <c r="A247" i="141" s="1"/>
  <c r="A259" i="141" s="1"/>
  <c r="A271" i="141" s="1"/>
  <c r="A283" i="141" s="1"/>
  <c r="A295" i="141" s="1"/>
  <c r="A307" i="141" s="1"/>
  <c r="A319" i="141" s="1"/>
  <c r="A331" i="141" s="1"/>
  <c r="A343" i="141" s="1"/>
  <c r="A355" i="141" s="1"/>
  <c r="A367" i="141" s="1"/>
  <c r="A379" i="141" s="1"/>
  <c r="A391" i="141" s="1"/>
  <c r="A403" i="141" s="1"/>
  <c r="A415" i="141" s="1"/>
  <c r="A427" i="141" s="1"/>
  <c r="A439" i="141" s="1"/>
  <c r="A451" i="141" s="1"/>
  <c r="A463" i="141" s="1"/>
  <c r="A475" i="141" s="1"/>
  <c r="A210" i="141"/>
  <c r="A222" i="141" s="1"/>
  <c r="A234" i="141" s="1"/>
  <c r="A246" i="141" s="1"/>
  <c r="A258" i="141" s="1"/>
  <c r="A270" i="141" s="1"/>
  <c r="A282" i="141" s="1"/>
  <c r="A294" i="141" s="1"/>
  <c r="A306" i="141" s="1"/>
  <c r="A318" i="141" s="1"/>
  <c r="A330" i="141" s="1"/>
  <c r="A342" i="141" s="1"/>
  <c r="A354" i="141" s="1"/>
  <c r="A366" i="141" s="1"/>
  <c r="A378" i="141" s="1"/>
  <c r="A390" i="141" s="1"/>
  <c r="A402" i="141" s="1"/>
  <c r="A414" i="141" s="1"/>
  <c r="A426" i="141" s="1"/>
  <c r="A438" i="141" s="1"/>
  <c r="A450" i="141" s="1"/>
  <c r="A462" i="141" s="1"/>
  <c r="A474" i="141" s="1"/>
  <c r="A209" i="141"/>
  <c r="A221" i="141" s="1"/>
  <c r="A233" i="141" s="1"/>
  <c r="A245" i="141" s="1"/>
  <c r="A257" i="141" s="1"/>
  <c r="A269" i="141" s="1"/>
  <c r="A281" i="141" s="1"/>
  <c r="A293" i="141" s="1"/>
  <c r="A305" i="141" s="1"/>
  <c r="A317" i="141" s="1"/>
  <c r="A329" i="141" s="1"/>
  <c r="A341" i="141" s="1"/>
  <c r="A353" i="141" s="1"/>
  <c r="A365" i="141" s="1"/>
  <c r="A377" i="141" s="1"/>
  <c r="A389" i="141" s="1"/>
  <c r="A401" i="141" s="1"/>
  <c r="A413" i="141" s="1"/>
  <c r="A425" i="141" s="1"/>
  <c r="A437" i="141" s="1"/>
  <c r="A449" i="141" s="1"/>
  <c r="A461" i="141" s="1"/>
  <c r="A473" i="141" s="1"/>
  <c r="A208" i="141"/>
  <c r="A220" i="141" s="1"/>
  <c r="A232" i="141" s="1"/>
  <c r="A244" i="141" s="1"/>
  <c r="A256" i="141" s="1"/>
  <c r="A268" i="141" s="1"/>
  <c r="A280" i="141" s="1"/>
  <c r="A292" i="141" s="1"/>
  <c r="A304" i="141" s="1"/>
  <c r="A316" i="141" s="1"/>
  <c r="A328" i="141" s="1"/>
  <c r="A340" i="141" s="1"/>
  <c r="A352" i="141" s="1"/>
  <c r="A364" i="141" s="1"/>
  <c r="A376" i="141" s="1"/>
  <c r="A388" i="141" s="1"/>
  <c r="A400" i="141" s="1"/>
  <c r="A412" i="141" s="1"/>
  <c r="A424" i="141" s="1"/>
  <c r="A436" i="141" s="1"/>
  <c r="A448" i="141" s="1"/>
  <c r="A460" i="141" s="1"/>
  <c r="A472" i="141" s="1"/>
  <c r="A207" i="141"/>
  <c r="A219" i="141" s="1"/>
  <c r="A231" i="141" s="1"/>
  <c r="A243" i="141" s="1"/>
  <c r="A255" i="141" s="1"/>
  <c r="A267" i="141" s="1"/>
  <c r="A279" i="141" s="1"/>
  <c r="A291" i="141" s="1"/>
  <c r="A303" i="141" s="1"/>
  <c r="A315" i="141" s="1"/>
  <c r="A327" i="141" s="1"/>
  <c r="A339" i="141" s="1"/>
  <c r="A351" i="141" s="1"/>
  <c r="A363" i="141" s="1"/>
  <c r="A375" i="141" s="1"/>
  <c r="A387" i="141" s="1"/>
  <c r="A399" i="141" s="1"/>
  <c r="A411" i="141" s="1"/>
  <c r="A423" i="141" s="1"/>
  <c r="A435" i="141" s="1"/>
  <c r="A447" i="141" s="1"/>
  <c r="A459" i="141" s="1"/>
  <c r="A471" i="141" s="1"/>
  <c r="A206" i="141"/>
  <c r="A218" i="141" s="1"/>
  <c r="A230" i="141" s="1"/>
  <c r="A242" i="141" s="1"/>
  <c r="A254" i="141" s="1"/>
  <c r="A266" i="141" s="1"/>
  <c r="A278" i="141" s="1"/>
  <c r="A290" i="141" s="1"/>
  <c r="A302" i="141" s="1"/>
  <c r="A314" i="141" s="1"/>
  <c r="A326" i="141" s="1"/>
  <c r="A338" i="141" s="1"/>
  <c r="A350" i="141" s="1"/>
  <c r="A362" i="141" s="1"/>
  <c r="A374" i="141" s="1"/>
  <c r="A386" i="141" s="1"/>
  <c r="A398" i="141" s="1"/>
  <c r="A410" i="141" s="1"/>
  <c r="A422" i="141" s="1"/>
  <c r="A434" i="141" s="1"/>
  <c r="A446" i="141" s="1"/>
  <c r="A458" i="141" s="1"/>
  <c r="A470" i="141" s="1"/>
  <c r="A205" i="141"/>
  <c r="A217" i="141" s="1"/>
  <c r="A229" i="141" s="1"/>
  <c r="A241" i="141" s="1"/>
  <c r="A253" i="141" s="1"/>
  <c r="A265" i="141" s="1"/>
  <c r="A277" i="141" s="1"/>
  <c r="A289" i="141" s="1"/>
  <c r="A301" i="141" s="1"/>
  <c r="A313" i="141" s="1"/>
  <c r="A325" i="141" s="1"/>
  <c r="A337" i="141" s="1"/>
  <c r="A349" i="141" s="1"/>
  <c r="A361" i="141" s="1"/>
  <c r="A373" i="141" s="1"/>
  <c r="A385" i="141" s="1"/>
  <c r="A397" i="141" s="1"/>
  <c r="A409" i="141" s="1"/>
  <c r="A421" i="141" s="1"/>
  <c r="A433" i="141" s="1"/>
  <c r="A445" i="141" s="1"/>
  <c r="A457" i="141" s="1"/>
  <c r="A469" i="141" s="1"/>
  <c r="A204" i="141"/>
  <c r="A216" i="141" s="1"/>
  <c r="A228" i="141" s="1"/>
  <c r="A240" i="141" s="1"/>
  <c r="A252" i="141" s="1"/>
  <c r="A264" i="141" s="1"/>
  <c r="A276" i="141" s="1"/>
  <c r="A288" i="141" s="1"/>
  <c r="A300" i="141" s="1"/>
  <c r="A312" i="141" s="1"/>
  <c r="A324" i="141" s="1"/>
  <c r="A336" i="141" s="1"/>
  <c r="A348" i="141" s="1"/>
  <c r="A360" i="141" s="1"/>
  <c r="A372" i="141" s="1"/>
  <c r="A384" i="141" s="1"/>
  <c r="A396" i="141" s="1"/>
  <c r="A408" i="141" s="1"/>
  <c r="A420" i="141" s="1"/>
  <c r="A432" i="141" s="1"/>
  <c r="A444" i="141" s="1"/>
  <c r="A456" i="141" s="1"/>
  <c r="A468" i="141" s="1"/>
  <c r="A203" i="141"/>
  <c r="A215" i="141" s="1"/>
  <c r="A227" i="141" s="1"/>
  <c r="A239" i="141" s="1"/>
  <c r="A251" i="141" s="1"/>
  <c r="A263" i="141" s="1"/>
  <c r="A275" i="141" s="1"/>
  <c r="A287" i="141" s="1"/>
  <c r="A299" i="141" s="1"/>
  <c r="A311" i="141" s="1"/>
  <c r="A323" i="141" s="1"/>
  <c r="A335" i="141" s="1"/>
  <c r="A347" i="141" s="1"/>
  <c r="A359" i="141" s="1"/>
  <c r="A371" i="141" s="1"/>
  <c r="A383" i="141" s="1"/>
  <c r="A395" i="141" s="1"/>
  <c r="A407" i="141" s="1"/>
  <c r="A419" i="141" s="1"/>
  <c r="A431" i="141" s="1"/>
  <c r="A443" i="141" s="1"/>
  <c r="A455" i="141" s="1"/>
  <c r="A467" i="141" s="1"/>
  <c r="A202" i="141"/>
  <c r="A214" i="141" s="1"/>
  <c r="A226" i="141" s="1"/>
  <c r="A238" i="141" s="1"/>
  <c r="A250" i="141" s="1"/>
  <c r="A262" i="141" s="1"/>
  <c r="A274" i="141" s="1"/>
  <c r="A286" i="141" s="1"/>
  <c r="A298" i="141" s="1"/>
  <c r="A310" i="141" s="1"/>
  <c r="A322" i="141" s="1"/>
  <c r="A334" i="141" s="1"/>
  <c r="A346" i="141" s="1"/>
  <c r="A358" i="141" s="1"/>
  <c r="A370" i="141" s="1"/>
  <c r="A382" i="141" s="1"/>
  <c r="A394" i="141" s="1"/>
  <c r="A406" i="141" s="1"/>
  <c r="A418" i="141" s="1"/>
  <c r="A430" i="141" s="1"/>
  <c r="A442" i="141" s="1"/>
  <c r="A454" i="141" s="1"/>
  <c r="A466" i="141" s="1"/>
  <c r="A189" i="140"/>
  <c r="A201" i="140" s="1"/>
  <c r="A213" i="140" s="1"/>
  <c r="A225" i="140" s="1"/>
  <c r="A237" i="140" s="1"/>
  <c r="A249" i="140" s="1"/>
  <c r="A261" i="140" s="1"/>
  <c r="A273" i="140" s="1"/>
  <c r="A285" i="140" s="1"/>
  <c r="A297" i="140" s="1"/>
  <c r="A309" i="140" s="1"/>
  <c r="A321" i="140" s="1"/>
  <c r="A333" i="140" s="1"/>
  <c r="A345" i="140" s="1"/>
  <c r="A357" i="140" s="1"/>
  <c r="A369" i="140" s="1"/>
  <c r="A381" i="140" s="1"/>
  <c r="A393" i="140" s="1"/>
  <c r="A188" i="140"/>
  <c r="A200" i="140" s="1"/>
  <c r="A212" i="140" s="1"/>
  <c r="A224" i="140" s="1"/>
  <c r="A236" i="140" s="1"/>
  <c r="A248" i="140" s="1"/>
  <c r="A260" i="140" s="1"/>
  <c r="A272" i="140" s="1"/>
  <c r="A284" i="140" s="1"/>
  <c r="A296" i="140" s="1"/>
  <c r="A308" i="140" s="1"/>
  <c r="A320" i="140" s="1"/>
  <c r="A332" i="140" s="1"/>
  <c r="A344" i="140" s="1"/>
  <c r="A356" i="140" s="1"/>
  <c r="A368" i="140" s="1"/>
  <c r="A380" i="140" s="1"/>
  <c r="A392" i="140" s="1"/>
  <c r="A187" i="140"/>
  <c r="A199" i="140" s="1"/>
  <c r="A211" i="140" s="1"/>
  <c r="A223" i="140" s="1"/>
  <c r="A235" i="140" s="1"/>
  <c r="A247" i="140" s="1"/>
  <c r="A259" i="140" s="1"/>
  <c r="A271" i="140" s="1"/>
  <c r="A283" i="140" s="1"/>
  <c r="A295" i="140" s="1"/>
  <c r="A307" i="140" s="1"/>
  <c r="A319" i="140" s="1"/>
  <c r="A331" i="140" s="1"/>
  <c r="A343" i="140" s="1"/>
  <c r="A355" i="140" s="1"/>
  <c r="A367" i="140" s="1"/>
  <c r="A379" i="140" s="1"/>
  <c r="A391" i="140" s="1"/>
  <c r="A186" i="140"/>
  <c r="A198" i="140" s="1"/>
  <c r="A210" i="140" s="1"/>
  <c r="A222" i="140" s="1"/>
  <c r="A234" i="140" s="1"/>
  <c r="A246" i="140" s="1"/>
  <c r="A258" i="140" s="1"/>
  <c r="A270" i="140" s="1"/>
  <c r="A282" i="140" s="1"/>
  <c r="A294" i="140" s="1"/>
  <c r="A306" i="140" s="1"/>
  <c r="A318" i="140" s="1"/>
  <c r="A330" i="140" s="1"/>
  <c r="A342" i="140" s="1"/>
  <c r="A354" i="140" s="1"/>
  <c r="A366" i="140" s="1"/>
  <c r="A378" i="140" s="1"/>
  <c r="A390" i="140" s="1"/>
  <c r="A185" i="140"/>
  <c r="A197" i="140" s="1"/>
  <c r="A209" i="140" s="1"/>
  <c r="A221" i="140" s="1"/>
  <c r="A233" i="140" s="1"/>
  <c r="A245" i="140" s="1"/>
  <c r="A257" i="140" s="1"/>
  <c r="A269" i="140" s="1"/>
  <c r="A281" i="140" s="1"/>
  <c r="A293" i="140" s="1"/>
  <c r="A305" i="140" s="1"/>
  <c r="A317" i="140" s="1"/>
  <c r="A329" i="140" s="1"/>
  <c r="A341" i="140" s="1"/>
  <c r="A353" i="140" s="1"/>
  <c r="A365" i="140" s="1"/>
  <c r="A377" i="140" s="1"/>
  <c r="A389" i="140" s="1"/>
  <c r="A184" i="140"/>
  <c r="A196" i="140" s="1"/>
  <c r="A208" i="140" s="1"/>
  <c r="A220" i="140" s="1"/>
  <c r="A232" i="140" s="1"/>
  <c r="A244" i="140" s="1"/>
  <c r="A256" i="140" s="1"/>
  <c r="A268" i="140" s="1"/>
  <c r="A280" i="140" s="1"/>
  <c r="A292" i="140" s="1"/>
  <c r="A304" i="140" s="1"/>
  <c r="A316" i="140" s="1"/>
  <c r="A328" i="140" s="1"/>
  <c r="A340" i="140" s="1"/>
  <c r="A352" i="140" s="1"/>
  <c r="A364" i="140" s="1"/>
  <c r="A376" i="140" s="1"/>
  <c r="A388" i="140" s="1"/>
  <c r="A183" i="140"/>
  <c r="A195" i="140" s="1"/>
  <c r="A207" i="140" s="1"/>
  <c r="A219" i="140" s="1"/>
  <c r="A231" i="140" s="1"/>
  <c r="A243" i="140" s="1"/>
  <c r="A255" i="140" s="1"/>
  <c r="A267" i="140" s="1"/>
  <c r="A279" i="140" s="1"/>
  <c r="A291" i="140" s="1"/>
  <c r="A303" i="140" s="1"/>
  <c r="A315" i="140" s="1"/>
  <c r="A327" i="140" s="1"/>
  <c r="A339" i="140" s="1"/>
  <c r="A351" i="140" s="1"/>
  <c r="A363" i="140" s="1"/>
  <c r="A375" i="140" s="1"/>
  <c r="A387" i="140" s="1"/>
  <c r="A182" i="140"/>
  <c r="A194" i="140" s="1"/>
  <c r="A206" i="140" s="1"/>
  <c r="A218" i="140" s="1"/>
  <c r="A230" i="140" s="1"/>
  <c r="A242" i="140" s="1"/>
  <c r="A254" i="140" s="1"/>
  <c r="A266" i="140" s="1"/>
  <c r="A278" i="140" s="1"/>
  <c r="A290" i="140" s="1"/>
  <c r="A302" i="140" s="1"/>
  <c r="A314" i="140" s="1"/>
  <c r="A326" i="140" s="1"/>
  <c r="A338" i="140" s="1"/>
  <c r="A350" i="140" s="1"/>
  <c r="A362" i="140" s="1"/>
  <c r="A374" i="140" s="1"/>
  <c r="A386" i="140" s="1"/>
  <c r="A181" i="140"/>
  <c r="A193" i="140" s="1"/>
  <c r="A205" i="140" s="1"/>
  <c r="A217" i="140" s="1"/>
  <c r="A229" i="140" s="1"/>
  <c r="A241" i="140" s="1"/>
  <c r="A253" i="140" s="1"/>
  <c r="A265" i="140" s="1"/>
  <c r="A277" i="140" s="1"/>
  <c r="A289" i="140" s="1"/>
  <c r="A301" i="140" s="1"/>
  <c r="A313" i="140" s="1"/>
  <c r="A325" i="140" s="1"/>
  <c r="A337" i="140" s="1"/>
  <c r="A349" i="140" s="1"/>
  <c r="A361" i="140" s="1"/>
  <c r="A373" i="140" s="1"/>
  <c r="A385" i="140" s="1"/>
  <c r="A180" i="140"/>
  <c r="A192" i="140" s="1"/>
  <c r="A204" i="140" s="1"/>
  <c r="A216" i="140" s="1"/>
  <c r="A228" i="140" s="1"/>
  <c r="A240" i="140" s="1"/>
  <c r="A252" i="140" s="1"/>
  <c r="A264" i="140" s="1"/>
  <c r="A276" i="140" s="1"/>
  <c r="A288" i="140" s="1"/>
  <c r="A300" i="140" s="1"/>
  <c r="A312" i="140" s="1"/>
  <c r="A324" i="140" s="1"/>
  <c r="A336" i="140" s="1"/>
  <c r="A348" i="140" s="1"/>
  <c r="A360" i="140" s="1"/>
  <c r="A372" i="140" s="1"/>
  <c r="A384" i="140" s="1"/>
  <c r="A179" i="140"/>
  <c r="A191" i="140" s="1"/>
  <c r="A203" i="140" s="1"/>
  <c r="A215" i="140" s="1"/>
  <c r="A227" i="140" s="1"/>
  <c r="A239" i="140" s="1"/>
  <c r="A251" i="140" s="1"/>
  <c r="A263" i="140" s="1"/>
  <c r="A275" i="140" s="1"/>
  <c r="A287" i="140" s="1"/>
  <c r="A299" i="140" s="1"/>
  <c r="A311" i="140" s="1"/>
  <c r="A323" i="140" s="1"/>
  <c r="A335" i="140" s="1"/>
  <c r="A347" i="140" s="1"/>
  <c r="A359" i="140" s="1"/>
  <c r="A371" i="140" s="1"/>
  <c r="A383" i="140" s="1"/>
  <c r="A178" i="140"/>
  <c r="A190" i="140" s="1"/>
  <c r="A202" i="140" s="1"/>
  <c r="A214" i="140" s="1"/>
  <c r="A226" i="140" s="1"/>
  <c r="A238" i="140" s="1"/>
  <c r="A250" i="140" s="1"/>
  <c r="A262" i="140" s="1"/>
  <c r="A274" i="140" s="1"/>
  <c r="A286" i="140" s="1"/>
  <c r="A298" i="140" s="1"/>
  <c r="A310" i="140" s="1"/>
  <c r="A322" i="140" s="1"/>
  <c r="A334" i="140" s="1"/>
  <c r="A346" i="140" s="1"/>
  <c r="A358" i="140" s="1"/>
  <c r="A370" i="140" s="1"/>
  <c r="A382" i="140" s="1"/>
  <c r="A189" i="139"/>
  <c r="A201" i="139" s="1"/>
  <c r="A213" i="139" s="1"/>
  <c r="A225" i="139" s="1"/>
  <c r="A237" i="139" s="1"/>
  <c r="A249" i="139" s="1"/>
  <c r="A261" i="139" s="1"/>
  <c r="A273" i="139" s="1"/>
  <c r="A285" i="139" s="1"/>
  <c r="A297" i="139" s="1"/>
  <c r="A309" i="139" s="1"/>
  <c r="A321" i="139" s="1"/>
  <c r="A333" i="139" s="1"/>
  <c r="A345" i="139" s="1"/>
  <c r="A357" i="139" s="1"/>
  <c r="A369" i="139" s="1"/>
  <c r="A381" i="139" s="1"/>
  <c r="A393" i="139" s="1"/>
  <c r="A188" i="139"/>
  <c r="A200" i="139" s="1"/>
  <c r="A212" i="139" s="1"/>
  <c r="A224" i="139" s="1"/>
  <c r="A236" i="139" s="1"/>
  <c r="A248" i="139" s="1"/>
  <c r="A260" i="139" s="1"/>
  <c r="A272" i="139" s="1"/>
  <c r="A284" i="139" s="1"/>
  <c r="A296" i="139" s="1"/>
  <c r="A308" i="139" s="1"/>
  <c r="A320" i="139" s="1"/>
  <c r="A332" i="139" s="1"/>
  <c r="A344" i="139" s="1"/>
  <c r="A356" i="139" s="1"/>
  <c r="A368" i="139" s="1"/>
  <c r="A380" i="139" s="1"/>
  <c r="A392" i="139" s="1"/>
  <c r="A187" i="139"/>
  <c r="A199" i="139" s="1"/>
  <c r="A211" i="139" s="1"/>
  <c r="A223" i="139" s="1"/>
  <c r="A235" i="139" s="1"/>
  <c r="A247" i="139" s="1"/>
  <c r="A259" i="139" s="1"/>
  <c r="A271" i="139" s="1"/>
  <c r="A283" i="139" s="1"/>
  <c r="A295" i="139" s="1"/>
  <c r="A307" i="139" s="1"/>
  <c r="A319" i="139" s="1"/>
  <c r="A331" i="139" s="1"/>
  <c r="A343" i="139" s="1"/>
  <c r="A355" i="139" s="1"/>
  <c r="A367" i="139" s="1"/>
  <c r="A379" i="139" s="1"/>
  <c r="A391" i="139" s="1"/>
  <c r="A186" i="139"/>
  <c r="A198" i="139" s="1"/>
  <c r="A210" i="139" s="1"/>
  <c r="A222" i="139" s="1"/>
  <c r="A234" i="139" s="1"/>
  <c r="A246" i="139" s="1"/>
  <c r="A258" i="139" s="1"/>
  <c r="A270" i="139" s="1"/>
  <c r="A282" i="139" s="1"/>
  <c r="A294" i="139" s="1"/>
  <c r="A306" i="139" s="1"/>
  <c r="A318" i="139" s="1"/>
  <c r="A330" i="139" s="1"/>
  <c r="A342" i="139" s="1"/>
  <c r="A354" i="139" s="1"/>
  <c r="A366" i="139" s="1"/>
  <c r="A378" i="139" s="1"/>
  <c r="A390" i="139" s="1"/>
  <c r="A185" i="139"/>
  <c r="A197" i="139" s="1"/>
  <c r="A209" i="139" s="1"/>
  <c r="A221" i="139" s="1"/>
  <c r="A233" i="139" s="1"/>
  <c r="A245" i="139" s="1"/>
  <c r="A257" i="139" s="1"/>
  <c r="A269" i="139" s="1"/>
  <c r="A281" i="139" s="1"/>
  <c r="A293" i="139" s="1"/>
  <c r="A305" i="139" s="1"/>
  <c r="A317" i="139" s="1"/>
  <c r="A329" i="139" s="1"/>
  <c r="A341" i="139" s="1"/>
  <c r="A353" i="139" s="1"/>
  <c r="A365" i="139" s="1"/>
  <c r="A377" i="139" s="1"/>
  <c r="A389" i="139" s="1"/>
  <c r="A184" i="139"/>
  <c r="A196" i="139" s="1"/>
  <c r="A208" i="139" s="1"/>
  <c r="A220" i="139" s="1"/>
  <c r="A232" i="139" s="1"/>
  <c r="A244" i="139" s="1"/>
  <c r="A256" i="139" s="1"/>
  <c r="A268" i="139" s="1"/>
  <c r="A280" i="139" s="1"/>
  <c r="A292" i="139" s="1"/>
  <c r="A304" i="139" s="1"/>
  <c r="A316" i="139" s="1"/>
  <c r="A328" i="139" s="1"/>
  <c r="A340" i="139" s="1"/>
  <c r="A352" i="139" s="1"/>
  <c r="A364" i="139" s="1"/>
  <c r="A376" i="139" s="1"/>
  <c r="A388" i="139" s="1"/>
  <c r="A183" i="139"/>
  <c r="A195" i="139" s="1"/>
  <c r="A207" i="139" s="1"/>
  <c r="A219" i="139" s="1"/>
  <c r="A231" i="139" s="1"/>
  <c r="A243" i="139" s="1"/>
  <c r="A255" i="139" s="1"/>
  <c r="A267" i="139" s="1"/>
  <c r="A279" i="139" s="1"/>
  <c r="A291" i="139" s="1"/>
  <c r="A303" i="139" s="1"/>
  <c r="A315" i="139" s="1"/>
  <c r="A327" i="139" s="1"/>
  <c r="A339" i="139" s="1"/>
  <c r="A351" i="139" s="1"/>
  <c r="A363" i="139" s="1"/>
  <c r="A375" i="139" s="1"/>
  <c r="A387" i="139" s="1"/>
  <c r="A182" i="139"/>
  <c r="A194" i="139" s="1"/>
  <c r="A206" i="139" s="1"/>
  <c r="A218" i="139" s="1"/>
  <c r="A230" i="139" s="1"/>
  <c r="A242" i="139" s="1"/>
  <c r="A254" i="139" s="1"/>
  <c r="A266" i="139" s="1"/>
  <c r="A278" i="139" s="1"/>
  <c r="A290" i="139" s="1"/>
  <c r="A302" i="139" s="1"/>
  <c r="A314" i="139" s="1"/>
  <c r="A326" i="139" s="1"/>
  <c r="A338" i="139" s="1"/>
  <c r="A350" i="139" s="1"/>
  <c r="A362" i="139" s="1"/>
  <c r="A374" i="139" s="1"/>
  <c r="A386" i="139" s="1"/>
  <c r="A181" i="139"/>
  <c r="A193" i="139" s="1"/>
  <c r="A205" i="139" s="1"/>
  <c r="A217" i="139" s="1"/>
  <c r="A229" i="139" s="1"/>
  <c r="A241" i="139" s="1"/>
  <c r="A253" i="139" s="1"/>
  <c r="A265" i="139" s="1"/>
  <c r="A277" i="139" s="1"/>
  <c r="A289" i="139" s="1"/>
  <c r="A301" i="139" s="1"/>
  <c r="A313" i="139" s="1"/>
  <c r="A325" i="139" s="1"/>
  <c r="A337" i="139" s="1"/>
  <c r="A349" i="139" s="1"/>
  <c r="A361" i="139" s="1"/>
  <c r="A373" i="139" s="1"/>
  <c r="A385" i="139" s="1"/>
  <c r="A180" i="139"/>
  <c r="A192" i="139" s="1"/>
  <c r="A204" i="139" s="1"/>
  <c r="A216" i="139" s="1"/>
  <c r="A228" i="139" s="1"/>
  <c r="A240" i="139" s="1"/>
  <c r="A252" i="139" s="1"/>
  <c r="A264" i="139" s="1"/>
  <c r="A276" i="139" s="1"/>
  <c r="A288" i="139" s="1"/>
  <c r="A300" i="139" s="1"/>
  <c r="A312" i="139" s="1"/>
  <c r="A324" i="139" s="1"/>
  <c r="A336" i="139" s="1"/>
  <c r="A348" i="139" s="1"/>
  <c r="A360" i="139" s="1"/>
  <c r="A372" i="139" s="1"/>
  <c r="A384" i="139" s="1"/>
  <c r="A179" i="139"/>
  <c r="A191" i="139" s="1"/>
  <c r="A203" i="139" s="1"/>
  <c r="A215" i="139" s="1"/>
  <c r="A227" i="139" s="1"/>
  <c r="A239" i="139" s="1"/>
  <c r="A251" i="139" s="1"/>
  <c r="A263" i="139" s="1"/>
  <c r="A275" i="139" s="1"/>
  <c r="A287" i="139" s="1"/>
  <c r="A299" i="139" s="1"/>
  <c r="A311" i="139" s="1"/>
  <c r="A323" i="139" s="1"/>
  <c r="A335" i="139" s="1"/>
  <c r="A347" i="139" s="1"/>
  <c r="A359" i="139" s="1"/>
  <c r="A371" i="139" s="1"/>
  <c r="A383" i="139" s="1"/>
  <c r="A178" i="139"/>
  <c r="A190" i="139" s="1"/>
  <c r="A202" i="139" s="1"/>
  <c r="A214" i="139" s="1"/>
  <c r="A226" i="139" s="1"/>
  <c r="A238" i="139" s="1"/>
  <c r="A250" i="139" s="1"/>
  <c r="A262" i="139" s="1"/>
  <c r="A274" i="139" s="1"/>
  <c r="A286" i="139" s="1"/>
  <c r="A298" i="139" s="1"/>
  <c r="A310" i="139" s="1"/>
  <c r="A322" i="139" s="1"/>
  <c r="A334" i="139" s="1"/>
  <c r="A346" i="139" s="1"/>
  <c r="A358" i="139" s="1"/>
  <c r="A370" i="139" s="1"/>
  <c r="A382" i="139" s="1"/>
  <c r="A189" i="138"/>
  <c r="A201" i="138" s="1"/>
  <c r="A213" i="138" s="1"/>
  <c r="A225" i="138" s="1"/>
  <c r="A237" i="138" s="1"/>
  <c r="A249" i="138" s="1"/>
  <c r="A261" i="138" s="1"/>
  <c r="A273" i="138" s="1"/>
  <c r="A285" i="138" s="1"/>
  <c r="A297" i="138" s="1"/>
  <c r="A309" i="138" s="1"/>
  <c r="A321" i="138" s="1"/>
  <c r="A333" i="138" s="1"/>
  <c r="A345" i="138" s="1"/>
  <c r="A357" i="138" s="1"/>
  <c r="A369" i="138" s="1"/>
  <c r="A381" i="138" s="1"/>
  <c r="A393" i="138" s="1"/>
  <c r="A188" i="138"/>
  <c r="A200" i="138" s="1"/>
  <c r="A212" i="138" s="1"/>
  <c r="A224" i="138" s="1"/>
  <c r="A236" i="138" s="1"/>
  <c r="A248" i="138" s="1"/>
  <c r="A260" i="138" s="1"/>
  <c r="A272" i="138" s="1"/>
  <c r="A284" i="138" s="1"/>
  <c r="A296" i="138" s="1"/>
  <c r="A308" i="138" s="1"/>
  <c r="A320" i="138" s="1"/>
  <c r="A332" i="138" s="1"/>
  <c r="A344" i="138" s="1"/>
  <c r="A356" i="138" s="1"/>
  <c r="A368" i="138" s="1"/>
  <c r="A380" i="138" s="1"/>
  <c r="A392" i="138" s="1"/>
  <c r="A187" i="138"/>
  <c r="A199" i="138" s="1"/>
  <c r="A211" i="138" s="1"/>
  <c r="A223" i="138" s="1"/>
  <c r="A235" i="138" s="1"/>
  <c r="A247" i="138" s="1"/>
  <c r="A259" i="138" s="1"/>
  <c r="A271" i="138" s="1"/>
  <c r="A283" i="138" s="1"/>
  <c r="A295" i="138" s="1"/>
  <c r="A307" i="138" s="1"/>
  <c r="A319" i="138" s="1"/>
  <c r="A331" i="138" s="1"/>
  <c r="A343" i="138" s="1"/>
  <c r="A355" i="138" s="1"/>
  <c r="A367" i="138" s="1"/>
  <c r="A379" i="138" s="1"/>
  <c r="A391" i="138" s="1"/>
  <c r="A186" i="138"/>
  <c r="A198" i="138" s="1"/>
  <c r="A210" i="138" s="1"/>
  <c r="A222" i="138" s="1"/>
  <c r="A234" i="138" s="1"/>
  <c r="A246" i="138" s="1"/>
  <c r="A258" i="138" s="1"/>
  <c r="A270" i="138" s="1"/>
  <c r="A282" i="138" s="1"/>
  <c r="A294" i="138" s="1"/>
  <c r="A306" i="138" s="1"/>
  <c r="A318" i="138" s="1"/>
  <c r="A330" i="138" s="1"/>
  <c r="A342" i="138" s="1"/>
  <c r="A354" i="138" s="1"/>
  <c r="A366" i="138" s="1"/>
  <c r="A378" i="138" s="1"/>
  <c r="A390" i="138" s="1"/>
  <c r="A185" i="138"/>
  <c r="A197" i="138" s="1"/>
  <c r="A209" i="138" s="1"/>
  <c r="A221" i="138" s="1"/>
  <c r="A233" i="138" s="1"/>
  <c r="A245" i="138" s="1"/>
  <c r="A257" i="138" s="1"/>
  <c r="A269" i="138" s="1"/>
  <c r="A281" i="138" s="1"/>
  <c r="A293" i="138" s="1"/>
  <c r="A305" i="138" s="1"/>
  <c r="A317" i="138" s="1"/>
  <c r="A329" i="138" s="1"/>
  <c r="A341" i="138" s="1"/>
  <c r="A353" i="138" s="1"/>
  <c r="A365" i="138" s="1"/>
  <c r="A377" i="138" s="1"/>
  <c r="A389" i="138" s="1"/>
  <c r="A184" i="138"/>
  <c r="A196" i="138" s="1"/>
  <c r="A208" i="138" s="1"/>
  <c r="A220" i="138" s="1"/>
  <c r="A232" i="138" s="1"/>
  <c r="A244" i="138" s="1"/>
  <c r="A256" i="138" s="1"/>
  <c r="A268" i="138" s="1"/>
  <c r="A280" i="138" s="1"/>
  <c r="A292" i="138" s="1"/>
  <c r="A304" i="138" s="1"/>
  <c r="A316" i="138" s="1"/>
  <c r="A328" i="138" s="1"/>
  <c r="A340" i="138" s="1"/>
  <c r="A352" i="138" s="1"/>
  <c r="A364" i="138" s="1"/>
  <c r="A376" i="138" s="1"/>
  <c r="A388" i="138" s="1"/>
  <c r="A183" i="138"/>
  <c r="A195" i="138" s="1"/>
  <c r="A207" i="138" s="1"/>
  <c r="A219" i="138" s="1"/>
  <c r="A231" i="138" s="1"/>
  <c r="A243" i="138" s="1"/>
  <c r="A255" i="138" s="1"/>
  <c r="A267" i="138" s="1"/>
  <c r="A279" i="138" s="1"/>
  <c r="A291" i="138" s="1"/>
  <c r="A303" i="138" s="1"/>
  <c r="A315" i="138" s="1"/>
  <c r="A327" i="138" s="1"/>
  <c r="A339" i="138" s="1"/>
  <c r="A351" i="138" s="1"/>
  <c r="A363" i="138" s="1"/>
  <c r="A375" i="138" s="1"/>
  <c r="A387" i="138" s="1"/>
  <c r="A182" i="138"/>
  <c r="A194" i="138" s="1"/>
  <c r="A206" i="138" s="1"/>
  <c r="A218" i="138" s="1"/>
  <c r="A230" i="138" s="1"/>
  <c r="A242" i="138" s="1"/>
  <c r="A254" i="138" s="1"/>
  <c r="A266" i="138" s="1"/>
  <c r="A278" i="138" s="1"/>
  <c r="A290" i="138" s="1"/>
  <c r="A302" i="138" s="1"/>
  <c r="A314" i="138" s="1"/>
  <c r="A326" i="138" s="1"/>
  <c r="A338" i="138" s="1"/>
  <c r="A350" i="138" s="1"/>
  <c r="A362" i="138" s="1"/>
  <c r="A374" i="138" s="1"/>
  <c r="A386" i="138" s="1"/>
  <c r="A181" i="138"/>
  <c r="A193" i="138" s="1"/>
  <c r="A205" i="138" s="1"/>
  <c r="A217" i="138" s="1"/>
  <c r="A229" i="138" s="1"/>
  <c r="A241" i="138" s="1"/>
  <c r="A253" i="138" s="1"/>
  <c r="A265" i="138" s="1"/>
  <c r="A277" i="138" s="1"/>
  <c r="A289" i="138" s="1"/>
  <c r="A301" i="138" s="1"/>
  <c r="A313" i="138" s="1"/>
  <c r="A325" i="138" s="1"/>
  <c r="A337" i="138" s="1"/>
  <c r="A349" i="138" s="1"/>
  <c r="A361" i="138" s="1"/>
  <c r="A373" i="138" s="1"/>
  <c r="A385" i="138" s="1"/>
  <c r="A180" i="138"/>
  <c r="A192" i="138" s="1"/>
  <c r="A204" i="138" s="1"/>
  <c r="A216" i="138" s="1"/>
  <c r="A228" i="138" s="1"/>
  <c r="A240" i="138" s="1"/>
  <c r="A252" i="138" s="1"/>
  <c r="A264" i="138" s="1"/>
  <c r="A276" i="138" s="1"/>
  <c r="A288" i="138" s="1"/>
  <c r="A300" i="138" s="1"/>
  <c r="A312" i="138" s="1"/>
  <c r="A324" i="138" s="1"/>
  <c r="A336" i="138" s="1"/>
  <c r="A348" i="138" s="1"/>
  <c r="A360" i="138" s="1"/>
  <c r="A372" i="138" s="1"/>
  <c r="A384" i="138" s="1"/>
  <c r="A179" i="138"/>
  <c r="A191" i="138" s="1"/>
  <c r="A203" i="138" s="1"/>
  <c r="A215" i="138" s="1"/>
  <c r="A227" i="138" s="1"/>
  <c r="A239" i="138" s="1"/>
  <c r="A251" i="138" s="1"/>
  <c r="A263" i="138" s="1"/>
  <c r="A275" i="138" s="1"/>
  <c r="A287" i="138" s="1"/>
  <c r="A299" i="138" s="1"/>
  <c r="A311" i="138" s="1"/>
  <c r="A323" i="138" s="1"/>
  <c r="A335" i="138" s="1"/>
  <c r="A347" i="138" s="1"/>
  <c r="A359" i="138" s="1"/>
  <c r="A371" i="138" s="1"/>
  <c r="A383" i="138" s="1"/>
  <c r="A178" i="138"/>
  <c r="A190" i="138" s="1"/>
  <c r="A202" i="138" s="1"/>
  <c r="A214" i="138" s="1"/>
  <c r="A226" i="138" s="1"/>
  <c r="A238" i="138" s="1"/>
  <c r="A250" i="138" s="1"/>
  <c r="A262" i="138" s="1"/>
  <c r="A274" i="138" s="1"/>
  <c r="A286" i="138" s="1"/>
  <c r="A298" i="138" s="1"/>
  <c r="A310" i="138" s="1"/>
  <c r="A322" i="138" s="1"/>
  <c r="A334" i="138" s="1"/>
  <c r="A346" i="138" s="1"/>
  <c r="A358" i="138" s="1"/>
  <c r="A370" i="138" s="1"/>
  <c r="A382" i="138" s="1"/>
  <c r="A208" i="131"/>
  <c r="A220" i="131" s="1"/>
  <c r="A232" i="131" s="1"/>
  <c r="A244" i="131" s="1"/>
  <c r="A256" i="131" s="1"/>
  <c r="A268" i="131" s="1"/>
  <c r="A280" i="131" s="1"/>
  <c r="A292" i="131" s="1"/>
  <c r="A304" i="131" s="1"/>
  <c r="A316" i="131" s="1"/>
  <c r="A328" i="131" s="1"/>
  <c r="A340" i="131" s="1"/>
  <c r="A352" i="131" s="1"/>
  <c r="A364" i="131" s="1"/>
  <c r="A376" i="131" s="1"/>
  <c r="A388" i="131" s="1"/>
  <c r="A189" i="131"/>
  <c r="A201" i="131" s="1"/>
  <c r="A213" i="131" s="1"/>
  <c r="A225" i="131" s="1"/>
  <c r="A237" i="131" s="1"/>
  <c r="A249" i="131" s="1"/>
  <c r="A261" i="131" s="1"/>
  <c r="A273" i="131" s="1"/>
  <c r="A285" i="131" s="1"/>
  <c r="A297" i="131" s="1"/>
  <c r="A309" i="131" s="1"/>
  <c r="A321" i="131" s="1"/>
  <c r="A333" i="131" s="1"/>
  <c r="A345" i="131" s="1"/>
  <c r="A357" i="131" s="1"/>
  <c r="A369" i="131" s="1"/>
  <c r="A381" i="131" s="1"/>
  <c r="A393" i="131" s="1"/>
  <c r="A188" i="131"/>
  <c r="A200" i="131" s="1"/>
  <c r="A212" i="131" s="1"/>
  <c r="A224" i="131" s="1"/>
  <c r="A236" i="131" s="1"/>
  <c r="A248" i="131" s="1"/>
  <c r="A260" i="131" s="1"/>
  <c r="A272" i="131" s="1"/>
  <c r="A284" i="131" s="1"/>
  <c r="A296" i="131" s="1"/>
  <c r="A308" i="131" s="1"/>
  <c r="A320" i="131" s="1"/>
  <c r="A332" i="131" s="1"/>
  <c r="A344" i="131" s="1"/>
  <c r="A356" i="131" s="1"/>
  <c r="A368" i="131" s="1"/>
  <c r="A380" i="131" s="1"/>
  <c r="A392" i="131" s="1"/>
  <c r="A187" i="131"/>
  <c r="A199" i="131" s="1"/>
  <c r="A211" i="131" s="1"/>
  <c r="A223" i="131" s="1"/>
  <c r="A235" i="131" s="1"/>
  <c r="A247" i="131" s="1"/>
  <c r="A259" i="131" s="1"/>
  <c r="A271" i="131" s="1"/>
  <c r="A283" i="131" s="1"/>
  <c r="A295" i="131" s="1"/>
  <c r="A307" i="131" s="1"/>
  <c r="A319" i="131" s="1"/>
  <c r="A331" i="131" s="1"/>
  <c r="A343" i="131" s="1"/>
  <c r="A355" i="131" s="1"/>
  <c r="A367" i="131" s="1"/>
  <c r="A379" i="131" s="1"/>
  <c r="A391" i="131" s="1"/>
  <c r="A186" i="131"/>
  <c r="A198" i="131" s="1"/>
  <c r="A210" i="131" s="1"/>
  <c r="A222" i="131" s="1"/>
  <c r="A234" i="131" s="1"/>
  <c r="A246" i="131" s="1"/>
  <c r="A258" i="131" s="1"/>
  <c r="A270" i="131" s="1"/>
  <c r="A282" i="131" s="1"/>
  <c r="A294" i="131" s="1"/>
  <c r="A306" i="131" s="1"/>
  <c r="A318" i="131" s="1"/>
  <c r="A330" i="131" s="1"/>
  <c r="A342" i="131" s="1"/>
  <c r="A354" i="131" s="1"/>
  <c r="A366" i="131" s="1"/>
  <c r="A378" i="131" s="1"/>
  <c r="A390" i="131" s="1"/>
  <c r="A185" i="131"/>
  <c r="A197" i="131" s="1"/>
  <c r="A209" i="131" s="1"/>
  <c r="A221" i="131" s="1"/>
  <c r="A233" i="131" s="1"/>
  <c r="A245" i="131" s="1"/>
  <c r="A257" i="131" s="1"/>
  <c r="A269" i="131" s="1"/>
  <c r="A281" i="131" s="1"/>
  <c r="A293" i="131" s="1"/>
  <c r="A305" i="131" s="1"/>
  <c r="A317" i="131" s="1"/>
  <c r="A329" i="131" s="1"/>
  <c r="A341" i="131" s="1"/>
  <c r="A353" i="131" s="1"/>
  <c r="A365" i="131" s="1"/>
  <c r="A377" i="131" s="1"/>
  <c r="A389" i="131" s="1"/>
  <c r="A184" i="131"/>
  <c r="A196" i="131" s="1"/>
  <c r="A183" i="131"/>
  <c r="A195" i="131" s="1"/>
  <c r="A207" i="131" s="1"/>
  <c r="A219" i="131" s="1"/>
  <c r="A231" i="131" s="1"/>
  <c r="A243" i="131" s="1"/>
  <c r="A255" i="131" s="1"/>
  <c r="A267" i="131" s="1"/>
  <c r="A279" i="131" s="1"/>
  <c r="A291" i="131" s="1"/>
  <c r="A303" i="131" s="1"/>
  <c r="A315" i="131" s="1"/>
  <c r="A327" i="131" s="1"/>
  <c r="A339" i="131" s="1"/>
  <c r="A351" i="131" s="1"/>
  <c r="A363" i="131" s="1"/>
  <c r="A375" i="131" s="1"/>
  <c r="A387" i="131" s="1"/>
  <c r="A182" i="131"/>
  <c r="A194" i="131" s="1"/>
  <c r="A206" i="131" s="1"/>
  <c r="A218" i="131" s="1"/>
  <c r="A230" i="131" s="1"/>
  <c r="A242" i="131" s="1"/>
  <c r="A254" i="131" s="1"/>
  <c r="A266" i="131" s="1"/>
  <c r="A278" i="131" s="1"/>
  <c r="A290" i="131" s="1"/>
  <c r="A302" i="131" s="1"/>
  <c r="A314" i="131" s="1"/>
  <c r="A326" i="131" s="1"/>
  <c r="A338" i="131" s="1"/>
  <c r="A350" i="131" s="1"/>
  <c r="A362" i="131" s="1"/>
  <c r="A374" i="131" s="1"/>
  <c r="A386" i="131" s="1"/>
  <c r="A181" i="131"/>
  <c r="A193" i="131" s="1"/>
  <c r="A205" i="131" s="1"/>
  <c r="A217" i="131" s="1"/>
  <c r="A229" i="131" s="1"/>
  <c r="A241" i="131" s="1"/>
  <c r="A253" i="131" s="1"/>
  <c r="A265" i="131" s="1"/>
  <c r="A277" i="131" s="1"/>
  <c r="A289" i="131" s="1"/>
  <c r="A301" i="131" s="1"/>
  <c r="A313" i="131" s="1"/>
  <c r="A325" i="131" s="1"/>
  <c r="A337" i="131" s="1"/>
  <c r="A349" i="131" s="1"/>
  <c r="A361" i="131" s="1"/>
  <c r="A373" i="131" s="1"/>
  <c r="A385" i="131" s="1"/>
  <c r="A180" i="131"/>
  <c r="A192" i="131" s="1"/>
  <c r="A204" i="131" s="1"/>
  <c r="A216" i="131" s="1"/>
  <c r="A228" i="131" s="1"/>
  <c r="A240" i="131" s="1"/>
  <c r="A252" i="131" s="1"/>
  <c r="A264" i="131" s="1"/>
  <c r="A276" i="131" s="1"/>
  <c r="A288" i="131" s="1"/>
  <c r="A300" i="131" s="1"/>
  <c r="A312" i="131" s="1"/>
  <c r="A324" i="131" s="1"/>
  <c r="A336" i="131" s="1"/>
  <c r="A348" i="131" s="1"/>
  <c r="A360" i="131" s="1"/>
  <c r="A372" i="131" s="1"/>
  <c r="A384" i="131" s="1"/>
  <c r="A179" i="131"/>
  <c r="A191" i="131" s="1"/>
  <c r="A203" i="131" s="1"/>
  <c r="A215" i="131" s="1"/>
  <c r="A227" i="131" s="1"/>
  <c r="A239" i="131" s="1"/>
  <c r="A251" i="131" s="1"/>
  <c r="A263" i="131" s="1"/>
  <c r="A275" i="131" s="1"/>
  <c r="A287" i="131" s="1"/>
  <c r="A299" i="131" s="1"/>
  <c r="A311" i="131" s="1"/>
  <c r="A323" i="131" s="1"/>
  <c r="A335" i="131" s="1"/>
  <c r="A347" i="131" s="1"/>
  <c r="A359" i="131" s="1"/>
  <c r="A371" i="131" s="1"/>
  <c r="A383" i="131" s="1"/>
  <c r="A178" i="131"/>
  <c r="A190" i="131" s="1"/>
  <c r="A202" i="131" s="1"/>
  <c r="A214" i="131" s="1"/>
  <c r="A226" i="131" s="1"/>
  <c r="A238" i="131" s="1"/>
  <c r="A250" i="131" s="1"/>
  <c r="A262" i="131" s="1"/>
  <c r="A274" i="131" s="1"/>
  <c r="A286" i="131" s="1"/>
  <c r="A298" i="131" s="1"/>
  <c r="A310" i="131" s="1"/>
  <c r="A322" i="131" s="1"/>
  <c r="A334" i="131" s="1"/>
  <c r="A346" i="131" s="1"/>
  <c r="A358" i="131" s="1"/>
  <c r="A370" i="131" s="1"/>
  <c r="A382" i="131" s="1"/>
  <c r="A189" i="130"/>
  <c r="A201" i="130" s="1"/>
  <c r="A213" i="130" s="1"/>
  <c r="A225" i="130" s="1"/>
  <c r="A237" i="130" s="1"/>
  <c r="A249" i="130" s="1"/>
  <c r="A261" i="130" s="1"/>
  <c r="A273" i="130" s="1"/>
  <c r="A285" i="130" s="1"/>
  <c r="A297" i="130" s="1"/>
  <c r="A309" i="130" s="1"/>
  <c r="A321" i="130" s="1"/>
  <c r="A333" i="130" s="1"/>
  <c r="A345" i="130" s="1"/>
  <c r="A357" i="130" s="1"/>
  <c r="A369" i="130" s="1"/>
  <c r="A381" i="130" s="1"/>
  <c r="A393" i="130" s="1"/>
  <c r="A405" i="130" s="1"/>
  <c r="A188" i="130"/>
  <c r="A200" i="130" s="1"/>
  <c r="A212" i="130" s="1"/>
  <c r="A224" i="130" s="1"/>
  <c r="A236" i="130" s="1"/>
  <c r="A248" i="130" s="1"/>
  <c r="A260" i="130" s="1"/>
  <c r="A272" i="130" s="1"/>
  <c r="A284" i="130" s="1"/>
  <c r="A296" i="130" s="1"/>
  <c r="A308" i="130" s="1"/>
  <c r="A320" i="130" s="1"/>
  <c r="A332" i="130" s="1"/>
  <c r="A344" i="130" s="1"/>
  <c r="A356" i="130" s="1"/>
  <c r="A368" i="130" s="1"/>
  <c r="A380" i="130" s="1"/>
  <c r="A392" i="130" s="1"/>
  <c r="A404" i="130" s="1"/>
  <c r="A187" i="130"/>
  <c r="A199" i="130" s="1"/>
  <c r="A211" i="130" s="1"/>
  <c r="A223" i="130" s="1"/>
  <c r="A235" i="130" s="1"/>
  <c r="A247" i="130" s="1"/>
  <c r="A259" i="130" s="1"/>
  <c r="A271" i="130" s="1"/>
  <c r="A283" i="130" s="1"/>
  <c r="A295" i="130" s="1"/>
  <c r="A307" i="130" s="1"/>
  <c r="A319" i="130" s="1"/>
  <c r="A331" i="130" s="1"/>
  <c r="A343" i="130" s="1"/>
  <c r="A355" i="130" s="1"/>
  <c r="A367" i="130" s="1"/>
  <c r="A379" i="130" s="1"/>
  <c r="A391" i="130" s="1"/>
  <c r="A403" i="130" s="1"/>
  <c r="A186" i="130"/>
  <c r="A198" i="130" s="1"/>
  <c r="A210" i="130" s="1"/>
  <c r="A222" i="130" s="1"/>
  <c r="A234" i="130" s="1"/>
  <c r="A246" i="130" s="1"/>
  <c r="A258" i="130" s="1"/>
  <c r="A270" i="130" s="1"/>
  <c r="A282" i="130" s="1"/>
  <c r="A294" i="130" s="1"/>
  <c r="A306" i="130" s="1"/>
  <c r="A318" i="130" s="1"/>
  <c r="A330" i="130" s="1"/>
  <c r="A342" i="130" s="1"/>
  <c r="A354" i="130" s="1"/>
  <c r="A366" i="130" s="1"/>
  <c r="A378" i="130" s="1"/>
  <c r="A390" i="130" s="1"/>
  <c r="A402" i="130" s="1"/>
  <c r="A185" i="130"/>
  <c r="A197" i="130" s="1"/>
  <c r="A209" i="130" s="1"/>
  <c r="A221" i="130" s="1"/>
  <c r="A233" i="130" s="1"/>
  <c r="A245" i="130" s="1"/>
  <c r="A257" i="130" s="1"/>
  <c r="A269" i="130" s="1"/>
  <c r="A281" i="130" s="1"/>
  <c r="A293" i="130" s="1"/>
  <c r="A305" i="130" s="1"/>
  <c r="A317" i="130" s="1"/>
  <c r="A329" i="130" s="1"/>
  <c r="A341" i="130" s="1"/>
  <c r="A353" i="130" s="1"/>
  <c r="A365" i="130" s="1"/>
  <c r="A377" i="130" s="1"/>
  <c r="A389" i="130" s="1"/>
  <c r="A401" i="130" s="1"/>
  <c r="A184" i="130"/>
  <c r="A196" i="130" s="1"/>
  <c r="A208" i="130" s="1"/>
  <c r="A220" i="130" s="1"/>
  <c r="A232" i="130" s="1"/>
  <c r="A244" i="130" s="1"/>
  <c r="A256" i="130" s="1"/>
  <c r="A268" i="130" s="1"/>
  <c r="A280" i="130" s="1"/>
  <c r="A292" i="130" s="1"/>
  <c r="A304" i="130" s="1"/>
  <c r="A316" i="130" s="1"/>
  <c r="A328" i="130" s="1"/>
  <c r="A340" i="130" s="1"/>
  <c r="A352" i="130" s="1"/>
  <c r="A364" i="130" s="1"/>
  <c r="A376" i="130" s="1"/>
  <c r="A388" i="130" s="1"/>
  <c r="A400" i="130" s="1"/>
  <c r="A183" i="130"/>
  <c r="A195" i="130" s="1"/>
  <c r="A207" i="130" s="1"/>
  <c r="A219" i="130" s="1"/>
  <c r="A231" i="130" s="1"/>
  <c r="A243" i="130" s="1"/>
  <c r="A255" i="130" s="1"/>
  <c r="A267" i="130" s="1"/>
  <c r="A279" i="130" s="1"/>
  <c r="A291" i="130" s="1"/>
  <c r="A303" i="130" s="1"/>
  <c r="A315" i="130" s="1"/>
  <c r="A327" i="130" s="1"/>
  <c r="A339" i="130" s="1"/>
  <c r="A351" i="130" s="1"/>
  <c r="A363" i="130" s="1"/>
  <c r="A375" i="130" s="1"/>
  <c r="A387" i="130" s="1"/>
  <c r="A399" i="130" s="1"/>
  <c r="A182" i="130"/>
  <c r="A194" i="130" s="1"/>
  <c r="A206" i="130" s="1"/>
  <c r="A218" i="130" s="1"/>
  <c r="A230" i="130" s="1"/>
  <c r="A242" i="130" s="1"/>
  <c r="A254" i="130" s="1"/>
  <c r="A266" i="130" s="1"/>
  <c r="A278" i="130" s="1"/>
  <c r="A290" i="130" s="1"/>
  <c r="A302" i="130" s="1"/>
  <c r="A314" i="130" s="1"/>
  <c r="A326" i="130" s="1"/>
  <c r="A338" i="130" s="1"/>
  <c r="A350" i="130" s="1"/>
  <c r="A362" i="130" s="1"/>
  <c r="A374" i="130" s="1"/>
  <c r="A386" i="130" s="1"/>
  <c r="A398" i="130" s="1"/>
  <c r="A181" i="130"/>
  <c r="A193" i="130" s="1"/>
  <c r="A205" i="130" s="1"/>
  <c r="A217" i="130" s="1"/>
  <c r="A229" i="130" s="1"/>
  <c r="A241" i="130" s="1"/>
  <c r="A253" i="130" s="1"/>
  <c r="A265" i="130" s="1"/>
  <c r="A277" i="130" s="1"/>
  <c r="A289" i="130" s="1"/>
  <c r="A301" i="130" s="1"/>
  <c r="A313" i="130" s="1"/>
  <c r="A325" i="130" s="1"/>
  <c r="A337" i="130" s="1"/>
  <c r="A349" i="130" s="1"/>
  <c r="A361" i="130" s="1"/>
  <c r="A373" i="130" s="1"/>
  <c r="A385" i="130" s="1"/>
  <c r="A397" i="130" s="1"/>
  <c r="A180" i="130"/>
  <c r="A192" i="130" s="1"/>
  <c r="A204" i="130" s="1"/>
  <c r="A216" i="130" s="1"/>
  <c r="A228" i="130" s="1"/>
  <c r="A240" i="130" s="1"/>
  <c r="A252" i="130" s="1"/>
  <c r="A264" i="130" s="1"/>
  <c r="A276" i="130" s="1"/>
  <c r="A288" i="130" s="1"/>
  <c r="A300" i="130" s="1"/>
  <c r="A312" i="130" s="1"/>
  <c r="A324" i="130" s="1"/>
  <c r="A336" i="130" s="1"/>
  <c r="A348" i="130" s="1"/>
  <c r="A360" i="130" s="1"/>
  <c r="A372" i="130" s="1"/>
  <c r="A384" i="130" s="1"/>
  <c r="A396" i="130" s="1"/>
  <c r="A179" i="130"/>
  <c r="A191" i="130" s="1"/>
  <c r="A203" i="130" s="1"/>
  <c r="A215" i="130" s="1"/>
  <c r="A227" i="130" s="1"/>
  <c r="A239" i="130" s="1"/>
  <c r="A251" i="130" s="1"/>
  <c r="A263" i="130" s="1"/>
  <c r="A275" i="130" s="1"/>
  <c r="A287" i="130" s="1"/>
  <c r="A299" i="130" s="1"/>
  <c r="A311" i="130" s="1"/>
  <c r="A323" i="130" s="1"/>
  <c r="A335" i="130" s="1"/>
  <c r="A347" i="130" s="1"/>
  <c r="A359" i="130" s="1"/>
  <c r="A371" i="130" s="1"/>
  <c r="A383" i="130" s="1"/>
  <c r="A395" i="130" s="1"/>
  <c r="A178" i="130"/>
  <c r="A190" i="130" s="1"/>
  <c r="A202" i="130" s="1"/>
  <c r="A214" i="130" s="1"/>
  <c r="A226" i="130" s="1"/>
  <c r="A238" i="130" s="1"/>
  <c r="A250" i="130" s="1"/>
  <c r="A262" i="130" s="1"/>
  <c r="A274" i="130" s="1"/>
  <c r="A286" i="130" s="1"/>
  <c r="A298" i="130" s="1"/>
  <c r="A310" i="130" s="1"/>
  <c r="A322" i="130" s="1"/>
  <c r="A334" i="130" s="1"/>
  <c r="A346" i="130" s="1"/>
  <c r="A358" i="130" s="1"/>
  <c r="A370" i="130" s="1"/>
  <c r="A382" i="130" s="1"/>
  <c r="A394" i="130" s="1"/>
  <c r="A189" i="128"/>
  <c r="A201" i="128" s="1"/>
  <c r="A213" i="128" s="1"/>
  <c r="A225" i="128" s="1"/>
  <c r="A237" i="128" s="1"/>
  <c r="A249" i="128" s="1"/>
  <c r="A261" i="128" s="1"/>
  <c r="A273" i="128" s="1"/>
  <c r="A285" i="128" s="1"/>
  <c r="A297" i="128" s="1"/>
  <c r="A309" i="128" s="1"/>
  <c r="A321" i="128" s="1"/>
  <c r="A333" i="128" s="1"/>
  <c r="A345" i="128" s="1"/>
  <c r="A357" i="128" s="1"/>
  <c r="A369" i="128" s="1"/>
  <c r="A381" i="128" s="1"/>
  <c r="A393" i="128" s="1"/>
  <c r="A405" i="128" s="1"/>
  <c r="A188" i="128"/>
  <c r="A200" i="128" s="1"/>
  <c r="A212" i="128" s="1"/>
  <c r="A224" i="128" s="1"/>
  <c r="A236" i="128" s="1"/>
  <c r="A248" i="128" s="1"/>
  <c r="A260" i="128" s="1"/>
  <c r="A272" i="128" s="1"/>
  <c r="A284" i="128" s="1"/>
  <c r="A296" i="128" s="1"/>
  <c r="A308" i="128" s="1"/>
  <c r="A320" i="128" s="1"/>
  <c r="A332" i="128" s="1"/>
  <c r="A344" i="128" s="1"/>
  <c r="A356" i="128" s="1"/>
  <c r="A368" i="128" s="1"/>
  <c r="A380" i="128" s="1"/>
  <c r="A392" i="128" s="1"/>
  <c r="A404" i="128" s="1"/>
  <c r="A187" i="128"/>
  <c r="A199" i="128" s="1"/>
  <c r="A211" i="128" s="1"/>
  <c r="A223" i="128" s="1"/>
  <c r="A235" i="128" s="1"/>
  <c r="A247" i="128" s="1"/>
  <c r="A259" i="128" s="1"/>
  <c r="A271" i="128" s="1"/>
  <c r="A283" i="128" s="1"/>
  <c r="A295" i="128" s="1"/>
  <c r="A307" i="128" s="1"/>
  <c r="A319" i="128" s="1"/>
  <c r="A331" i="128" s="1"/>
  <c r="A343" i="128" s="1"/>
  <c r="A355" i="128" s="1"/>
  <c r="A367" i="128" s="1"/>
  <c r="A379" i="128" s="1"/>
  <c r="A391" i="128" s="1"/>
  <c r="A403" i="128" s="1"/>
  <c r="A186" i="128"/>
  <c r="A198" i="128" s="1"/>
  <c r="A210" i="128" s="1"/>
  <c r="A222" i="128" s="1"/>
  <c r="A234" i="128" s="1"/>
  <c r="A246" i="128" s="1"/>
  <c r="A258" i="128" s="1"/>
  <c r="A270" i="128" s="1"/>
  <c r="A282" i="128" s="1"/>
  <c r="A294" i="128" s="1"/>
  <c r="A306" i="128" s="1"/>
  <c r="A318" i="128" s="1"/>
  <c r="A330" i="128" s="1"/>
  <c r="A342" i="128" s="1"/>
  <c r="A354" i="128" s="1"/>
  <c r="A366" i="128" s="1"/>
  <c r="A378" i="128" s="1"/>
  <c r="A390" i="128" s="1"/>
  <c r="A402" i="128" s="1"/>
  <c r="A185" i="128"/>
  <c r="A197" i="128" s="1"/>
  <c r="A209" i="128" s="1"/>
  <c r="A221" i="128" s="1"/>
  <c r="A233" i="128" s="1"/>
  <c r="A245" i="128" s="1"/>
  <c r="A257" i="128" s="1"/>
  <c r="A269" i="128" s="1"/>
  <c r="A281" i="128" s="1"/>
  <c r="A293" i="128" s="1"/>
  <c r="A305" i="128" s="1"/>
  <c r="A317" i="128" s="1"/>
  <c r="A329" i="128" s="1"/>
  <c r="A341" i="128" s="1"/>
  <c r="A353" i="128" s="1"/>
  <c r="A365" i="128" s="1"/>
  <c r="A377" i="128" s="1"/>
  <c r="A389" i="128" s="1"/>
  <c r="A401" i="128" s="1"/>
  <c r="A184" i="128"/>
  <c r="A196" i="128" s="1"/>
  <c r="A208" i="128" s="1"/>
  <c r="A220" i="128" s="1"/>
  <c r="A232" i="128" s="1"/>
  <c r="A244" i="128" s="1"/>
  <c r="A256" i="128" s="1"/>
  <c r="A268" i="128" s="1"/>
  <c r="A280" i="128" s="1"/>
  <c r="A292" i="128" s="1"/>
  <c r="A304" i="128" s="1"/>
  <c r="A316" i="128" s="1"/>
  <c r="A328" i="128" s="1"/>
  <c r="A340" i="128" s="1"/>
  <c r="A352" i="128" s="1"/>
  <c r="A364" i="128" s="1"/>
  <c r="A376" i="128" s="1"/>
  <c r="A388" i="128" s="1"/>
  <c r="A400" i="128" s="1"/>
  <c r="A183" i="128"/>
  <c r="A195" i="128" s="1"/>
  <c r="A207" i="128" s="1"/>
  <c r="A219" i="128" s="1"/>
  <c r="A231" i="128" s="1"/>
  <c r="A243" i="128" s="1"/>
  <c r="A255" i="128" s="1"/>
  <c r="A267" i="128" s="1"/>
  <c r="A279" i="128" s="1"/>
  <c r="A291" i="128" s="1"/>
  <c r="A303" i="128" s="1"/>
  <c r="A315" i="128" s="1"/>
  <c r="A327" i="128" s="1"/>
  <c r="A339" i="128" s="1"/>
  <c r="A351" i="128" s="1"/>
  <c r="A363" i="128" s="1"/>
  <c r="A375" i="128" s="1"/>
  <c r="A387" i="128" s="1"/>
  <c r="A399" i="128" s="1"/>
  <c r="A182" i="128"/>
  <c r="A194" i="128" s="1"/>
  <c r="A206" i="128" s="1"/>
  <c r="A218" i="128" s="1"/>
  <c r="A230" i="128" s="1"/>
  <c r="A242" i="128" s="1"/>
  <c r="A254" i="128" s="1"/>
  <c r="A266" i="128" s="1"/>
  <c r="A278" i="128" s="1"/>
  <c r="A290" i="128" s="1"/>
  <c r="A302" i="128" s="1"/>
  <c r="A314" i="128" s="1"/>
  <c r="A326" i="128" s="1"/>
  <c r="A338" i="128" s="1"/>
  <c r="A350" i="128" s="1"/>
  <c r="A362" i="128" s="1"/>
  <c r="A374" i="128" s="1"/>
  <c r="A386" i="128" s="1"/>
  <c r="A398" i="128" s="1"/>
  <c r="A181" i="128"/>
  <c r="A193" i="128" s="1"/>
  <c r="A205" i="128" s="1"/>
  <c r="A217" i="128" s="1"/>
  <c r="A229" i="128" s="1"/>
  <c r="A241" i="128" s="1"/>
  <c r="A253" i="128" s="1"/>
  <c r="A265" i="128" s="1"/>
  <c r="A277" i="128" s="1"/>
  <c r="A289" i="128" s="1"/>
  <c r="A301" i="128" s="1"/>
  <c r="A313" i="128" s="1"/>
  <c r="A325" i="128" s="1"/>
  <c r="A337" i="128" s="1"/>
  <c r="A349" i="128" s="1"/>
  <c r="A361" i="128" s="1"/>
  <c r="A373" i="128" s="1"/>
  <c r="A385" i="128" s="1"/>
  <c r="A397" i="128" s="1"/>
  <c r="A180" i="128"/>
  <c r="A192" i="128" s="1"/>
  <c r="A204" i="128" s="1"/>
  <c r="A216" i="128" s="1"/>
  <c r="A228" i="128" s="1"/>
  <c r="A240" i="128" s="1"/>
  <c r="A252" i="128" s="1"/>
  <c r="A264" i="128" s="1"/>
  <c r="A276" i="128" s="1"/>
  <c r="A288" i="128" s="1"/>
  <c r="A300" i="128" s="1"/>
  <c r="A312" i="128" s="1"/>
  <c r="A324" i="128" s="1"/>
  <c r="A336" i="128" s="1"/>
  <c r="A348" i="128" s="1"/>
  <c r="A360" i="128" s="1"/>
  <c r="A372" i="128" s="1"/>
  <c r="A384" i="128" s="1"/>
  <c r="A396" i="128" s="1"/>
  <c r="A179" i="128"/>
  <c r="A191" i="128" s="1"/>
  <c r="A203" i="128" s="1"/>
  <c r="A215" i="128" s="1"/>
  <c r="A227" i="128" s="1"/>
  <c r="A239" i="128" s="1"/>
  <c r="A251" i="128" s="1"/>
  <c r="A263" i="128" s="1"/>
  <c r="A275" i="128" s="1"/>
  <c r="A287" i="128" s="1"/>
  <c r="A299" i="128" s="1"/>
  <c r="A311" i="128" s="1"/>
  <c r="A323" i="128" s="1"/>
  <c r="A335" i="128" s="1"/>
  <c r="A347" i="128" s="1"/>
  <c r="A359" i="128" s="1"/>
  <c r="A371" i="128" s="1"/>
  <c r="A383" i="128" s="1"/>
  <c r="A395" i="128" s="1"/>
  <c r="A178" i="128"/>
  <c r="A190" i="128" s="1"/>
  <c r="A202" i="128" s="1"/>
  <c r="A214" i="128" s="1"/>
  <c r="A226" i="128" s="1"/>
  <c r="A238" i="128" s="1"/>
  <c r="A250" i="128" s="1"/>
  <c r="A262" i="128" s="1"/>
  <c r="A274" i="128" s="1"/>
  <c r="A286" i="128" s="1"/>
  <c r="A298" i="128" s="1"/>
  <c r="A310" i="128" s="1"/>
  <c r="A322" i="128" s="1"/>
  <c r="A334" i="128" s="1"/>
  <c r="A346" i="128" s="1"/>
  <c r="A358" i="128" s="1"/>
  <c r="A370" i="128" s="1"/>
  <c r="A382" i="128" s="1"/>
  <c r="A394" i="128" s="1"/>
  <c r="A189" i="64"/>
  <c r="A201" i="64" s="1"/>
  <c r="A213" i="64" s="1"/>
  <c r="A225" i="64" s="1"/>
  <c r="A237" i="64" s="1"/>
  <c r="A249" i="64" s="1"/>
  <c r="A261" i="64" s="1"/>
  <c r="A273" i="64" s="1"/>
  <c r="A285" i="64" s="1"/>
  <c r="A297" i="64" s="1"/>
  <c r="A309" i="64" s="1"/>
  <c r="A321" i="64" s="1"/>
  <c r="A333" i="64" s="1"/>
  <c r="A345" i="64" s="1"/>
  <c r="A357" i="64" s="1"/>
  <c r="A369" i="64" s="1"/>
  <c r="A381" i="64" s="1"/>
  <c r="A393" i="64" s="1"/>
  <c r="A188" i="64"/>
  <c r="A200" i="64" s="1"/>
  <c r="A212" i="64" s="1"/>
  <c r="A224" i="64" s="1"/>
  <c r="A236" i="64" s="1"/>
  <c r="A248" i="64" s="1"/>
  <c r="A260" i="64" s="1"/>
  <c r="A272" i="64" s="1"/>
  <c r="A284" i="64" s="1"/>
  <c r="A296" i="64" s="1"/>
  <c r="A308" i="64" s="1"/>
  <c r="A320" i="64" s="1"/>
  <c r="A332" i="64" s="1"/>
  <c r="A344" i="64" s="1"/>
  <c r="A356" i="64" s="1"/>
  <c r="A368" i="64" s="1"/>
  <c r="A380" i="64" s="1"/>
  <c r="A392" i="64" s="1"/>
  <c r="A187" i="64"/>
  <c r="A199" i="64" s="1"/>
  <c r="A211" i="64" s="1"/>
  <c r="A223" i="64" s="1"/>
  <c r="A235" i="64" s="1"/>
  <c r="A247" i="64" s="1"/>
  <c r="A259" i="64" s="1"/>
  <c r="A271" i="64" s="1"/>
  <c r="A283" i="64" s="1"/>
  <c r="A295" i="64" s="1"/>
  <c r="A307" i="64" s="1"/>
  <c r="A319" i="64" s="1"/>
  <c r="A331" i="64" s="1"/>
  <c r="A343" i="64" s="1"/>
  <c r="A355" i="64" s="1"/>
  <c r="A367" i="64" s="1"/>
  <c r="A379" i="64" s="1"/>
  <c r="A391" i="64" s="1"/>
  <c r="A186" i="64"/>
  <c r="A198" i="64" s="1"/>
  <c r="A210" i="64" s="1"/>
  <c r="A222" i="64" s="1"/>
  <c r="A234" i="64" s="1"/>
  <c r="A246" i="64" s="1"/>
  <c r="A258" i="64" s="1"/>
  <c r="A270" i="64" s="1"/>
  <c r="A282" i="64" s="1"/>
  <c r="A294" i="64" s="1"/>
  <c r="A306" i="64" s="1"/>
  <c r="A318" i="64" s="1"/>
  <c r="A330" i="64" s="1"/>
  <c r="A342" i="64" s="1"/>
  <c r="A354" i="64" s="1"/>
  <c r="A366" i="64" s="1"/>
  <c r="A378" i="64" s="1"/>
  <c r="A390" i="64" s="1"/>
  <c r="A185" i="64"/>
  <c r="A197" i="64" s="1"/>
  <c r="A209" i="64" s="1"/>
  <c r="A221" i="64" s="1"/>
  <c r="A233" i="64" s="1"/>
  <c r="A245" i="64" s="1"/>
  <c r="A257" i="64" s="1"/>
  <c r="A269" i="64" s="1"/>
  <c r="A281" i="64" s="1"/>
  <c r="A293" i="64" s="1"/>
  <c r="A305" i="64" s="1"/>
  <c r="A317" i="64" s="1"/>
  <c r="A329" i="64" s="1"/>
  <c r="A341" i="64" s="1"/>
  <c r="A353" i="64" s="1"/>
  <c r="A365" i="64" s="1"/>
  <c r="A377" i="64" s="1"/>
  <c r="A389" i="64" s="1"/>
  <c r="A184" i="64"/>
  <c r="A196" i="64" s="1"/>
  <c r="A208" i="64" s="1"/>
  <c r="A220" i="64" s="1"/>
  <c r="A232" i="64" s="1"/>
  <c r="A244" i="64" s="1"/>
  <c r="A256" i="64" s="1"/>
  <c r="A268" i="64" s="1"/>
  <c r="A280" i="64" s="1"/>
  <c r="A292" i="64" s="1"/>
  <c r="A304" i="64" s="1"/>
  <c r="A316" i="64" s="1"/>
  <c r="A328" i="64" s="1"/>
  <c r="A340" i="64" s="1"/>
  <c r="A352" i="64" s="1"/>
  <c r="A364" i="64" s="1"/>
  <c r="A376" i="64" s="1"/>
  <c r="A388" i="64" s="1"/>
  <c r="A183" i="64"/>
  <c r="A195" i="64" s="1"/>
  <c r="A207" i="64" s="1"/>
  <c r="A219" i="64" s="1"/>
  <c r="A231" i="64" s="1"/>
  <c r="A243" i="64" s="1"/>
  <c r="A255" i="64" s="1"/>
  <c r="A267" i="64" s="1"/>
  <c r="A279" i="64" s="1"/>
  <c r="A291" i="64" s="1"/>
  <c r="A303" i="64" s="1"/>
  <c r="A315" i="64" s="1"/>
  <c r="A327" i="64" s="1"/>
  <c r="A339" i="64" s="1"/>
  <c r="A351" i="64" s="1"/>
  <c r="A363" i="64" s="1"/>
  <c r="A375" i="64" s="1"/>
  <c r="A387" i="64" s="1"/>
  <c r="A182" i="64"/>
  <c r="A194" i="64" s="1"/>
  <c r="A206" i="64" s="1"/>
  <c r="A218" i="64" s="1"/>
  <c r="A230" i="64" s="1"/>
  <c r="A242" i="64" s="1"/>
  <c r="A254" i="64" s="1"/>
  <c r="A266" i="64" s="1"/>
  <c r="A278" i="64" s="1"/>
  <c r="A290" i="64" s="1"/>
  <c r="A302" i="64" s="1"/>
  <c r="A314" i="64" s="1"/>
  <c r="A326" i="64" s="1"/>
  <c r="A338" i="64" s="1"/>
  <c r="A350" i="64" s="1"/>
  <c r="A362" i="64" s="1"/>
  <c r="A374" i="64" s="1"/>
  <c r="A386" i="64" s="1"/>
  <c r="A181" i="64"/>
  <c r="A193" i="64" s="1"/>
  <c r="A205" i="64" s="1"/>
  <c r="A217" i="64" s="1"/>
  <c r="A229" i="64" s="1"/>
  <c r="A241" i="64" s="1"/>
  <c r="A253" i="64" s="1"/>
  <c r="A265" i="64" s="1"/>
  <c r="A277" i="64" s="1"/>
  <c r="A289" i="64" s="1"/>
  <c r="A301" i="64" s="1"/>
  <c r="A313" i="64" s="1"/>
  <c r="A325" i="64" s="1"/>
  <c r="A337" i="64" s="1"/>
  <c r="A349" i="64" s="1"/>
  <c r="A361" i="64" s="1"/>
  <c r="A373" i="64" s="1"/>
  <c r="A385" i="64" s="1"/>
  <c r="A180" i="64"/>
  <c r="A192" i="64" s="1"/>
  <c r="A204" i="64" s="1"/>
  <c r="A216" i="64" s="1"/>
  <c r="A228" i="64" s="1"/>
  <c r="A240" i="64" s="1"/>
  <c r="A252" i="64" s="1"/>
  <c r="A264" i="64" s="1"/>
  <c r="A276" i="64" s="1"/>
  <c r="A288" i="64" s="1"/>
  <c r="A300" i="64" s="1"/>
  <c r="A312" i="64" s="1"/>
  <c r="A324" i="64" s="1"/>
  <c r="A336" i="64" s="1"/>
  <c r="A348" i="64" s="1"/>
  <c r="A360" i="64" s="1"/>
  <c r="A372" i="64" s="1"/>
  <c r="A384" i="64" s="1"/>
  <c r="A179" i="64"/>
  <c r="A191" i="64" s="1"/>
  <c r="A203" i="64" s="1"/>
  <c r="A215" i="64" s="1"/>
  <c r="A227" i="64" s="1"/>
  <c r="A239" i="64" s="1"/>
  <c r="A251" i="64" s="1"/>
  <c r="A263" i="64" s="1"/>
  <c r="A275" i="64" s="1"/>
  <c r="A287" i="64" s="1"/>
  <c r="A299" i="64" s="1"/>
  <c r="A311" i="64" s="1"/>
  <c r="A323" i="64" s="1"/>
  <c r="A335" i="64" s="1"/>
  <c r="A347" i="64" s="1"/>
  <c r="A359" i="64" s="1"/>
  <c r="A371" i="64" s="1"/>
  <c r="A383" i="64" s="1"/>
  <c r="A178" i="64"/>
  <c r="A190" i="64" s="1"/>
  <c r="A202" i="64" s="1"/>
  <c r="A214" i="64" s="1"/>
  <c r="A226" i="64" s="1"/>
  <c r="A238" i="64" s="1"/>
  <c r="A250" i="64" s="1"/>
  <c r="A262" i="64" s="1"/>
  <c r="A274" i="64" s="1"/>
  <c r="A286" i="64" s="1"/>
  <c r="A298" i="64" s="1"/>
  <c r="A310" i="64" s="1"/>
  <c r="A322" i="64" s="1"/>
  <c r="A334" i="64" s="1"/>
  <c r="A346" i="64" s="1"/>
  <c r="A358" i="64" s="1"/>
  <c r="A370" i="64" s="1"/>
  <c r="A382" i="64" s="1"/>
  <c r="A189" i="55"/>
  <c r="A201" i="55" s="1"/>
  <c r="A213" i="55" s="1"/>
  <c r="A225" i="55" s="1"/>
  <c r="A237" i="55" s="1"/>
  <c r="A249" i="55" s="1"/>
  <c r="A261" i="55" s="1"/>
  <c r="A273" i="55" s="1"/>
  <c r="A285" i="55" s="1"/>
  <c r="A297" i="55" s="1"/>
  <c r="A309" i="55" s="1"/>
  <c r="A321" i="55" s="1"/>
  <c r="A333" i="55" s="1"/>
  <c r="A345" i="55" s="1"/>
  <c r="A357" i="55" s="1"/>
  <c r="A369" i="55" s="1"/>
  <c r="A381" i="55" s="1"/>
  <c r="A393" i="55" s="1"/>
  <c r="A405" i="55" s="1"/>
  <c r="A417" i="55" s="1"/>
  <c r="A429" i="55" s="1"/>
  <c r="A441" i="55" s="1"/>
  <c r="A453" i="55" s="1"/>
  <c r="A188" i="55"/>
  <c r="A200" i="55" s="1"/>
  <c r="A212" i="55" s="1"/>
  <c r="A224" i="55" s="1"/>
  <c r="A236" i="55" s="1"/>
  <c r="A248" i="55" s="1"/>
  <c r="A260" i="55" s="1"/>
  <c r="A272" i="55" s="1"/>
  <c r="A284" i="55" s="1"/>
  <c r="A296" i="55" s="1"/>
  <c r="A308" i="55" s="1"/>
  <c r="A320" i="55" s="1"/>
  <c r="A332" i="55" s="1"/>
  <c r="A344" i="55" s="1"/>
  <c r="A356" i="55" s="1"/>
  <c r="A368" i="55" s="1"/>
  <c r="A380" i="55" s="1"/>
  <c r="A392" i="55" s="1"/>
  <c r="A404" i="55" s="1"/>
  <c r="A416" i="55" s="1"/>
  <c r="A428" i="55" s="1"/>
  <c r="A440" i="55" s="1"/>
  <c r="A452" i="55" s="1"/>
  <c r="A187" i="55"/>
  <c r="A199" i="55" s="1"/>
  <c r="A211" i="55" s="1"/>
  <c r="A223" i="55" s="1"/>
  <c r="A235" i="55" s="1"/>
  <c r="A247" i="55" s="1"/>
  <c r="A259" i="55" s="1"/>
  <c r="A271" i="55" s="1"/>
  <c r="A283" i="55" s="1"/>
  <c r="A295" i="55" s="1"/>
  <c r="A307" i="55" s="1"/>
  <c r="A319" i="55" s="1"/>
  <c r="A331" i="55" s="1"/>
  <c r="A343" i="55" s="1"/>
  <c r="A355" i="55" s="1"/>
  <c r="A367" i="55" s="1"/>
  <c r="A379" i="55" s="1"/>
  <c r="A391" i="55" s="1"/>
  <c r="A403" i="55" s="1"/>
  <c r="A415" i="55" s="1"/>
  <c r="A427" i="55" s="1"/>
  <c r="A439" i="55" s="1"/>
  <c r="A451" i="55" s="1"/>
  <c r="A186" i="55"/>
  <c r="A198" i="55" s="1"/>
  <c r="A210" i="55" s="1"/>
  <c r="A222" i="55" s="1"/>
  <c r="A234" i="55" s="1"/>
  <c r="A246" i="55" s="1"/>
  <c r="A258" i="55" s="1"/>
  <c r="A270" i="55" s="1"/>
  <c r="A282" i="55" s="1"/>
  <c r="A294" i="55" s="1"/>
  <c r="A306" i="55" s="1"/>
  <c r="A318" i="55" s="1"/>
  <c r="A330" i="55" s="1"/>
  <c r="A342" i="55" s="1"/>
  <c r="A354" i="55" s="1"/>
  <c r="A366" i="55" s="1"/>
  <c r="A378" i="55" s="1"/>
  <c r="A390" i="55" s="1"/>
  <c r="A402" i="55" s="1"/>
  <c r="A414" i="55" s="1"/>
  <c r="A426" i="55" s="1"/>
  <c r="A438" i="55" s="1"/>
  <c r="A450" i="55" s="1"/>
  <c r="A185" i="55"/>
  <c r="A197" i="55" s="1"/>
  <c r="A209" i="55" s="1"/>
  <c r="A221" i="55" s="1"/>
  <c r="A233" i="55" s="1"/>
  <c r="A245" i="55" s="1"/>
  <c r="A257" i="55" s="1"/>
  <c r="A269" i="55" s="1"/>
  <c r="A281" i="55" s="1"/>
  <c r="A293" i="55" s="1"/>
  <c r="A305" i="55" s="1"/>
  <c r="A317" i="55" s="1"/>
  <c r="A329" i="55" s="1"/>
  <c r="A341" i="55" s="1"/>
  <c r="A353" i="55" s="1"/>
  <c r="A365" i="55" s="1"/>
  <c r="A377" i="55" s="1"/>
  <c r="A389" i="55" s="1"/>
  <c r="A401" i="55" s="1"/>
  <c r="A413" i="55" s="1"/>
  <c r="A425" i="55" s="1"/>
  <c r="A437" i="55" s="1"/>
  <c r="A449" i="55" s="1"/>
  <c r="A184" i="55"/>
  <c r="A196" i="55" s="1"/>
  <c r="A208" i="55" s="1"/>
  <c r="A220" i="55" s="1"/>
  <c r="A232" i="55" s="1"/>
  <c r="A244" i="55" s="1"/>
  <c r="A256" i="55" s="1"/>
  <c r="A268" i="55" s="1"/>
  <c r="A280" i="55" s="1"/>
  <c r="A292" i="55" s="1"/>
  <c r="A304" i="55" s="1"/>
  <c r="A316" i="55" s="1"/>
  <c r="A328" i="55" s="1"/>
  <c r="A340" i="55" s="1"/>
  <c r="A352" i="55" s="1"/>
  <c r="A364" i="55" s="1"/>
  <c r="A376" i="55" s="1"/>
  <c r="A388" i="55" s="1"/>
  <c r="A400" i="55" s="1"/>
  <c r="A412" i="55" s="1"/>
  <c r="A424" i="55" s="1"/>
  <c r="A436" i="55" s="1"/>
  <c r="A448" i="55" s="1"/>
  <c r="A183" i="55"/>
  <c r="A195" i="55" s="1"/>
  <c r="A207" i="55" s="1"/>
  <c r="A219" i="55" s="1"/>
  <c r="A231" i="55" s="1"/>
  <c r="A243" i="55" s="1"/>
  <c r="A255" i="55" s="1"/>
  <c r="A267" i="55" s="1"/>
  <c r="A279" i="55" s="1"/>
  <c r="A291" i="55" s="1"/>
  <c r="A303" i="55" s="1"/>
  <c r="A315" i="55" s="1"/>
  <c r="A327" i="55" s="1"/>
  <c r="A339" i="55" s="1"/>
  <c r="A351" i="55" s="1"/>
  <c r="A363" i="55" s="1"/>
  <c r="A375" i="55" s="1"/>
  <c r="A387" i="55" s="1"/>
  <c r="A399" i="55" s="1"/>
  <c r="A411" i="55" s="1"/>
  <c r="A423" i="55" s="1"/>
  <c r="A435" i="55" s="1"/>
  <c r="A447" i="55" s="1"/>
  <c r="A182" i="55"/>
  <c r="A194" i="55" s="1"/>
  <c r="A206" i="55" s="1"/>
  <c r="A218" i="55" s="1"/>
  <c r="A230" i="55" s="1"/>
  <c r="A242" i="55" s="1"/>
  <c r="A254" i="55" s="1"/>
  <c r="A266" i="55" s="1"/>
  <c r="A278" i="55" s="1"/>
  <c r="A290" i="55" s="1"/>
  <c r="A302" i="55" s="1"/>
  <c r="A314" i="55" s="1"/>
  <c r="A326" i="55" s="1"/>
  <c r="A338" i="55" s="1"/>
  <c r="A350" i="55" s="1"/>
  <c r="A362" i="55" s="1"/>
  <c r="A374" i="55" s="1"/>
  <c r="A386" i="55" s="1"/>
  <c r="A398" i="55" s="1"/>
  <c r="A410" i="55" s="1"/>
  <c r="A422" i="55" s="1"/>
  <c r="A434" i="55" s="1"/>
  <c r="A446" i="55" s="1"/>
  <c r="A181" i="55"/>
  <c r="A193" i="55" s="1"/>
  <c r="A205" i="55" s="1"/>
  <c r="A217" i="55" s="1"/>
  <c r="A229" i="55" s="1"/>
  <c r="A241" i="55" s="1"/>
  <c r="A253" i="55" s="1"/>
  <c r="A265" i="55" s="1"/>
  <c r="A277" i="55" s="1"/>
  <c r="A289" i="55" s="1"/>
  <c r="A301" i="55" s="1"/>
  <c r="A313" i="55" s="1"/>
  <c r="A325" i="55" s="1"/>
  <c r="A337" i="55" s="1"/>
  <c r="A349" i="55" s="1"/>
  <c r="A361" i="55" s="1"/>
  <c r="A373" i="55" s="1"/>
  <c r="A385" i="55" s="1"/>
  <c r="A397" i="55" s="1"/>
  <c r="A409" i="55" s="1"/>
  <c r="A421" i="55" s="1"/>
  <c r="A433" i="55" s="1"/>
  <c r="A445" i="55" s="1"/>
  <c r="A180" i="55"/>
  <c r="A192" i="55" s="1"/>
  <c r="A204" i="55" s="1"/>
  <c r="A216" i="55" s="1"/>
  <c r="A228" i="55" s="1"/>
  <c r="A240" i="55" s="1"/>
  <c r="A252" i="55" s="1"/>
  <c r="A264" i="55" s="1"/>
  <c r="A276" i="55" s="1"/>
  <c r="A288" i="55" s="1"/>
  <c r="A300" i="55" s="1"/>
  <c r="A312" i="55" s="1"/>
  <c r="A324" i="55" s="1"/>
  <c r="A336" i="55" s="1"/>
  <c r="A348" i="55" s="1"/>
  <c r="A360" i="55" s="1"/>
  <c r="A372" i="55" s="1"/>
  <c r="A384" i="55" s="1"/>
  <c r="A396" i="55" s="1"/>
  <c r="A408" i="55" s="1"/>
  <c r="A420" i="55" s="1"/>
  <c r="A432" i="55" s="1"/>
  <c r="A444" i="55" s="1"/>
  <c r="A179" i="55"/>
  <c r="A191" i="55" s="1"/>
  <c r="A203" i="55" s="1"/>
  <c r="A215" i="55" s="1"/>
  <c r="A227" i="55" s="1"/>
  <c r="A239" i="55" s="1"/>
  <c r="A251" i="55" s="1"/>
  <c r="A263" i="55" s="1"/>
  <c r="A275" i="55" s="1"/>
  <c r="A287" i="55" s="1"/>
  <c r="A299" i="55" s="1"/>
  <c r="A311" i="55" s="1"/>
  <c r="A323" i="55" s="1"/>
  <c r="A335" i="55" s="1"/>
  <c r="A347" i="55" s="1"/>
  <c r="A359" i="55" s="1"/>
  <c r="A371" i="55" s="1"/>
  <c r="A383" i="55" s="1"/>
  <c r="A395" i="55" s="1"/>
  <c r="A407" i="55" s="1"/>
  <c r="A419" i="55" s="1"/>
  <c r="A431" i="55" s="1"/>
  <c r="A443" i="55" s="1"/>
  <c r="A178" i="55"/>
  <c r="A190" i="55" s="1"/>
  <c r="A202" i="55" s="1"/>
  <c r="A214" i="55" s="1"/>
  <c r="A226" i="55" s="1"/>
  <c r="A238" i="55" s="1"/>
  <c r="A250" i="55" s="1"/>
  <c r="A262" i="55" s="1"/>
  <c r="A274" i="55" s="1"/>
  <c r="A286" i="55" s="1"/>
  <c r="A298" i="55" s="1"/>
  <c r="A310" i="55" s="1"/>
  <c r="A322" i="55" s="1"/>
  <c r="A334" i="55" s="1"/>
  <c r="A346" i="55" s="1"/>
  <c r="A358" i="55" s="1"/>
  <c r="A370" i="55" s="1"/>
  <c r="A382" i="55" s="1"/>
  <c r="A394" i="55" s="1"/>
  <c r="A406" i="55" s="1"/>
  <c r="A418" i="55" s="1"/>
  <c r="A430" i="55" s="1"/>
  <c r="A442" i="55" s="1"/>
  <c r="G21" i="53"/>
  <c r="G20" i="53"/>
  <c r="G19" i="53"/>
  <c r="G18" i="53"/>
  <c r="G17" i="53"/>
  <c r="G16" i="53"/>
  <c r="G15" i="53"/>
  <c r="G23" i="53" l="1"/>
</calcChain>
</file>

<file path=xl/sharedStrings.xml><?xml version="1.0" encoding="utf-8"?>
<sst xmlns="http://schemas.openxmlformats.org/spreadsheetml/2006/main" count="259" uniqueCount="117">
  <si>
    <t>%</t>
  </si>
  <si>
    <t xml:space="preserve"> </t>
  </si>
  <si>
    <t>Centro de Estudios y Servicios - Bolsa de Comercio de Santa Fe -</t>
  </si>
  <si>
    <t>Mensual</t>
  </si>
  <si>
    <t>Nº de series</t>
  </si>
  <si>
    <t>Frecuencia</t>
  </si>
  <si>
    <t>Fuentes</t>
  </si>
  <si>
    <t>Título</t>
  </si>
  <si>
    <t>Fecha de inicio</t>
  </si>
  <si>
    <t>Miles de asalariados</t>
  </si>
  <si>
    <t>Total de series mensuales</t>
  </si>
  <si>
    <t>Nivel</t>
  </si>
  <si>
    <t>Tasa de cambio mensual</t>
  </si>
  <si>
    <t>Fuente</t>
  </si>
  <si>
    <t>San Martín 2231 - 3000 - Santa Fe - Argentina</t>
  </si>
  <si>
    <t>1.1.1</t>
  </si>
  <si>
    <t>1.1.2</t>
  </si>
  <si>
    <t>1.1.3</t>
  </si>
  <si>
    <t>1.2.1</t>
  </si>
  <si>
    <t>CODIGO</t>
  </si>
  <si>
    <t>1.2.2</t>
  </si>
  <si>
    <t>1.3.1</t>
  </si>
  <si>
    <t>Serie original</t>
  </si>
  <si>
    <t xml:space="preserve">Tel Fax: (0342) 4845800 </t>
  </si>
  <si>
    <t>Centro de Estudios y Servicios (CES) - Bolsa de Comercio de Santa Fe (BCSF)</t>
  </si>
  <si>
    <t>Recesión Santa Fe</t>
  </si>
  <si>
    <t>Desaceleración Santa Fe</t>
  </si>
  <si>
    <t>1.1.4</t>
  </si>
  <si>
    <t>1.1.5</t>
  </si>
  <si>
    <t>1.1.6</t>
  </si>
  <si>
    <t>1.1.7</t>
  </si>
  <si>
    <t>Tasa de cambio Interanual</t>
  </si>
  <si>
    <t>Variaciones Anuales Suavizadas (VAS) de 6 meses</t>
  </si>
  <si>
    <t>Variaciones Anuales Suavizadas (VAS) de 12 meses</t>
  </si>
  <si>
    <t>Serie filtrada</t>
  </si>
  <si>
    <t>1.3.2</t>
  </si>
  <si>
    <t>1.4.1</t>
  </si>
  <si>
    <t>1.4.2</t>
  </si>
  <si>
    <t>Millones de pesos de 1993</t>
  </si>
  <si>
    <t>1.5.1</t>
  </si>
  <si>
    <t>1.5.2</t>
  </si>
  <si>
    <t>Instituto Nacional de Estadísticas y Censos (INDEC)</t>
  </si>
  <si>
    <t>Asociación de Fabricantes de Cemento Pórtland (AFCP)</t>
  </si>
  <si>
    <t>Miles de toneladas</t>
  </si>
  <si>
    <t>Miles de vehículos</t>
  </si>
  <si>
    <t>Dirección Nacional de Registro de la Propiedad Automotor de Argentina (DNRPA)</t>
  </si>
  <si>
    <t>Administración Provincial de Impuestos (API) y Ministerio de Economía de la Nación (MECON)</t>
  </si>
  <si>
    <t>Tasas críticas: límite superior</t>
  </si>
  <si>
    <t>Tasas críticas: límite inferior</t>
  </si>
  <si>
    <t>Tasas críticas: promedio anual largo plazo</t>
  </si>
  <si>
    <t>(%)</t>
  </si>
  <si>
    <t>1.1.8</t>
  </si>
  <si>
    <t>1.1.9</t>
  </si>
  <si>
    <t>1.1.10</t>
  </si>
  <si>
    <t>1.1.11</t>
  </si>
  <si>
    <t>1.1.12</t>
  </si>
  <si>
    <t>1.1.13</t>
  </si>
  <si>
    <t>1.1.14</t>
  </si>
  <si>
    <t>Números índice: sin base propia</t>
  </si>
  <si>
    <t>Índice de difusión de series componentes</t>
  </si>
  <si>
    <t>Desvíos de la tendencia</t>
  </si>
  <si>
    <t>1 = contracción y 0 = expansión</t>
  </si>
  <si>
    <t>1 = desaceleración y 0 = aceleración</t>
  </si>
  <si>
    <t>1.6.1</t>
  </si>
  <si>
    <t>1.6.2</t>
  </si>
  <si>
    <t>1.7.1</t>
  </si>
  <si>
    <t>1.7.2</t>
  </si>
  <si>
    <t>1.8.1</t>
  </si>
  <si>
    <t>1.8.2</t>
  </si>
  <si>
    <t>1.9.1</t>
  </si>
  <si>
    <t>1.9.2</t>
  </si>
  <si>
    <t>Índice Compuesto Coincidente de Actividad Económica de la provincia de Santa Fe (ICA-SFE)</t>
  </si>
  <si>
    <t>ICA-SFE y series componentes</t>
  </si>
  <si>
    <t>BASE DE DATOS DEL ÍNDICE COMPUESTO COINCIDENTE DE LA PROVINCIA DE SANTA FE Y SUS SERIES COMPONENTES</t>
  </si>
  <si>
    <t>ICA-SFE sin tendencia (ICA-SFE_NT)</t>
  </si>
  <si>
    <t>Tendencia HP del ICA-SFE</t>
  </si>
  <si>
    <t>CES-BCSF</t>
  </si>
  <si>
    <t>1.7. Consumo de cemento en la provincia de Santa Fe</t>
  </si>
  <si>
    <t>Consumo de cemento en la provincia Santa Fe</t>
  </si>
  <si>
    <t>1.6. Ventas en supermercados de gran superficie en la provincia de Santa Fe</t>
  </si>
  <si>
    <t>Ventas en supermercados de gran superficie en la provincia de Santa Fe</t>
  </si>
  <si>
    <t>1.8. Patentamiento de automotores en la provincia de Santa Fe</t>
  </si>
  <si>
    <t>Patentamientos de automotores en la provincia de Santa Fe</t>
  </si>
  <si>
    <t>1.3. Expectativas empresarias para tomar personal en la provincia de Santa Fe</t>
  </si>
  <si>
    <t>Expectativas empresarias para tomar personal en la provincia de Santa Fe</t>
  </si>
  <si>
    <t>Centro de Investigación en Finanzas de UTDT y Encuesta de Indicadores Laborales (EIL) del Ministerio de Capital Humano de la Nación</t>
  </si>
  <si>
    <t>1.9. Recursos tributarios de la provincia de Santa Fe</t>
  </si>
  <si>
    <t>Recursos tributarios de la provincia de Santa Fe (recaudación de tributos locales y recursos de origen nacional)</t>
  </si>
  <si>
    <t>1.1. Índice de Actividad Económica de la provincia de Santa Fe (ICA-SFE)</t>
  </si>
  <si>
    <t>Puestos de trabajo formal en la provincia de Santa Fe</t>
  </si>
  <si>
    <t>1.2. Puestos de trabajo formal en la provincia de Santa Fe</t>
  </si>
  <si>
    <t>Remuneración al factor trabajo en la provincia de Santa Fe</t>
  </si>
  <si>
    <t>1.4. Remuneración al factor trabajo en la provincia de Santa Fe</t>
  </si>
  <si>
    <t>Puestos de trabajo formal en la provincia de Santa Fe: privados, públicos nacionales y públicos provinciales</t>
  </si>
  <si>
    <t>Agencia de Recaudación y Control Aduanero (ARCA) y Ministerio de Economía de la provincia de Santa Fe</t>
  </si>
  <si>
    <t xml:space="preserve"> Remuneración al factor trabajo en la provincia de Santa Fe | Salario medio real por cantidad de trabajadores formales</t>
  </si>
  <si>
    <t>Agencia de Recaudación y Control Aduanero (ARCA) en base al Sistema Integrado Previsional Argentino (SIPA)</t>
  </si>
  <si>
    <t>1.5. Índice Compuesto de Evolución Industrial (ICEI) de la provincia de Santa Fe</t>
  </si>
  <si>
    <t>Índice Compuesto de Evolución Industrial (ICEI) de la provincia de Santa Fe</t>
  </si>
  <si>
    <t>1.1.15</t>
  </si>
  <si>
    <t>Recesión Argentina (ICA-ARG)</t>
  </si>
  <si>
    <t>Índice Compuesto Coincidente de Actividad Económica de Argentina (ICA-ARG)</t>
  </si>
  <si>
    <t>Índice base 2004=100</t>
  </si>
  <si>
    <t>Índice Base 2004=100</t>
  </si>
  <si>
    <t>Índice base 2010=100</t>
  </si>
  <si>
    <t xml:space="preserve">Info nivel 1 </t>
  </si>
  <si>
    <t xml:space="preserve">Info nivel 2 </t>
  </si>
  <si>
    <t xml:space="preserve">Info nivel 3 </t>
  </si>
  <si>
    <t>Tipo numérico</t>
  </si>
  <si>
    <t>integrer</t>
  </si>
  <si>
    <t>float</t>
  </si>
  <si>
    <t>Email: ces@bcsf.com.ar</t>
  </si>
  <si>
    <t>Websites: https://bcsf.com.ar/ces/ o bien https://bcsf.com.ar/</t>
  </si>
  <si>
    <t xml:space="preserve"> Centro de Investigación del Ciclo Económico (CICEc)</t>
  </si>
  <si>
    <t>Unidad de medida</t>
  </si>
  <si>
    <t>VOLVER AL ÍNDICE</t>
  </si>
  <si>
    <r>
      <rPr>
        <b/>
        <u/>
        <sz val="9.35"/>
        <rFont val="Arial"/>
        <family val="2"/>
      </rPr>
      <t>Última actualización</t>
    </r>
    <r>
      <rPr>
        <b/>
        <sz val="11"/>
        <rFont val="Arial"/>
        <family val="2"/>
      </rPr>
      <t>: 06/10/2026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</si>
</sst>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4" formatCode="_-&quot;$&quot;\ * #,##0.00_-;\-&quot;$&quot;\ * #,##0.00_-;_-&quot;$&quot;\ * &quot;-&quot;??_-;_-@_-"/>
    <numFmt numFmtId="43" formatCode="_-* #,##0.00_-;\-* #,##0.00_-;_-* &quot;-&quot;??_-;_-@_-"/>
    <numFmt numFmtId="164" formatCode="_ &quot;$&quot;\ * #,##0_ ;_ &quot;$&quot;\ * \-#,##0_ ;_ &quot;$&quot;\ * &quot;-&quot;_ ;_ @_ "/>
    <numFmt numFmtId="165" formatCode="_ &quot;$&quot;\ * #,##0.00_ ;_ &quot;$&quot;\ * \-#,##0.00_ ;_ &quot;$&quot;\ * &quot;-&quot;??_ ;_ @_ "/>
    <numFmt numFmtId="166" formatCode="_ * #,##0.00_ ;_ * \-#,##0.00_ ;_ * &quot;-&quot;??_ ;_ @_ "/>
    <numFmt numFmtId="167" formatCode="_-* #,##0.00\ &quot;€&quot;_-;\-* #,##0.00\ &quot;€&quot;_-;_-* &quot;-&quot;??\ &quot;€&quot;_-;_-@_-"/>
    <numFmt numFmtId="168" formatCode="_-* #,##0.00\ _€_-;\-* #,##0.00\ _€_-;_-* &quot;-&quot;??\ _€_-;_-@_-"/>
    <numFmt numFmtId="169" formatCode="#,##0.0_);[Red]\-#,##0.0_)"/>
    <numFmt numFmtId="170" formatCode="#,##0.00_);[Red]\-#,##0.00_)"/>
    <numFmt numFmtId="171" formatCode="0.0%"/>
    <numFmt numFmtId="172" formatCode="0.0"/>
    <numFmt numFmtId="173" formatCode="General_)"/>
    <numFmt numFmtId="174" formatCode="_ [$€-2]\ * #,##0.00_ ;_ [$€-2]\ * \-#,##0.00_ ;_ [$€-2]\ * &quot;-&quot;??_ "/>
    <numFmt numFmtId="175" formatCode="0.0_)"/>
    <numFmt numFmtId="176" formatCode="#.00"/>
    <numFmt numFmtId="177" formatCode="\$#.00"/>
    <numFmt numFmtId="178" formatCode="#,"/>
    <numFmt numFmtId="179" formatCode="0.0000000%"/>
    <numFmt numFmtId="180" formatCode="_-* #,##0.00\ [$€]_-;\-* #,##0.00\ [$€]_-;_-* &quot;-&quot;??\ [$€]_-;_-@_-"/>
    <numFmt numFmtId="181" formatCode="#,000,000"/>
    <numFmt numFmtId="182" formatCode="#.##000"/>
    <numFmt numFmtId="183" formatCode="\$#,#00"/>
    <numFmt numFmtId="184" formatCode="#,#00"/>
    <numFmt numFmtId="185" formatCode="#.##0,"/>
    <numFmt numFmtId="186" formatCode="\$#,"/>
    <numFmt numFmtId="187" formatCode="0.00000000000000%"/>
    <numFmt numFmtId="188" formatCode="&quot;$&quot;\ #,##0.00_);[Red]\(&quot;$&quot;\ #,##0.00\)"/>
    <numFmt numFmtId="189" formatCode="_-* #,##0.00\ _P_t_s_-;\-* #,##0.00\ _P_t_s_-;_-* &quot;-&quot;??\ _P_t_s_-;_-@_-"/>
    <numFmt numFmtId="190" formatCode="0.0\ \ "/>
    <numFmt numFmtId="191" formatCode="#,##0.0_ ;[Red]\-#,##0.0\ "/>
  </numFmts>
  <fonts count="13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
      <color indexed="8"/>
      <name val="Courier"/>
    </font>
    <font>
      <sz val="10"/>
      <name val="Arial"/>
      <family val="2"/>
    </font>
    <font>
      <b/>
      <sz val="1"/>
      <color indexed="8"/>
      <name val="Courier"/>
    </font>
    <font>
      <u/>
      <sz val="10"/>
      <color indexed="12"/>
      <name val="Arial"/>
      <family val="2"/>
    </font>
    <font>
      <b/>
      <sz val="10"/>
      <name val="Arial"/>
      <family val="2"/>
    </font>
    <font>
      <sz val="10"/>
      <name val="Arial"/>
      <family val="2"/>
    </font>
    <font>
      <sz val="8"/>
      <name val="Arial"/>
      <family val="2"/>
    </font>
    <font>
      <sz val="1"/>
      <color indexed="18"/>
      <name val="Courier"/>
    </font>
    <font>
      <sz val="10"/>
      <name val="MS Sans Serif"/>
    </font>
    <font>
      <sz val="10"/>
      <name val="Courier"/>
    </font>
    <font>
      <sz val="10"/>
      <name val="Verdana"/>
      <family val="2"/>
    </font>
    <font>
      <b/>
      <sz val="10"/>
      <color indexed="9"/>
      <name val="Arial"/>
      <family val="2"/>
    </font>
    <font>
      <b/>
      <sz val="8"/>
      <name val="Arial"/>
      <family val="2"/>
    </font>
    <font>
      <b/>
      <sz val="8"/>
      <color indexed="10"/>
      <name val="Arial"/>
      <family val="2"/>
    </font>
    <font>
      <sz val="8"/>
      <name val="Arial"/>
      <family val="2"/>
    </font>
    <font>
      <b/>
      <sz val="10"/>
      <color indexed="18"/>
      <name val="Arial"/>
      <family val="2"/>
    </font>
    <font>
      <b/>
      <sz val="11"/>
      <color indexed="9"/>
      <name val="Arial"/>
      <family val="2"/>
    </font>
    <font>
      <b/>
      <sz val="10"/>
      <color indexed="62"/>
      <name val="Arial"/>
      <family val="2"/>
    </font>
    <font>
      <b/>
      <sz val="10"/>
      <color indexed="17"/>
      <name val="Arial"/>
      <family val="2"/>
    </font>
    <font>
      <sz val="10"/>
      <color indexed="17"/>
      <name val="Arial"/>
      <family val="2"/>
    </font>
    <font>
      <sz val="10"/>
      <color indexed="62"/>
      <name val="Arial"/>
      <family val="2"/>
    </font>
    <font>
      <b/>
      <sz val="8"/>
      <color indexed="9"/>
      <name val="Arial"/>
      <family val="2"/>
    </font>
    <font>
      <b/>
      <sz val="11"/>
      <name val="Arial"/>
      <family val="2"/>
    </font>
    <font>
      <sz val="12"/>
      <name val="Courier"/>
      <family val="3"/>
    </font>
    <font>
      <sz val="1"/>
      <color indexed="8"/>
      <name val="Courier"/>
      <family val="3"/>
    </font>
    <font>
      <i/>
      <sz val="1"/>
      <color indexed="8"/>
      <name val="Courier"/>
      <family val="3"/>
    </font>
    <font>
      <b/>
      <sz val="8"/>
      <color theme="0"/>
      <name val="Arial"/>
      <family val="2"/>
    </font>
    <font>
      <b/>
      <sz val="11"/>
      <color rgb="FF00206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theme="1"/>
      <name val="Calibri"/>
      <family val="2"/>
      <scheme val="minor"/>
    </font>
    <font>
      <b/>
      <sz val="1"/>
      <color indexed="8"/>
      <name val="Courier"/>
      <family val="3"/>
    </font>
    <font>
      <sz val="10"/>
      <color theme="1"/>
      <name val="Calibri"/>
      <family val="2"/>
    </font>
    <font>
      <sz val="1"/>
      <color indexed="16"/>
      <name val="Courier"/>
      <family val="3"/>
    </font>
    <font>
      <b/>
      <sz val="1"/>
      <color indexed="16"/>
      <name val="Courier"/>
      <family val="3"/>
    </font>
    <font>
      <u/>
      <sz val="11"/>
      <color indexed="12"/>
      <name val="Arial"/>
      <family val="2"/>
    </font>
    <font>
      <sz val="11"/>
      <name val="Arial"/>
      <family val="2"/>
    </font>
    <font>
      <sz val="12"/>
      <name val="Times New Roman"/>
      <family val="1"/>
    </font>
    <font>
      <b/>
      <i/>
      <sz val="10"/>
      <color indexed="8"/>
      <name val="Arial"/>
      <family val="2"/>
    </font>
    <font>
      <b/>
      <sz val="11"/>
      <color indexed="21"/>
      <name val="Arial"/>
      <family val="2"/>
    </font>
    <font>
      <b/>
      <sz val="22"/>
      <color indexed="21"/>
      <name val="Times New Roman"/>
      <family val="1"/>
    </font>
    <font>
      <sz val="11"/>
      <color indexed="8"/>
      <name val="Calibri"/>
      <family val="2"/>
    </font>
    <font>
      <sz val="10"/>
      <name val="Times New Roman"/>
      <family val="1"/>
    </font>
    <font>
      <sz val="10"/>
      <name val="Arial"/>
      <family val="2"/>
    </font>
    <font>
      <sz val="10"/>
      <name val="Arial"/>
      <family val="2"/>
    </font>
    <font>
      <sz val="12"/>
      <name val="Helv"/>
    </font>
    <font>
      <sz val="10"/>
      <name val="Arial"/>
      <family val="2"/>
    </font>
    <font>
      <b/>
      <sz val="10"/>
      <name val="Times New Roman"/>
      <family val="1"/>
    </font>
    <font>
      <sz val="10"/>
      <name val="Arial"/>
      <family val="2"/>
    </font>
    <font>
      <sz val="10"/>
      <color theme="1"/>
      <name val="Arial"/>
      <family val="2"/>
    </font>
    <font>
      <u/>
      <sz val="11"/>
      <color theme="10"/>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5"/>
      <color indexed="54"/>
      <name val="Calibri"/>
      <family val="2"/>
    </font>
    <font>
      <u/>
      <sz val="9.35"/>
      <color theme="10"/>
      <name val="Calibri"/>
      <family val="2"/>
    </font>
    <font>
      <sz val="10"/>
      <color rgb="FF000000"/>
      <name val="Calibri"/>
      <family val="2"/>
      <charset val="1"/>
    </font>
    <font>
      <sz val="12"/>
      <name val="Arial"/>
      <family val="2"/>
    </font>
    <font>
      <u/>
      <sz val="10.45"/>
      <color indexed="12"/>
      <name val="Arial"/>
      <family val="2"/>
    </font>
    <font>
      <u/>
      <sz val="9"/>
      <color indexed="12"/>
      <name val="Arial"/>
      <family val="2"/>
    </font>
    <font>
      <sz val="10"/>
      <name val="Arial"/>
      <family val="2"/>
    </font>
    <font>
      <sz val="10"/>
      <name val="Arial"/>
      <family val="2"/>
    </font>
    <font>
      <sz val="10"/>
      <name val="Arial"/>
      <family val="2"/>
    </font>
    <font>
      <b/>
      <u/>
      <sz val="9.35"/>
      <name val="Arial"/>
      <family val="2"/>
    </font>
    <font>
      <b/>
      <sz val="8"/>
      <color theme="1"/>
      <name val="Arial"/>
      <family val="2"/>
    </font>
    <font>
      <sz val="8"/>
      <color theme="1"/>
      <name val="Arial"/>
      <family val="2"/>
    </font>
    <font>
      <sz val="8"/>
      <color theme="0"/>
      <name val="Arial"/>
      <family val="2"/>
    </font>
  </fonts>
  <fills count="64">
    <fill>
      <patternFill patternType="none"/>
    </fill>
    <fill>
      <patternFill patternType="gray125"/>
    </fill>
    <fill>
      <patternFill patternType="solid">
        <fgColor indexed="9"/>
        <bgColor indexed="64"/>
      </patternFill>
    </fill>
    <fill>
      <patternFill patternType="solid">
        <fgColor indexed="8"/>
        <bgColor indexed="64"/>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patternFill>
    </fill>
    <fill>
      <patternFill patternType="solid">
        <fgColor theme="1"/>
        <bgColor indexed="64"/>
      </patternFill>
    </fill>
  </fills>
  <borders count="53">
    <border>
      <left/>
      <right/>
      <top/>
      <bottom/>
      <diagonal/>
    </border>
    <border>
      <left/>
      <right/>
      <top style="thin">
        <color indexed="64"/>
      </top>
      <bottom style="double">
        <color indexed="64"/>
      </bottom>
      <diagonal/>
    </border>
    <border>
      <left style="medium">
        <color indexed="64"/>
      </left>
      <right/>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dotted">
        <color indexed="18"/>
      </left>
      <right style="dotted">
        <color indexed="18"/>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indexed="64"/>
      </top>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tted">
        <color indexed="64"/>
      </left>
      <right style="medium">
        <color indexed="64"/>
      </right>
      <top style="thin">
        <color indexed="64"/>
      </top>
      <bottom style="thin">
        <color indexed="64"/>
      </bottom>
      <diagonal/>
    </border>
    <border>
      <left style="dotted">
        <color indexed="64"/>
      </left>
      <right style="medium">
        <color indexed="64"/>
      </right>
      <top/>
      <bottom/>
      <diagonal/>
    </border>
    <border>
      <left style="dotted">
        <color indexed="64"/>
      </left>
      <right style="medium">
        <color indexed="64"/>
      </right>
      <top style="thin">
        <color indexed="64"/>
      </top>
      <bottom style="medium">
        <color indexed="64"/>
      </bottom>
      <diagonal/>
    </border>
    <border>
      <left style="dotted">
        <color auto="1"/>
      </left>
      <right style="dotted">
        <color auto="1"/>
      </right>
      <top style="thin">
        <color indexed="64"/>
      </top>
      <bottom style="medium">
        <color indexed="64"/>
      </bottom>
      <diagonal/>
    </border>
    <border>
      <left/>
      <right/>
      <top style="thin">
        <color theme="0"/>
      </top>
      <bottom style="thin">
        <color theme="0"/>
      </bottom>
      <diagonal/>
    </border>
    <border>
      <left style="thin">
        <color indexed="64"/>
      </left>
      <right/>
      <top style="thin">
        <color theme="0"/>
      </top>
      <bottom style="thin">
        <color theme="0"/>
      </bottom>
      <diagonal/>
    </border>
    <border>
      <left/>
      <right/>
      <top style="thin">
        <color theme="0"/>
      </top>
      <bottom style="medium">
        <color indexed="64"/>
      </bottom>
      <diagonal/>
    </border>
    <border>
      <left style="dotted">
        <color indexed="18"/>
      </left>
      <right/>
      <top/>
      <bottom/>
      <diagonal/>
    </border>
    <border>
      <left style="dotted">
        <color indexed="56"/>
      </left>
      <right/>
      <top style="thin">
        <color indexed="64"/>
      </top>
      <bottom style="thin">
        <color indexed="64"/>
      </bottom>
      <diagonal/>
    </border>
    <border>
      <left style="dotted">
        <color auto="1"/>
      </left>
      <right style="dotted">
        <color auto="1"/>
      </right>
      <top/>
      <bottom/>
      <diagonal/>
    </border>
    <border>
      <left style="dotted">
        <color indexed="64"/>
      </left>
      <right/>
      <top style="thin">
        <color indexed="64"/>
      </top>
      <bottom style="thin">
        <color indexed="64"/>
      </bottom>
      <diagonal/>
    </border>
    <border>
      <left style="dotted">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dotted">
        <color indexed="64"/>
      </left>
      <right style="medium">
        <color auto="1"/>
      </right>
      <top/>
      <bottom/>
      <diagonal/>
    </border>
    <border>
      <left style="thin">
        <color indexed="64"/>
      </left>
      <right/>
      <top style="thin">
        <color indexed="64"/>
      </top>
      <bottom style="medium">
        <color indexed="64"/>
      </bottom>
      <diagonal/>
    </border>
    <border>
      <left style="dashed">
        <color theme="0"/>
      </left>
      <right style="medium">
        <color indexed="64"/>
      </right>
      <top/>
      <bottom/>
      <diagonal/>
    </border>
    <border>
      <left/>
      <right/>
      <top style="thin">
        <color indexed="64"/>
      </top>
      <bottom style="medium">
        <color indexed="64"/>
      </bottom>
      <diagonal/>
    </border>
  </borders>
  <cellStyleXfs count="12394">
    <xf numFmtId="0" fontId="0" fillId="0" borderId="0"/>
    <xf numFmtId="0" fontId="47" fillId="0" borderId="0">
      <protection locked="0"/>
    </xf>
    <xf numFmtId="0" fontId="54" fillId="0" borderId="0">
      <protection locked="0"/>
    </xf>
    <xf numFmtId="0" fontId="54" fillId="0" borderId="0">
      <protection locked="0"/>
    </xf>
    <xf numFmtId="0" fontId="47" fillId="0" borderId="0">
      <protection locked="0"/>
    </xf>
    <xf numFmtId="0" fontId="54" fillId="0" borderId="0">
      <protection locked="0"/>
    </xf>
    <xf numFmtId="0" fontId="54" fillId="0" borderId="0">
      <protection locked="0"/>
    </xf>
    <xf numFmtId="0" fontId="47" fillId="0" borderId="0">
      <protection locked="0"/>
    </xf>
    <xf numFmtId="0" fontId="48" fillId="0" borderId="0" applyFont="0" applyFill="0" applyBorder="0" applyAlignment="0" applyProtection="0"/>
    <xf numFmtId="0" fontId="47" fillId="0" borderId="0">
      <protection locked="0"/>
    </xf>
    <xf numFmtId="0" fontId="49" fillId="0" borderId="0">
      <protection locked="0"/>
    </xf>
    <xf numFmtId="0" fontId="49" fillId="0" borderId="0">
      <protection locked="0"/>
    </xf>
    <xf numFmtId="0" fontId="50" fillId="0" borderId="0" applyNumberFormat="0" applyFill="0" applyBorder="0" applyAlignment="0" applyProtection="0">
      <alignment vertical="top"/>
      <protection locked="0"/>
    </xf>
    <xf numFmtId="0" fontId="55" fillId="0" borderId="0"/>
    <xf numFmtId="0" fontId="47" fillId="0" borderId="0">
      <protection locked="0"/>
    </xf>
    <xf numFmtId="0" fontId="47" fillId="0" borderId="1">
      <protection locked="0"/>
    </xf>
    <xf numFmtId="0" fontId="48" fillId="0" borderId="0"/>
    <xf numFmtId="173" fontId="70" fillId="0" borderId="0"/>
    <xf numFmtId="174" fontId="48" fillId="0" borderId="0" applyFont="0" applyFill="0" applyBorder="0" applyAlignment="0" applyProtection="0"/>
    <xf numFmtId="0" fontId="71" fillId="0" borderId="0">
      <protection locked="0"/>
    </xf>
    <xf numFmtId="0" fontId="71" fillId="0" borderId="0">
      <protection locked="0"/>
    </xf>
    <xf numFmtId="0" fontId="72" fillId="0" borderId="0">
      <protection locked="0"/>
    </xf>
    <xf numFmtId="0" fontId="71" fillId="0" borderId="0">
      <protection locked="0"/>
    </xf>
    <xf numFmtId="0" fontId="71" fillId="0" borderId="0">
      <protection locked="0"/>
    </xf>
    <xf numFmtId="0" fontId="71" fillId="0" borderId="0">
      <protection locked="0"/>
    </xf>
    <xf numFmtId="0" fontId="72" fillId="0" borderId="0">
      <protection locked="0"/>
    </xf>
    <xf numFmtId="166" fontId="46" fillId="0" borderId="0" applyFont="0" applyFill="0" applyBorder="0" applyAlignment="0" applyProtection="0"/>
    <xf numFmtId="9" fontId="48" fillId="0" borderId="0" applyFont="0" applyFill="0" applyBorder="0" applyAlignment="0" applyProtection="0"/>
    <xf numFmtId="166" fontId="45" fillId="0" borderId="0" applyFont="0" applyFill="0" applyBorder="0" applyAlignment="0" applyProtection="0"/>
    <xf numFmtId="175" fontId="70" fillId="0" borderId="0"/>
    <xf numFmtId="0" fontId="75" fillId="0" borderId="0" applyNumberFormat="0" applyFill="0" applyBorder="0" applyAlignment="0" applyProtection="0"/>
    <xf numFmtId="0" fontId="76" fillId="0" borderId="13" applyNumberFormat="0" applyFill="0" applyAlignment="0" applyProtection="0"/>
    <xf numFmtId="0" fontId="77" fillId="0" borderId="14" applyNumberFormat="0" applyFill="0" applyAlignment="0" applyProtection="0"/>
    <xf numFmtId="0" fontId="78" fillId="0" borderId="15" applyNumberFormat="0" applyFill="0" applyAlignment="0" applyProtection="0"/>
    <xf numFmtId="0" fontId="78" fillId="0" borderId="0" applyNumberFormat="0" applyFill="0" applyBorder="0" applyAlignment="0" applyProtection="0"/>
    <xf numFmtId="0" fontId="79" fillId="7" borderId="0" applyNumberFormat="0" applyBorder="0" applyAlignment="0" applyProtection="0"/>
    <xf numFmtId="0" fontId="80" fillId="8" borderId="0" applyNumberFormat="0" applyBorder="0" applyAlignment="0" applyProtection="0"/>
    <xf numFmtId="0" fontId="81" fillId="9" borderId="0" applyNumberFormat="0" applyBorder="0" applyAlignment="0" applyProtection="0"/>
    <xf numFmtId="0" fontId="82" fillId="10" borderId="16" applyNumberFormat="0" applyAlignment="0" applyProtection="0"/>
    <xf numFmtId="0" fontId="83" fillId="11" borderId="17" applyNumberFormat="0" applyAlignment="0" applyProtection="0"/>
    <xf numFmtId="0" fontId="84" fillId="11" borderId="16" applyNumberFormat="0" applyAlignment="0" applyProtection="0"/>
    <xf numFmtId="0" fontId="85" fillId="0" borderId="18" applyNumberFormat="0" applyFill="0" applyAlignment="0" applyProtection="0"/>
    <xf numFmtId="0" fontId="86" fillId="12" borderId="19" applyNumberFormat="0" applyAlignment="0" applyProtection="0"/>
    <xf numFmtId="0" fontId="87" fillId="0" borderId="0" applyNumberFormat="0" applyFill="0" applyBorder="0" applyAlignment="0" applyProtection="0"/>
    <xf numFmtId="0" fontId="88" fillId="0" borderId="0" applyNumberFormat="0" applyFill="0" applyBorder="0" applyAlignment="0" applyProtection="0"/>
    <xf numFmtId="0" fontId="89"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89" fillId="17" borderId="0" applyNumberFormat="0" applyBorder="0" applyAlignment="0" applyProtection="0"/>
    <xf numFmtId="0" fontId="89"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89" fillId="21" borderId="0" applyNumberFormat="0" applyBorder="0" applyAlignment="0" applyProtection="0"/>
    <xf numFmtId="0" fontId="89"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89" fillId="25" borderId="0" applyNumberFormat="0" applyBorder="0" applyAlignment="0" applyProtection="0"/>
    <xf numFmtId="0" fontId="89"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89" fillId="29" borderId="0" applyNumberFormat="0" applyBorder="0" applyAlignment="0" applyProtection="0"/>
    <xf numFmtId="0" fontId="89"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89" fillId="33" borderId="0" applyNumberFormat="0" applyBorder="0" applyAlignment="0" applyProtection="0"/>
    <xf numFmtId="0" fontId="89"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89" fillId="37" borderId="0" applyNumberFormat="0" applyBorder="0" applyAlignment="0" applyProtection="0"/>
    <xf numFmtId="0" fontId="44" fillId="0" borderId="0"/>
    <xf numFmtId="0" fontId="44" fillId="13" borderId="20" applyNumberFormat="0" applyFont="0" applyAlignment="0" applyProtection="0"/>
    <xf numFmtId="0" fontId="90" fillId="0" borderId="21" applyNumberFormat="0" applyFill="0" applyAlignment="0" applyProtection="0"/>
    <xf numFmtId="0" fontId="71" fillId="0" borderId="0">
      <protection locked="0"/>
    </xf>
    <xf numFmtId="0" fontId="91" fillId="0" borderId="0">
      <protection locked="0"/>
    </xf>
    <xf numFmtId="0" fontId="91" fillId="0" borderId="0">
      <protection locked="0"/>
    </xf>
    <xf numFmtId="176" fontId="71" fillId="0" borderId="0">
      <protection locked="0"/>
    </xf>
    <xf numFmtId="4" fontId="71" fillId="0" borderId="0">
      <protection locked="0"/>
    </xf>
    <xf numFmtId="177" fontId="71" fillId="0" borderId="0">
      <protection locked="0"/>
    </xf>
    <xf numFmtId="0" fontId="70" fillId="0" borderId="0"/>
    <xf numFmtId="0" fontId="43" fillId="0" borderId="0"/>
    <xf numFmtId="0" fontId="71" fillId="0" borderId="1">
      <protection locked="0"/>
    </xf>
    <xf numFmtId="166" fontId="48" fillId="0" borderId="0" applyFont="0" applyFill="0" applyBorder="0" applyAlignment="0" applyProtection="0"/>
    <xf numFmtId="0" fontId="92" fillId="0" borderId="0"/>
    <xf numFmtId="178" fontId="93" fillId="0" borderId="0">
      <protection locked="0"/>
    </xf>
    <xf numFmtId="178" fontId="93" fillId="0" borderId="0">
      <protection locked="0"/>
    </xf>
    <xf numFmtId="178" fontId="93" fillId="0" borderId="0">
      <protection locked="0"/>
    </xf>
    <xf numFmtId="178" fontId="94" fillId="0" borderId="0">
      <protection locked="0"/>
    </xf>
    <xf numFmtId="178" fontId="94" fillId="0" borderId="0">
      <protection locked="0"/>
    </xf>
    <xf numFmtId="178" fontId="94" fillId="0" borderId="0">
      <protection locked="0"/>
    </xf>
    <xf numFmtId="178" fontId="94" fillId="0" borderId="0">
      <protection locked="0"/>
    </xf>
    <xf numFmtId="178" fontId="94" fillId="0" borderId="0">
      <protection locked="0"/>
    </xf>
    <xf numFmtId="178" fontId="94" fillId="0" borderId="0">
      <protection locked="0"/>
    </xf>
    <xf numFmtId="178" fontId="94" fillId="0" borderId="0">
      <protection locked="0"/>
    </xf>
    <xf numFmtId="2" fontId="50" fillId="0" borderId="0" applyFont="0" applyFill="0" applyBorder="0" applyAlignment="0" applyProtection="0"/>
    <xf numFmtId="178" fontId="93" fillId="0" borderId="0">
      <protection locked="0"/>
    </xf>
    <xf numFmtId="0" fontId="95" fillId="0" borderId="0" applyNumberFormat="0" applyFill="0" applyBorder="0" applyAlignment="0" applyProtection="0">
      <alignment vertical="top"/>
      <protection locked="0"/>
    </xf>
    <xf numFmtId="166" fontId="48" fillId="0" borderId="0" applyFont="0" applyFill="0" applyBorder="0" applyAlignment="0" applyProtection="0"/>
    <xf numFmtId="179" fontId="48" fillId="0" borderId="0" applyFont="0" applyFill="0" applyBorder="0" applyAlignment="0" applyProtection="0"/>
    <xf numFmtId="43" fontId="42" fillId="0" borderId="0" applyFont="0" applyFill="0" applyBorder="0" applyAlignment="0" applyProtection="0"/>
    <xf numFmtId="43"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44" fontId="42" fillId="0" borderId="0" applyFont="0" applyFill="0" applyBorder="0" applyAlignment="0" applyProtection="0"/>
    <xf numFmtId="165" fontId="48" fillId="0" borderId="0" applyFont="0" applyFill="0" applyBorder="0" applyAlignment="0" applyProtection="0"/>
    <xf numFmtId="178" fontId="93" fillId="0" borderId="0">
      <protection locked="0"/>
    </xf>
    <xf numFmtId="0" fontId="96" fillId="0" borderId="0"/>
    <xf numFmtId="0" fontId="42" fillId="0" borderId="0"/>
    <xf numFmtId="0" fontId="42" fillId="0" borderId="0"/>
    <xf numFmtId="0" fontId="48" fillId="0" borderId="0"/>
    <xf numFmtId="0" fontId="48" fillId="0" borderId="0"/>
    <xf numFmtId="0" fontId="97" fillId="0" borderId="0"/>
    <xf numFmtId="0" fontId="48" fillId="0" borderId="0"/>
    <xf numFmtId="0" fontId="48" fillId="0" borderId="0"/>
    <xf numFmtId="0" fontId="42" fillId="0" borderId="0"/>
    <xf numFmtId="0" fontId="42" fillId="0" borderId="0"/>
    <xf numFmtId="0" fontId="98" fillId="38" borderId="0">
      <alignment horizontal="center"/>
    </xf>
    <xf numFmtId="0" fontId="58" fillId="39" borderId="11"/>
    <xf numFmtId="0" fontId="99" fillId="0" borderId="0" applyBorder="0">
      <alignment horizontal="centerContinuous"/>
    </xf>
    <xf numFmtId="0" fontId="100" fillId="0" borderId="0" applyBorder="0">
      <alignment horizontal="centerContinuous"/>
    </xf>
    <xf numFmtId="9" fontId="42" fillId="0" borderId="0" applyFont="0" applyFill="0" applyBorder="0" applyAlignment="0" applyProtection="0"/>
    <xf numFmtId="9" fontId="42" fillId="0" borderId="0" applyFont="0" applyFill="0" applyBorder="0" applyAlignment="0" applyProtection="0"/>
    <xf numFmtId="9" fontId="101"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1" fontId="48" fillId="0" borderId="0" applyFont="0" applyFill="0" applyBorder="0" applyAlignment="0" applyProtection="0"/>
    <xf numFmtId="0" fontId="102" fillId="0" borderId="0"/>
    <xf numFmtId="166" fontId="41" fillId="0" borderId="0" applyFont="0" applyFill="0" applyBorder="0" applyAlignment="0" applyProtection="0"/>
    <xf numFmtId="0" fontId="57" fillId="0" borderId="0"/>
    <xf numFmtId="166" fontId="40" fillId="0" borderId="0" applyFont="0" applyFill="0" applyBorder="0" applyAlignment="0" applyProtection="0"/>
    <xf numFmtId="0" fontId="48" fillId="0" borderId="0"/>
    <xf numFmtId="9" fontId="103" fillId="0" borderId="0" applyFont="0" applyFill="0" applyBorder="0" applyAlignment="0" applyProtection="0"/>
    <xf numFmtId="180" fontId="48" fillId="0" borderId="0" applyFont="0" applyFill="0" applyBorder="0" applyAlignment="0" applyProtection="0"/>
    <xf numFmtId="0" fontId="48" fillId="0" borderId="0" applyNumberFormat="0" applyFill="0" applyBorder="0" applyAlignment="0" applyProtection="0"/>
    <xf numFmtId="173" fontId="56" fillId="0" borderId="0"/>
    <xf numFmtId="0" fontId="104" fillId="0" borderId="0" applyNumberFormat="0" applyFill="0" applyBorder="0" applyAlignment="0" applyProtection="0"/>
    <xf numFmtId="173" fontId="105" fillId="0" borderId="0"/>
    <xf numFmtId="0" fontId="57" fillId="0" borderId="0"/>
    <xf numFmtId="166" fontId="48" fillId="0" borderId="0" applyFont="0" applyFill="0" applyBorder="0" applyAlignment="0" applyProtection="0"/>
    <xf numFmtId="9" fontId="48" fillId="0" borderId="0" applyFont="0" applyFill="0" applyBorder="0" applyAlignment="0" applyProtection="0"/>
    <xf numFmtId="0" fontId="39" fillId="0" borderId="0"/>
    <xf numFmtId="181" fontId="47" fillId="0" borderId="0">
      <protection locked="0"/>
    </xf>
    <xf numFmtId="181" fontId="47" fillId="0" borderId="0">
      <protection locked="0"/>
    </xf>
    <xf numFmtId="181" fontId="47" fillId="0" borderId="0">
      <protection locked="0"/>
    </xf>
    <xf numFmtId="181" fontId="47" fillId="0" borderId="0">
      <protection locked="0"/>
    </xf>
    <xf numFmtId="181" fontId="47" fillId="0" borderId="0">
      <protection locked="0"/>
    </xf>
    <xf numFmtId="181" fontId="47" fillId="0" borderId="0">
      <protection locked="0"/>
    </xf>
    <xf numFmtId="181" fontId="47" fillId="0" borderId="0">
      <protection locked="0"/>
    </xf>
    <xf numFmtId="0" fontId="38" fillId="0" borderId="0"/>
    <xf numFmtId="0" fontId="38" fillId="13" borderId="20" applyNumberFormat="0" applyFont="0" applyAlignment="0" applyProtection="0"/>
    <xf numFmtId="0" fontId="38" fillId="15" borderId="0" applyNumberFormat="0" applyBorder="0" applyAlignment="0" applyProtection="0"/>
    <xf numFmtId="0" fontId="38" fillId="16"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38" fillId="23" borderId="0" applyNumberFormat="0" applyBorder="0" applyAlignment="0" applyProtection="0"/>
    <xf numFmtId="0" fontId="38" fillId="24" borderId="0" applyNumberFormat="0" applyBorder="0" applyAlignment="0" applyProtection="0"/>
    <xf numFmtId="0" fontId="38" fillId="27" borderId="0" applyNumberFormat="0" applyBorder="0" applyAlignment="0" applyProtection="0"/>
    <xf numFmtId="0" fontId="38" fillId="28"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7" fillId="0" borderId="0"/>
    <xf numFmtId="0" fontId="37" fillId="13" borderId="20" applyNumberFormat="0" applyFont="0" applyAlignment="0" applyProtection="0"/>
    <xf numFmtId="0" fontId="37" fillId="15" borderId="0" applyNumberFormat="0" applyBorder="0" applyAlignment="0" applyProtection="0"/>
    <xf numFmtId="0" fontId="37" fillId="16"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7" fillId="23" borderId="0" applyNumberFormat="0" applyBorder="0" applyAlignment="0" applyProtection="0"/>
    <xf numFmtId="0" fontId="37" fillId="24" borderId="0" applyNumberFormat="0" applyBorder="0" applyAlignment="0" applyProtection="0"/>
    <xf numFmtId="0" fontId="37" fillId="27" borderId="0" applyNumberFormat="0" applyBorder="0" applyAlignment="0" applyProtection="0"/>
    <xf numFmtId="0" fontId="37" fillId="28"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6" fillId="0" borderId="0"/>
    <xf numFmtId="0" fontId="36" fillId="13" borderId="20" applyNumberFormat="0" applyFont="0" applyAlignment="0" applyProtection="0"/>
    <xf numFmtId="0" fontId="36" fillId="15"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7" borderId="0" applyNumberFormat="0" applyBorder="0" applyAlignment="0" applyProtection="0"/>
    <xf numFmtId="0" fontId="36" fillId="28"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5" fillId="0" borderId="0"/>
    <xf numFmtId="166" fontId="35" fillId="0" borderId="0" applyFont="0" applyFill="0" applyBorder="0" applyAlignment="0" applyProtection="0"/>
    <xf numFmtId="0" fontId="34" fillId="13" borderId="20" applyNumberFormat="0" applyFont="0" applyAlignment="0" applyProtection="0"/>
    <xf numFmtId="0" fontId="34" fillId="15" borderId="0" applyNumberFormat="0" applyBorder="0" applyAlignment="0" applyProtection="0"/>
    <xf numFmtId="0" fontId="34" fillId="16" borderId="0" applyNumberFormat="0" applyBorder="0" applyAlignment="0" applyProtection="0"/>
    <xf numFmtId="0" fontId="34" fillId="19" borderId="0" applyNumberFormat="0" applyBorder="0" applyAlignment="0" applyProtection="0"/>
    <xf numFmtId="0" fontId="34" fillId="20" borderId="0" applyNumberFormat="0" applyBorder="0" applyAlignment="0" applyProtection="0"/>
    <xf numFmtId="0" fontId="34" fillId="23" borderId="0" applyNumberFormat="0" applyBorder="0" applyAlignment="0" applyProtection="0"/>
    <xf numFmtId="0" fontId="34" fillId="24" borderId="0" applyNumberFormat="0" applyBorder="0" applyAlignment="0" applyProtection="0"/>
    <xf numFmtId="0" fontId="34" fillId="27" borderId="0" applyNumberFormat="0" applyBorder="0" applyAlignment="0" applyProtection="0"/>
    <xf numFmtId="0" fontId="34" fillId="28"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3" fillId="0" borderId="0"/>
    <xf numFmtId="0" fontId="33" fillId="13" borderId="20" applyNumberFormat="0" applyFont="0" applyAlignment="0" applyProtection="0"/>
    <xf numFmtId="0" fontId="33" fillId="15" borderId="0" applyNumberFormat="0" applyBorder="0" applyAlignment="0" applyProtection="0"/>
    <xf numFmtId="0" fontId="33" fillId="16" borderId="0" applyNumberFormat="0" applyBorder="0" applyAlignment="0" applyProtection="0"/>
    <xf numFmtId="0" fontId="33" fillId="19" borderId="0" applyNumberFormat="0" applyBorder="0" applyAlignment="0" applyProtection="0"/>
    <xf numFmtId="0" fontId="33" fillId="20" borderId="0" applyNumberFormat="0" applyBorder="0" applyAlignment="0" applyProtection="0"/>
    <xf numFmtId="0" fontId="33" fillId="23" borderId="0" applyNumberFormat="0" applyBorder="0" applyAlignment="0" applyProtection="0"/>
    <xf numFmtId="0" fontId="33" fillId="24" borderId="0" applyNumberFormat="0" applyBorder="0" applyAlignment="0" applyProtection="0"/>
    <xf numFmtId="0" fontId="33" fillId="27" borderId="0" applyNumberFormat="0" applyBorder="0" applyAlignment="0" applyProtection="0"/>
    <xf numFmtId="0" fontId="33" fillId="28"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2" fillId="0" borderId="0"/>
    <xf numFmtId="0" fontId="91" fillId="0" borderId="0">
      <protection locked="0"/>
    </xf>
    <xf numFmtId="0" fontId="91" fillId="0" borderId="0">
      <protection locked="0"/>
    </xf>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174" fontId="50" fillId="0" borderId="0" applyFont="0" applyFill="0" applyBorder="0" applyAlignment="0" applyProtection="0"/>
    <xf numFmtId="0" fontId="71" fillId="0" borderId="0">
      <protection locked="0"/>
    </xf>
    <xf numFmtId="184" fontId="71" fillId="0" borderId="0">
      <protection locked="0"/>
    </xf>
    <xf numFmtId="0" fontId="107" fillId="0" borderId="0" applyNumberFormat="0" applyFill="0" applyBorder="0" applyAlignment="0" applyProtection="0">
      <alignment vertical="top"/>
      <protection locked="0"/>
    </xf>
    <xf numFmtId="166"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101"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101"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66" fontId="48"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66" fontId="48"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87" fontId="50" fillId="0" borderId="0" applyFont="0" applyFill="0" applyBorder="0" applyAlignment="0" applyProtection="0"/>
    <xf numFmtId="166" fontId="48"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5"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8" fontId="50" fillId="0" borderId="0" applyFont="0" applyFill="0" applyBorder="0" applyAlignment="0" applyProtection="0"/>
    <xf numFmtId="183" fontId="71" fillId="0" borderId="0">
      <protection locked="0"/>
    </xf>
    <xf numFmtId="186" fontId="71" fillId="0" borderId="0">
      <protection locked="0"/>
    </xf>
    <xf numFmtId="0" fontId="101" fillId="0" borderId="0"/>
    <xf numFmtId="0" fontId="48"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8"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8"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8"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8" fillId="0" borderId="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50"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182" fontId="71" fillId="0" borderId="0">
      <protection locked="0"/>
    </xf>
    <xf numFmtId="185" fontId="71" fillId="0" borderId="0">
      <protection locked="0"/>
    </xf>
    <xf numFmtId="0" fontId="71" fillId="0" borderId="22">
      <protection locked="0"/>
    </xf>
    <xf numFmtId="0" fontId="102" fillId="0" borderId="22">
      <protection locked="0"/>
    </xf>
    <xf numFmtId="0" fontId="48" fillId="0" borderId="0"/>
    <xf numFmtId="0" fontId="31" fillId="0" borderId="0"/>
    <xf numFmtId="0" fontId="31" fillId="0" borderId="0"/>
    <xf numFmtId="0" fontId="31" fillId="0" borderId="0"/>
    <xf numFmtId="167" fontId="48" fillId="0" borderId="0" applyFont="0" applyFill="0" applyBorder="0" applyAlignment="0" applyProtection="0"/>
    <xf numFmtId="0" fontId="48" fillId="0" borderId="0"/>
    <xf numFmtId="0" fontId="31" fillId="0" borderId="0"/>
    <xf numFmtId="0" fontId="48" fillId="0" borderId="0"/>
    <xf numFmtId="0" fontId="31" fillId="0" borderId="0"/>
    <xf numFmtId="0" fontId="31" fillId="0" borderId="0"/>
    <xf numFmtId="0" fontId="31" fillId="0" borderId="0"/>
    <xf numFmtId="0" fontId="31" fillId="0" borderId="0"/>
    <xf numFmtId="0" fontId="31" fillId="0" borderId="0"/>
    <xf numFmtId="0" fontId="31" fillId="0" borderId="0"/>
    <xf numFmtId="0" fontId="48" fillId="0" borderId="0"/>
    <xf numFmtId="166" fontId="48" fillId="0" borderId="0" applyFont="0" applyFill="0" applyBorder="0" applyAlignment="0" applyProtection="0"/>
    <xf numFmtId="166" fontId="31" fillId="0" borderId="0" applyFont="0" applyFill="0" applyBorder="0" applyAlignment="0" applyProtection="0"/>
    <xf numFmtId="165" fontId="48" fillId="0" borderId="0" applyFont="0" applyFill="0" applyBorder="0" applyAlignment="0" applyProtection="0"/>
    <xf numFmtId="0" fontId="31" fillId="0" borderId="0"/>
    <xf numFmtId="9" fontId="48" fillId="0" borderId="0" applyFont="0" applyFill="0" applyBorder="0" applyAlignment="0" applyProtection="0"/>
    <xf numFmtId="9" fontId="31" fillId="0" borderId="0" applyFont="0" applyFill="0" applyBorder="0" applyAlignment="0" applyProtection="0"/>
    <xf numFmtId="0" fontId="71" fillId="0" borderId="22">
      <protection locked="0"/>
    </xf>
    <xf numFmtId="174" fontId="48" fillId="0" borderId="0" applyFont="0" applyFill="0" applyBorder="0" applyAlignment="0" applyProtection="0"/>
    <xf numFmtId="174" fontId="48" fillId="0" borderId="0" applyFont="0" applyFill="0" applyBorder="0" applyAlignment="0" applyProtection="0"/>
    <xf numFmtId="166" fontId="31" fillId="0" borderId="0" applyFont="0" applyFill="0" applyBorder="0" applyAlignment="0" applyProtection="0"/>
    <xf numFmtId="165" fontId="48" fillId="0" borderId="0" applyFont="0" applyFill="0" applyBorder="0" applyAlignment="0" applyProtection="0"/>
    <xf numFmtId="0" fontId="48" fillId="0" borderId="0"/>
    <xf numFmtId="0" fontId="31" fillId="0" borderId="0"/>
    <xf numFmtId="9" fontId="31" fillId="0" borderId="0" applyFont="0" applyFill="0" applyBorder="0" applyAlignment="0" applyProtection="0"/>
    <xf numFmtId="0" fontId="71" fillId="0" borderId="22">
      <protection locked="0"/>
    </xf>
    <xf numFmtId="0" fontId="31" fillId="0" borderId="0"/>
    <xf numFmtId="0" fontId="48" fillId="0" borderId="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0" fontId="48" fillId="0" borderId="0"/>
    <xf numFmtId="0" fontId="31" fillId="0" borderId="0"/>
    <xf numFmtId="0" fontId="48" fillId="0" borderId="0"/>
    <xf numFmtId="0" fontId="31" fillId="0" borderId="0"/>
    <xf numFmtId="0" fontId="48" fillId="0" borderId="0"/>
    <xf numFmtId="0" fontId="31" fillId="0" borderId="0"/>
    <xf numFmtId="174" fontId="48" fillId="0" borderId="0" applyFont="0" applyFill="0" applyBorder="0" applyAlignment="0" applyProtection="0"/>
    <xf numFmtId="0" fontId="31" fillId="0" borderId="0"/>
    <xf numFmtId="0" fontId="48" fillId="0" borderId="0"/>
    <xf numFmtId="0" fontId="31" fillId="0" borderId="0"/>
    <xf numFmtId="0" fontId="48"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48" fillId="0" borderId="0"/>
    <xf numFmtId="174" fontId="48" fillId="0" borderId="0" applyFont="0" applyFill="0" applyBorder="0" applyAlignment="0" applyProtection="0"/>
    <xf numFmtId="174" fontId="48" fillId="0" borderId="0" applyFont="0" applyFill="0" applyBorder="0" applyAlignment="0" applyProtection="0"/>
    <xf numFmtId="166" fontId="31" fillId="0" borderId="0" applyFont="0" applyFill="0" applyBorder="0" applyAlignment="0" applyProtection="0"/>
    <xf numFmtId="165" fontId="48" fillId="0" borderId="0" applyFont="0" applyFill="0" applyBorder="0" applyAlignment="0" applyProtection="0"/>
    <xf numFmtId="0" fontId="48" fillId="0" borderId="0"/>
    <xf numFmtId="0" fontId="31" fillId="0" borderId="0"/>
    <xf numFmtId="9" fontId="31" fillId="0" borderId="0" applyFont="0" applyFill="0" applyBorder="0" applyAlignment="0" applyProtection="0"/>
    <xf numFmtId="0" fontId="31" fillId="0" borderId="0"/>
    <xf numFmtId="0" fontId="48" fillId="0" borderId="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0" fontId="48" fillId="0" borderId="0"/>
    <xf numFmtId="0" fontId="31" fillId="0" borderId="0"/>
    <xf numFmtId="0" fontId="48" fillId="0" borderId="0"/>
    <xf numFmtId="0" fontId="31" fillId="0" borderId="0"/>
    <xf numFmtId="0" fontId="48" fillId="0" borderId="0"/>
    <xf numFmtId="0" fontId="31" fillId="0" borderId="0"/>
    <xf numFmtId="174" fontId="48" fillId="0" borderId="0" applyFont="0" applyFill="0" applyBorder="0" applyAlignment="0" applyProtection="0"/>
    <xf numFmtId="0" fontId="31" fillId="0" borderId="0"/>
    <xf numFmtId="0" fontId="48" fillId="0" borderId="0"/>
    <xf numFmtId="0" fontId="31" fillId="0" borderId="0"/>
    <xf numFmtId="0" fontId="48"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9" fontId="31" fillId="0" borderId="0" applyFont="0" applyFill="0" applyBorder="0" applyAlignment="0" applyProtection="0"/>
    <xf numFmtId="0" fontId="50" fillId="0" borderId="0" applyNumberFormat="0" applyFill="0" applyBorder="0" applyAlignment="0" applyProtection="0">
      <alignment vertical="top"/>
      <protection locked="0"/>
    </xf>
    <xf numFmtId="166" fontId="48" fillId="0" borderId="0" applyFont="0" applyFill="0" applyBorder="0" applyAlignment="0" applyProtection="0"/>
    <xf numFmtId="166" fontId="31" fillId="0" borderId="0" applyFont="0" applyFill="0" applyBorder="0" applyAlignment="0" applyProtection="0"/>
    <xf numFmtId="165" fontId="48" fillId="0" borderId="0" applyFont="0" applyFill="0" applyBorder="0" applyAlignment="0" applyProtection="0"/>
    <xf numFmtId="0" fontId="31" fillId="0" borderId="0"/>
    <xf numFmtId="9" fontId="48" fillId="0" borderId="0" applyFont="0" applyFill="0" applyBorder="0" applyAlignment="0" applyProtection="0"/>
    <xf numFmtId="9" fontId="31" fillId="0" borderId="0" applyFont="0" applyFill="0" applyBorder="0" applyAlignment="0" applyProtection="0"/>
    <xf numFmtId="0" fontId="71" fillId="0" borderId="22">
      <protection locked="0"/>
    </xf>
    <xf numFmtId="0" fontId="48" fillId="0" borderId="0"/>
    <xf numFmtId="174" fontId="48" fillId="0" borderId="0" applyFont="0" applyFill="0" applyBorder="0" applyAlignment="0" applyProtection="0"/>
    <xf numFmtId="174" fontId="48" fillId="0" borderId="0" applyFont="0" applyFill="0" applyBorder="0" applyAlignment="0" applyProtection="0"/>
    <xf numFmtId="166" fontId="31" fillId="0" borderId="0" applyFont="0" applyFill="0" applyBorder="0" applyAlignment="0" applyProtection="0"/>
    <xf numFmtId="165" fontId="48" fillId="0" borderId="0" applyFont="0" applyFill="0" applyBorder="0" applyAlignment="0" applyProtection="0"/>
    <xf numFmtId="0" fontId="48" fillId="0" borderId="0"/>
    <xf numFmtId="0" fontId="31" fillId="0" borderId="0"/>
    <xf numFmtId="9" fontId="31" fillId="0" borderId="0" applyFont="0" applyFill="0" applyBorder="0" applyAlignment="0" applyProtection="0"/>
    <xf numFmtId="0" fontId="31" fillId="0" borderId="0"/>
    <xf numFmtId="0" fontId="48" fillId="0" borderId="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0" fontId="48" fillId="0" borderId="0"/>
    <xf numFmtId="0" fontId="31" fillId="0" borderId="0"/>
    <xf numFmtId="0" fontId="48" fillId="0" borderId="0"/>
    <xf numFmtId="0" fontId="31" fillId="0" borderId="0"/>
    <xf numFmtId="0" fontId="48" fillId="0" borderId="0"/>
    <xf numFmtId="0" fontId="31" fillId="0" borderId="0"/>
    <xf numFmtId="174" fontId="48" fillId="0" borderId="0" applyFont="0" applyFill="0" applyBorder="0" applyAlignment="0" applyProtection="0"/>
    <xf numFmtId="0" fontId="31" fillId="0" borderId="0"/>
    <xf numFmtId="0" fontId="48" fillId="0" borderId="0"/>
    <xf numFmtId="0" fontId="31" fillId="0" borderId="0"/>
    <xf numFmtId="0" fontId="48"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166" fontId="48" fillId="0" borderId="0" applyFont="0" applyFill="0" applyBorder="0" applyAlignment="0" applyProtection="0"/>
    <xf numFmtId="165" fontId="48" fillId="0" borderId="0" applyFont="0" applyFill="0" applyBorder="0" applyAlignment="0" applyProtection="0"/>
    <xf numFmtId="166" fontId="48" fillId="0" borderId="0" applyFont="0" applyFill="0" applyBorder="0" applyAlignment="0" applyProtection="0"/>
    <xf numFmtId="165" fontId="48" fillId="0" borderId="0" applyFont="0" applyFill="0" applyBorder="0" applyAlignment="0" applyProtection="0"/>
    <xf numFmtId="166" fontId="48" fillId="0" borderId="0" applyFont="0" applyFill="0" applyBorder="0" applyAlignment="0" applyProtection="0"/>
    <xf numFmtId="165" fontId="48" fillId="0" borderId="0" applyFont="0" applyFill="0" applyBorder="0" applyAlignment="0" applyProtection="0"/>
    <xf numFmtId="166" fontId="48" fillId="0" borderId="0" applyFont="0" applyFill="0" applyBorder="0" applyAlignment="0" applyProtection="0"/>
    <xf numFmtId="0" fontId="31" fillId="0" borderId="0"/>
    <xf numFmtId="0" fontId="48" fillId="0" borderId="0"/>
    <xf numFmtId="166" fontId="48" fillId="0" borderId="0" applyFont="0" applyFill="0" applyBorder="0" applyAlignment="0" applyProtection="0"/>
    <xf numFmtId="166" fontId="31" fillId="0" borderId="0" applyFont="0" applyFill="0" applyBorder="0" applyAlignment="0" applyProtection="0"/>
    <xf numFmtId="165" fontId="48" fillId="0" borderId="0" applyFont="0" applyFill="0" applyBorder="0" applyAlignment="0" applyProtection="0"/>
    <xf numFmtId="0" fontId="31" fillId="0" borderId="0"/>
    <xf numFmtId="9" fontId="48" fillId="0" borderId="0" applyFont="0" applyFill="0" applyBorder="0" applyAlignment="0" applyProtection="0"/>
    <xf numFmtId="9" fontId="31" fillId="0" borderId="0" applyFont="0" applyFill="0" applyBorder="0" applyAlignment="0" applyProtection="0"/>
    <xf numFmtId="0" fontId="71" fillId="0" borderId="22">
      <protection locked="0"/>
    </xf>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166" fontId="48" fillId="0" borderId="0" applyFont="0" applyFill="0" applyBorder="0" applyAlignment="0" applyProtection="0"/>
    <xf numFmtId="0" fontId="31" fillId="0" borderId="0"/>
    <xf numFmtId="9" fontId="31" fillId="0" borderId="0" applyFont="0" applyFill="0" applyBorder="0" applyAlignment="0" applyProtection="0"/>
    <xf numFmtId="0" fontId="48" fillId="0" borderId="0"/>
    <xf numFmtId="166" fontId="48" fillId="0" borderId="0" applyFont="0" applyFill="0" applyBorder="0" applyAlignment="0" applyProtection="0"/>
    <xf numFmtId="166" fontId="31" fillId="0" borderId="0" applyFont="0" applyFill="0" applyBorder="0" applyAlignment="0" applyProtection="0"/>
    <xf numFmtId="0" fontId="31" fillId="0" borderId="0"/>
    <xf numFmtId="9" fontId="48" fillId="0" borderId="0" applyFont="0" applyFill="0" applyBorder="0" applyAlignment="0" applyProtection="0"/>
    <xf numFmtId="9" fontId="31"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31"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31" fillId="0" borderId="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48" fillId="0" borderId="0"/>
    <xf numFmtId="166" fontId="48" fillId="0" borderId="0" applyFont="0" applyFill="0" applyBorder="0" applyAlignment="0" applyProtection="0"/>
    <xf numFmtId="166" fontId="48" fillId="0" borderId="0" applyFont="0" applyFill="0" applyBorder="0" applyAlignment="0" applyProtection="0"/>
    <xf numFmtId="0" fontId="31" fillId="0" borderId="0"/>
    <xf numFmtId="9" fontId="31" fillId="0" borderId="0" applyFont="0" applyFill="0" applyBorder="0" applyAlignment="0" applyProtection="0"/>
    <xf numFmtId="0" fontId="48" fillId="0" borderId="0"/>
    <xf numFmtId="166" fontId="48"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48"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48" fillId="0" borderId="0" applyFont="0" applyFill="0" applyBorder="0" applyAlignment="0" applyProtection="0"/>
    <xf numFmtId="166" fontId="48" fillId="0" borderId="0" applyFont="0" applyFill="0" applyBorder="0" applyAlignment="0" applyProtection="0"/>
    <xf numFmtId="0" fontId="31" fillId="0" borderId="0"/>
    <xf numFmtId="9" fontId="31" fillId="0" borderId="0" applyFont="0" applyFill="0" applyBorder="0" applyAlignment="0" applyProtection="0"/>
    <xf numFmtId="0" fontId="48"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9" fontId="48" fillId="0" borderId="0" applyFont="0" applyFill="0" applyBorder="0" applyAlignment="0" applyProtection="0"/>
    <xf numFmtId="166" fontId="48" fillId="0" borderId="0" applyFont="0" applyFill="0" applyBorder="0" applyAlignment="0" applyProtection="0"/>
    <xf numFmtId="0" fontId="31" fillId="0" borderId="0"/>
    <xf numFmtId="166" fontId="4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74" fontId="48"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31" fillId="0" borderId="0" applyFont="0" applyFill="0" applyBorder="0" applyAlignment="0" applyProtection="0"/>
    <xf numFmtId="9" fontId="101" fillId="0" borderId="0" applyFont="0" applyFill="0" applyBorder="0" applyAlignment="0" applyProtection="0"/>
    <xf numFmtId="9" fontId="3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101"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48"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48"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31" fillId="0" borderId="0"/>
    <xf numFmtId="0" fontId="48" fillId="0" borderId="0"/>
    <xf numFmtId="0" fontId="31" fillId="0" borderId="0"/>
    <xf numFmtId="166" fontId="48" fillId="0" borderId="0" applyFont="0" applyFill="0" applyBorder="0" applyAlignment="0" applyProtection="0"/>
    <xf numFmtId="166" fontId="4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06" fillId="0" borderId="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87"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9" fontId="48" fillId="0" borderId="0" applyFont="0" applyFill="0" applyBorder="0" applyAlignment="0" applyProtection="0"/>
    <xf numFmtId="0" fontId="71" fillId="0" borderId="22">
      <protection locked="0"/>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8"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9" fontId="31" fillId="0" borderId="0" applyFont="0" applyFill="0" applyBorder="0" applyAlignment="0" applyProtection="0"/>
    <xf numFmtId="0" fontId="48"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0" fontId="48"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9" fontId="31" fillId="0" borderId="0" applyFont="0" applyFill="0" applyBorder="0" applyAlignment="0" applyProtection="0"/>
    <xf numFmtId="0" fontId="31" fillId="0" borderId="0"/>
    <xf numFmtId="9" fontId="31" fillId="0" borderId="0" applyFont="0" applyFill="0" applyBorder="0" applyAlignment="0" applyProtection="0"/>
    <xf numFmtId="0" fontId="48"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9" fontId="31" fillId="0" borderId="0" applyFont="0" applyFill="0" applyBorder="0" applyAlignment="0" applyProtection="0"/>
    <xf numFmtId="0" fontId="48"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48" fillId="0" borderId="0"/>
    <xf numFmtId="166" fontId="31" fillId="0" borderId="0" applyFont="0" applyFill="0" applyBorder="0" applyAlignment="0" applyProtection="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6" fontId="31" fillId="0" borderId="0" applyFont="0" applyFill="0" applyBorder="0" applyAlignment="0" applyProtection="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13" borderId="20" applyNumberFormat="0" applyFont="0" applyAlignment="0" applyProtection="0"/>
    <xf numFmtId="0" fontId="30" fillId="15" borderId="0" applyNumberFormat="0" applyBorder="0" applyAlignment="0" applyProtection="0"/>
    <xf numFmtId="0" fontId="30" fillId="16"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30" fillId="27" borderId="0" applyNumberFormat="0" applyBorder="0" applyAlignment="0" applyProtection="0"/>
    <xf numFmtId="0" fontId="30" fillId="28"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189" fontId="108" fillId="0" borderId="0" applyFont="0" applyFill="0" applyBorder="0" applyAlignment="0" applyProtection="0"/>
    <xf numFmtId="9" fontId="108" fillId="0" borderId="0" applyFont="0" applyFill="0" applyBorder="0" applyAlignment="0" applyProtection="0"/>
    <xf numFmtId="189" fontId="48" fillId="0" borderId="0" applyFont="0" applyFill="0" applyBorder="0" applyAlignment="0" applyProtection="0"/>
    <xf numFmtId="0" fontId="29" fillId="0" borderId="0"/>
    <xf numFmtId="9" fontId="29" fillId="0" borderId="0" applyFont="0" applyFill="0" applyBorder="0" applyAlignment="0" applyProtection="0"/>
    <xf numFmtId="0" fontId="28" fillId="0" borderId="0"/>
    <xf numFmtId="0" fontId="28" fillId="13" borderId="20" applyNumberFormat="0" applyFont="0" applyAlignment="0" applyProtection="0"/>
    <xf numFmtId="0" fontId="28" fillId="15" borderId="0" applyNumberFormat="0" applyBorder="0" applyAlignment="0" applyProtection="0"/>
    <xf numFmtId="0" fontId="28" fillId="16"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3" borderId="0" applyNumberFormat="0" applyBorder="0" applyAlignment="0" applyProtection="0"/>
    <xf numFmtId="0" fontId="28" fillId="24" borderId="0" applyNumberFormat="0" applyBorder="0" applyAlignment="0" applyProtection="0"/>
    <xf numFmtId="0" fontId="28" fillId="27" borderId="0" applyNumberFormat="0" applyBorder="0" applyAlignment="0" applyProtection="0"/>
    <xf numFmtId="0" fontId="28" fillId="28"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7" fillId="0" borderId="0"/>
    <xf numFmtId="166" fontId="26" fillId="0" borderId="0" applyFont="0" applyFill="0" applyBorder="0" applyAlignment="0" applyProtection="0"/>
    <xf numFmtId="0" fontId="26" fillId="0" borderId="0"/>
    <xf numFmtId="9" fontId="26" fillId="0" borderId="0" applyFont="0" applyFill="0" applyBorder="0" applyAlignment="0" applyProtection="0"/>
    <xf numFmtId="0" fontId="25" fillId="0" borderId="0"/>
    <xf numFmtId="0" fontId="110" fillId="0" borderId="0" applyNumberFormat="0" applyFill="0" applyBorder="0" applyAlignment="0" applyProtection="0">
      <alignment vertical="top"/>
      <protection locked="0"/>
    </xf>
    <xf numFmtId="9" fontId="25" fillId="0" borderId="0" applyFont="0" applyFill="0" applyBorder="0" applyAlignment="0" applyProtection="0"/>
    <xf numFmtId="0" fontId="101" fillId="40" borderId="0" applyNumberFormat="0" applyBorder="0" applyAlignment="0" applyProtection="0"/>
    <xf numFmtId="0" fontId="101" fillId="41" borderId="0" applyNumberFormat="0" applyBorder="0" applyAlignment="0" applyProtection="0"/>
    <xf numFmtId="0" fontId="101" fillId="42" borderId="0" applyNumberFormat="0" applyBorder="0" applyAlignment="0" applyProtection="0"/>
    <xf numFmtId="0" fontId="101" fillId="43" borderId="0" applyNumberFormat="0" applyBorder="0" applyAlignment="0" applyProtection="0"/>
    <xf numFmtId="0" fontId="101" fillId="44" borderId="0" applyNumberFormat="0" applyBorder="0" applyAlignment="0" applyProtection="0"/>
    <xf numFmtId="0" fontId="101" fillId="45" borderId="0" applyNumberFormat="0" applyBorder="0" applyAlignment="0" applyProtection="0"/>
    <xf numFmtId="0" fontId="101" fillId="46" borderId="0" applyNumberFormat="0" applyBorder="0" applyAlignment="0" applyProtection="0"/>
    <xf numFmtId="0" fontId="101" fillId="47" borderId="0" applyNumberFormat="0" applyBorder="0" applyAlignment="0" applyProtection="0"/>
    <xf numFmtId="0" fontId="101" fillId="48" borderId="0" applyNumberFormat="0" applyBorder="0" applyAlignment="0" applyProtection="0"/>
    <xf numFmtId="0" fontId="101" fillId="43" borderId="0" applyNumberFormat="0" applyBorder="0" applyAlignment="0" applyProtection="0"/>
    <xf numFmtId="0" fontId="101" fillId="46" borderId="0" applyNumberFormat="0" applyBorder="0" applyAlignment="0" applyProtection="0"/>
    <xf numFmtId="0" fontId="101" fillId="49" borderId="0" applyNumberFormat="0" applyBorder="0" applyAlignment="0" applyProtection="0"/>
    <xf numFmtId="0" fontId="111" fillId="50" borderId="0" applyNumberFormat="0" applyBorder="0" applyAlignment="0" applyProtection="0"/>
    <xf numFmtId="0" fontId="111" fillId="47" borderId="0" applyNumberFormat="0" applyBorder="0" applyAlignment="0" applyProtection="0"/>
    <xf numFmtId="0" fontId="111" fillId="48" borderId="0" applyNumberFormat="0" applyBorder="0" applyAlignment="0" applyProtection="0"/>
    <xf numFmtId="0" fontId="111" fillId="51" borderId="0" applyNumberFormat="0" applyBorder="0" applyAlignment="0" applyProtection="0"/>
    <xf numFmtId="0" fontId="111" fillId="52" borderId="0" applyNumberFormat="0" applyBorder="0" applyAlignment="0" applyProtection="0"/>
    <xf numFmtId="0" fontId="111" fillId="53" borderId="0" applyNumberFormat="0" applyBorder="0" applyAlignment="0" applyProtection="0"/>
    <xf numFmtId="0" fontId="112" fillId="54" borderId="25" applyNumberFormat="0" applyAlignment="0" applyProtection="0"/>
    <xf numFmtId="0" fontId="113" fillId="55" borderId="26" applyNumberFormat="0" applyAlignment="0" applyProtection="0"/>
    <xf numFmtId="0" fontId="114" fillId="0" borderId="27" applyNumberFormat="0" applyFill="0" applyAlignment="0" applyProtection="0"/>
    <xf numFmtId="0" fontId="126" fillId="0" borderId="28" applyNumberFormat="0" applyFill="0" applyAlignment="0" applyProtection="0"/>
    <xf numFmtId="0" fontId="115" fillId="0" borderId="0" applyNumberFormat="0" applyFill="0" applyBorder="0" applyAlignment="0" applyProtection="0"/>
    <xf numFmtId="0" fontId="111" fillId="56" borderId="0" applyNumberFormat="0" applyBorder="0" applyAlignment="0" applyProtection="0"/>
    <xf numFmtId="0" fontId="111" fillId="57" borderId="0" applyNumberFormat="0" applyBorder="0" applyAlignment="0" applyProtection="0"/>
    <xf numFmtId="0" fontId="111" fillId="58" borderId="0" applyNumberFormat="0" applyBorder="0" applyAlignment="0" applyProtection="0"/>
    <xf numFmtId="0" fontId="111" fillId="51" borderId="0" applyNumberFormat="0" applyBorder="0" applyAlignment="0" applyProtection="0"/>
    <xf numFmtId="0" fontId="111" fillId="52" borderId="0" applyNumberFormat="0" applyBorder="0" applyAlignment="0" applyProtection="0"/>
    <xf numFmtId="0" fontId="111" fillId="59" borderId="0" applyNumberFormat="0" applyBorder="0" applyAlignment="0" applyProtection="0"/>
    <xf numFmtId="0" fontId="116" fillId="45" borderId="25" applyNumberFormat="0" applyAlignment="0" applyProtection="0"/>
    <xf numFmtId="0" fontId="127"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117" fillId="41" borderId="0" applyNumberFormat="0" applyBorder="0" applyAlignment="0" applyProtection="0"/>
    <xf numFmtId="168" fontId="48" fillId="0" borderId="0" applyFont="0" applyFill="0" applyBorder="0" applyAlignment="0" applyProtection="0"/>
    <xf numFmtId="166" fontId="101" fillId="0" borderId="0" applyFont="0" applyFill="0" applyBorder="0" applyAlignment="0" applyProtection="0"/>
    <xf numFmtId="0" fontId="118" fillId="60" borderId="0" applyNumberFormat="0" applyBorder="0" applyAlignment="0" applyProtection="0"/>
    <xf numFmtId="0" fontId="24" fillId="0" borderId="0"/>
    <xf numFmtId="3" fontId="48" fillId="0" borderId="0">
      <alignment vertical="center"/>
    </xf>
    <xf numFmtId="0" fontId="48" fillId="0" borderId="0"/>
    <xf numFmtId="0" fontId="48" fillId="0" borderId="0"/>
    <xf numFmtId="0" fontId="48" fillId="61" borderId="29" applyNumberFormat="0" applyFont="0" applyAlignment="0" applyProtection="0"/>
    <xf numFmtId="0" fontId="119" fillId="54" borderId="30" applyNumberFormat="0" applyAlignment="0" applyProtection="0"/>
    <xf numFmtId="0" fontId="120" fillId="0" borderId="0" applyNumberFormat="0" applyFill="0" applyBorder="0" applyAlignment="0" applyProtection="0"/>
    <xf numFmtId="0" fontId="121" fillId="0" borderId="0" applyNumberFormat="0" applyFill="0" applyBorder="0" applyAlignment="0" applyProtection="0"/>
    <xf numFmtId="0" fontId="122" fillId="0" borderId="0" applyNumberFormat="0" applyFill="0" applyBorder="0" applyAlignment="0" applyProtection="0"/>
    <xf numFmtId="0" fontId="123" fillId="0" borderId="31" applyNumberFormat="0" applyFill="0" applyAlignment="0" applyProtection="0"/>
    <xf numFmtId="0" fontId="124" fillId="0" borderId="32" applyNumberFormat="0" applyFill="0" applyAlignment="0" applyProtection="0"/>
    <xf numFmtId="0" fontId="115" fillId="0" borderId="33" applyNumberFormat="0" applyFill="0" applyAlignment="0" applyProtection="0"/>
    <xf numFmtId="0" fontId="125" fillId="0" borderId="34" applyNumberFormat="0" applyFill="0" applyAlignment="0" applyProtection="0"/>
    <xf numFmtId="0" fontId="23" fillId="0" borderId="0"/>
    <xf numFmtId="0" fontId="23" fillId="13" borderId="20" applyNumberFormat="0" applyFont="0" applyAlignment="0" applyProtection="0"/>
    <xf numFmtId="0" fontId="23" fillId="15" borderId="0" applyNumberFormat="0" applyBorder="0" applyAlignment="0" applyProtection="0"/>
    <xf numFmtId="0" fontId="23" fillId="16"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2" fillId="0" borderId="0"/>
    <xf numFmtId="0" fontId="21" fillId="0" borderId="0"/>
    <xf numFmtId="0" fontId="109" fillId="0" borderId="0"/>
    <xf numFmtId="0" fontId="20" fillId="0" borderId="0"/>
    <xf numFmtId="0" fontId="19" fillId="0" borderId="0"/>
    <xf numFmtId="0" fontId="18" fillId="23" borderId="0" applyNumberFormat="0" applyBorder="0" applyAlignment="0" applyProtection="0"/>
    <xf numFmtId="9"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9" fontId="1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18" fillId="24" borderId="0" applyNumberFormat="0" applyBorder="0" applyAlignment="0" applyProtection="0"/>
    <xf numFmtId="0" fontId="18" fillId="31" borderId="0" applyNumberFormat="0" applyBorder="0" applyAlignment="0" applyProtection="0"/>
    <xf numFmtId="0" fontId="18" fillId="0" borderId="0"/>
    <xf numFmtId="166" fontId="18" fillId="0" borderId="0" applyFont="0" applyFill="0" applyBorder="0" applyAlignment="0" applyProtection="0"/>
    <xf numFmtId="0" fontId="18" fillId="20" borderId="0" applyNumberFormat="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48" fillId="0" borderId="0" applyFont="0" applyFill="0" applyBorder="0" applyAlignment="0" applyProtection="0"/>
    <xf numFmtId="0" fontId="18" fillId="0" borderId="0"/>
    <xf numFmtId="166" fontId="4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13" borderId="20" applyNumberFormat="0" applyFont="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19" borderId="0" applyNumberFormat="0" applyBorder="0" applyAlignment="0" applyProtection="0"/>
    <xf numFmtId="0" fontId="18" fillId="16" borderId="0" applyNumberFormat="0" applyBorder="0" applyAlignment="0" applyProtection="0"/>
    <xf numFmtId="166" fontId="4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166" fontId="48" fillId="0" borderId="0" applyFont="0" applyFill="0" applyBorder="0" applyAlignment="0" applyProtection="0"/>
    <xf numFmtId="166" fontId="4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48" fillId="0" borderId="0"/>
    <xf numFmtId="166" fontId="48" fillId="0" borderId="0" applyFont="0" applyFill="0" applyBorder="0" applyAlignment="0" applyProtection="0"/>
    <xf numFmtId="166" fontId="48" fillId="0" borderId="0" applyFont="0" applyFill="0" applyBorder="0" applyAlignment="0" applyProtection="0"/>
    <xf numFmtId="0" fontId="18" fillId="0" borderId="0"/>
    <xf numFmtId="0" fontId="18" fillId="0" borderId="0"/>
    <xf numFmtId="0" fontId="18" fillId="0" borderId="0"/>
    <xf numFmtId="0" fontId="18" fillId="32" borderId="0" applyNumberFormat="0" applyBorder="0" applyAlignment="0" applyProtection="0"/>
    <xf numFmtId="0" fontId="18" fillId="15" borderId="0" applyNumberFormat="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166"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18" fillId="0" borderId="0" applyFont="0" applyFill="0" applyBorder="0" applyAlignment="0" applyProtection="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27" borderId="0" applyNumberFormat="0" applyBorder="0" applyAlignment="0" applyProtection="0"/>
    <xf numFmtId="0" fontId="18" fillId="28"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166" fontId="18" fillId="0" borderId="0" applyFont="0" applyFill="0" applyBorder="0" applyAlignment="0" applyProtection="0"/>
    <xf numFmtId="0" fontId="17" fillId="0" borderId="0"/>
    <xf numFmtId="0" fontId="17" fillId="13" borderId="20" applyNumberFormat="0" applyFont="0" applyAlignment="0" applyProtection="0"/>
    <xf numFmtId="0" fontId="17" fillId="15" borderId="0" applyNumberFormat="0" applyBorder="0" applyAlignment="0" applyProtection="0"/>
    <xf numFmtId="0" fontId="17" fillId="16"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6" fillId="0" borderId="0"/>
    <xf numFmtId="0" fontId="16" fillId="0" borderId="0"/>
    <xf numFmtId="0" fontId="16" fillId="0" borderId="0"/>
    <xf numFmtId="0" fontId="16" fillId="0" borderId="0"/>
    <xf numFmtId="166" fontId="48" fillId="0" borderId="0" applyFont="0" applyFill="0" applyBorder="0" applyAlignment="0" applyProtection="0"/>
    <xf numFmtId="0" fontId="16" fillId="0" borderId="0"/>
    <xf numFmtId="166" fontId="48"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166" fontId="16" fillId="0" borderId="0" applyFont="0" applyFill="0" applyBorder="0" applyAlignment="0" applyProtection="0"/>
    <xf numFmtId="166" fontId="48" fillId="0" borderId="0" applyFont="0" applyFill="0" applyBorder="0" applyAlignment="0" applyProtection="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166" fontId="16" fillId="0" borderId="0" applyFont="0" applyFill="0" applyBorder="0" applyAlignment="0" applyProtection="0"/>
    <xf numFmtId="0" fontId="15" fillId="0" borderId="0"/>
    <xf numFmtId="0" fontId="128" fillId="0" borderId="0"/>
    <xf numFmtId="1" fontId="128" fillId="0" borderId="0" applyBorder="0" applyProtection="0"/>
    <xf numFmtId="0" fontId="14" fillId="0" borderId="0"/>
    <xf numFmtId="0" fontId="13" fillId="0" borderId="0"/>
    <xf numFmtId="0" fontId="12" fillId="0" borderId="0"/>
    <xf numFmtId="0" fontId="12" fillId="13" borderId="20" applyNumberFormat="0" applyFont="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11" fillId="0" borderId="0"/>
    <xf numFmtId="0" fontId="129" fillId="62" borderId="0"/>
    <xf numFmtId="0" fontId="55" fillId="0" borderId="0"/>
    <xf numFmtId="0" fontId="130" fillId="0" borderId="0" applyNumberFormat="0" applyFill="0" applyBorder="0" applyAlignment="0" applyProtection="0">
      <alignment vertical="top"/>
      <protection locked="0"/>
    </xf>
    <xf numFmtId="0" fontId="48" fillId="0" borderId="0"/>
    <xf numFmtId="0" fontId="10" fillId="0" borderId="0"/>
    <xf numFmtId="0" fontId="9" fillId="0" borderId="0"/>
    <xf numFmtId="0" fontId="9" fillId="13" borderId="20"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8" fillId="0" borderId="0"/>
    <xf numFmtId="0" fontId="7" fillId="0" borderId="0"/>
    <xf numFmtId="3" fontId="48" fillId="0" borderId="0" applyFill="0" applyBorder="0" applyAlignment="0" applyProtection="0"/>
    <xf numFmtId="0" fontId="131" fillId="0" borderId="0" applyNumberFormat="0" applyFill="0" applyBorder="0" applyAlignment="0" applyProtection="0">
      <alignment vertical="top"/>
      <protection locked="0"/>
    </xf>
    <xf numFmtId="166" fontId="48" fillId="0" borderId="0" applyFont="0" applyFill="0" applyBorder="0" applyAlignment="0" applyProtection="0"/>
    <xf numFmtId="0" fontId="6" fillId="0" borderId="0"/>
    <xf numFmtId="0" fontId="48" fillId="0" borderId="0"/>
    <xf numFmtId="0" fontId="5" fillId="0" borderId="0"/>
    <xf numFmtId="9" fontId="5" fillId="0" borderId="0" applyFont="0" applyFill="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132" fillId="0" borderId="0"/>
    <xf numFmtId="9" fontId="48" fillId="0" borderId="0" applyFont="0" applyFill="0" applyBorder="0" applyAlignment="0" applyProtection="0"/>
    <xf numFmtId="0" fontId="47" fillId="0" borderId="1">
      <protection locked="0"/>
    </xf>
    <xf numFmtId="166" fontId="5" fillId="0" borderId="0" applyFont="0" applyFill="0" applyBorder="0" applyAlignment="0" applyProtection="0"/>
    <xf numFmtId="166" fontId="5" fillId="0" borderId="0" applyFont="0" applyFill="0" applyBorder="0" applyAlignment="0" applyProtection="0"/>
    <xf numFmtId="0" fontId="81" fillId="9" borderId="0" applyNumberFormat="0" applyBorder="0" applyAlignment="0" applyProtection="0"/>
    <xf numFmtId="0" fontId="89" fillId="17" borderId="0" applyNumberFormat="0" applyBorder="0" applyAlignment="0" applyProtection="0"/>
    <xf numFmtId="0" fontId="89" fillId="21" borderId="0" applyNumberFormat="0" applyBorder="0" applyAlignment="0" applyProtection="0"/>
    <xf numFmtId="0" fontId="89" fillId="25" borderId="0" applyNumberFormat="0" applyBorder="0" applyAlignment="0" applyProtection="0"/>
    <xf numFmtId="0" fontId="89" fillId="29" borderId="0" applyNumberFormat="0" applyBorder="0" applyAlignment="0" applyProtection="0"/>
    <xf numFmtId="0" fontId="89" fillId="33" borderId="0" applyNumberFormat="0" applyBorder="0" applyAlignment="0" applyProtection="0"/>
    <xf numFmtId="0" fontId="89" fillId="37" borderId="0" applyNumberFormat="0" applyBorder="0" applyAlignment="0" applyProtection="0"/>
    <xf numFmtId="0" fontId="5" fillId="0" borderId="0"/>
    <xf numFmtId="0" fontId="5" fillId="13" borderId="20" applyNumberFormat="0" applyFont="0" applyAlignment="0" applyProtection="0"/>
    <xf numFmtId="0" fontId="5" fillId="0" borderId="0"/>
    <xf numFmtId="166" fontId="48" fillId="0" borderId="0" applyFont="0" applyFill="0" applyBorder="0" applyAlignment="0" applyProtection="0"/>
    <xf numFmtId="166" fontId="48" fillId="0" borderId="0" applyFont="0" applyFill="0" applyBorder="0" applyAlignment="0" applyProtection="0"/>
    <xf numFmtId="43" fontId="5"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44" fontId="5" fillId="0" borderId="0" applyFont="0" applyFill="0" applyBorder="0" applyAlignment="0" applyProtection="0"/>
    <xf numFmtId="165" fontId="48"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48" fillId="0" borderId="0" applyNumberFormat="0" applyFill="0" applyBorder="0" applyAlignment="0" applyProtection="0"/>
    <xf numFmtId="166" fontId="48" fillId="0" borderId="0" applyFont="0" applyFill="0" applyBorder="0" applyAlignment="0" applyProtection="0"/>
    <xf numFmtId="0" fontId="5" fillId="0" borderId="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166" fontId="5" fillId="0" borderId="0" applyFont="0" applyFill="0" applyBorder="0" applyAlignment="0" applyProtection="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101"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101"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5" fontId="5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48" fillId="0" borderId="0" applyFont="0" applyFill="0" applyBorder="0" applyAlignment="0" applyProtection="0"/>
    <xf numFmtId="166" fontId="5" fillId="0" borderId="0" applyFont="0" applyFill="0" applyBorder="0" applyAlignment="0" applyProtection="0"/>
    <xf numFmtId="165" fontId="48"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165" fontId="48"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165" fontId="48"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48" fillId="0" borderId="0" applyFont="0" applyFill="0" applyBorder="0" applyAlignment="0" applyProtection="0"/>
    <xf numFmtId="166" fontId="5" fillId="0" borderId="0" applyFont="0" applyFill="0" applyBorder="0" applyAlignment="0" applyProtection="0"/>
    <xf numFmtId="165" fontId="48"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165" fontId="48"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48" fillId="0" borderId="0" applyFont="0" applyFill="0" applyBorder="0" applyAlignment="0" applyProtection="0"/>
    <xf numFmtId="165" fontId="48" fillId="0" borderId="0" applyFont="0" applyFill="0" applyBorder="0" applyAlignment="0" applyProtection="0"/>
    <xf numFmtId="166" fontId="48" fillId="0" borderId="0" applyFont="0" applyFill="0" applyBorder="0" applyAlignment="0" applyProtection="0"/>
    <xf numFmtId="165" fontId="48" fillId="0" borderId="0" applyFont="0" applyFill="0" applyBorder="0" applyAlignment="0" applyProtection="0"/>
    <xf numFmtId="166" fontId="48" fillId="0" borderId="0" applyFont="0" applyFill="0" applyBorder="0" applyAlignment="0" applyProtection="0"/>
    <xf numFmtId="165" fontId="48" fillId="0" borderId="0" applyFont="0" applyFill="0" applyBorder="0" applyAlignment="0" applyProtection="0"/>
    <xf numFmtId="166" fontId="48" fillId="0" borderId="0" applyFont="0" applyFill="0" applyBorder="0" applyAlignment="0" applyProtection="0"/>
    <xf numFmtId="0" fontId="5" fillId="0" borderId="0"/>
    <xf numFmtId="166" fontId="48" fillId="0" borderId="0" applyFont="0" applyFill="0" applyBorder="0" applyAlignment="0" applyProtection="0"/>
    <xf numFmtId="166" fontId="5" fillId="0" borderId="0" applyFont="0" applyFill="0" applyBorder="0" applyAlignment="0" applyProtection="0"/>
    <xf numFmtId="165" fontId="48"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48" fillId="0" borderId="0" applyFont="0" applyFill="0" applyBorder="0" applyAlignment="0" applyProtection="0"/>
    <xf numFmtId="0" fontId="5" fillId="0" borderId="0"/>
    <xf numFmtId="9" fontId="5" fillId="0" borderId="0" applyFont="0" applyFill="0" applyBorder="0" applyAlignment="0" applyProtection="0"/>
    <xf numFmtId="166" fontId="48"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5"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5" fillId="0" borderId="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5" fillId="0" borderId="0"/>
    <xf numFmtId="9" fontId="5" fillId="0" borderId="0" applyFont="0" applyFill="0" applyBorder="0" applyAlignment="0" applyProtection="0"/>
    <xf numFmtId="166" fontId="48"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166" fontId="48" fillId="0" borderId="0" applyFont="0" applyFill="0" applyBorder="0" applyAlignment="0" applyProtection="0"/>
    <xf numFmtId="166" fontId="48"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48" fillId="0" borderId="0" applyFont="0" applyFill="0" applyBorder="0" applyAlignment="0" applyProtection="0"/>
    <xf numFmtId="0" fontId="5" fillId="0" borderId="0"/>
    <xf numFmtId="166" fontId="4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166" fontId="10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166" fontId="48" fillId="0" borderId="0" applyFont="0" applyFill="0" applyBorder="0" applyAlignment="0" applyProtection="0"/>
    <xf numFmtId="166" fontId="4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189" fontId="48" fillId="0" borderId="0" applyFont="0" applyFill="0" applyBorder="0" applyAlignment="0" applyProtection="0"/>
    <xf numFmtId="9" fontId="48"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166" fontId="101" fillId="0" borderId="0" applyFont="0" applyFill="0" applyBorder="0" applyAlignment="0" applyProtection="0"/>
    <xf numFmtId="0" fontId="5" fillId="0" borderId="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0" fontId="5" fillId="0" borderId="0"/>
    <xf numFmtId="166" fontId="48" fillId="0" borderId="0" applyFont="0" applyFill="0" applyBorder="0" applyAlignment="0" applyProtection="0"/>
    <xf numFmtId="0" fontId="5" fillId="0" borderId="0"/>
    <xf numFmtId="0" fontId="5" fillId="0" borderId="0"/>
    <xf numFmtId="0" fontId="5" fillId="23" borderId="0" applyNumberFormat="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9" fontId="5"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166" fontId="48" fillId="0" borderId="0" applyFont="0" applyFill="0" applyBorder="0" applyAlignment="0" applyProtection="0"/>
    <xf numFmtId="0" fontId="5" fillId="24" borderId="0" applyNumberFormat="0" applyBorder="0" applyAlignment="0" applyProtection="0"/>
    <xf numFmtId="0" fontId="5" fillId="31" borderId="0" applyNumberFormat="0" applyBorder="0" applyAlignment="0" applyProtection="0"/>
    <xf numFmtId="0" fontId="5" fillId="0" borderId="0"/>
    <xf numFmtId="166" fontId="5" fillId="0" borderId="0" applyFont="0" applyFill="0" applyBorder="0" applyAlignment="0" applyProtection="0"/>
    <xf numFmtId="0" fontId="5" fillId="20"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48" fillId="0" borderId="0" applyFont="0" applyFill="0" applyBorder="0" applyAlignment="0" applyProtection="0"/>
    <xf numFmtId="0" fontId="5" fillId="0" borderId="0"/>
    <xf numFmtId="166" fontId="4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13" borderId="20"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19" borderId="0" applyNumberFormat="0" applyBorder="0" applyAlignment="0" applyProtection="0"/>
    <xf numFmtId="0" fontId="5" fillId="16" borderId="0" applyNumberFormat="0" applyBorder="0" applyAlignment="0" applyProtection="0"/>
    <xf numFmtId="166" fontId="48"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166" fontId="48" fillId="0" borderId="0" applyFont="0" applyFill="0" applyBorder="0" applyAlignment="0" applyProtection="0"/>
    <xf numFmtId="166" fontId="4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48" fillId="0" borderId="0" applyFont="0" applyFill="0" applyBorder="0" applyAlignment="0" applyProtection="0"/>
    <xf numFmtId="166" fontId="48" fillId="0" borderId="0" applyFont="0" applyFill="0" applyBorder="0" applyAlignment="0" applyProtection="0"/>
    <xf numFmtId="0" fontId="5" fillId="0" borderId="0"/>
    <xf numFmtId="0" fontId="5" fillId="0" borderId="0"/>
    <xf numFmtId="0" fontId="5" fillId="0" borderId="0"/>
    <xf numFmtId="0" fontId="5" fillId="32" borderId="0" applyNumberFormat="0" applyBorder="0" applyAlignment="0" applyProtection="0"/>
    <xf numFmtId="0" fontId="5" fillId="15"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7" borderId="0" applyNumberFormat="0" applyBorder="0" applyAlignment="0" applyProtection="0"/>
    <xf numFmtId="0" fontId="5" fillId="28"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166" fontId="5" fillId="0" borderId="0" applyFont="0" applyFill="0" applyBorder="0" applyAlignment="0" applyProtection="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0" fontId="5" fillId="0" borderId="0"/>
    <xf numFmtId="0" fontId="5" fillId="0" borderId="0"/>
    <xf numFmtId="0" fontId="5" fillId="0" borderId="0"/>
    <xf numFmtId="166" fontId="48" fillId="0" borderId="0" applyFont="0" applyFill="0" applyBorder="0" applyAlignment="0" applyProtection="0"/>
    <xf numFmtId="0" fontId="5" fillId="0" borderId="0"/>
    <xf numFmtId="166" fontId="48"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166" fontId="5" fillId="0" borderId="0" applyFont="0" applyFill="0" applyBorder="0" applyAlignment="0" applyProtection="0"/>
    <xf numFmtId="166" fontId="48" fillId="0" borderId="0" applyFont="0" applyFill="0" applyBorder="0" applyAlignment="0" applyProtection="0"/>
    <xf numFmtId="0" fontId="5" fillId="0" borderId="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0" fontId="5" fillId="0" borderId="0"/>
    <xf numFmtId="0" fontId="5" fillId="0" borderId="0"/>
    <xf numFmtId="0" fontId="5" fillId="13" borderId="20"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0" borderId="0"/>
    <xf numFmtId="0" fontId="5" fillId="0" borderId="0"/>
    <xf numFmtId="166" fontId="48" fillId="0" borderId="0" applyFont="0" applyFill="0" applyBorder="0" applyAlignment="0" applyProtection="0"/>
    <xf numFmtId="0" fontId="5" fillId="0" borderId="0"/>
    <xf numFmtId="0" fontId="119" fillId="54" borderId="30" applyNumberFormat="0" applyAlignment="0" applyProtection="0"/>
    <xf numFmtId="0" fontId="112" fillId="54" borderId="25" applyNumberFormat="0" applyAlignment="0" applyProtection="0"/>
    <xf numFmtId="0" fontId="116" fillId="45" borderId="25" applyNumberFormat="0" applyAlignment="0" applyProtection="0"/>
    <xf numFmtId="0" fontId="125" fillId="0" borderId="34" applyNumberFormat="0" applyFill="0" applyAlignment="0" applyProtection="0"/>
    <xf numFmtId="0" fontId="48" fillId="61" borderId="29" applyNumberFormat="0" applyFont="0" applyAlignment="0" applyProtection="0"/>
    <xf numFmtId="0" fontId="112" fillId="54" borderId="25" applyNumberFormat="0" applyAlignment="0" applyProtection="0"/>
    <xf numFmtId="0" fontId="116" fillId="45" borderId="25" applyNumberFormat="0" applyAlignment="0" applyProtection="0"/>
    <xf numFmtId="0" fontId="48" fillId="61" borderId="29" applyNumberFormat="0" applyFont="0" applyAlignment="0" applyProtection="0"/>
    <xf numFmtId="0" fontId="119" fillId="54" borderId="30" applyNumberFormat="0" applyAlignment="0" applyProtection="0"/>
    <xf numFmtId="0" fontId="125" fillId="0" borderId="34" applyNumberFormat="0" applyFill="0" applyAlignment="0" applyProtection="0"/>
    <xf numFmtId="0" fontId="4" fillId="0" borderId="0"/>
    <xf numFmtId="166" fontId="48" fillId="0" borderId="0" applyFont="0" applyFill="0" applyBorder="0" applyAlignment="0" applyProtection="0"/>
    <xf numFmtId="180" fontId="133" fillId="0" borderId="0" applyFont="0" applyFill="0" applyBorder="0" applyAlignment="0" applyProtection="0"/>
    <xf numFmtId="0" fontId="3" fillId="0" borderId="0"/>
    <xf numFmtId="166" fontId="48" fillId="0" borderId="0" applyFont="0" applyFill="0" applyBorder="0" applyAlignment="0" applyProtection="0"/>
    <xf numFmtId="0" fontId="2" fillId="0" borderId="0"/>
    <xf numFmtId="0" fontId="2" fillId="13" borderId="20"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180" fontId="134" fillId="0" borderId="0" applyFont="0" applyFill="0" applyBorder="0" applyAlignment="0" applyProtection="0"/>
    <xf numFmtId="0" fontId="1" fillId="0" borderId="0"/>
    <xf numFmtId="0" fontId="1" fillId="13" borderId="20"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cellStyleXfs>
  <cellXfs count="122">
    <xf numFmtId="0" fontId="0" fillId="0" borderId="0" xfId="0"/>
    <xf numFmtId="0" fontId="52" fillId="2" borderId="0" xfId="0" applyFont="1" applyFill="1"/>
    <xf numFmtId="0" fontId="0" fillId="2" borderId="0" xfId="0" applyFill="1"/>
    <xf numFmtId="0" fontId="52" fillId="2" borderId="0" xfId="0" applyFont="1" applyFill="1" applyAlignment="1">
      <alignment vertical="center"/>
    </xf>
    <xf numFmtId="0" fontId="52" fillId="2" borderId="0" xfId="0" applyFont="1" applyFill="1" applyAlignment="1">
      <alignment vertical="center" wrapText="1"/>
    </xf>
    <xf numFmtId="0" fontId="51" fillId="2" borderId="0" xfId="0" applyFont="1" applyFill="1"/>
    <xf numFmtId="0" fontId="61" fillId="2" borderId="0" xfId="0" applyFont="1" applyFill="1"/>
    <xf numFmtId="0" fontId="58" fillId="2" borderId="0" xfId="0" applyFont="1" applyFill="1" applyAlignment="1">
      <alignment vertical="center"/>
    </xf>
    <xf numFmtId="0" fontId="64" fillId="2" borderId="0" xfId="0" applyFont="1" applyFill="1" applyAlignment="1">
      <alignment horizontal="center" vertical="center"/>
    </xf>
    <xf numFmtId="0" fontId="62" fillId="2" borderId="0" xfId="0" applyFont="1" applyFill="1" applyAlignment="1">
      <alignment horizontal="left" vertical="center"/>
    </xf>
    <xf numFmtId="0" fontId="65" fillId="2" borderId="0" xfId="0" applyFont="1" applyFill="1" applyAlignment="1">
      <alignment horizontal="center" vertical="center"/>
    </xf>
    <xf numFmtId="0" fontId="66" fillId="2" borderId="0" xfId="0" applyFont="1" applyFill="1" applyAlignment="1">
      <alignment horizontal="center" vertical="center"/>
    </xf>
    <xf numFmtId="0" fontId="59" fillId="2" borderId="9" xfId="0" applyFont="1" applyFill="1" applyBorder="1" applyAlignment="1">
      <alignment horizontal="centerContinuous" vertical="center" wrapText="1"/>
    </xf>
    <xf numFmtId="0" fontId="61" fillId="2" borderId="3" xfId="0" applyFont="1" applyFill="1" applyBorder="1" applyAlignment="1">
      <alignment horizontal="center" vertical="center" wrapText="1"/>
    </xf>
    <xf numFmtId="0" fontId="59" fillId="2" borderId="4" xfId="0" applyFont="1" applyFill="1" applyBorder="1" applyAlignment="1">
      <alignment horizontal="centerContinuous" vertical="center" wrapText="1"/>
    </xf>
    <xf numFmtId="0" fontId="59" fillId="2" borderId="10" xfId="0" applyFont="1" applyFill="1" applyBorder="1" applyAlignment="1">
      <alignment horizontal="centerContinuous" vertical="center" wrapText="1"/>
    </xf>
    <xf numFmtId="1" fontId="60" fillId="2" borderId="3" xfId="0" applyNumberFormat="1" applyFont="1" applyFill="1" applyBorder="1" applyAlignment="1">
      <alignment horizontal="center"/>
    </xf>
    <xf numFmtId="1" fontId="60" fillId="2" borderId="5" xfId="0" applyNumberFormat="1" applyFont="1" applyFill="1" applyBorder="1" applyAlignment="1">
      <alignment horizontal="center"/>
    </xf>
    <xf numFmtId="0" fontId="63" fillId="2" borderId="0" xfId="0" applyFont="1" applyFill="1" applyAlignment="1">
      <alignment vertical="center"/>
    </xf>
    <xf numFmtId="0" fontId="69" fillId="2" borderId="0" xfId="0" applyFont="1" applyFill="1" applyAlignment="1">
      <alignment vertical="center"/>
    </xf>
    <xf numFmtId="0" fontId="52" fillId="2" borderId="0" xfId="0" applyFont="1" applyFill="1" applyAlignment="1">
      <alignment horizontal="center" vertical="center"/>
    </xf>
    <xf numFmtId="0" fontId="51" fillId="2" borderId="8" xfId="0" applyFont="1" applyFill="1" applyBorder="1" applyAlignment="1">
      <alignment vertical="center"/>
    </xf>
    <xf numFmtId="0" fontId="52" fillId="2" borderId="5" xfId="0" applyFont="1" applyFill="1" applyBorder="1" applyAlignment="1">
      <alignment horizontal="center" vertical="center"/>
    </xf>
    <xf numFmtId="10" fontId="60" fillId="2" borderId="7" xfId="0" applyNumberFormat="1" applyFont="1" applyFill="1" applyBorder="1" applyAlignment="1">
      <alignment horizontal="center"/>
    </xf>
    <xf numFmtId="10" fontId="59" fillId="2" borderId="9" xfId="0" applyNumberFormat="1" applyFont="1" applyFill="1" applyBorder="1" applyAlignment="1">
      <alignment horizontal="centerContinuous" vertical="center" wrapText="1"/>
    </xf>
    <xf numFmtId="10" fontId="61" fillId="2" borderId="0" xfId="0" applyNumberFormat="1" applyFont="1" applyFill="1"/>
    <xf numFmtId="2" fontId="61" fillId="0" borderId="0" xfId="0" applyNumberFormat="1" applyFont="1" applyAlignment="1">
      <alignment horizontal="center"/>
    </xf>
    <xf numFmtId="0" fontId="74" fillId="2" borderId="0" xfId="0" applyFont="1" applyFill="1" applyAlignment="1">
      <alignment vertical="center"/>
    </xf>
    <xf numFmtId="171" fontId="52" fillId="2" borderId="0" xfId="14" applyNumberFormat="1" applyFont="1" applyFill="1" applyProtection="1"/>
    <xf numFmtId="0" fontId="58" fillId="6" borderId="0" xfId="0" applyFont="1" applyFill="1" applyAlignment="1">
      <alignment vertical="center"/>
    </xf>
    <xf numFmtId="0" fontId="52" fillId="6" borderId="12" xfId="0" applyFont="1" applyFill="1" applyBorder="1" applyAlignment="1">
      <alignment horizontal="center" vertical="center"/>
    </xf>
    <xf numFmtId="172" fontId="52" fillId="2" borderId="0" xfId="0" applyNumberFormat="1" applyFont="1" applyFill="1" applyAlignment="1">
      <alignment vertical="center" wrapText="1"/>
    </xf>
    <xf numFmtId="172" fontId="52" fillId="2" borderId="0" xfId="0" applyNumberFormat="1" applyFont="1" applyFill="1"/>
    <xf numFmtId="172" fontId="52" fillId="2" borderId="0" xfId="14" applyNumberFormat="1" applyFont="1" applyFill="1" applyProtection="1"/>
    <xf numFmtId="190" fontId="96" fillId="0" borderId="0" xfId="0" applyNumberFormat="1" applyFont="1"/>
    <xf numFmtId="190" fontId="96" fillId="6" borderId="0" xfId="0" applyNumberFormat="1" applyFont="1" applyFill="1"/>
    <xf numFmtId="189" fontId="96" fillId="6" borderId="0" xfId="9848" applyFont="1" applyFill="1" applyBorder="1"/>
    <xf numFmtId="171" fontId="52" fillId="6" borderId="0" xfId="14" applyNumberFormat="1" applyFont="1" applyFill="1" applyProtection="1"/>
    <xf numFmtId="10" fontId="96" fillId="6" borderId="0" xfId="14" applyNumberFormat="1" applyFont="1" applyFill="1" applyProtection="1"/>
    <xf numFmtId="10" fontId="61" fillId="2" borderId="23" xfId="0" applyNumberFormat="1" applyFont="1" applyFill="1" applyBorder="1" applyAlignment="1">
      <alignment horizontal="center" vertical="center"/>
    </xf>
    <xf numFmtId="169" fontId="68" fillId="4" borderId="24" xfId="0" applyNumberFormat="1" applyFont="1" applyFill="1" applyBorder="1"/>
    <xf numFmtId="0" fontId="61" fillId="2" borderId="23" xfId="0" applyFont="1" applyFill="1" applyBorder="1" applyAlignment="1">
      <alignment horizontal="center" vertical="center" wrapText="1"/>
    </xf>
    <xf numFmtId="169" fontId="68" fillId="5" borderId="24" xfId="0" applyNumberFormat="1" applyFont="1" applyFill="1" applyBorder="1"/>
    <xf numFmtId="10" fontId="61" fillId="2" borderId="23" xfId="0" applyNumberFormat="1" applyFont="1" applyFill="1" applyBorder="1" applyAlignment="1">
      <alignment horizontal="center" vertical="center" wrapText="1"/>
    </xf>
    <xf numFmtId="10" fontId="61" fillId="2" borderId="35" xfId="0" applyNumberFormat="1" applyFont="1" applyFill="1" applyBorder="1" applyAlignment="1">
      <alignment horizontal="center" vertical="center" wrapText="1"/>
    </xf>
    <xf numFmtId="10" fontId="60" fillId="2" borderId="35" xfId="0" applyNumberFormat="1" applyFont="1" applyFill="1" applyBorder="1" applyAlignment="1">
      <alignment horizontal="center"/>
    </xf>
    <xf numFmtId="169" fontId="68" fillId="5" borderId="2" xfId="0" applyNumberFormat="1" applyFont="1" applyFill="1" applyBorder="1"/>
    <xf numFmtId="169" fontId="53" fillId="5" borderId="2" xfId="0" applyNumberFormat="1" applyFont="1" applyFill="1" applyBorder="1"/>
    <xf numFmtId="172" fontId="73" fillId="3" borderId="24" xfId="14" applyNumberFormat="1" applyFont="1" applyFill="1" applyBorder="1" applyProtection="1"/>
    <xf numFmtId="10" fontId="73" fillId="3" borderId="24" xfId="0" applyNumberFormat="1" applyFont="1" applyFill="1" applyBorder="1"/>
    <xf numFmtId="172" fontId="53" fillId="0" borderId="24" xfId="14" applyNumberFormat="1" applyFont="1" applyBorder="1" applyProtection="1"/>
    <xf numFmtId="10" fontId="53" fillId="0" borderId="24" xfId="0" applyNumberFormat="1" applyFont="1" applyBorder="1"/>
    <xf numFmtId="169" fontId="59" fillId="4" borderId="24" xfId="0" applyNumberFormat="1" applyFont="1" applyFill="1" applyBorder="1"/>
    <xf numFmtId="1" fontId="53" fillId="0" borderId="24" xfId="14" applyNumberFormat="1" applyFont="1" applyBorder="1" applyProtection="1"/>
    <xf numFmtId="169" fontId="73" fillId="3" borderId="2" xfId="0" applyNumberFormat="1" applyFont="1" applyFill="1" applyBorder="1"/>
    <xf numFmtId="169" fontId="53" fillId="0" borderId="2" xfId="0" applyNumberFormat="1" applyFont="1" applyBorder="1"/>
    <xf numFmtId="169" fontId="53" fillId="0" borderId="36" xfId="0" applyNumberFormat="1" applyFont="1" applyBorder="1"/>
    <xf numFmtId="0" fontId="58" fillId="0" borderId="0" xfId="0" applyFont="1" applyAlignment="1">
      <alignment vertical="center"/>
    </xf>
    <xf numFmtId="0" fontId="52" fillId="0" borderId="12" xfId="0" applyFont="1" applyBorder="1" applyAlignment="1">
      <alignment horizontal="center" vertical="center"/>
    </xf>
    <xf numFmtId="0" fontId="59" fillId="0" borderId="10" xfId="0" applyFont="1" applyBorder="1" applyAlignment="1">
      <alignment horizontal="centerContinuous" vertical="center" wrapText="1"/>
    </xf>
    <xf numFmtId="169" fontId="73" fillId="63" borderId="2" xfId="0" applyNumberFormat="1" applyFont="1" applyFill="1" applyBorder="1"/>
    <xf numFmtId="169" fontId="73" fillId="63" borderId="36" xfId="0" applyNumberFormat="1" applyFont="1" applyFill="1" applyBorder="1"/>
    <xf numFmtId="0" fontId="0" fillId="6" borderId="0" xfId="0" applyFill="1"/>
    <xf numFmtId="0" fontId="69" fillId="6" borderId="5" xfId="0" applyFont="1" applyFill="1" applyBorder="1" applyAlignment="1">
      <alignment vertical="center"/>
    </xf>
    <xf numFmtId="0" fontId="63" fillId="63" borderId="5" xfId="0" applyFont="1" applyFill="1" applyBorder="1" applyAlignment="1">
      <alignment vertical="center"/>
    </xf>
    <xf numFmtId="0" fontId="63" fillId="63" borderId="6" xfId="0" applyFont="1" applyFill="1" applyBorder="1" applyAlignment="1">
      <alignment horizontal="center" vertical="center"/>
    </xf>
    <xf numFmtId="0" fontId="51" fillId="2" borderId="0" xfId="0" applyFont="1" applyFill="1" applyAlignment="1">
      <alignment vertical="center"/>
    </xf>
    <xf numFmtId="0" fontId="51" fillId="6" borderId="0" xfId="0" applyFont="1" applyFill="1" applyAlignment="1">
      <alignment vertical="center"/>
    </xf>
    <xf numFmtId="0" fontId="51" fillId="6" borderId="0" xfId="0" applyFont="1" applyFill="1" applyAlignment="1">
      <alignment horizontal="left" vertical="center"/>
    </xf>
    <xf numFmtId="0" fontId="51" fillId="0" borderId="0" xfId="0" applyFont="1" applyAlignment="1">
      <alignment vertical="center"/>
    </xf>
    <xf numFmtId="1" fontId="68" fillId="63" borderId="39" xfId="12" applyNumberFormat="1" applyFont="1" applyFill="1" applyBorder="1" applyAlignment="1" applyProtection="1">
      <alignment horizontal="centerContinuous" vertical="center" wrapText="1"/>
    </xf>
    <xf numFmtId="1" fontId="68" fillId="63" borderId="40" xfId="12" applyNumberFormat="1" applyFont="1" applyFill="1" applyBorder="1" applyAlignment="1" applyProtection="1">
      <alignment horizontal="centerContinuous" vertical="center" wrapText="1"/>
    </xf>
    <xf numFmtId="1" fontId="68" fillId="63" borderId="39" xfId="13" applyNumberFormat="1" applyFont="1" applyFill="1" applyBorder="1" applyAlignment="1">
      <alignment horizontal="centerContinuous" vertical="center"/>
    </xf>
    <xf numFmtId="0" fontId="52" fillId="2" borderId="42" xfId="0" applyFont="1" applyFill="1" applyBorder="1" applyAlignment="1">
      <alignment horizontal="center" vertical="center"/>
    </xf>
    <xf numFmtId="0" fontId="51" fillId="0" borderId="43" xfId="0" applyFont="1" applyBorder="1" applyAlignment="1">
      <alignment horizontal="center" vertical="center"/>
    </xf>
    <xf numFmtId="0" fontId="67" fillId="2" borderId="44" xfId="0" applyFont="1" applyFill="1" applyBorder="1" applyAlignment="1">
      <alignment horizontal="center" vertical="center"/>
    </xf>
    <xf numFmtId="0" fontId="64" fillId="2" borderId="44" xfId="0" applyFont="1" applyFill="1" applyBorder="1" applyAlignment="1">
      <alignment horizontal="center" vertical="center"/>
    </xf>
    <xf numFmtId="0" fontId="53" fillId="2" borderId="0" xfId="0" applyFont="1" applyFill="1"/>
    <xf numFmtId="0" fontId="61" fillId="2" borderId="45" xfId="0" applyFont="1" applyFill="1" applyBorder="1" applyAlignment="1">
      <alignment horizontal="center" vertical="center" wrapText="1"/>
    </xf>
    <xf numFmtId="10" fontId="61" fillId="2" borderId="45" xfId="0" applyNumberFormat="1" applyFont="1" applyFill="1" applyBorder="1" applyAlignment="1">
      <alignment horizontal="center" vertical="center" wrapText="1"/>
    </xf>
    <xf numFmtId="1" fontId="53" fillId="0" borderId="46" xfId="14" applyNumberFormat="1" applyFont="1" applyBorder="1" applyProtection="1"/>
    <xf numFmtId="0" fontId="59" fillId="2" borderId="8" xfId="0" applyFont="1" applyFill="1" applyBorder="1" applyAlignment="1">
      <alignment horizontal="centerContinuous" vertical="center" wrapText="1"/>
    </xf>
    <xf numFmtId="1" fontId="60" fillId="2" borderId="9" xfId="0" applyNumberFormat="1" applyFont="1" applyFill="1" applyBorder="1" applyAlignment="1">
      <alignment horizontal="center"/>
    </xf>
    <xf numFmtId="0" fontId="53" fillId="2" borderId="9" xfId="0" applyFont="1" applyFill="1" applyBorder="1" applyAlignment="1">
      <alignment horizontal="center" vertical="center" wrapText="1"/>
    </xf>
    <xf numFmtId="10" fontId="53" fillId="2" borderId="9" xfId="0" applyNumberFormat="1" applyFont="1" applyFill="1" applyBorder="1" applyAlignment="1">
      <alignment horizontal="center" vertical="center" wrapText="1"/>
    </xf>
    <xf numFmtId="1" fontId="53" fillId="0" borderId="48" xfId="14" applyNumberFormat="1" applyFont="1" applyBorder="1" applyProtection="1"/>
    <xf numFmtId="1" fontId="136" fillId="63" borderId="39" xfId="13" applyNumberFormat="1" applyFont="1" applyFill="1" applyBorder="1" applyAlignment="1">
      <alignment horizontal="centerContinuous" vertical="center"/>
    </xf>
    <xf numFmtId="170" fontId="137" fillId="63" borderId="40" xfId="0" applyNumberFormat="1" applyFont="1" applyFill="1" applyBorder="1" applyAlignment="1">
      <alignment horizontal="centerContinuous"/>
    </xf>
    <xf numFmtId="1" fontId="136" fillId="2" borderId="3" xfId="0" applyNumberFormat="1" applyFont="1" applyFill="1" applyBorder="1" applyAlignment="1">
      <alignment horizontal="centerContinuous"/>
    </xf>
    <xf numFmtId="10" fontId="136" fillId="2" borderId="7" xfId="0" applyNumberFormat="1" applyFont="1" applyFill="1" applyBorder="1" applyAlignment="1">
      <alignment horizontal="centerContinuous"/>
    </xf>
    <xf numFmtId="169" fontId="73" fillId="3" borderId="49" xfId="0" applyNumberFormat="1" applyFont="1" applyFill="1" applyBorder="1"/>
    <xf numFmtId="1" fontId="59" fillId="2" borderId="50" xfId="0" applyNumberFormat="1" applyFont="1" applyFill="1" applyBorder="1" applyAlignment="1">
      <alignment horizontal="center" vertical="center"/>
    </xf>
    <xf numFmtId="1" fontId="59" fillId="2" borderId="37" xfId="0" applyNumberFormat="1" applyFont="1" applyFill="1" applyBorder="1" applyAlignment="1">
      <alignment horizontal="center" vertical="center"/>
    </xf>
    <xf numFmtId="1" fontId="138" fillId="2" borderId="8" xfId="0" applyNumberFormat="1" applyFont="1" applyFill="1" applyBorder="1" applyAlignment="1">
      <alignment horizontal="center" vertical="center"/>
    </xf>
    <xf numFmtId="1" fontId="138" fillId="2" borderId="35" xfId="0" applyNumberFormat="1" applyFont="1" applyFill="1" applyBorder="1" applyAlignment="1">
      <alignment horizontal="center" vertical="center"/>
    </xf>
    <xf numFmtId="1" fontId="73" fillId="2" borderId="8" xfId="0" applyNumberFormat="1" applyFont="1" applyFill="1" applyBorder="1" applyAlignment="1">
      <alignment horizontal="center" vertical="center"/>
    </xf>
    <xf numFmtId="1" fontId="73" fillId="2" borderId="23" xfId="0" applyNumberFormat="1" applyFont="1" applyFill="1" applyBorder="1" applyAlignment="1">
      <alignment horizontal="center" vertical="center"/>
    </xf>
    <xf numFmtId="1" fontId="73" fillId="2" borderId="5" xfId="0" applyNumberFormat="1" applyFont="1" applyFill="1" applyBorder="1" applyAlignment="1">
      <alignment horizontal="center" vertical="center"/>
    </xf>
    <xf numFmtId="1" fontId="73" fillId="2" borderId="9" xfId="0" applyNumberFormat="1" applyFont="1" applyFill="1" applyBorder="1" applyAlignment="1">
      <alignment horizontal="center" vertical="center"/>
    </xf>
    <xf numFmtId="172" fontId="73" fillId="3" borderId="44" xfId="14" applyNumberFormat="1" applyFont="1" applyFill="1" applyBorder="1" applyProtection="1"/>
    <xf numFmtId="169" fontId="68" fillId="4" borderId="44" xfId="0" applyNumberFormat="1" applyFont="1" applyFill="1" applyBorder="1"/>
    <xf numFmtId="169" fontId="68" fillId="5" borderId="44" xfId="0" applyNumberFormat="1" applyFont="1" applyFill="1" applyBorder="1"/>
    <xf numFmtId="10" fontId="73" fillId="3" borderId="44" xfId="0" applyNumberFormat="1" applyFont="1" applyFill="1" applyBorder="1"/>
    <xf numFmtId="1" fontId="73" fillId="3" borderId="44" xfId="14" applyNumberFormat="1" applyFont="1" applyFill="1" applyBorder="1" applyProtection="1"/>
    <xf numFmtId="1" fontId="73" fillId="3" borderId="46" xfId="14" applyNumberFormat="1" applyFont="1" applyFill="1" applyBorder="1" applyProtection="1"/>
    <xf numFmtId="1" fontId="73" fillId="3" borderId="51" xfId="14" applyNumberFormat="1" applyFont="1" applyFill="1" applyBorder="1" applyProtection="1"/>
    <xf numFmtId="1" fontId="59" fillId="2" borderId="38" xfId="0" applyNumberFormat="1" applyFont="1" applyFill="1" applyBorder="1" applyAlignment="1">
      <alignment horizontal="center" vertical="center"/>
    </xf>
    <xf numFmtId="1" fontId="59" fillId="2" borderId="52" xfId="0" applyNumberFormat="1" applyFont="1" applyFill="1" applyBorder="1" applyAlignment="1">
      <alignment horizontal="center" vertical="center"/>
    </xf>
    <xf numFmtId="1" fontId="59" fillId="2" borderId="47" xfId="0" applyNumberFormat="1" applyFont="1" applyFill="1" applyBorder="1" applyAlignment="1">
      <alignment horizontal="center" vertical="center"/>
    </xf>
    <xf numFmtId="1" fontId="136" fillId="63" borderId="39" xfId="13" applyNumberFormat="1" applyFont="1" applyFill="1" applyBorder="1" applyAlignment="1">
      <alignment horizontal="center" vertical="center"/>
    </xf>
    <xf numFmtId="1" fontId="136" fillId="2" borderId="3" xfId="0" applyNumberFormat="1" applyFont="1" applyFill="1" applyBorder="1" applyAlignment="1">
      <alignment horizontal="center" vertical="center"/>
    </xf>
    <xf numFmtId="1" fontId="68" fillId="63" borderId="41" xfId="13" applyNumberFormat="1" applyFont="1" applyFill="1" applyBorder="1" applyAlignment="1">
      <alignment horizontal="centerContinuous" vertical="center"/>
    </xf>
    <xf numFmtId="0" fontId="51" fillId="6" borderId="0" xfId="0" applyFont="1" applyFill="1"/>
    <xf numFmtId="1" fontId="60" fillId="2" borderId="9" xfId="0" applyNumberFormat="1" applyFont="1" applyFill="1" applyBorder="1" applyAlignment="1">
      <alignment horizontal="center" vertical="center"/>
    </xf>
    <xf numFmtId="191" fontId="52" fillId="2" borderId="0" xfId="0" applyNumberFormat="1" applyFont="1" applyFill="1" applyAlignment="1">
      <alignment vertical="center" wrapText="1"/>
    </xf>
    <xf numFmtId="172" fontId="137" fillId="0" borderId="24" xfId="14" applyNumberFormat="1" applyFont="1" applyBorder="1" applyProtection="1"/>
    <xf numFmtId="0" fontId="63" fillId="6" borderId="0" xfId="0" applyFont="1" applyFill="1" applyAlignment="1">
      <alignment vertical="center"/>
    </xf>
    <xf numFmtId="10" fontId="137" fillId="0" borderId="24" xfId="0" applyNumberFormat="1" applyFont="1" applyBorder="1"/>
    <xf numFmtId="1" fontId="137" fillId="0" borderId="24" xfId="14" applyNumberFormat="1" applyFont="1" applyBorder="1" applyProtection="1"/>
    <xf numFmtId="1" fontId="137" fillId="0" borderId="46" xfId="14" applyNumberFormat="1" applyFont="1" applyBorder="1" applyProtection="1"/>
    <xf numFmtId="1" fontId="137" fillId="0" borderId="48" xfId="14" applyNumberFormat="1" applyFont="1" applyBorder="1" applyProtection="1"/>
    <xf numFmtId="170" fontId="137" fillId="63" borderId="40" xfId="0" applyNumberFormat="1" applyFont="1" applyFill="1" applyBorder="1" applyAlignment="1">
      <alignment horizontal="centerContinuous" vertical="center"/>
    </xf>
  </cellXfs>
  <cellStyles count="12394">
    <cellStyle name="20% - Énfasis1" xfId="46" builtinId="30" customBuiltin="1"/>
    <cellStyle name="20% - Énfasis1 10" xfId="9923" xr:uid="{00000000-0005-0000-0000-000001000000}"/>
    <cellStyle name="20% - Énfasis1 10 2" xfId="11660" xr:uid="{00000000-0005-0000-0000-000002000000}"/>
    <cellStyle name="20% - Énfasis1 11" xfId="10254" xr:uid="{00000000-0005-0000-0000-000003000000}"/>
    <cellStyle name="20% - Énfasis1 11 2" xfId="11989" xr:uid="{00000000-0005-0000-0000-000004000000}"/>
    <cellStyle name="20% - Énfasis1 12" xfId="10538" xr:uid="{00000000-0005-0000-0000-000005000000}"/>
    <cellStyle name="20% - Énfasis1 12 2" xfId="12273" xr:uid="{00000000-0005-0000-0000-000006000000}"/>
    <cellStyle name="20% - Énfasis1 13" xfId="10585" xr:uid="{00000000-0005-0000-0000-000007000000}"/>
    <cellStyle name="20% - Énfasis1 13 2" xfId="12318" xr:uid="{00000000-0005-0000-0000-000008000000}"/>
    <cellStyle name="20% - Énfasis1 14" xfId="10605" xr:uid="{00000000-0005-0000-0000-000009000000}"/>
    <cellStyle name="20% - Énfasis1 14 2" xfId="12334" xr:uid="{00000000-0005-0000-0000-00000A000000}"/>
    <cellStyle name="20% - Énfasis1 15" xfId="10626" xr:uid="{00000000-0005-0000-0000-00000B000000}"/>
    <cellStyle name="20% - Énfasis1 16" xfId="12367" xr:uid="{00000000-0005-0000-0000-00000C000000}"/>
    <cellStyle name="20% - Énfasis1 17" xfId="12382" xr:uid="{00000000-0005-0000-0000-00000D000000}"/>
    <cellStyle name="20% - Énfasis1 2" xfId="153" xr:uid="{00000000-0005-0000-0000-00000E000000}"/>
    <cellStyle name="20% - Énfasis1 2 2" xfId="10673" xr:uid="{00000000-0005-0000-0000-00000F000000}"/>
    <cellStyle name="20% - Énfasis1 3" xfId="167" xr:uid="{00000000-0005-0000-0000-000010000000}"/>
    <cellStyle name="20% - Énfasis1 3 2" xfId="10687" xr:uid="{00000000-0005-0000-0000-000011000000}"/>
    <cellStyle name="20% - Énfasis1 4" xfId="181" xr:uid="{00000000-0005-0000-0000-000012000000}"/>
    <cellStyle name="20% - Énfasis1 4 2" xfId="10701" xr:uid="{00000000-0005-0000-0000-000013000000}"/>
    <cellStyle name="20% - Énfasis1 5" xfId="196" xr:uid="{00000000-0005-0000-0000-000014000000}"/>
    <cellStyle name="20% - Énfasis1 5 2" xfId="10716" xr:uid="{00000000-0005-0000-0000-000015000000}"/>
    <cellStyle name="20% - Énfasis1 6" xfId="210" xr:uid="{00000000-0005-0000-0000-000016000000}"/>
    <cellStyle name="20% - Énfasis1 6 2" xfId="10730" xr:uid="{00000000-0005-0000-0000-000017000000}"/>
    <cellStyle name="20% - Énfasis1 7" xfId="9834" xr:uid="{00000000-0005-0000-0000-000018000000}"/>
    <cellStyle name="20% - Énfasis1 7 2" xfId="11620" xr:uid="{00000000-0005-0000-0000-000019000000}"/>
    <cellStyle name="20% - Énfasis1 8" xfId="9853" xr:uid="{00000000-0005-0000-0000-00001A000000}"/>
    <cellStyle name="20% - Énfasis1 8 2" xfId="11638" xr:uid="{00000000-0005-0000-0000-00001B000000}"/>
    <cellStyle name="20% - Énfasis1 9" xfId="9872" xr:uid="{00000000-0005-0000-0000-00001C000000}"/>
    <cellStyle name="20% - Énfasis2" xfId="50" builtinId="34" customBuiltin="1"/>
    <cellStyle name="20% - Énfasis2 10" xfId="9925" xr:uid="{00000000-0005-0000-0000-00001E000000}"/>
    <cellStyle name="20% - Énfasis2 10 2" xfId="11662" xr:uid="{00000000-0005-0000-0000-00001F000000}"/>
    <cellStyle name="20% - Énfasis2 11" xfId="10192" xr:uid="{00000000-0005-0000-0000-000020000000}"/>
    <cellStyle name="20% - Énfasis2 11 2" xfId="11928" xr:uid="{00000000-0005-0000-0000-000021000000}"/>
    <cellStyle name="20% - Énfasis2 12" xfId="10540" xr:uid="{00000000-0005-0000-0000-000022000000}"/>
    <cellStyle name="20% - Énfasis2 12 2" xfId="12275" xr:uid="{00000000-0005-0000-0000-000023000000}"/>
    <cellStyle name="20% - Énfasis2 13" xfId="10587" xr:uid="{00000000-0005-0000-0000-000024000000}"/>
    <cellStyle name="20% - Énfasis2 13 2" xfId="12320" xr:uid="{00000000-0005-0000-0000-000025000000}"/>
    <cellStyle name="20% - Énfasis2 14" xfId="10607" xr:uid="{00000000-0005-0000-0000-000026000000}"/>
    <cellStyle name="20% - Énfasis2 14 2" xfId="12336" xr:uid="{00000000-0005-0000-0000-000027000000}"/>
    <cellStyle name="20% - Énfasis2 15" xfId="10628" xr:uid="{00000000-0005-0000-0000-000028000000}"/>
    <cellStyle name="20% - Énfasis2 16" xfId="12369" xr:uid="{00000000-0005-0000-0000-000029000000}"/>
    <cellStyle name="20% - Énfasis2 17" xfId="12384" xr:uid="{00000000-0005-0000-0000-00002A000000}"/>
    <cellStyle name="20% - Énfasis2 2" xfId="155" xr:uid="{00000000-0005-0000-0000-00002B000000}"/>
    <cellStyle name="20% - Énfasis2 2 2" xfId="10675" xr:uid="{00000000-0005-0000-0000-00002C000000}"/>
    <cellStyle name="20% - Énfasis2 3" xfId="169" xr:uid="{00000000-0005-0000-0000-00002D000000}"/>
    <cellStyle name="20% - Énfasis2 3 2" xfId="10689" xr:uid="{00000000-0005-0000-0000-00002E000000}"/>
    <cellStyle name="20% - Énfasis2 4" xfId="183" xr:uid="{00000000-0005-0000-0000-00002F000000}"/>
    <cellStyle name="20% - Énfasis2 4 2" xfId="10703" xr:uid="{00000000-0005-0000-0000-000030000000}"/>
    <cellStyle name="20% - Énfasis2 5" xfId="198" xr:uid="{00000000-0005-0000-0000-000031000000}"/>
    <cellStyle name="20% - Énfasis2 5 2" xfId="10718" xr:uid="{00000000-0005-0000-0000-000032000000}"/>
    <cellStyle name="20% - Énfasis2 6" xfId="212" xr:uid="{00000000-0005-0000-0000-000033000000}"/>
    <cellStyle name="20% - Énfasis2 6 2" xfId="10732" xr:uid="{00000000-0005-0000-0000-000034000000}"/>
    <cellStyle name="20% - Énfasis2 7" xfId="9836" xr:uid="{00000000-0005-0000-0000-000035000000}"/>
    <cellStyle name="20% - Énfasis2 7 2" xfId="11622" xr:uid="{00000000-0005-0000-0000-000036000000}"/>
    <cellStyle name="20% - Énfasis2 8" xfId="9855" xr:uid="{00000000-0005-0000-0000-000037000000}"/>
    <cellStyle name="20% - Énfasis2 8 2" xfId="11640" xr:uid="{00000000-0005-0000-0000-000038000000}"/>
    <cellStyle name="20% - Énfasis2 9" xfId="9873" xr:uid="{00000000-0005-0000-0000-000039000000}"/>
    <cellStyle name="20% - Énfasis3" xfId="54" builtinId="38" customBuiltin="1"/>
    <cellStyle name="20% - Énfasis3 10" xfId="9927" xr:uid="{00000000-0005-0000-0000-00003B000000}"/>
    <cellStyle name="20% - Énfasis3 10 2" xfId="11664" xr:uid="{00000000-0005-0000-0000-00003C000000}"/>
    <cellStyle name="20% - Énfasis3 11" xfId="9940" xr:uid="{00000000-0005-0000-0000-00003D000000}"/>
    <cellStyle name="20% - Énfasis3 11 2" xfId="11677" xr:uid="{00000000-0005-0000-0000-00003E000000}"/>
    <cellStyle name="20% - Énfasis3 12" xfId="10542" xr:uid="{00000000-0005-0000-0000-00003F000000}"/>
    <cellStyle name="20% - Énfasis3 12 2" xfId="12277" xr:uid="{00000000-0005-0000-0000-000040000000}"/>
    <cellStyle name="20% - Énfasis3 13" xfId="10589" xr:uid="{00000000-0005-0000-0000-000041000000}"/>
    <cellStyle name="20% - Énfasis3 13 2" xfId="12322" xr:uid="{00000000-0005-0000-0000-000042000000}"/>
    <cellStyle name="20% - Énfasis3 14" xfId="10609" xr:uid="{00000000-0005-0000-0000-000043000000}"/>
    <cellStyle name="20% - Énfasis3 14 2" xfId="12338" xr:uid="{00000000-0005-0000-0000-000044000000}"/>
    <cellStyle name="20% - Énfasis3 15" xfId="10630" xr:uid="{00000000-0005-0000-0000-000045000000}"/>
    <cellStyle name="20% - Énfasis3 16" xfId="12371" xr:uid="{00000000-0005-0000-0000-000046000000}"/>
    <cellStyle name="20% - Énfasis3 17" xfId="12386" xr:uid="{00000000-0005-0000-0000-000047000000}"/>
    <cellStyle name="20% - Énfasis3 2" xfId="157" xr:uid="{00000000-0005-0000-0000-000048000000}"/>
    <cellStyle name="20% - Énfasis3 2 2" xfId="10677" xr:uid="{00000000-0005-0000-0000-000049000000}"/>
    <cellStyle name="20% - Énfasis3 3" xfId="171" xr:uid="{00000000-0005-0000-0000-00004A000000}"/>
    <cellStyle name="20% - Énfasis3 3 2" xfId="10691" xr:uid="{00000000-0005-0000-0000-00004B000000}"/>
    <cellStyle name="20% - Énfasis3 4" xfId="185" xr:uid="{00000000-0005-0000-0000-00004C000000}"/>
    <cellStyle name="20% - Énfasis3 4 2" xfId="10705" xr:uid="{00000000-0005-0000-0000-00004D000000}"/>
    <cellStyle name="20% - Énfasis3 5" xfId="200" xr:uid="{00000000-0005-0000-0000-00004E000000}"/>
    <cellStyle name="20% - Énfasis3 5 2" xfId="10720" xr:uid="{00000000-0005-0000-0000-00004F000000}"/>
    <cellStyle name="20% - Énfasis3 6" xfId="214" xr:uid="{00000000-0005-0000-0000-000050000000}"/>
    <cellStyle name="20% - Énfasis3 6 2" xfId="10734" xr:uid="{00000000-0005-0000-0000-000051000000}"/>
    <cellStyle name="20% - Énfasis3 7" xfId="9838" xr:uid="{00000000-0005-0000-0000-000052000000}"/>
    <cellStyle name="20% - Énfasis3 7 2" xfId="11624" xr:uid="{00000000-0005-0000-0000-000053000000}"/>
    <cellStyle name="20% - Énfasis3 8" xfId="9857" xr:uid="{00000000-0005-0000-0000-000054000000}"/>
    <cellStyle name="20% - Énfasis3 8 2" xfId="11642" xr:uid="{00000000-0005-0000-0000-000055000000}"/>
    <cellStyle name="20% - Énfasis3 9" xfId="9874" xr:uid="{00000000-0005-0000-0000-000056000000}"/>
    <cellStyle name="20% - Énfasis4" xfId="58" builtinId="42" customBuiltin="1"/>
    <cellStyle name="20% - Énfasis4 10" xfId="9929" xr:uid="{00000000-0005-0000-0000-000058000000}"/>
    <cellStyle name="20% - Énfasis4 10 2" xfId="11666" xr:uid="{00000000-0005-0000-0000-000059000000}"/>
    <cellStyle name="20% - Énfasis4 11" xfId="10531" xr:uid="{00000000-0005-0000-0000-00005A000000}"/>
    <cellStyle name="20% - Énfasis4 11 2" xfId="12266" xr:uid="{00000000-0005-0000-0000-00005B000000}"/>
    <cellStyle name="20% - Énfasis4 12" xfId="10544" xr:uid="{00000000-0005-0000-0000-00005C000000}"/>
    <cellStyle name="20% - Énfasis4 12 2" xfId="12279" xr:uid="{00000000-0005-0000-0000-00005D000000}"/>
    <cellStyle name="20% - Énfasis4 13" xfId="10591" xr:uid="{00000000-0005-0000-0000-00005E000000}"/>
    <cellStyle name="20% - Énfasis4 13 2" xfId="12324" xr:uid="{00000000-0005-0000-0000-00005F000000}"/>
    <cellStyle name="20% - Énfasis4 14" xfId="10611" xr:uid="{00000000-0005-0000-0000-000060000000}"/>
    <cellStyle name="20% - Énfasis4 14 2" xfId="12340" xr:uid="{00000000-0005-0000-0000-000061000000}"/>
    <cellStyle name="20% - Énfasis4 15" xfId="10632" xr:uid="{00000000-0005-0000-0000-000062000000}"/>
    <cellStyle name="20% - Énfasis4 16" xfId="12373" xr:uid="{00000000-0005-0000-0000-000063000000}"/>
    <cellStyle name="20% - Énfasis4 17" xfId="12388" xr:uid="{00000000-0005-0000-0000-000064000000}"/>
    <cellStyle name="20% - Énfasis4 2" xfId="159" xr:uid="{00000000-0005-0000-0000-000065000000}"/>
    <cellStyle name="20% - Énfasis4 2 2" xfId="10679" xr:uid="{00000000-0005-0000-0000-000066000000}"/>
    <cellStyle name="20% - Énfasis4 3" xfId="173" xr:uid="{00000000-0005-0000-0000-000067000000}"/>
    <cellStyle name="20% - Énfasis4 3 2" xfId="10693" xr:uid="{00000000-0005-0000-0000-000068000000}"/>
    <cellStyle name="20% - Énfasis4 4" xfId="187" xr:uid="{00000000-0005-0000-0000-000069000000}"/>
    <cellStyle name="20% - Énfasis4 4 2" xfId="10707" xr:uid="{00000000-0005-0000-0000-00006A000000}"/>
    <cellStyle name="20% - Énfasis4 5" xfId="202" xr:uid="{00000000-0005-0000-0000-00006B000000}"/>
    <cellStyle name="20% - Énfasis4 5 2" xfId="10722" xr:uid="{00000000-0005-0000-0000-00006C000000}"/>
    <cellStyle name="20% - Énfasis4 6" xfId="216" xr:uid="{00000000-0005-0000-0000-00006D000000}"/>
    <cellStyle name="20% - Énfasis4 6 2" xfId="10736" xr:uid="{00000000-0005-0000-0000-00006E000000}"/>
    <cellStyle name="20% - Énfasis4 7" xfId="9840" xr:uid="{00000000-0005-0000-0000-00006F000000}"/>
    <cellStyle name="20% - Énfasis4 7 2" xfId="11626" xr:uid="{00000000-0005-0000-0000-000070000000}"/>
    <cellStyle name="20% - Énfasis4 8" xfId="9859" xr:uid="{00000000-0005-0000-0000-000071000000}"/>
    <cellStyle name="20% - Énfasis4 8 2" xfId="11644" xr:uid="{00000000-0005-0000-0000-000072000000}"/>
    <cellStyle name="20% - Énfasis4 9" xfId="9875" xr:uid="{00000000-0005-0000-0000-000073000000}"/>
    <cellStyle name="20% - Énfasis5" xfId="62" builtinId="46" customBuiltin="1"/>
    <cellStyle name="20% - Énfasis5 10" xfId="9931" xr:uid="{00000000-0005-0000-0000-000075000000}"/>
    <cellStyle name="20% - Énfasis5 10 2" xfId="11668" xr:uid="{00000000-0005-0000-0000-000076000000}"/>
    <cellStyle name="20% - Énfasis5 11" xfId="9953" xr:uid="{00000000-0005-0000-0000-000077000000}"/>
    <cellStyle name="20% - Énfasis5 11 2" xfId="11689" xr:uid="{00000000-0005-0000-0000-000078000000}"/>
    <cellStyle name="20% - Énfasis5 12" xfId="10546" xr:uid="{00000000-0005-0000-0000-000079000000}"/>
    <cellStyle name="20% - Énfasis5 12 2" xfId="12281" xr:uid="{00000000-0005-0000-0000-00007A000000}"/>
    <cellStyle name="20% - Énfasis5 13" xfId="10593" xr:uid="{00000000-0005-0000-0000-00007B000000}"/>
    <cellStyle name="20% - Énfasis5 13 2" xfId="12326" xr:uid="{00000000-0005-0000-0000-00007C000000}"/>
    <cellStyle name="20% - Énfasis5 14" xfId="10613" xr:uid="{00000000-0005-0000-0000-00007D000000}"/>
    <cellStyle name="20% - Énfasis5 14 2" xfId="12342" xr:uid="{00000000-0005-0000-0000-00007E000000}"/>
    <cellStyle name="20% - Énfasis5 15" xfId="10634" xr:uid="{00000000-0005-0000-0000-00007F000000}"/>
    <cellStyle name="20% - Énfasis5 16" xfId="12375" xr:uid="{00000000-0005-0000-0000-000080000000}"/>
    <cellStyle name="20% - Énfasis5 17" xfId="12390" xr:uid="{00000000-0005-0000-0000-000081000000}"/>
    <cellStyle name="20% - Énfasis5 2" xfId="161" xr:uid="{00000000-0005-0000-0000-000082000000}"/>
    <cellStyle name="20% - Énfasis5 2 2" xfId="10681" xr:uid="{00000000-0005-0000-0000-000083000000}"/>
    <cellStyle name="20% - Énfasis5 3" xfId="175" xr:uid="{00000000-0005-0000-0000-000084000000}"/>
    <cellStyle name="20% - Énfasis5 3 2" xfId="10695" xr:uid="{00000000-0005-0000-0000-000085000000}"/>
    <cellStyle name="20% - Énfasis5 4" xfId="189" xr:uid="{00000000-0005-0000-0000-000086000000}"/>
    <cellStyle name="20% - Énfasis5 4 2" xfId="10709" xr:uid="{00000000-0005-0000-0000-000087000000}"/>
    <cellStyle name="20% - Énfasis5 5" xfId="204" xr:uid="{00000000-0005-0000-0000-000088000000}"/>
    <cellStyle name="20% - Énfasis5 5 2" xfId="10724" xr:uid="{00000000-0005-0000-0000-000089000000}"/>
    <cellStyle name="20% - Énfasis5 6" xfId="218" xr:uid="{00000000-0005-0000-0000-00008A000000}"/>
    <cellStyle name="20% - Énfasis5 6 2" xfId="10738" xr:uid="{00000000-0005-0000-0000-00008B000000}"/>
    <cellStyle name="20% - Énfasis5 7" xfId="9842" xr:uid="{00000000-0005-0000-0000-00008C000000}"/>
    <cellStyle name="20% - Énfasis5 7 2" xfId="11628" xr:uid="{00000000-0005-0000-0000-00008D000000}"/>
    <cellStyle name="20% - Énfasis5 8" xfId="9861" xr:uid="{00000000-0005-0000-0000-00008E000000}"/>
    <cellStyle name="20% - Énfasis5 8 2" xfId="11646" xr:uid="{00000000-0005-0000-0000-00008F000000}"/>
    <cellStyle name="20% - Énfasis5 9" xfId="9876" xr:uid="{00000000-0005-0000-0000-000090000000}"/>
    <cellStyle name="20% - Énfasis6" xfId="66" builtinId="50" customBuiltin="1"/>
    <cellStyle name="20% - Énfasis6 10" xfId="9933" xr:uid="{00000000-0005-0000-0000-000092000000}"/>
    <cellStyle name="20% - Énfasis6 10 2" xfId="11670" xr:uid="{00000000-0005-0000-0000-000093000000}"/>
    <cellStyle name="20% - Énfasis6 11" xfId="10533" xr:uid="{00000000-0005-0000-0000-000094000000}"/>
    <cellStyle name="20% - Énfasis6 11 2" xfId="12268" xr:uid="{00000000-0005-0000-0000-000095000000}"/>
    <cellStyle name="20% - Énfasis6 12" xfId="10548" xr:uid="{00000000-0005-0000-0000-000096000000}"/>
    <cellStyle name="20% - Énfasis6 12 2" xfId="12283" xr:uid="{00000000-0005-0000-0000-000097000000}"/>
    <cellStyle name="20% - Énfasis6 13" xfId="10595" xr:uid="{00000000-0005-0000-0000-000098000000}"/>
    <cellStyle name="20% - Énfasis6 13 2" xfId="12328" xr:uid="{00000000-0005-0000-0000-000099000000}"/>
    <cellStyle name="20% - Énfasis6 14" xfId="10615" xr:uid="{00000000-0005-0000-0000-00009A000000}"/>
    <cellStyle name="20% - Énfasis6 14 2" xfId="12344" xr:uid="{00000000-0005-0000-0000-00009B000000}"/>
    <cellStyle name="20% - Énfasis6 15" xfId="10636" xr:uid="{00000000-0005-0000-0000-00009C000000}"/>
    <cellStyle name="20% - Énfasis6 16" xfId="12377" xr:uid="{00000000-0005-0000-0000-00009D000000}"/>
    <cellStyle name="20% - Énfasis6 17" xfId="12392" xr:uid="{00000000-0005-0000-0000-00009E000000}"/>
    <cellStyle name="20% - Énfasis6 2" xfId="163" xr:uid="{00000000-0005-0000-0000-00009F000000}"/>
    <cellStyle name="20% - Énfasis6 2 2" xfId="10683" xr:uid="{00000000-0005-0000-0000-0000A0000000}"/>
    <cellStyle name="20% - Énfasis6 3" xfId="177" xr:uid="{00000000-0005-0000-0000-0000A1000000}"/>
    <cellStyle name="20% - Énfasis6 3 2" xfId="10697" xr:uid="{00000000-0005-0000-0000-0000A2000000}"/>
    <cellStyle name="20% - Énfasis6 4" xfId="191" xr:uid="{00000000-0005-0000-0000-0000A3000000}"/>
    <cellStyle name="20% - Énfasis6 4 2" xfId="10711" xr:uid="{00000000-0005-0000-0000-0000A4000000}"/>
    <cellStyle name="20% - Énfasis6 5" xfId="206" xr:uid="{00000000-0005-0000-0000-0000A5000000}"/>
    <cellStyle name="20% - Énfasis6 5 2" xfId="10726" xr:uid="{00000000-0005-0000-0000-0000A6000000}"/>
    <cellStyle name="20% - Énfasis6 6" xfId="220" xr:uid="{00000000-0005-0000-0000-0000A7000000}"/>
    <cellStyle name="20% - Énfasis6 6 2" xfId="10740" xr:uid="{00000000-0005-0000-0000-0000A8000000}"/>
    <cellStyle name="20% - Énfasis6 7" xfId="9844" xr:uid="{00000000-0005-0000-0000-0000A9000000}"/>
    <cellStyle name="20% - Énfasis6 7 2" xfId="11630" xr:uid="{00000000-0005-0000-0000-0000AA000000}"/>
    <cellStyle name="20% - Énfasis6 8" xfId="9863" xr:uid="{00000000-0005-0000-0000-0000AB000000}"/>
    <cellStyle name="20% - Énfasis6 8 2" xfId="11648" xr:uid="{00000000-0005-0000-0000-0000AC000000}"/>
    <cellStyle name="20% - Énfasis6 9" xfId="9877" xr:uid="{00000000-0005-0000-0000-0000AD000000}"/>
    <cellStyle name="40% - Énfasis1" xfId="47" builtinId="31" customBuiltin="1"/>
    <cellStyle name="40% - Énfasis1 10" xfId="9924" xr:uid="{00000000-0005-0000-0000-0000AF000000}"/>
    <cellStyle name="40% - Énfasis1 10 2" xfId="11661" xr:uid="{00000000-0005-0000-0000-0000B0000000}"/>
    <cellStyle name="40% - Énfasis1 11" xfId="10193" xr:uid="{00000000-0005-0000-0000-0000B1000000}"/>
    <cellStyle name="40% - Énfasis1 11 2" xfId="11929" xr:uid="{00000000-0005-0000-0000-0000B2000000}"/>
    <cellStyle name="40% - Énfasis1 12" xfId="10539" xr:uid="{00000000-0005-0000-0000-0000B3000000}"/>
    <cellStyle name="40% - Énfasis1 12 2" xfId="12274" xr:uid="{00000000-0005-0000-0000-0000B4000000}"/>
    <cellStyle name="40% - Énfasis1 13" xfId="10586" xr:uid="{00000000-0005-0000-0000-0000B5000000}"/>
    <cellStyle name="40% - Énfasis1 13 2" xfId="12319" xr:uid="{00000000-0005-0000-0000-0000B6000000}"/>
    <cellStyle name="40% - Énfasis1 14" xfId="10606" xr:uid="{00000000-0005-0000-0000-0000B7000000}"/>
    <cellStyle name="40% - Énfasis1 14 2" xfId="12335" xr:uid="{00000000-0005-0000-0000-0000B8000000}"/>
    <cellStyle name="40% - Énfasis1 15" xfId="10627" xr:uid="{00000000-0005-0000-0000-0000B9000000}"/>
    <cellStyle name="40% - Énfasis1 16" xfId="12368" xr:uid="{00000000-0005-0000-0000-0000BA000000}"/>
    <cellStyle name="40% - Énfasis1 17" xfId="12383" xr:uid="{00000000-0005-0000-0000-0000BB000000}"/>
    <cellStyle name="40% - Énfasis1 2" xfId="154" xr:uid="{00000000-0005-0000-0000-0000BC000000}"/>
    <cellStyle name="40% - Énfasis1 2 2" xfId="10674" xr:uid="{00000000-0005-0000-0000-0000BD000000}"/>
    <cellStyle name="40% - Énfasis1 3" xfId="168" xr:uid="{00000000-0005-0000-0000-0000BE000000}"/>
    <cellStyle name="40% - Énfasis1 3 2" xfId="10688" xr:uid="{00000000-0005-0000-0000-0000BF000000}"/>
    <cellStyle name="40% - Énfasis1 4" xfId="182" xr:uid="{00000000-0005-0000-0000-0000C0000000}"/>
    <cellStyle name="40% - Énfasis1 4 2" xfId="10702" xr:uid="{00000000-0005-0000-0000-0000C1000000}"/>
    <cellStyle name="40% - Énfasis1 5" xfId="197" xr:uid="{00000000-0005-0000-0000-0000C2000000}"/>
    <cellStyle name="40% - Énfasis1 5 2" xfId="10717" xr:uid="{00000000-0005-0000-0000-0000C3000000}"/>
    <cellStyle name="40% - Énfasis1 6" xfId="211" xr:uid="{00000000-0005-0000-0000-0000C4000000}"/>
    <cellStyle name="40% - Énfasis1 6 2" xfId="10731" xr:uid="{00000000-0005-0000-0000-0000C5000000}"/>
    <cellStyle name="40% - Énfasis1 7" xfId="9835" xr:uid="{00000000-0005-0000-0000-0000C6000000}"/>
    <cellStyle name="40% - Énfasis1 7 2" xfId="11621" xr:uid="{00000000-0005-0000-0000-0000C7000000}"/>
    <cellStyle name="40% - Énfasis1 8" xfId="9854" xr:uid="{00000000-0005-0000-0000-0000C8000000}"/>
    <cellStyle name="40% - Énfasis1 8 2" xfId="11639" xr:uid="{00000000-0005-0000-0000-0000C9000000}"/>
    <cellStyle name="40% - Énfasis1 9" xfId="9878" xr:uid="{00000000-0005-0000-0000-0000CA000000}"/>
    <cellStyle name="40% - Énfasis2" xfId="51" builtinId="35" customBuiltin="1"/>
    <cellStyle name="40% - Énfasis2 10" xfId="9926" xr:uid="{00000000-0005-0000-0000-0000CC000000}"/>
    <cellStyle name="40% - Énfasis2 10 2" xfId="11663" xr:uid="{00000000-0005-0000-0000-0000CD000000}"/>
    <cellStyle name="40% - Énfasis2 11" xfId="9956" xr:uid="{00000000-0005-0000-0000-0000CE000000}"/>
    <cellStyle name="40% - Énfasis2 11 2" xfId="11692" xr:uid="{00000000-0005-0000-0000-0000CF000000}"/>
    <cellStyle name="40% - Énfasis2 12" xfId="10541" xr:uid="{00000000-0005-0000-0000-0000D0000000}"/>
    <cellStyle name="40% - Énfasis2 12 2" xfId="12276" xr:uid="{00000000-0005-0000-0000-0000D1000000}"/>
    <cellStyle name="40% - Énfasis2 13" xfId="10588" xr:uid="{00000000-0005-0000-0000-0000D2000000}"/>
    <cellStyle name="40% - Énfasis2 13 2" xfId="12321" xr:uid="{00000000-0005-0000-0000-0000D3000000}"/>
    <cellStyle name="40% - Énfasis2 14" xfId="10608" xr:uid="{00000000-0005-0000-0000-0000D4000000}"/>
    <cellStyle name="40% - Énfasis2 14 2" xfId="12337" xr:uid="{00000000-0005-0000-0000-0000D5000000}"/>
    <cellStyle name="40% - Énfasis2 15" xfId="10629" xr:uid="{00000000-0005-0000-0000-0000D6000000}"/>
    <cellStyle name="40% - Énfasis2 16" xfId="12370" xr:uid="{00000000-0005-0000-0000-0000D7000000}"/>
    <cellStyle name="40% - Énfasis2 17" xfId="12385" xr:uid="{00000000-0005-0000-0000-0000D8000000}"/>
    <cellStyle name="40% - Énfasis2 2" xfId="156" xr:uid="{00000000-0005-0000-0000-0000D9000000}"/>
    <cellStyle name="40% - Énfasis2 2 2" xfId="10676" xr:uid="{00000000-0005-0000-0000-0000DA000000}"/>
    <cellStyle name="40% - Énfasis2 3" xfId="170" xr:uid="{00000000-0005-0000-0000-0000DB000000}"/>
    <cellStyle name="40% - Énfasis2 3 2" xfId="10690" xr:uid="{00000000-0005-0000-0000-0000DC000000}"/>
    <cellStyle name="40% - Énfasis2 4" xfId="184" xr:uid="{00000000-0005-0000-0000-0000DD000000}"/>
    <cellStyle name="40% - Énfasis2 4 2" xfId="10704" xr:uid="{00000000-0005-0000-0000-0000DE000000}"/>
    <cellStyle name="40% - Énfasis2 5" xfId="199" xr:uid="{00000000-0005-0000-0000-0000DF000000}"/>
    <cellStyle name="40% - Énfasis2 5 2" xfId="10719" xr:uid="{00000000-0005-0000-0000-0000E0000000}"/>
    <cellStyle name="40% - Énfasis2 6" xfId="213" xr:uid="{00000000-0005-0000-0000-0000E1000000}"/>
    <cellStyle name="40% - Énfasis2 6 2" xfId="10733" xr:uid="{00000000-0005-0000-0000-0000E2000000}"/>
    <cellStyle name="40% - Énfasis2 7" xfId="9837" xr:uid="{00000000-0005-0000-0000-0000E3000000}"/>
    <cellStyle name="40% - Énfasis2 7 2" xfId="11623" xr:uid="{00000000-0005-0000-0000-0000E4000000}"/>
    <cellStyle name="40% - Énfasis2 8" xfId="9856" xr:uid="{00000000-0005-0000-0000-0000E5000000}"/>
    <cellStyle name="40% - Énfasis2 8 2" xfId="11641" xr:uid="{00000000-0005-0000-0000-0000E6000000}"/>
    <cellStyle name="40% - Énfasis2 9" xfId="9879" xr:uid="{00000000-0005-0000-0000-0000E7000000}"/>
    <cellStyle name="40% - Énfasis3" xfId="55" builtinId="39" customBuiltin="1"/>
    <cellStyle name="40% - Énfasis3 10" xfId="9928" xr:uid="{00000000-0005-0000-0000-0000E9000000}"/>
    <cellStyle name="40% - Énfasis3 10 2" xfId="11665" xr:uid="{00000000-0005-0000-0000-0000EA000000}"/>
    <cellStyle name="40% - Énfasis3 11" xfId="9952" xr:uid="{00000000-0005-0000-0000-0000EB000000}"/>
    <cellStyle name="40% - Énfasis3 11 2" xfId="11688" xr:uid="{00000000-0005-0000-0000-0000EC000000}"/>
    <cellStyle name="40% - Énfasis3 12" xfId="10543" xr:uid="{00000000-0005-0000-0000-0000ED000000}"/>
    <cellStyle name="40% - Énfasis3 12 2" xfId="12278" xr:uid="{00000000-0005-0000-0000-0000EE000000}"/>
    <cellStyle name="40% - Énfasis3 13" xfId="10590" xr:uid="{00000000-0005-0000-0000-0000EF000000}"/>
    <cellStyle name="40% - Énfasis3 13 2" xfId="12323" xr:uid="{00000000-0005-0000-0000-0000F0000000}"/>
    <cellStyle name="40% - Énfasis3 14" xfId="10610" xr:uid="{00000000-0005-0000-0000-0000F1000000}"/>
    <cellStyle name="40% - Énfasis3 14 2" xfId="12339" xr:uid="{00000000-0005-0000-0000-0000F2000000}"/>
    <cellStyle name="40% - Énfasis3 15" xfId="10631" xr:uid="{00000000-0005-0000-0000-0000F3000000}"/>
    <cellStyle name="40% - Énfasis3 16" xfId="12372" xr:uid="{00000000-0005-0000-0000-0000F4000000}"/>
    <cellStyle name="40% - Énfasis3 17" xfId="12387" xr:uid="{00000000-0005-0000-0000-0000F5000000}"/>
    <cellStyle name="40% - Énfasis3 2" xfId="158" xr:uid="{00000000-0005-0000-0000-0000F6000000}"/>
    <cellStyle name="40% - Énfasis3 2 2" xfId="10678" xr:uid="{00000000-0005-0000-0000-0000F7000000}"/>
    <cellStyle name="40% - Énfasis3 3" xfId="172" xr:uid="{00000000-0005-0000-0000-0000F8000000}"/>
    <cellStyle name="40% - Énfasis3 3 2" xfId="10692" xr:uid="{00000000-0005-0000-0000-0000F9000000}"/>
    <cellStyle name="40% - Énfasis3 4" xfId="186" xr:uid="{00000000-0005-0000-0000-0000FA000000}"/>
    <cellStyle name="40% - Énfasis3 4 2" xfId="10706" xr:uid="{00000000-0005-0000-0000-0000FB000000}"/>
    <cellStyle name="40% - Énfasis3 5" xfId="201" xr:uid="{00000000-0005-0000-0000-0000FC000000}"/>
    <cellStyle name="40% - Énfasis3 5 2" xfId="10721" xr:uid="{00000000-0005-0000-0000-0000FD000000}"/>
    <cellStyle name="40% - Énfasis3 6" xfId="215" xr:uid="{00000000-0005-0000-0000-0000FE000000}"/>
    <cellStyle name="40% - Énfasis3 6 2" xfId="10735" xr:uid="{00000000-0005-0000-0000-0000FF000000}"/>
    <cellStyle name="40% - Énfasis3 7" xfId="9839" xr:uid="{00000000-0005-0000-0000-000000010000}"/>
    <cellStyle name="40% - Énfasis3 7 2" xfId="11625" xr:uid="{00000000-0005-0000-0000-000001010000}"/>
    <cellStyle name="40% - Énfasis3 8" xfId="9858" xr:uid="{00000000-0005-0000-0000-000002010000}"/>
    <cellStyle name="40% - Énfasis3 8 2" xfId="11643" xr:uid="{00000000-0005-0000-0000-000003010000}"/>
    <cellStyle name="40% - Énfasis3 9" xfId="9880" xr:uid="{00000000-0005-0000-0000-000004010000}"/>
    <cellStyle name="40% - Énfasis4" xfId="59" builtinId="43" customBuiltin="1"/>
    <cellStyle name="40% - Énfasis4 10" xfId="9930" xr:uid="{00000000-0005-0000-0000-000006010000}"/>
    <cellStyle name="40% - Énfasis4 10 2" xfId="11667" xr:uid="{00000000-0005-0000-0000-000007010000}"/>
    <cellStyle name="40% - Énfasis4 11" xfId="10532" xr:uid="{00000000-0005-0000-0000-000008010000}"/>
    <cellStyle name="40% - Énfasis4 11 2" xfId="12267" xr:uid="{00000000-0005-0000-0000-000009010000}"/>
    <cellStyle name="40% - Énfasis4 12" xfId="10545" xr:uid="{00000000-0005-0000-0000-00000A010000}"/>
    <cellStyle name="40% - Énfasis4 12 2" xfId="12280" xr:uid="{00000000-0005-0000-0000-00000B010000}"/>
    <cellStyle name="40% - Énfasis4 13" xfId="10592" xr:uid="{00000000-0005-0000-0000-00000C010000}"/>
    <cellStyle name="40% - Énfasis4 13 2" xfId="12325" xr:uid="{00000000-0005-0000-0000-00000D010000}"/>
    <cellStyle name="40% - Énfasis4 14" xfId="10612" xr:uid="{00000000-0005-0000-0000-00000E010000}"/>
    <cellStyle name="40% - Énfasis4 14 2" xfId="12341" xr:uid="{00000000-0005-0000-0000-00000F010000}"/>
    <cellStyle name="40% - Énfasis4 15" xfId="10633" xr:uid="{00000000-0005-0000-0000-000010010000}"/>
    <cellStyle name="40% - Énfasis4 16" xfId="12374" xr:uid="{00000000-0005-0000-0000-000011010000}"/>
    <cellStyle name="40% - Énfasis4 17" xfId="12389" xr:uid="{00000000-0005-0000-0000-000012010000}"/>
    <cellStyle name="40% - Énfasis4 2" xfId="160" xr:uid="{00000000-0005-0000-0000-000013010000}"/>
    <cellStyle name="40% - Énfasis4 2 2" xfId="10680" xr:uid="{00000000-0005-0000-0000-000014010000}"/>
    <cellStyle name="40% - Énfasis4 3" xfId="174" xr:uid="{00000000-0005-0000-0000-000015010000}"/>
    <cellStyle name="40% - Énfasis4 3 2" xfId="10694" xr:uid="{00000000-0005-0000-0000-000016010000}"/>
    <cellStyle name="40% - Énfasis4 4" xfId="188" xr:uid="{00000000-0005-0000-0000-000017010000}"/>
    <cellStyle name="40% - Énfasis4 4 2" xfId="10708" xr:uid="{00000000-0005-0000-0000-000018010000}"/>
    <cellStyle name="40% - Énfasis4 5" xfId="203" xr:uid="{00000000-0005-0000-0000-000019010000}"/>
    <cellStyle name="40% - Énfasis4 5 2" xfId="10723" xr:uid="{00000000-0005-0000-0000-00001A010000}"/>
    <cellStyle name="40% - Énfasis4 6" xfId="217" xr:uid="{00000000-0005-0000-0000-00001B010000}"/>
    <cellStyle name="40% - Énfasis4 6 2" xfId="10737" xr:uid="{00000000-0005-0000-0000-00001C010000}"/>
    <cellStyle name="40% - Énfasis4 7" xfId="9841" xr:uid="{00000000-0005-0000-0000-00001D010000}"/>
    <cellStyle name="40% - Énfasis4 7 2" xfId="11627" xr:uid="{00000000-0005-0000-0000-00001E010000}"/>
    <cellStyle name="40% - Énfasis4 8" xfId="9860" xr:uid="{00000000-0005-0000-0000-00001F010000}"/>
    <cellStyle name="40% - Énfasis4 8 2" xfId="11645" xr:uid="{00000000-0005-0000-0000-000020010000}"/>
    <cellStyle name="40% - Énfasis4 9" xfId="9881" xr:uid="{00000000-0005-0000-0000-000021010000}"/>
    <cellStyle name="40% - Énfasis5" xfId="63" builtinId="47" customBuiltin="1"/>
    <cellStyle name="40% - Énfasis5 10" xfId="9932" xr:uid="{00000000-0005-0000-0000-000023010000}"/>
    <cellStyle name="40% - Énfasis5 10 2" xfId="11669" xr:uid="{00000000-0005-0000-0000-000024010000}"/>
    <cellStyle name="40% - Énfasis5 11" xfId="10253" xr:uid="{00000000-0005-0000-0000-000025010000}"/>
    <cellStyle name="40% - Énfasis5 11 2" xfId="11988" xr:uid="{00000000-0005-0000-0000-000026010000}"/>
    <cellStyle name="40% - Énfasis5 12" xfId="10547" xr:uid="{00000000-0005-0000-0000-000027010000}"/>
    <cellStyle name="40% - Énfasis5 12 2" xfId="12282" xr:uid="{00000000-0005-0000-0000-000028010000}"/>
    <cellStyle name="40% - Énfasis5 13" xfId="10594" xr:uid="{00000000-0005-0000-0000-000029010000}"/>
    <cellStyle name="40% - Énfasis5 13 2" xfId="12327" xr:uid="{00000000-0005-0000-0000-00002A010000}"/>
    <cellStyle name="40% - Énfasis5 14" xfId="10614" xr:uid="{00000000-0005-0000-0000-00002B010000}"/>
    <cellStyle name="40% - Énfasis5 14 2" xfId="12343" xr:uid="{00000000-0005-0000-0000-00002C010000}"/>
    <cellStyle name="40% - Énfasis5 15" xfId="10635" xr:uid="{00000000-0005-0000-0000-00002D010000}"/>
    <cellStyle name="40% - Énfasis5 16" xfId="12376" xr:uid="{00000000-0005-0000-0000-00002E010000}"/>
    <cellStyle name="40% - Énfasis5 17" xfId="12391" xr:uid="{00000000-0005-0000-0000-00002F010000}"/>
    <cellStyle name="40% - Énfasis5 2" xfId="162" xr:uid="{00000000-0005-0000-0000-000030010000}"/>
    <cellStyle name="40% - Énfasis5 2 2" xfId="10682" xr:uid="{00000000-0005-0000-0000-000031010000}"/>
    <cellStyle name="40% - Énfasis5 3" xfId="176" xr:uid="{00000000-0005-0000-0000-000032010000}"/>
    <cellStyle name="40% - Énfasis5 3 2" xfId="10696" xr:uid="{00000000-0005-0000-0000-000033010000}"/>
    <cellStyle name="40% - Énfasis5 4" xfId="190" xr:uid="{00000000-0005-0000-0000-000034010000}"/>
    <cellStyle name="40% - Énfasis5 4 2" xfId="10710" xr:uid="{00000000-0005-0000-0000-000035010000}"/>
    <cellStyle name="40% - Énfasis5 5" xfId="205" xr:uid="{00000000-0005-0000-0000-000036010000}"/>
    <cellStyle name="40% - Énfasis5 5 2" xfId="10725" xr:uid="{00000000-0005-0000-0000-000037010000}"/>
    <cellStyle name="40% - Énfasis5 6" xfId="219" xr:uid="{00000000-0005-0000-0000-000038010000}"/>
    <cellStyle name="40% - Énfasis5 6 2" xfId="10739" xr:uid="{00000000-0005-0000-0000-000039010000}"/>
    <cellStyle name="40% - Énfasis5 7" xfId="9843" xr:uid="{00000000-0005-0000-0000-00003A010000}"/>
    <cellStyle name="40% - Énfasis5 7 2" xfId="11629" xr:uid="{00000000-0005-0000-0000-00003B010000}"/>
    <cellStyle name="40% - Énfasis5 8" xfId="9862" xr:uid="{00000000-0005-0000-0000-00003C010000}"/>
    <cellStyle name="40% - Énfasis5 8 2" xfId="11647" xr:uid="{00000000-0005-0000-0000-00003D010000}"/>
    <cellStyle name="40% - Énfasis5 9" xfId="9882" xr:uid="{00000000-0005-0000-0000-00003E010000}"/>
    <cellStyle name="40% - Énfasis6" xfId="67" builtinId="51" customBuiltin="1"/>
    <cellStyle name="40% - Énfasis6 10" xfId="9934" xr:uid="{00000000-0005-0000-0000-000040010000}"/>
    <cellStyle name="40% - Énfasis6 10 2" xfId="11671" xr:uid="{00000000-0005-0000-0000-000041010000}"/>
    <cellStyle name="40% - Énfasis6 11" xfId="10534" xr:uid="{00000000-0005-0000-0000-000042010000}"/>
    <cellStyle name="40% - Énfasis6 11 2" xfId="12269" xr:uid="{00000000-0005-0000-0000-000043010000}"/>
    <cellStyle name="40% - Énfasis6 12" xfId="10549" xr:uid="{00000000-0005-0000-0000-000044010000}"/>
    <cellStyle name="40% - Énfasis6 12 2" xfId="12284" xr:uid="{00000000-0005-0000-0000-000045010000}"/>
    <cellStyle name="40% - Énfasis6 13" xfId="10596" xr:uid="{00000000-0005-0000-0000-000046010000}"/>
    <cellStyle name="40% - Énfasis6 13 2" xfId="12329" xr:uid="{00000000-0005-0000-0000-000047010000}"/>
    <cellStyle name="40% - Énfasis6 14" xfId="10616" xr:uid="{00000000-0005-0000-0000-000048010000}"/>
    <cellStyle name="40% - Énfasis6 14 2" xfId="12345" xr:uid="{00000000-0005-0000-0000-000049010000}"/>
    <cellStyle name="40% - Énfasis6 15" xfId="10637" xr:uid="{00000000-0005-0000-0000-00004A010000}"/>
    <cellStyle name="40% - Énfasis6 16" xfId="12378" xr:uid="{00000000-0005-0000-0000-00004B010000}"/>
    <cellStyle name="40% - Énfasis6 17" xfId="12393" xr:uid="{00000000-0005-0000-0000-00004C010000}"/>
    <cellStyle name="40% - Énfasis6 2" xfId="164" xr:uid="{00000000-0005-0000-0000-00004D010000}"/>
    <cellStyle name="40% - Énfasis6 2 2" xfId="10684" xr:uid="{00000000-0005-0000-0000-00004E010000}"/>
    <cellStyle name="40% - Énfasis6 3" xfId="178" xr:uid="{00000000-0005-0000-0000-00004F010000}"/>
    <cellStyle name="40% - Énfasis6 3 2" xfId="10698" xr:uid="{00000000-0005-0000-0000-000050010000}"/>
    <cellStyle name="40% - Énfasis6 4" xfId="192" xr:uid="{00000000-0005-0000-0000-000051010000}"/>
    <cellStyle name="40% - Énfasis6 4 2" xfId="10712" xr:uid="{00000000-0005-0000-0000-000052010000}"/>
    <cellStyle name="40% - Énfasis6 5" xfId="207" xr:uid="{00000000-0005-0000-0000-000053010000}"/>
    <cellStyle name="40% - Énfasis6 5 2" xfId="10727" xr:uid="{00000000-0005-0000-0000-000054010000}"/>
    <cellStyle name="40% - Énfasis6 6" xfId="221" xr:uid="{00000000-0005-0000-0000-000055010000}"/>
    <cellStyle name="40% - Énfasis6 6 2" xfId="10741" xr:uid="{00000000-0005-0000-0000-000056010000}"/>
    <cellStyle name="40% - Énfasis6 7" xfId="9845" xr:uid="{00000000-0005-0000-0000-000057010000}"/>
    <cellStyle name="40% - Énfasis6 7 2" xfId="11631" xr:uid="{00000000-0005-0000-0000-000058010000}"/>
    <cellStyle name="40% - Énfasis6 8" xfId="9864" xr:uid="{00000000-0005-0000-0000-000059010000}"/>
    <cellStyle name="40% - Énfasis6 8 2" xfId="11649" xr:uid="{00000000-0005-0000-0000-00005A010000}"/>
    <cellStyle name="40% - Énfasis6 9" xfId="9883" xr:uid="{00000000-0005-0000-0000-00005B010000}"/>
    <cellStyle name="60% - Énfasis1" xfId="48" builtinId="32" customBuiltin="1"/>
    <cellStyle name="60% - Énfasis1 2" xfId="9884" xr:uid="{00000000-0005-0000-0000-00005D010000}"/>
    <cellStyle name="60% - Énfasis1 3" xfId="10644" xr:uid="{00000000-0005-0000-0000-00005E010000}"/>
    <cellStyle name="60% - Énfasis2" xfId="52" builtinId="36" customBuiltin="1"/>
    <cellStyle name="60% - Énfasis2 2" xfId="9885" xr:uid="{00000000-0005-0000-0000-000060010000}"/>
    <cellStyle name="60% - Énfasis2 3" xfId="10645" xr:uid="{00000000-0005-0000-0000-000061010000}"/>
    <cellStyle name="60% - Énfasis3" xfId="56" builtinId="40" customBuiltin="1"/>
    <cellStyle name="60% - Énfasis3 2" xfId="9886" xr:uid="{00000000-0005-0000-0000-000063010000}"/>
    <cellStyle name="60% - Énfasis3 3" xfId="10646" xr:uid="{00000000-0005-0000-0000-000064010000}"/>
    <cellStyle name="60% - Énfasis4" xfId="60" builtinId="44" customBuiltin="1"/>
    <cellStyle name="60% - Énfasis4 2" xfId="9887" xr:uid="{00000000-0005-0000-0000-000066010000}"/>
    <cellStyle name="60% - Énfasis4 3" xfId="10647" xr:uid="{00000000-0005-0000-0000-000067010000}"/>
    <cellStyle name="60% - Énfasis5" xfId="64" builtinId="48" customBuiltin="1"/>
    <cellStyle name="60% - Énfasis5 2" xfId="9888" xr:uid="{00000000-0005-0000-0000-000069010000}"/>
    <cellStyle name="60% - Énfasis5 3" xfId="10648" xr:uid="{00000000-0005-0000-0000-00006A010000}"/>
    <cellStyle name="60% - Énfasis6" xfId="68" builtinId="52" customBuiltin="1"/>
    <cellStyle name="60% - Énfasis6 2" xfId="9889" xr:uid="{00000000-0005-0000-0000-00006C010000}"/>
    <cellStyle name="60% - Énfasis6 3" xfId="10649" xr:uid="{00000000-0005-0000-0000-00006D010000}"/>
    <cellStyle name="ANCLAS,REZONES Y SUS PARTES,DE FUNDICION,DE HIERRO O DE ACERO" xfId="136" xr:uid="{00000000-0005-0000-0000-00006E010000}"/>
    <cellStyle name="Bueno" xfId="35" builtinId="26" customBuiltin="1"/>
    <cellStyle name="Cabecera 1" xfId="223" xr:uid="{00000000-0005-0000-0000-000070010000}"/>
    <cellStyle name="Cabecera 2" xfId="224" xr:uid="{00000000-0005-0000-0000-000071010000}"/>
    <cellStyle name="Cálculo" xfId="40" builtinId="22" customBuiltin="1"/>
    <cellStyle name="Cálculo 2" xfId="9890" xr:uid="{00000000-0005-0000-0000-000073010000}"/>
    <cellStyle name="Cálculo 2 2" xfId="12355" xr:uid="{00000000-0005-0000-0000-000074010000}"/>
    <cellStyle name="Cálculo 2 3" xfId="12351" xr:uid="{00000000-0005-0000-0000-000075010000}"/>
    <cellStyle name="Cambiar to&amp;do" xfId="10599" xr:uid="{00000000-0005-0000-0000-000076010000}"/>
    <cellStyle name="Celda de comprobación" xfId="42" builtinId="23" customBuiltin="1"/>
    <cellStyle name="Celda de comprobación 2" xfId="9891" xr:uid="{00000000-0005-0000-0000-000078010000}"/>
    <cellStyle name="Celda vinculada" xfId="41" builtinId="24" customBuiltin="1"/>
    <cellStyle name="Celda vinculada 2" xfId="9892" xr:uid="{00000000-0005-0000-0000-00007A010000}"/>
    <cellStyle name="Comma" xfId="1" xr:uid="{00000000-0005-0000-0000-00007B010000}"/>
    <cellStyle name="Comma [0]" xfId="2" xr:uid="{00000000-0005-0000-0000-00007C010000}"/>
    <cellStyle name="Comma_CAT_CATI" xfId="3" xr:uid="{00000000-0005-0000-0000-00007D010000}"/>
    <cellStyle name="Currency" xfId="4" xr:uid="{00000000-0005-0000-0000-00007E010000}"/>
    <cellStyle name="Currency [0]" xfId="5" xr:uid="{00000000-0005-0000-0000-00007F010000}"/>
    <cellStyle name="Currency_CAT_CATI" xfId="6" xr:uid="{00000000-0005-0000-0000-000080010000}"/>
    <cellStyle name="Date" xfId="7" xr:uid="{00000000-0005-0000-0000-000081010000}"/>
    <cellStyle name="Dia" xfId="72" xr:uid="{00000000-0005-0000-0000-000082010000}"/>
    <cellStyle name="Dia 2" xfId="83" xr:uid="{00000000-0005-0000-0000-000083010000}"/>
    <cellStyle name="Encabez1" xfId="73" xr:uid="{00000000-0005-0000-0000-000084010000}"/>
    <cellStyle name="Encabez1 2" xfId="84" xr:uid="{00000000-0005-0000-0000-000085010000}"/>
    <cellStyle name="Encabez2" xfId="74" xr:uid="{00000000-0005-0000-0000-000086010000}"/>
    <cellStyle name="Encabez2 2" xfId="85" xr:uid="{00000000-0005-0000-0000-000087010000}"/>
    <cellStyle name="Encabezado 1" xfId="31" builtinId="16" customBuiltin="1"/>
    <cellStyle name="Encabezado 1 2" xfId="9893" xr:uid="{00000000-0005-0000-0000-000089010000}"/>
    <cellStyle name="Encabezado 4" xfId="34" builtinId="19" customBuiltin="1"/>
    <cellStyle name="Encabezado 4 2" xfId="9894" xr:uid="{00000000-0005-0000-0000-00008B010000}"/>
    <cellStyle name="Énfasis1" xfId="45" builtinId="29" customBuiltin="1"/>
    <cellStyle name="Énfasis1 2" xfId="9895" xr:uid="{00000000-0005-0000-0000-00008D010000}"/>
    <cellStyle name="Énfasis2" xfId="49" builtinId="33" customBuiltin="1"/>
    <cellStyle name="Énfasis2 2" xfId="9896" xr:uid="{00000000-0005-0000-0000-00008F010000}"/>
    <cellStyle name="Énfasis3" xfId="53" builtinId="37" customBuiltin="1"/>
    <cellStyle name="Énfasis3 2" xfId="9897" xr:uid="{00000000-0005-0000-0000-000091010000}"/>
    <cellStyle name="Énfasis4" xfId="57" builtinId="41" customBuiltin="1"/>
    <cellStyle name="Énfasis4 2" xfId="9898" xr:uid="{00000000-0005-0000-0000-000093010000}"/>
    <cellStyle name="Énfasis5" xfId="61" builtinId="45" customBuiltin="1"/>
    <cellStyle name="Énfasis5 2" xfId="9899" xr:uid="{00000000-0005-0000-0000-000095010000}"/>
    <cellStyle name="Énfasis6" xfId="65" builtinId="49" customBuiltin="1"/>
    <cellStyle name="Énfasis6 2" xfId="9900" xr:uid="{00000000-0005-0000-0000-000097010000}"/>
    <cellStyle name="Entrada" xfId="38" builtinId="20" customBuiltin="1"/>
    <cellStyle name="Entrada 2" xfId="9901" xr:uid="{00000000-0005-0000-0000-000099010000}"/>
    <cellStyle name="Entrada 2 2" xfId="12356" xr:uid="{00000000-0005-0000-0000-00009A010000}"/>
    <cellStyle name="Entrada 2 3" xfId="12352" xr:uid="{00000000-0005-0000-0000-00009B010000}"/>
    <cellStyle name="Euro" xfId="8" xr:uid="{00000000-0005-0000-0000-00009C010000}"/>
    <cellStyle name="Euro 10" xfId="225" xr:uid="{00000000-0005-0000-0000-00009D010000}"/>
    <cellStyle name="Euro 10 10" xfId="226" xr:uid="{00000000-0005-0000-0000-00009E010000}"/>
    <cellStyle name="Euro 10 10 2" xfId="4367" xr:uid="{00000000-0005-0000-0000-00009F010000}"/>
    <cellStyle name="Euro 10 11" xfId="227" xr:uid="{00000000-0005-0000-0000-0000A0010000}"/>
    <cellStyle name="Euro 10 11 2" xfId="4368" xr:uid="{00000000-0005-0000-0000-0000A1010000}"/>
    <cellStyle name="Euro 10 12" xfId="228" xr:uid="{00000000-0005-0000-0000-0000A2010000}"/>
    <cellStyle name="Euro 10 12 2" xfId="4369" xr:uid="{00000000-0005-0000-0000-0000A3010000}"/>
    <cellStyle name="Euro 10 13" xfId="229" xr:uid="{00000000-0005-0000-0000-0000A4010000}"/>
    <cellStyle name="Euro 10 13 2" xfId="4370" xr:uid="{00000000-0005-0000-0000-0000A5010000}"/>
    <cellStyle name="Euro 10 14" xfId="230" xr:uid="{00000000-0005-0000-0000-0000A6010000}"/>
    <cellStyle name="Euro 10 14 2" xfId="4371" xr:uid="{00000000-0005-0000-0000-0000A7010000}"/>
    <cellStyle name="Euro 10 15" xfId="231" xr:uid="{00000000-0005-0000-0000-0000A8010000}"/>
    <cellStyle name="Euro 10 15 2" xfId="4372" xr:uid="{00000000-0005-0000-0000-0000A9010000}"/>
    <cellStyle name="Euro 10 16" xfId="232" xr:uid="{00000000-0005-0000-0000-0000AA010000}"/>
    <cellStyle name="Euro 10 16 2" xfId="4373" xr:uid="{00000000-0005-0000-0000-0000AB010000}"/>
    <cellStyle name="Euro 10 17" xfId="233" xr:uid="{00000000-0005-0000-0000-0000AC010000}"/>
    <cellStyle name="Euro 10 17 2" xfId="4374" xr:uid="{00000000-0005-0000-0000-0000AD010000}"/>
    <cellStyle name="Euro 10 18" xfId="234" xr:uid="{00000000-0005-0000-0000-0000AE010000}"/>
    <cellStyle name="Euro 10 18 2" xfId="4375" xr:uid="{00000000-0005-0000-0000-0000AF010000}"/>
    <cellStyle name="Euro 10 19" xfId="235" xr:uid="{00000000-0005-0000-0000-0000B0010000}"/>
    <cellStyle name="Euro 10 19 2" xfId="4376" xr:uid="{00000000-0005-0000-0000-0000B1010000}"/>
    <cellStyle name="Euro 10 2" xfId="236" xr:uid="{00000000-0005-0000-0000-0000B2010000}"/>
    <cellStyle name="Euro 10 2 2" xfId="4377" xr:uid="{00000000-0005-0000-0000-0000B3010000}"/>
    <cellStyle name="Euro 10 20" xfId="237" xr:uid="{00000000-0005-0000-0000-0000B4010000}"/>
    <cellStyle name="Euro 10 20 2" xfId="4378" xr:uid="{00000000-0005-0000-0000-0000B5010000}"/>
    <cellStyle name="Euro 10 21" xfId="238" xr:uid="{00000000-0005-0000-0000-0000B6010000}"/>
    <cellStyle name="Euro 10 21 2" xfId="4379" xr:uid="{00000000-0005-0000-0000-0000B7010000}"/>
    <cellStyle name="Euro 10 22" xfId="239" xr:uid="{00000000-0005-0000-0000-0000B8010000}"/>
    <cellStyle name="Euro 10 22 2" xfId="4380" xr:uid="{00000000-0005-0000-0000-0000B9010000}"/>
    <cellStyle name="Euro 10 23" xfId="240" xr:uid="{00000000-0005-0000-0000-0000BA010000}"/>
    <cellStyle name="Euro 10 23 2" xfId="4381" xr:uid="{00000000-0005-0000-0000-0000BB010000}"/>
    <cellStyle name="Euro 10 24" xfId="241" xr:uid="{00000000-0005-0000-0000-0000BC010000}"/>
    <cellStyle name="Euro 10 24 2" xfId="4382" xr:uid="{00000000-0005-0000-0000-0000BD010000}"/>
    <cellStyle name="Euro 10 25" xfId="242" xr:uid="{00000000-0005-0000-0000-0000BE010000}"/>
    <cellStyle name="Euro 10 25 2" xfId="4383" xr:uid="{00000000-0005-0000-0000-0000BF010000}"/>
    <cellStyle name="Euro 10 26" xfId="243" xr:uid="{00000000-0005-0000-0000-0000C0010000}"/>
    <cellStyle name="Euro 10 26 2" xfId="4384" xr:uid="{00000000-0005-0000-0000-0000C1010000}"/>
    <cellStyle name="Euro 10 27" xfId="244" xr:uid="{00000000-0005-0000-0000-0000C2010000}"/>
    <cellStyle name="Euro 10 27 2" xfId="4385" xr:uid="{00000000-0005-0000-0000-0000C3010000}"/>
    <cellStyle name="Euro 10 28" xfId="245" xr:uid="{00000000-0005-0000-0000-0000C4010000}"/>
    <cellStyle name="Euro 10 28 2" xfId="4386" xr:uid="{00000000-0005-0000-0000-0000C5010000}"/>
    <cellStyle name="Euro 10 29" xfId="4387" xr:uid="{00000000-0005-0000-0000-0000C6010000}"/>
    <cellStyle name="Euro 10 3" xfId="246" xr:uid="{00000000-0005-0000-0000-0000C7010000}"/>
    <cellStyle name="Euro 10 3 2" xfId="4388" xr:uid="{00000000-0005-0000-0000-0000C8010000}"/>
    <cellStyle name="Euro 10 4" xfId="247" xr:uid="{00000000-0005-0000-0000-0000C9010000}"/>
    <cellStyle name="Euro 10 4 2" xfId="4389" xr:uid="{00000000-0005-0000-0000-0000CA010000}"/>
    <cellStyle name="Euro 10 5" xfId="248" xr:uid="{00000000-0005-0000-0000-0000CB010000}"/>
    <cellStyle name="Euro 10 5 2" xfId="4390" xr:uid="{00000000-0005-0000-0000-0000CC010000}"/>
    <cellStyle name="Euro 10 6" xfId="249" xr:uid="{00000000-0005-0000-0000-0000CD010000}"/>
    <cellStyle name="Euro 10 6 2" xfId="4391" xr:uid="{00000000-0005-0000-0000-0000CE010000}"/>
    <cellStyle name="Euro 10 7" xfId="250" xr:uid="{00000000-0005-0000-0000-0000CF010000}"/>
    <cellStyle name="Euro 10 7 2" xfId="4392" xr:uid="{00000000-0005-0000-0000-0000D0010000}"/>
    <cellStyle name="Euro 10 8" xfId="251" xr:uid="{00000000-0005-0000-0000-0000D1010000}"/>
    <cellStyle name="Euro 10 8 2" xfId="4393" xr:uid="{00000000-0005-0000-0000-0000D2010000}"/>
    <cellStyle name="Euro 10 9" xfId="252" xr:uid="{00000000-0005-0000-0000-0000D3010000}"/>
    <cellStyle name="Euro 10 9 2" xfId="4394" xr:uid="{00000000-0005-0000-0000-0000D4010000}"/>
    <cellStyle name="Euro 11" xfId="253" xr:uid="{00000000-0005-0000-0000-0000D5010000}"/>
    <cellStyle name="Euro 11 10" xfId="254" xr:uid="{00000000-0005-0000-0000-0000D6010000}"/>
    <cellStyle name="Euro 11 10 2" xfId="4395" xr:uid="{00000000-0005-0000-0000-0000D7010000}"/>
    <cellStyle name="Euro 11 11" xfId="255" xr:uid="{00000000-0005-0000-0000-0000D8010000}"/>
    <cellStyle name="Euro 11 11 2" xfId="4396" xr:uid="{00000000-0005-0000-0000-0000D9010000}"/>
    <cellStyle name="Euro 11 12" xfId="256" xr:uid="{00000000-0005-0000-0000-0000DA010000}"/>
    <cellStyle name="Euro 11 12 2" xfId="4397" xr:uid="{00000000-0005-0000-0000-0000DB010000}"/>
    <cellStyle name="Euro 11 13" xfId="257" xr:uid="{00000000-0005-0000-0000-0000DC010000}"/>
    <cellStyle name="Euro 11 13 2" xfId="4398" xr:uid="{00000000-0005-0000-0000-0000DD010000}"/>
    <cellStyle name="Euro 11 14" xfId="258" xr:uid="{00000000-0005-0000-0000-0000DE010000}"/>
    <cellStyle name="Euro 11 14 2" xfId="4399" xr:uid="{00000000-0005-0000-0000-0000DF010000}"/>
    <cellStyle name="Euro 11 15" xfId="259" xr:uid="{00000000-0005-0000-0000-0000E0010000}"/>
    <cellStyle name="Euro 11 15 2" xfId="4400" xr:uid="{00000000-0005-0000-0000-0000E1010000}"/>
    <cellStyle name="Euro 11 16" xfId="260" xr:uid="{00000000-0005-0000-0000-0000E2010000}"/>
    <cellStyle name="Euro 11 16 2" xfId="4401" xr:uid="{00000000-0005-0000-0000-0000E3010000}"/>
    <cellStyle name="Euro 11 17" xfId="261" xr:uid="{00000000-0005-0000-0000-0000E4010000}"/>
    <cellStyle name="Euro 11 17 2" xfId="4402" xr:uid="{00000000-0005-0000-0000-0000E5010000}"/>
    <cellStyle name="Euro 11 18" xfId="262" xr:uid="{00000000-0005-0000-0000-0000E6010000}"/>
    <cellStyle name="Euro 11 18 2" xfId="4403" xr:uid="{00000000-0005-0000-0000-0000E7010000}"/>
    <cellStyle name="Euro 11 19" xfId="263" xr:uid="{00000000-0005-0000-0000-0000E8010000}"/>
    <cellStyle name="Euro 11 19 2" xfId="4404" xr:uid="{00000000-0005-0000-0000-0000E9010000}"/>
    <cellStyle name="Euro 11 2" xfId="264" xr:uid="{00000000-0005-0000-0000-0000EA010000}"/>
    <cellStyle name="Euro 11 2 2" xfId="4405" xr:uid="{00000000-0005-0000-0000-0000EB010000}"/>
    <cellStyle name="Euro 11 20" xfId="265" xr:uid="{00000000-0005-0000-0000-0000EC010000}"/>
    <cellStyle name="Euro 11 20 2" xfId="4406" xr:uid="{00000000-0005-0000-0000-0000ED010000}"/>
    <cellStyle name="Euro 11 21" xfId="266" xr:uid="{00000000-0005-0000-0000-0000EE010000}"/>
    <cellStyle name="Euro 11 21 2" xfId="4407" xr:uid="{00000000-0005-0000-0000-0000EF010000}"/>
    <cellStyle name="Euro 11 22" xfId="267" xr:uid="{00000000-0005-0000-0000-0000F0010000}"/>
    <cellStyle name="Euro 11 22 2" xfId="4408" xr:uid="{00000000-0005-0000-0000-0000F1010000}"/>
    <cellStyle name="Euro 11 23" xfId="268" xr:uid="{00000000-0005-0000-0000-0000F2010000}"/>
    <cellStyle name="Euro 11 23 2" xfId="4409" xr:uid="{00000000-0005-0000-0000-0000F3010000}"/>
    <cellStyle name="Euro 11 24" xfId="269" xr:uid="{00000000-0005-0000-0000-0000F4010000}"/>
    <cellStyle name="Euro 11 24 2" xfId="4410" xr:uid="{00000000-0005-0000-0000-0000F5010000}"/>
    <cellStyle name="Euro 11 25" xfId="270" xr:uid="{00000000-0005-0000-0000-0000F6010000}"/>
    <cellStyle name="Euro 11 25 2" xfId="4411" xr:uid="{00000000-0005-0000-0000-0000F7010000}"/>
    <cellStyle name="Euro 11 26" xfId="271" xr:uid="{00000000-0005-0000-0000-0000F8010000}"/>
    <cellStyle name="Euro 11 26 2" xfId="4412" xr:uid="{00000000-0005-0000-0000-0000F9010000}"/>
    <cellStyle name="Euro 11 27" xfId="272" xr:uid="{00000000-0005-0000-0000-0000FA010000}"/>
    <cellStyle name="Euro 11 27 2" xfId="4413" xr:uid="{00000000-0005-0000-0000-0000FB010000}"/>
    <cellStyle name="Euro 11 28" xfId="273" xr:uid="{00000000-0005-0000-0000-0000FC010000}"/>
    <cellStyle name="Euro 11 28 2" xfId="4414" xr:uid="{00000000-0005-0000-0000-0000FD010000}"/>
    <cellStyle name="Euro 11 29" xfId="4415" xr:uid="{00000000-0005-0000-0000-0000FE010000}"/>
    <cellStyle name="Euro 11 3" xfId="274" xr:uid="{00000000-0005-0000-0000-0000FF010000}"/>
    <cellStyle name="Euro 11 3 2" xfId="4416" xr:uid="{00000000-0005-0000-0000-000000020000}"/>
    <cellStyle name="Euro 11 4" xfId="275" xr:uid="{00000000-0005-0000-0000-000001020000}"/>
    <cellStyle name="Euro 11 4 2" xfId="4417" xr:uid="{00000000-0005-0000-0000-000002020000}"/>
    <cellStyle name="Euro 11 5" xfId="276" xr:uid="{00000000-0005-0000-0000-000003020000}"/>
    <cellStyle name="Euro 11 5 2" xfId="4418" xr:uid="{00000000-0005-0000-0000-000004020000}"/>
    <cellStyle name="Euro 11 6" xfId="277" xr:uid="{00000000-0005-0000-0000-000005020000}"/>
    <cellStyle name="Euro 11 6 2" xfId="4419" xr:uid="{00000000-0005-0000-0000-000006020000}"/>
    <cellStyle name="Euro 11 7" xfId="278" xr:uid="{00000000-0005-0000-0000-000007020000}"/>
    <cellStyle name="Euro 11 7 2" xfId="4420" xr:uid="{00000000-0005-0000-0000-000008020000}"/>
    <cellStyle name="Euro 11 8" xfId="279" xr:uid="{00000000-0005-0000-0000-000009020000}"/>
    <cellStyle name="Euro 11 8 2" xfId="4421" xr:uid="{00000000-0005-0000-0000-00000A020000}"/>
    <cellStyle name="Euro 11 9" xfId="280" xr:uid="{00000000-0005-0000-0000-00000B020000}"/>
    <cellStyle name="Euro 11 9 2" xfId="4422" xr:uid="{00000000-0005-0000-0000-00000C020000}"/>
    <cellStyle name="Euro 12" xfId="281" xr:uid="{00000000-0005-0000-0000-00000D020000}"/>
    <cellStyle name="Euro 12 10" xfId="282" xr:uid="{00000000-0005-0000-0000-00000E020000}"/>
    <cellStyle name="Euro 12 10 2" xfId="4423" xr:uid="{00000000-0005-0000-0000-00000F020000}"/>
    <cellStyle name="Euro 12 11" xfId="283" xr:uid="{00000000-0005-0000-0000-000010020000}"/>
    <cellStyle name="Euro 12 11 2" xfId="4424" xr:uid="{00000000-0005-0000-0000-000011020000}"/>
    <cellStyle name="Euro 12 12" xfId="284" xr:uid="{00000000-0005-0000-0000-000012020000}"/>
    <cellStyle name="Euro 12 12 2" xfId="4425" xr:uid="{00000000-0005-0000-0000-000013020000}"/>
    <cellStyle name="Euro 12 13" xfId="285" xr:uid="{00000000-0005-0000-0000-000014020000}"/>
    <cellStyle name="Euro 12 13 2" xfId="4426" xr:uid="{00000000-0005-0000-0000-000015020000}"/>
    <cellStyle name="Euro 12 14" xfId="286" xr:uid="{00000000-0005-0000-0000-000016020000}"/>
    <cellStyle name="Euro 12 14 2" xfId="4427" xr:uid="{00000000-0005-0000-0000-000017020000}"/>
    <cellStyle name="Euro 12 15" xfId="287" xr:uid="{00000000-0005-0000-0000-000018020000}"/>
    <cellStyle name="Euro 12 15 2" xfId="4428" xr:uid="{00000000-0005-0000-0000-000019020000}"/>
    <cellStyle name="Euro 12 16" xfId="288" xr:uid="{00000000-0005-0000-0000-00001A020000}"/>
    <cellStyle name="Euro 12 16 2" xfId="4429" xr:uid="{00000000-0005-0000-0000-00001B020000}"/>
    <cellStyle name="Euro 12 17" xfId="289" xr:uid="{00000000-0005-0000-0000-00001C020000}"/>
    <cellStyle name="Euro 12 17 2" xfId="4430" xr:uid="{00000000-0005-0000-0000-00001D020000}"/>
    <cellStyle name="Euro 12 18" xfId="290" xr:uid="{00000000-0005-0000-0000-00001E020000}"/>
    <cellStyle name="Euro 12 18 2" xfId="4431" xr:uid="{00000000-0005-0000-0000-00001F020000}"/>
    <cellStyle name="Euro 12 19" xfId="291" xr:uid="{00000000-0005-0000-0000-000020020000}"/>
    <cellStyle name="Euro 12 19 2" xfId="4432" xr:uid="{00000000-0005-0000-0000-000021020000}"/>
    <cellStyle name="Euro 12 2" xfId="292" xr:uid="{00000000-0005-0000-0000-000022020000}"/>
    <cellStyle name="Euro 12 2 2" xfId="4433" xr:uid="{00000000-0005-0000-0000-000023020000}"/>
    <cellStyle name="Euro 12 20" xfId="293" xr:uid="{00000000-0005-0000-0000-000024020000}"/>
    <cellStyle name="Euro 12 20 2" xfId="4434" xr:uid="{00000000-0005-0000-0000-000025020000}"/>
    <cellStyle name="Euro 12 21" xfId="294" xr:uid="{00000000-0005-0000-0000-000026020000}"/>
    <cellStyle name="Euro 12 21 2" xfId="4435" xr:uid="{00000000-0005-0000-0000-000027020000}"/>
    <cellStyle name="Euro 12 22" xfId="295" xr:uid="{00000000-0005-0000-0000-000028020000}"/>
    <cellStyle name="Euro 12 22 2" xfId="4436" xr:uid="{00000000-0005-0000-0000-000029020000}"/>
    <cellStyle name="Euro 12 23" xfId="296" xr:uid="{00000000-0005-0000-0000-00002A020000}"/>
    <cellStyle name="Euro 12 23 2" xfId="4437" xr:uid="{00000000-0005-0000-0000-00002B020000}"/>
    <cellStyle name="Euro 12 24" xfId="297" xr:uid="{00000000-0005-0000-0000-00002C020000}"/>
    <cellStyle name="Euro 12 24 2" xfId="4438" xr:uid="{00000000-0005-0000-0000-00002D020000}"/>
    <cellStyle name="Euro 12 25" xfId="298" xr:uid="{00000000-0005-0000-0000-00002E020000}"/>
    <cellStyle name="Euro 12 25 2" xfId="4439" xr:uid="{00000000-0005-0000-0000-00002F020000}"/>
    <cellStyle name="Euro 12 26" xfId="299" xr:uid="{00000000-0005-0000-0000-000030020000}"/>
    <cellStyle name="Euro 12 26 2" xfId="4440" xr:uid="{00000000-0005-0000-0000-000031020000}"/>
    <cellStyle name="Euro 12 27" xfId="300" xr:uid="{00000000-0005-0000-0000-000032020000}"/>
    <cellStyle name="Euro 12 27 2" xfId="4441" xr:uid="{00000000-0005-0000-0000-000033020000}"/>
    <cellStyle name="Euro 12 28" xfId="301" xr:uid="{00000000-0005-0000-0000-000034020000}"/>
    <cellStyle name="Euro 12 28 2" xfId="4442" xr:uid="{00000000-0005-0000-0000-000035020000}"/>
    <cellStyle name="Euro 12 29" xfId="4443" xr:uid="{00000000-0005-0000-0000-000036020000}"/>
    <cellStyle name="Euro 12 3" xfId="302" xr:uid="{00000000-0005-0000-0000-000037020000}"/>
    <cellStyle name="Euro 12 3 2" xfId="4444" xr:uid="{00000000-0005-0000-0000-000038020000}"/>
    <cellStyle name="Euro 12 4" xfId="303" xr:uid="{00000000-0005-0000-0000-000039020000}"/>
    <cellStyle name="Euro 12 4 2" xfId="4445" xr:uid="{00000000-0005-0000-0000-00003A020000}"/>
    <cellStyle name="Euro 12 5" xfId="304" xr:uid="{00000000-0005-0000-0000-00003B020000}"/>
    <cellStyle name="Euro 12 5 2" xfId="4446" xr:uid="{00000000-0005-0000-0000-00003C020000}"/>
    <cellStyle name="Euro 12 6" xfId="305" xr:uid="{00000000-0005-0000-0000-00003D020000}"/>
    <cellStyle name="Euro 12 6 2" xfId="4447" xr:uid="{00000000-0005-0000-0000-00003E020000}"/>
    <cellStyle name="Euro 12 7" xfId="306" xr:uid="{00000000-0005-0000-0000-00003F020000}"/>
    <cellStyle name="Euro 12 7 2" xfId="4448" xr:uid="{00000000-0005-0000-0000-000040020000}"/>
    <cellStyle name="Euro 12 8" xfId="307" xr:uid="{00000000-0005-0000-0000-000041020000}"/>
    <cellStyle name="Euro 12 8 2" xfId="4449" xr:uid="{00000000-0005-0000-0000-000042020000}"/>
    <cellStyle name="Euro 12 9" xfId="308" xr:uid="{00000000-0005-0000-0000-000043020000}"/>
    <cellStyle name="Euro 12 9 2" xfId="4450" xr:uid="{00000000-0005-0000-0000-000044020000}"/>
    <cellStyle name="Euro 13" xfId="309" xr:uid="{00000000-0005-0000-0000-000045020000}"/>
    <cellStyle name="Euro 13 10" xfId="310" xr:uid="{00000000-0005-0000-0000-000046020000}"/>
    <cellStyle name="Euro 13 10 2" xfId="4451" xr:uid="{00000000-0005-0000-0000-000047020000}"/>
    <cellStyle name="Euro 13 11" xfId="311" xr:uid="{00000000-0005-0000-0000-000048020000}"/>
    <cellStyle name="Euro 13 11 2" xfId="4452" xr:uid="{00000000-0005-0000-0000-000049020000}"/>
    <cellStyle name="Euro 13 12" xfId="312" xr:uid="{00000000-0005-0000-0000-00004A020000}"/>
    <cellStyle name="Euro 13 12 2" xfId="4453" xr:uid="{00000000-0005-0000-0000-00004B020000}"/>
    <cellStyle name="Euro 13 13" xfId="313" xr:uid="{00000000-0005-0000-0000-00004C020000}"/>
    <cellStyle name="Euro 13 13 2" xfId="4454" xr:uid="{00000000-0005-0000-0000-00004D020000}"/>
    <cellStyle name="Euro 13 14" xfId="314" xr:uid="{00000000-0005-0000-0000-00004E020000}"/>
    <cellStyle name="Euro 13 14 2" xfId="4455" xr:uid="{00000000-0005-0000-0000-00004F020000}"/>
    <cellStyle name="Euro 13 15" xfId="315" xr:uid="{00000000-0005-0000-0000-000050020000}"/>
    <cellStyle name="Euro 13 15 2" xfId="4456" xr:uid="{00000000-0005-0000-0000-000051020000}"/>
    <cellStyle name="Euro 13 16" xfId="316" xr:uid="{00000000-0005-0000-0000-000052020000}"/>
    <cellStyle name="Euro 13 16 2" xfId="4457" xr:uid="{00000000-0005-0000-0000-000053020000}"/>
    <cellStyle name="Euro 13 17" xfId="317" xr:uid="{00000000-0005-0000-0000-000054020000}"/>
    <cellStyle name="Euro 13 17 2" xfId="4458" xr:uid="{00000000-0005-0000-0000-000055020000}"/>
    <cellStyle name="Euro 13 18" xfId="318" xr:uid="{00000000-0005-0000-0000-000056020000}"/>
    <cellStyle name="Euro 13 18 2" xfId="4459" xr:uid="{00000000-0005-0000-0000-000057020000}"/>
    <cellStyle name="Euro 13 19" xfId="319" xr:uid="{00000000-0005-0000-0000-000058020000}"/>
    <cellStyle name="Euro 13 19 2" xfId="4460" xr:uid="{00000000-0005-0000-0000-000059020000}"/>
    <cellStyle name="Euro 13 2" xfId="320" xr:uid="{00000000-0005-0000-0000-00005A020000}"/>
    <cellStyle name="Euro 13 2 2" xfId="4461" xr:uid="{00000000-0005-0000-0000-00005B020000}"/>
    <cellStyle name="Euro 13 20" xfId="321" xr:uid="{00000000-0005-0000-0000-00005C020000}"/>
    <cellStyle name="Euro 13 20 2" xfId="4462" xr:uid="{00000000-0005-0000-0000-00005D020000}"/>
    <cellStyle name="Euro 13 21" xfId="322" xr:uid="{00000000-0005-0000-0000-00005E020000}"/>
    <cellStyle name="Euro 13 21 2" xfId="4463" xr:uid="{00000000-0005-0000-0000-00005F020000}"/>
    <cellStyle name="Euro 13 22" xfId="323" xr:uid="{00000000-0005-0000-0000-000060020000}"/>
    <cellStyle name="Euro 13 22 2" xfId="4464" xr:uid="{00000000-0005-0000-0000-000061020000}"/>
    <cellStyle name="Euro 13 23" xfId="324" xr:uid="{00000000-0005-0000-0000-000062020000}"/>
    <cellStyle name="Euro 13 23 2" xfId="4465" xr:uid="{00000000-0005-0000-0000-000063020000}"/>
    <cellStyle name="Euro 13 24" xfId="325" xr:uid="{00000000-0005-0000-0000-000064020000}"/>
    <cellStyle name="Euro 13 24 2" xfId="4466" xr:uid="{00000000-0005-0000-0000-000065020000}"/>
    <cellStyle name="Euro 13 25" xfId="326" xr:uid="{00000000-0005-0000-0000-000066020000}"/>
    <cellStyle name="Euro 13 25 2" xfId="4467" xr:uid="{00000000-0005-0000-0000-000067020000}"/>
    <cellStyle name="Euro 13 26" xfId="327" xr:uid="{00000000-0005-0000-0000-000068020000}"/>
    <cellStyle name="Euro 13 26 2" xfId="4468" xr:uid="{00000000-0005-0000-0000-000069020000}"/>
    <cellStyle name="Euro 13 27" xfId="328" xr:uid="{00000000-0005-0000-0000-00006A020000}"/>
    <cellStyle name="Euro 13 27 2" xfId="4469" xr:uid="{00000000-0005-0000-0000-00006B020000}"/>
    <cellStyle name="Euro 13 28" xfId="329" xr:uid="{00000000-0005-0000-0000-00006C020000}"/>
    <cellStyle name="Euro 13 28 2" xfId="4470" xr:uid="{00000000-0005-0000-0000-00006D020000}"/>
    <cellStyle name="Euro 13 29" xfId="4471" xr:uid="{00000000-0005-0000-0000-00006E020000}"/>
    <cellStyle name="Euro 13 3" xfId="330" xr:uid="{00000000-0005-0000-0000-00006F020000}"/>
    <cellStyle name="Euro 13 3 2" xfId="4472" xr:uid="{00000000-0005-0000-0000-000070020000}"/>
    <cellStyle name="Euro 13 4" xfId="331" xr:uid="{00000000-0005-0000-0000-000071020000}"/>
    <cellStyle name="Euro 13 4 2" xfId="4473" xr:uid="{00000000-0005-0000-0000-000072020000}"/>
    <cellStyle name="Euro 13 5" xfId="332" xr:uid="{00000000-0005-0000-0000-000073020000}"/>
    <cellStyle name="Euro 13 5 2" xfId="4474" xr:uid="{00000000-0005-0000-0000-000074020000}"/>
    <cellStyle name="Euro 13 6" xfId="333" xr:uid="{00000000-0005-0000-0000-000075020000}"/>
    <cellStyle name="Euro 13 6 2" xfId="4475" xr:uid="{00000000-0005-0000-0000-000076020000}"/>
    <cellStyle name="Euro 13 7" xfId="334" xr:uid="{00000000-0005-0000-0000-000077020000}"/>
    <cellStyle name="Euro 13 7 2" xfId="4476" xr:uid="{00000000-0005-0000-0000-000078020000}"/>
    <cellStyle name="Euro 13 8" xfId="335" xr:uid="{00000000-0005-0000-0000-000079020000}"/>
    <cellStyle name="Euro 13 8 2" xfId="4477" xr:uid="{00000000-0005-0000-0000-00007A020000}"/>
    <cellStyle name="Euro 13 9" xfId="336" xr:uid="{00000000-0005-0000-0000-00007B020000}"/>
    <cellStyle name="Euro 13 9 2" xfId="4478" xr:uid="{00000000-0005-0000-0000-00007C020000}"/>
    <cellStyle name="Euro 14" xfId="337" xr:uid="{00000000-0005-0000-0000-00007D020000}"/>
    <cellStyle name="Euro 14 10" xfId="338" xr:uid="{00000000-0005-0000-0000-00007E020000}"/>
    <cellStyle name="Euro 14 10 2" xfId="4479" xr:uid="{00000000-0005-0000-0000-00007F020000}"/>
    <cellStyle name="Euro 14 11" xfId="339" xr:uid="{00000000-0005-0000-0000-000080020000}"/>
    <cellStyle name="Euro 14 11 2" xfId="4480" xr:uid="{00000000-0005-0000-0000-000081020000}"/>
    <cellStyle name="Euro 14 12" xfId="340" xr:uid="{00000000-0005-0000-0000-000082020000}"/>
    <cellStyle name="Euro 14 12 2" xfId="4481" xr:uid="{00000000-0005-0000-0000-000083020000}"/>
    <cellStyle name="Euro 14 13" xfId="341" xr:uid="{00000000-0005-0000-0000-000084020000}"/>
    <cellStyle name="Euro 14 13 2" xfId="4482" xr:uid="{00000000-0005-0000-0000-000085020000}"/>
    <cellStyle name="Euro 14 14" xfId="342" xr:uid="{00000000-0005-0000-0000-000086020000}"/>
    <cellStyle name="Euro 14 14 2" xfId="4483" xr:uid="{00000000-0005-0000-0000-000087020000}"/>
    <cellStyle name="Euro 14 15" xfId="343" xr:uid="{00000000-0005-0000-0000-000088020000}"/>
    <cellStyle name="Euro 14 15 2" xfId="4484" xr:uid="{00000000-0005-0000-0000-000089020000}"/>
    <cellStyle name="Euro 14 16" xfId="344" xr:uid="{00000000-0005-0000-0000-00008A020000}"/>
    <cellStyle name="Euro 14 16 2" xfId="4485" xr:uid="{00000000-0005-0000-0000-00008B020000}"/>
    <cellStyle name="Euro 14 17" xfId="345" xr:uid="{00000000-0005-0000-0000-00008C020000}"/>
    <cellStyle name="Euro 14 17 2" xfId="4486" xr:uid="{00000000-0005-0000-0000-00008D020000}"/>
    <cellStyle name="Euro 14 18" xfId="346" xr:uid="{00000000-0005-0000-0000-00008E020000}"/>
    <cellStyle name="Euro 14 18 2" xfId="4487" xr:uid="{00000000-0005-0000-0000-00008F020000}"/>
    <cellStyle name="Euro 14 19" xfId="347" xr:uid="{00000000-0005-0000-0000-000090020000}"/>
    <cellStyle name="Euro 14 19 2" xfId="4488" xr:uid="{00000000-0005-0000-0000-000091020000}"/>
    <cellStyle name="Euro 14 2" xfId="348" xr:uid="{00000000-0005-0000-0000-000092020000}"/>
    <cellStyle name="Euro 14 2 2" xfId="4489" xr:uid="{00000000-0005-0000-0000-000093020000}"/>
    <cellStyle name="Euro 14 20" xfId="349" xr:uid="{00000000-0005-0000-0000-000094020000}"/>
    <cellStyle name="Euro 14 20 2" xfId="4490" xr:uid="{00000000-0005-0000-0000-000095020000}"/>
    <cellStyle name="Euro 14 21" xfId="350" xr:uid="{00000000-0005-0000-0000-000096020000}"/>
    <cellStyle name="Euro 14 21 2" xfId="4491" xr:uid="{00000000-0005-0000-0000-000097020000}"/>
    <cellStyle name="Euro 14 22" xfId="351" xr:uid="{00000000-0005-0000-0000-000098020000}"/>
    <cellStyle name="Euro 14 22 2" xfId="4492" xr:uid="{00000000-0005-0000-0000-000099020000}"/>
    <cellStyle name="Euro 14 23" xfId="352" xr:uid="{00000000-0005-0000-0000-00009A020000}"/>
    <cellStyle name="Euro 14 23 2" xfId="4493" xr:uid="{00000000-0005-0000-0000-00009B020000}"/>
    <cellStyle name="Euro 14 24" xfId="353" xr:uid="{00000000-0005-0000-0000-00009C020000}"/>
    <cellStyle name="Euro 14 24 2" xfId="4494" xr:uid="{00000000-0005-0000-0000-00009D020000}"/>
    <cellStyle name="Euro 14 25" xfId="354" xr:uid="{00000000-0005-0000-0000-00009E020000}"/>
    <cellStyle name="Euro 14 25 2" xfId="4495" xr:uid="{00000000-0005-0000-0000-00009F020000}"/>
    <cellStyle name="Euro 14 26" xfId="355" xr:uid="{00000000-0005-0000-0000-0000A0020000}"/>
    <cellStyle name="Euro 14 26 2" xfId="4496" xr:uid="{00000000-0005-0000-0000-0000A1020000}"/>
    <cellStyle name="Euro 14 27" xfId="356" xr:uid="{00000000-0005-0000-0000-0000A2020000}"/>
    <cellStyle name="Euro 14 27 2" xfId="4497" xr:uid="{00000000-0005-0000-0000-0000A3020000}"/>
    <cellStyle name="Euro 14 28" xfId="357" xr:uid="{00000000-0005-0000-0000-0000A4020000}"/>
    <cellStyle name="Euro 14 28 2" xfId="4498" xr:uid="{00000000-0005-0000-0000-0000A5020000}"/>
    <cellStyle name="Euro 14 29" xfId="4499" xr:uid="{00000000-0005-0000-0000-0000A6020000}"/>
    <cellStyle name="Euro 14 3" xfId="358" xr:uid="{00000000-0005-0000-0000-0000A7020000}"/>
    <cellStyle name="Euro 14 3 2" xfId="4500" xr:uid="{00000000-0005-0000-0000-0000A8020000}"/>
    <cellStyle name="Euro 14 4" xfId="359" xr:uid="{00000000-0005-0000-0000-0000A9020000}"/>
    <cellStyle name="Euro 14 4 2" xfId="4501" xr:uid="{00000000-0005-0000-0000-0000AA020000}"/>
    <cellStyle name="Euro 14 5" xfId="360" xr:uid="{00000000-0005-0000-0000-0000AB020000}"/>
    <cellStyle name="Euro 14 5 2" xfId="4502" xr:uid="{00000000-0005-0000-0000-0000AC020000}"/>
    <cellStyle name="Euro 14 6" xfId="361" xr:uid="{00000000-0005-0000-0000-0000AD020000}"/>
    <cellStyle name="Euro 14 6 2" xfId="4503" xr:uid="{00000000-0005-0000-0000-0000AE020000}"/>
    <cellStyle name="Euro 14 7" xfId="362" xr:uid="{00000000-0005-0000-0000-0000AF020000}"/>
    <cellStyle name="Euro 14 7 2" xfId="4504" xr:uid="{00000000-0005-0000-0000-0000B0020000}"/>
    <cellStyle name="Euro 14 8" xfId="363" xr:uid="{00000000-0005-0000-0000-0000B1020000}"/>
    <cellStyle name="Euro 14 8 2" xfId="4505" xr:uid="{00000000-0005-0000-0000-0000B2020000}"/>
    <cellStyle name="Euro 14 9" xfId="364" xr:uid="{00000000-0005-0000-0000-0000B3020000}"/>
    <cellStyle name="Euro 14 9 2" xfId="4506" xr:uid="{00000000-0005-0000-0000-0000B4020000}"/>
    <cellStyle name="Euro 15" xfId="365" xr:uid="{00000000-0005-0000-0000-0000B5020000}"/>
    <cellStyle name="Euro 15 10" xfId="366" xr:uid="{00000000-0005-0000-0000-0000B6020000}"/>
    <cellStyle name="Euro 15 10 2" xfId="4507" xr:uid="{00000000-0005-0000-0000-0000B7020000}"/>
    <cellStyle name="Euro 15 11" xfId="367" xr:uid="{00000000-0005-0000-0000-0000B8020000}"/>
    <cellStyle name="Euro 15 11 2" xfId="4508" xr:uid="{00000000-0005-0000-0000-0000B9020000}"/>
    <cellStyle name="Euro 15 12" xfId="368" xr:uid="{00000000-0005-0000-0000-0000BA020000}"/>
    <cellStyle name="Euro 15 12 2" xfId="4509" xr:uid="{00000000-0005-0000-0000-0000BB020000}"/>
    <cellStyle name="Euro 15 13" xfId="369" xr:uid="{00000000-0005-0000-0000-0000BC020000}"/>
    <cellStyle name="Euro 15 13 2" xfId="4510" xr:uid="{00000000-0005-0000-0000-0000BD020000}"/>
    <cellStyle name="Euro 15 14" xfId="370" xr:uid="{00000000-0005-0000-0000-0000BE020000}"/>
    <cellStyle name="Euro 15 14 2" xfId="4511" xr:uid="{00000000-0005-0000-0000-0000BF020000}"/>
    <cellStyle name="Euro 15 15" xfId="371" xr:uid="{00000000-0005-0000-0000-0000C0020000}"/>
    <cellStyle name="Euro 15 15 2" xfId="4512" xr:uid="{00000000-0005-0000-0000-0000C1020000}"/>
    <cellStyle name="Euro 15 16" xfId="372" xr:uid="{00000000-0005-0000-0000-0000C2020000}"/>
    <cellStyle name="Euro 15 16 2" xfId="4513" xr:uid="{00000000-0005-0000-0000-0000C3020000}"/>
    <cellStyle name="Euro 15 17" xfId="373" xr:uid="{00000000-0005-0000-0000-0000C4020000}"/>
    <cellStyle name="Euro 15 17 2" xfId="4514" xr:uid="{00000000-0005-0000-0000-0000C5020000}"/>
    <cellStyle name="Euro 15 18" xfId="374" xr:uid="{00000000-0005-0000-0000-0000C6020000}"/>
    <cellStyle name="Euro 15 18 2" xfId="4515" xr:uid="{00000000-0005-0000-0000-0000C7020000}"/>
    <cellStyle name="Euro 15 19" xfId="375" xr:uid="{00000000-0005-0000-0000-0000C8020000}"/>
    <cellStyle name="Euro 15 19 2" xfId="4516" xr:uid="{00000000-0005-0000-0000-0000C9020000}"/>
    <cellStyle name="Euro 15 2" xfId="376" xr:uid="{00000000-0005-0000-0000-0000CA020000}"/>
    <cellStyle name="Euro 15 2 2" xfId="4517" xr:uid="{00000000-0005-0000-0000-0000CB020000}"/>
    <cellStyle name="Euro 15 20" xfId="377" xr:uid="{00000000-0005-0000-0000-0000CC020000}"/>
    <cellStyle name="Euro 15 20 2" xfId="4518" xr:uid="{00000000-0005-0000-0000-0000CD020000}"/>
    <cellStyle name="Euro 15 21" xfId="378" xr:uid="{00000000-0005-0000-0000-0000CE020000}"/>
    <cellStyle name="Euro 15 21 2" xfId="4519" xr:uid="{00000000-0005-0000-0000-0000CF020000}"/>
    <cellStyle name="Euro 15 22" xfId="379" xr:uid="{00000000-0005-0000-0000-0000D0020000}"/>
    <cellStyle name="Euro 15 22 2" xfId="4520" xr:uid="{00000000-0005-0000-0000-0000D1020000}"/>
    <cellStyle name="Euro 15 23" xfId="380" xr:uid="{00000000-0005-0000-0000-0000D2020000}"/>
    <cellStyle name="Euro 15 23 2" xfId="4521" xr:uid="{00000000-0005-0000-0000-0000D3020000}"/>
    <cellStyle name="Euro 15 24" xfId="381" xr:uid="{00000000-0005-0000-0000-0000D4020000}"/>
    <cellStyle name="Euro 15 24 2" xfId="4522" xr:uid="{00000000-0005-0000-0000-0000D5020000}"/>
    <cellStyle name="Euro 15 25" xfId="382" xr:uid="{00000000-0005-0000-0000-0000D6020000}"/>
    <cellStyle name="Euro 15 25 2" xfId="4523" xr:uid="{00000000-0005-0000-0000-0000D7020000}"/>
    <cellStyle name="Euro 15 26" xfId="383" xr:uid="{00000000-0005-0000-0000-0000D8020000}"/>
    <cellStyle name="Euro 15 26 2" xfId="4524" xr:uid="{00000000-0005-0000-0000-0000D9020000}"/>
    <cellStyle name="Euro 15 27" xfId="384" xr:uid="{00000000-0005-0000-0000-0000DA020000}"/>
    <cellStyle name="Euro 15 27 2" xfId="4525" xr:uid="{00000000-0005-0000-0000-0000DB020000}"/>
    <cellStyle name="Euro 15 28" xfId="385" xr:uid="{00000000-0005-0000-0000-0000DC020000}"/>
    <cellStyle name="Euro 15 28 2" xfId="4526" xr:uid="{00000000-0005-0000-0000-0000DD020000}"/>
    <cellStyle name="Euro 15 29" xfId="4527" xr:uid="{00000000-0005-0000-0000-0000DE020000}"/>
    <cellStyle name="Euro 15 3" xfId="386" xr:uid="{00000000-0005-0000-0000-0000DF020000}"/>
    <cellStyle name="Euro 15 3 2" xfId="4528" xr:uid="{00000000-0005-0000-0000-0000E0020000}"/>
    <cellStyle name="Euro 15 4" xfId="387" xr:uid="{00000000-0005-0000-0000-0000E1020000}"/>
    <cellStyle name="Euro 15 4 2" xfId="4529" xr:uid="{00000000-0005-0000-0000-0000E2020000}"/>
    <cellStyle name="Euro 15 5" xfId="388" xr:uid="{00000000-0005-0000-0000-0000E3020000}"/>
    <cellStyle name="Euro 15 5 2" xfId="4530" xr:uid="{00000000-0005-0000-0000-0000E4020000}"/>
    <cellStyle name="Euro 15 6" xfId="389" xr:uid="{00000000-0005-0000-0000-0000E5020000}"/>
    <cellStyle name="Euro 15 6 2" xfId="4531" xr:uid="{00000000-0005-0000-0000-0000E6020000}"/>
    <cellStyle name="Euro 15 7" xfId="390" xr:uid="{00000000-0005-0000-0000-0000E7020000}"/>
    <cellStyle name="Euro 15 7 2" xfId="4532" xr:uid="{00000000-0005-0000-0000-0000E8020000}"/>
    <cellStyle name="Euro 15 8" xfId="391" xr:uid="{00000000-0005-0000-0000-0000E9020000}"/>
    <cellStyle name="Euro 15 8 2" xfId="4533" xr:uid="{00000000-0005-0000-0000-0000EA020000}"/>
    <cellStyle name="Euro 15 9" xfId="392" xr:uid="{00000000-0005-0000-0000-0000EB020000}"/>
    <cellStyle name="Euro 15 9 2" xfId="4534" xr:uid="{00000000-0005-0000-0000-0000EC020000}"/>
    <cellStyle name="Euro 16" xfId="393" xr:uid="{00000000-0005-0000-0000-0000ED020000}"/>
    <cellStyle name="Euro 16 10" xfId="394" xr:uid="{00000000-0005-0000-0000-0000EE020000}"/>
    <cellStyle name="Euro 16 10 2" xfId="4535" xr:uid="{00000000-0005-0000-0000-0000EF020000}"/>
    <cellStyle name="Euro 16 11" xfId="395" xr:uid="{00000000-0005-0000-0000-0000F0020000}"/>
    <cellStyle name="Euro 16 11 2" xfId="4536" xr:uid="{00000000-0005-0000-0000-0000F1020000}"/>
    <cellStyle name="Euro 16 12" xfId="396" xr:uid="{00000000-0005-0000-0000-0000F2020000}"/>
    <cellStyle name="Euro 16 12 2" xfId="4537" xr:uid="{00000000-0005-0000-0000-0000F3020000}"/>
    <cellStyle name="Euro 16 13" xfId="397" xr:uid="{00000000-0005-0000-0000-0000F4020000}"/>
    <cellStyle name="Euro 16 13 2" xfId="4538" xr:uid="{00000000-0005-0000-0000-0000F5020000}"/>
    <cellStyle name="Euro 16 14" xfId="398" xr:uid="{00000000-0005-0000-0000-0000F6020000}"/>
    <cellStyle name="Euro 16 14 2" xfId="4539" xr:uid="{00000000-0005-0000-0000-0000F7020000}"/>
    <cellStyle name="Euro 16 15" xfId="399" xr:uid="{00000000-0005-0000-0000-0000F8020000}"/>
    <cellStyle name="Euro 16 15 2" xfId="4540" xr:uid="{00000000-0005-0000-0000-0000F9020000}"/>
    <cellStyle name="Euro 16 16" xfId="400" xr:uid="{00000000-0005-0000-0000-0000FA020000}"/>
    <cellStyle name="Euro 16 16 2" xfId="4541" xr:uid="{00000000-0005-0000-0000-0000FB020000}"/>
    <cellStyle name="Euro 16 17" xfId="401" xr:uid="{00000000-0005-0000-0000-0000FC020000}"/>
    <cellStyle name="Euro 16 17 2" xfId="4542" xr:uid="{00000000-0005-0000-0000-0000FD020000}"/>
    <cellStyle name="Euro 16 18" xfId="402" xr:uid="{00000000-0005-0000-0000-0000FE020000}"/>
    <cellStyle name="Euro 16 18 2" xfId="4543" xr:uid="{00000000-0005-0000-0000-0000FF020000}"/>
    <cellStyle name="Euro 16 19" xfId="403" xr:uid="{00000000-0005-0000-0000-000000030000}"/>
    <cellStyle name="Euro 16 19 2" xfId="4544" xr:uid="{00000000-0005-0000-0000-000001030000}"/>
    <cellStyle name="Euro 16 2" xfId="404" xr:uid="{00000000-0005-0000-0000-000002030000}"/>
    <cellStyle name="Euro 16 2 2" xfId="4545" xr:uid="{00000000-0005-0000-0000-000003030000}"/>
    <cellStyle name="Euro 16 20" xfId="405" xr:uid="{00000000-0005-0000-0000-000004030000}"/>
    <cellStyle name="Euro 16 20 2" xfId="4546" xr:uid="{00000000-0005-0000-0000-000005030000}"/>
    <cellStyle name="Euro 16 21" xfId="406" xr:uid="{00000000-0005-0000-0000-000006030000}"/>
    <cellStyle name="Euro 16 21 2" xfId="4547" xr:uid="{00000000-0005-0000-0000-000007030000}"/>
    <cellStyle name="Euro 16 22" xfId="407" xr:uid="{00000000-0005-0000-0000-000008030000}"/>
    <cellStyle name="Euro 16 22 2" xfId="4548" xr:uid="{00000000-0005-0000-0000-000009030000}"/>
    <cellStyle name="Euro 16 23" xfId="408" xr:uid="{00000000-0005-0000-0000-00000A030000}"/>
    <cellStyle name="Euro 16 23 2" xfId="4549" xr:uid="{00000000-0005-0000-0000-00000B030000}"/>
    <cellStyle name="Euro 16 24" xfId="409" xr:uid="{00000000-0005-0000-0000-00000C030000}"/>
    <cellStyle name="Euro 16 24 2" xfId="4550" xr:uid="{00000000-0005-0000-0000-00000D030000}"/>
    <cellStyle name="Euro 16 25" xfId="410" xr:uid="{00000000-0005-0000-0000-00000E030000}"/>
    <cellStyle name="Euro 16 25 2" xfId="4551" xr:uid="{00000000-0005-0000-0000-00000F030000}"/>
    <cellStyle name="Euro 16 26" xfId="411" xr:uid="{00000000-0005-0000-0000-000010030000}"/>
    <cellStyle name="Euro 16 26 2" xfId="4552" xr:uid="{00000000-0005-0000-0000-000011030000}"/>
    <cellStyle name="Euro 16 27" xfId="412" xr:uid="{00000000-0005-0000-0000-000012030000}"/>
    <cellStyle name="Euro 16 27 2" xfId="4553" xr:uid="{00000000-0005-0000-0000-000013030000}"/>
    <cellStyle name="Euro 16 28" xfId="413" xr:uid="{00000000-0005-0000-0000-000014030000}"/>
    <cellStyle name="Euro 16 28 2" xfId="4554" xr:uid="{00000000-0005-0000-0000-000015030000}"/>
    <cellStyle name="Euro 16 29" xfId="4555" xr:uid="{00000000-0005-0000-0000-000016030000}"/>
    <cellStyle name="Euro 16 3" xfId="414" xr:uid="{00000000-0005-0000-0000-000017030000}"/>
    <cellStyle name="Euro 16 3 2" xfId="4556" xr:uid="{00000000-0005-0000-0000-000018030000}"/>
    <cellStyle name="Euro 16 4" xfId="415" xr:uid="{00000000-0005-0000-0000-000019030000}"/>
    <cellStyle name="Euro 16 4 2" xfId="4557" xr:uid="{00000000-0005-0000-0000-00001A030000}"/>
    <cellStyle name="Euro 16 5" xfId="416" xr:uid="{00000000-0005-0000-0000-00001B030000}"/>
    <cellStyle name="Euro 16 5 2" xfId="4558" xr:uid="{00000000-0005-0000-0000-00001C030000}"/>
    <cellStyle name="Euro 16 6" xfId="417" xr:uid="{00000000-0005-0000-0000-00001D030000}"/>
    <cellStyle name="Euro 16 6 2" xfId="4559" xr:uid="{00000000-0005-0000-0000-00001E030000}"/>
    <cellStyle name="Euro 16 7" xfId="418" xr:uid="{00000000-0005-0000-0000-00001F030000}"/>
    <cellStyle name="Euro 16 7 2" xfId="4560" xr:uid="{00000000-0005-0000-0000-000020030000}"/>
    <cellStyle name="Euro 16 8" xfId="419" xr:uid="{00000000-0005-0000-0000-000021030000}"/>
    <cellStyle name="Euro 16 8 2" xfId="4561" xr:uid="{00000000-0005-0000-0000-000022030000}"/>
    <cellStyle name="Euro 16 9" xfId="420" xr:uid="{00000000-0005-0000-0000-000023030000}"/>
    <cellStyle name="Euro 16 9 2" xfId="4562" xr:uid="{00000000-0005-0000-0000-000024030000}"/>
    <cellStyle name="Euro 17" xfId="421" xr:uid="{00000000-0005-0000-0000-000025030000}"/>
    <cellStyle name="Euro 17 10" xfId="422" xr:uid="{00000000-0005-0000-0000-000026030000}"/>
    <cellStyle name="Euro 17 10 2" xfId="4563" xr:uid="{00000000-0005-0000-0000-000027030000}"/>
    <cellStyle name="Euro 17 11" xfId="423" xr:uid="{00000000-0005-0000-0000-000028030000}"/>
    <cellStyle name="Euro 17 11 2" xfId="4564" xr:uid="{00000000-0005-0000-0000-000029030000}"/>
    <cellStyle name="Euro 17 12" xfId="424" xr:uid="{00000000-0005-0000-0000-00002A030000}"/>
    <cellStyle name="Euro 17 12 2" xfId="4565" xr:uid="{00000000-0005-0000-0000-00002B030000}"/>
    <cellStyle name="Euro 17 13" xfId="425" xr:uid="{00000000-0005-0000-0000-00002C030000}"/>
    <cellStyle name="Euro 17 13 2" xfId="4566" xr:uid="{00000000-0005-0000-0000-00002D030000}"/>
    <cellStyle name="Euro 17 14" xfId="426" xr:uid="{00000000-0005-0000-0000-00002E030000}"/>
    <cellStyle name="Euro 17 14 2" xfId="4567" xr:uid="{00000000-0005-0000-0000-00002F030000}"/>
    <cellStyle name="Euro 17 15" xfId="427" xr:uid="{00000000-0005-0000-0000-000030030000}"/>
    <cellStyle name="Euro 17 15 2" xfId="4568" xr:uid="{00000000-0005-0000-0000-000031030000}"/>
    <cellStyle name="Euro 17 16" xfId="428" xr:uid="{00000000-0005-0000-0000-000032030000}"/>
    <cellStyle name="Euro 17 16 2" xfId="4569" xr:uid="{00000000-0005-0000-0000-000033030000}"/>
    <cellStyle name="Euro 17 17" xfId="429" xr:uid="{00000000-0005-0000-0000-000034030000}"/>
    <cellStyle name="Euro 17 17 2" xfId="4570" xr:uid="{00000000-0005-0000-0000-000035030000}"/>
    <cellStyle name="Euro 17 18" xfId="430" xr:uid="{00000000-0005-0000-0000-000036030000}"/>
    <cellStyle name="Euro 17 18 2" xfId="4571" xr:uid="{00000000-0005-0000-0000-000037030000}"/>
    <cellStyle name="Euro 17 19" xfId="431" xr:uid="{00000000-0005-0000-0000-000038030000}"/>
    <cellStyle name="Euro 17 19 2" xfId="4572" xr:uid="{00000000-0005-0000-0000-000039030000}"/>
    <cellStyle name="Euro 17 2" xfId="432" xr:uid="{00000000-0005-0000-0000-00003A030000}"/>
    <cellStyle name="Euro 17 2 2" xfId="4573" xr:uid="{00000000-0005-0000-0000-00003B030000}"/>
    <cellStyle name="Euro 17 20" xfId="433" xr:uid="{00000000-0005-0000-0000-00003C030000}"/>
    <cellStyle name="Euro 17 20 2" xfId="4574" xr:uid="{00000000-0005-0000-0000-00003D030000}"/>
    <cellStyle name="Euro 17 21" xfId="434" xr:uid="{00000000-0005-0000-0000-00003E030000}"/>
    <cellStyle name="Euro 17 21 2" xfId="4575" xr:uid="{00000000-0005-0000-0000-00003F030000}"/>
    <cellStyle name="Euro 17 22" xfId="435" xr:uid="{00000000-0005-0000-0000-000040030000}"/>
    <cellStyle name="Euro 17 22 2" xfId="4576" xr:uid="{00000000-0005-0000-0000-000041030000}"/>
    <cellStyle name="Euro 17 23" xfId="436" xr:uid="{00000000-0005-0000-0000-000042030000}"/>
    <cellStyle name="Euro 17 23 2" xfId="4577" xr:uid="{00000000-0005-0000-0000-000043030000}"/>
    <cellStyle name="Euro 17 24" xfId="437" xr:uid="{00000000-0005-0000-0000-000044030000}"/>
    <cellStyle name="Euro 17 24 2" xfId="4578" xr:uid="{00000000-0005-0000-0000-000045030000}"/>
    <cellStyle name="Euro 17 25" xfId="438" xr:uid="{00000000-0005-0000-0000-000046030000}"/>
    <cellStyle name="Euro 17 25 2" xfId="4579" xr:uid="{00000000-0005-0000-0000-000047030000}"/>
    <cellStyle name="Euro 17 26" xfId="439" xr:uid="{00000000-0005-0000-0000-000048030000}"/>
    <cellStyle name="Euro 17 26 2" xfId="4580" xr:uid="{00000000-0005-0000-0000-000049030000}"/>
    <cellStyle name="Euro 17 27" xfId="440" xr:uid="{00000000-0005-0000-0000-00004A030000}"/>
    <cellStyle name="Euro 17 27 2" xfId="4581" xr:uid="{00000000-0005-0000-0000-00004B030000}"/>
    <cellStyle name="Euro 17 28" xfId="441" xr:uid="{00000000-0005-0000-0000-00004C030000}"/>
    <cellStyle name="Euro 17 28 2" xfId="4582" xr:uid="{00000000-0005-0000-0000-00004D030000}"/>
    <cellStyle name="Euro 17 29" xfId="4583" xr:uid="{00000000-0005-0000-0000-00004E030000}"/>
    <cellStyle name="Euro 17 3" xfId="442" xr:uid="{00000000-0005-0000-0000-00004F030000}"/>
    <cellStyle name="Euro 17 3 2" xfId="4584" xr:uid="{00000000-0005-0000-0000-000050030000}"/>
    <cellStyle name="Euro 17 4" xfId="443" xr:uid="{00000000-0005-0000-0000-000051030000}"/>
    <cellStyle name="Euro 17 4 2" xfId="4585" xr:uid="{00000000-0005-0000-0000-000052030000}"/>
    <cellStyle name="Euro 17 5" xfId="444" xr:uid="{00000000-0005-0000-0000-000053030000}"/>
    <cellStyle name="Euro 17 5 2" xfId="4586" xr:uid="{00000000-0005-0000-0000-000054030000}"/>
    <cellStyle name="Euro 17 6" xfId="445" xr:uid="{00000000-0005-0000-0000-000055030000}"/>
    <cellStyle name="Euro 17 6 2" xfId="4587" xr:uid="{00000000-0005-0000-0000-000056030000}"/>
    <cellStyle name="Euro 17 7" xfId="446" xr:uid="{00000000-0005-0000-0000-000057030000}"/>
    <cellStyle name="Euro 17 7 2" xfId="4588" xr:uid="{00000000-0005-0000-0000-000058030000}"/>
    <cellStyle name="Euro 17 8" xfId="447" xr:uid="{00000000-0005-0000-0000-000059030000}"/>
    <cellStyle name="Euro 17 8 2" xfId="4589" xr:uid="{00000000-0005-0000-0000-00005A030000}"/>
    <cellStyle name="Euro 17 9" xfId="448" xr:uid="{00000000-0005-0000-0000-00005B030000}"/>
    <cellStyle name="Euro 17 9 2" xfId="4590" xr:uid="{00000000-0005-0000-0000-00005C030000}"/>
    <cellStyle name="Euro 18" xfId="449" xr:uid="{00000000-0005-0000-0000-00005D030000}"/>
    <cellStyle name="Euro 18 10" xfId="450" xr:uid="{00000000-0005-0000-0000-00005E030000}"/>
    <cellStyle name="Euro 18 10 2" xfId="4591" xr:uid="{00000000-0005-0000-0000-00005F030000}"/>
    <cellStyle name="Euro 18 11" xfId="451" xr:uid="{00000000-0005-0000-0000-000060030000}"/>
    <cellStyle name="Euro 18 11 2" xfId="4592" xr:uid="{00000000-0005-0000-0000-000061030000}"/>
    <cellStyle name="Euro 18 12" xfId="452" xr:uid="{00000000-0005-0000-0000-000062030000}"/>
    <cellStyle name="Euro 18 12 2" xfId="4593" xr:uid="{00000000-0005-0000-0000-000063030000}"/>
    <cellStyle name="Euro 18 13" xfId="453" xr:uid="{00000000-0005-0000-0000-000064030000}"/>
    <cellStyle name="Euro 18 13 2" xfId="4594" xr:uid="{00000000-0005-0000-0000-000065030000}"/>
    <cellStyle name="Euro 18 14" xfId="454" xr:uid="{00000000-0005-0000-0000-000066030000}"/>
    <cellStyle name="Euro 18 14 2" xfId="4595" xr:uid="{00000000-0005-0000-0000-000067030000}"/>
    <cellStyle name="Euro 18 15" xfId="455" xr:uid="{00000000-0005-0000-0000-000068030000}"/>
    <cellStyle name="Euro 18 15 2" xfId="4596" xr:uid="{00000000-0005-0000-0000-000069030000}"/>
    <cellStyle name="Euro 18 16" xfId="456" xr:uid="{00000000-0005-0000-0000-00006A030000}"/>
    <cellStyle name="Euro 18 16 2" xfId="4597" xr:uid="{00000000-0005-0000-0000-00006B030000}"/>
    <cellStyle name="Euro 18 17" xfId="457" xr:uid="{00000000-0005-0000-0000-00006C030000}"/>
    <cellStyle name="Euro 18 17 2" xfId="4598" xr:uid="{00000000-0005-0000-0000-00006D030000}"/>
    <cellStyle name="Euro 18 18" xfId="458" xr:uid="{00000000-0005-0000-0000-00006E030000}"/>
    <cellStyle name="Euro 18 18 2" xfId="4599" xr:uid="{00000000-0005-0000-0000-00006F030000}"/>
    <cellStyle name="Euro 18 19" xfId="459" xr:uid="{00000000-0005-0000-0000-000070030000}"/>
    <cellStyle name="Euro 18 19 2" xfId="4600" xr:uid="{00000000-0005-0000-0000-000071030000}"/>
    <cellStyle name="Euro 18 2" xfId="460" xr:uid="{00000000-0005-0000-0000-000072030000}"/>
    <cellStyle name="Euro 18 2 2" xfId="4601" xr:uid="{00000000-0005-0000-0000-000073030000}"/>
    <cellStyle name="Euro 18 20" xfId="461" xr:uid="{00000000-0005-0000-0000-000074030000}"/>
    <cellStyle name="Euro 18 20 2" xfId="4602" xr:uid="{00000000-0005-0000-0000-000075030000}"/>
    <cellStyle name="Euro 18 21" xfId="462" xr:uid="{00000000-0005-0000-0000-000076030000}"/>
    <cellStyle name="Euro 18 21 2" xfId="4603" xr:uid="{00000000-0005-0000-0000-000077030000}"/>
    <cellStyle name="Euro 18 22" xfId="463" xr:uid="{00000000-0005-0000-0000-000078030000}"/>
    <cellStyle name="Euro 18 22 2" xfId="4604" xr:uid="{00000000-0005-0000-0000-000079030000}"/>
    <cellStyle name="Euro 18 23" xfId="464" xr:uid="{00000000-0005-0000-0000-00007A030000}"/>
    <cellStyle name="Euro 18 23 2" xfId="4605" xr:uid="{00000000-0005-0000-0000-00007B030000}"/>
    <cellStyle name="Euro 18 24" xfId="465" xr:uid="{00000000-0005-0000-0000-00007C030000}"/>
    <cellStyle name="Euro 18 24 2" xfId="4606" xr:uid="{00000000-0005-0000-0000-00007D030000}"/>
    <cellStyle name="Euro 18 25" xfId="466" xr:uid="{00000000-0005-0000-0000-00007E030000}"/>
    <cellStyle name="Euro 18 25 2" xfId="4607" xr:uid="{00000000-0005-0000-0000-00007F030000}"/>
    <cellStyle name="Euro 18 26" xfId="467" xr:uid="{00000000-0005-0000-0000-000080030000}"/>
    <cellStyle name="Euro 18 26 2" xfId="4608" xr:uid="{00000000-0005-0000-0000-000081030000}"/>
    <cellStyle name="Euro 18 27" xfId="468" xr:uid="{00000000-0005-0000-0000-000082030000}"/>
    <cellStyle name="Euro 18 27 2" xfId="4609" xr:uid="{00000000-0005-0000-0000-000083030000}"/>
    <cellStyle name="Euro 18 28" xfId="469" xr:uid="{00000000-0005-0000-0000-000084030000}"/>
    <cellStyle name="Euro 18 28 2" xfId="4610" xr:uid="{00000000-0005-0000-0000-000085030000}"/>
    <cellStyle name="Euro 18 29" xfId="4611" xr:uid="{00000000-0005-0000-0000-000086030000}"/>
    <cellStyle name="Euro 18 3" xfId="470" xr:uid="{00000000-0005-0000-0000-000087030000}"/>
    <cellStyle name="Euro 18 3 2" xfId="4612" xr:uid="{00000000-0005-0000-0000-000088030000}"/>
    <cellStyle name="Euro 18 4" xfId="471" xr:uid="{00000000-0005-0000-0000-000089030000}"/>
    <cellStyle name="Euro 18 4 2" xfId="4613" xr:uid="{00000000-0005-0000-0000-00008A030000}"/>
    <cellStyle name="Euro 18 5" xfId="472" xr:uid="{00000000-0005-0000-0000-00008B030000}"/>
    <cellStyle name="Euro 18 5 2" xfId="4614" xr:uid="{00000000-0005-0000-0000-00008C030000}"/>
    <cellStyle name="Euro 18 6" xfId="473" xr:uid="{00000000-0005-0000-0000-00008D030000}"/>
    <cellStyle name="Euro 18 6 2" xfId="4615" xr:uid="{00000000-0005-0000-0000-00008E030000}"/>
    <cellStyle name="Euro 18 7" xfId="474" xr:uid="{00000000-0005-0000-0000-00008F030000}"/>
    <cellStyle name="Euro 18 7 2" xfId="4616" xr:uid="{00000000-0005-0000-0000-000090030000}"/>
    <cellStyle name="Euro 18 8" xfId="475" xr:uid="{00000000-0005-0000-0000-000091030000}"/>
    <cellStyle name="Euro 18 8 2" xfId="4617" xr:uid="{00000000-0005-0000-0000-000092030000}"/>
    <cellStyle name="Euro 18 9" xfId="476" xr:uid="{00000000-0005-0000-0000-000093030000}"/>
    <cellStyle name="Euro 18 9 2" xfId="4618" xr:uid="{00000000-0005-0000-0000-000094030000}"/>
    <cellStyle name="Euro 19" xfId="477" xr:uid="{00000000-0005-0000-0000-000095030000}"/>
    <cellStyle name="Euro 19 10" xfId="478" xr:uid="{00000000-0005-0000-0000-000096030000}"/>
    <cellStyle name="Euro 19 10 2" xfId="4619" xr:uid="{00000000-0005-0000-0000-000097030000}"/>
    <cellStyle name="Euro 19 11" xfId="479" xr:uid="{00000000-0005-0000-0000-000098030000}"/>
    <cellStyle name="Euro 19 11 2" xfId="4620" xr:uid="{00000000-0005-0000-0000-000099030000}"/>
    <cellStyle name="Euro 19 12" xfId="480" xr:uid="{00000000-0005-0000-0000-00009A030000}"/>
    <cellStyle name="Euro 19 12 2" xfId="4621" xr:uid="{00000000-0005-0000-0000-00009B030000}"/>
    <cellStyle name="Euro 19 13" xfId="481" xr:uid="{00000000-0005-0000-0000-00009C030000}"/>
    <cellStyle name="Euro 19 13 2" xfId="4622" xr:uid="{00000000-0005-0000-0000-00009D030000}"/>
    <cellStyle name="Euro 19 14" xfId="482" xr:uid="{00000000-0005-0000-0000-00009E030000}"/>
    <cellStyle name="Euro 19 14 2" xfId="4623" xr:uid="{00000000-0005-0000-0000-00009F030000}"/>
    <cellStyle name="Euro 19 15" xfId="483" xr:uid="{00000000-0005-0000-0000-0000A0030000}"/>
    <cellStyle name="Euro 19 15 2" xfId="4624" xr:uid="{00000000-0005-0000-0000-0000A1030000}"/>
    <cellStyle name="Euro 19 16" xfId="484" xr:uid="{00000000-0005-0000-0000-0000A2030000}"/>
    <cellStyle name="Euro 19 16 2" xfId="4625" xr:uid="{00000000-0005-0000-0000-0000A3030000}"/>
    <cellStyle name="Euro 19 17" xfId="485" xr:uid="{00000000-0005-0000-0000-0000A4030000}"/>
    <cellStyle name="Euro 19 17 2" xfId="4626" xr:uid="{00000000-0005-0000-0000-0000A5030000}"/>
    <cellStyle name="Euro 19 18" xfId="486" xr:uid="{00000000-0005-0000-0000-0000A6030000}"/>
    <cellStyle name="Euro 19 18 2" xfId="4627" xr:uid="{00000000-0005-0000-0000-0000A7030000}"/>
    <cellStyle name="Euro 19 19" xfId="487" xr:uid="{00000000-0005-0000-0000-0000A8030000}"/>
    <cellStyle name="Euro 19 19 2" xfId="4628" xr:uid="{00000000-0005-0000-0000-0000A9030000}"/>
    <cellStyle name="Euro 19 2" xfId="488" xr:uid="{00000000-0005-0000-0000-0000AA030000}"/>
    <cellStyle name="Euro 19 2 2" xfId="4629" xr:uid="{00000000-0005-0000-0000-0000AB030000}"/>
    <cellStyle name="Euro 19 20" xfId="489" xr:uid="{00000000-0005-0000-0000-0000AC030000}"/>
    <cellStyle name="Euro 19 20 2" xfId="4630" xr:uid="{00000000-0005-0000-0000-0000AD030000}"/>
    <cellStyle name="Euro 19 21" xfId="490" xr:uid="{00000000-0005-0000-0000-0000AE030000}"/>
    <cellStyle name="Euro 19 21 2" xfId="4631" xr:uid="{00000000-0005-0000-0000-0000AF030000}"/>
    <cellStyle name="Euro 19 22" xfId="491" xr:uid="{00000000-0005-0000-0000-0000B0030000}"/>
    <cellStyle name="Euro 19 22 2" xfId="4632" xr:uid="{00000000-0005-0000-0000-0000B1030000}"/>
    <cellStyle name="Euro 19 23" xfId="492" xr:uid="{00000000-0005-0000-0000-0000B2030000}"/>
    <cellStyle name="Euro 19 23 2" xfId="4633" xr:uid="{00000000-0005-0000-0000-0000B3030000}"/>
    <cellStyle name="Euro 19 24" xfId="493" xr:uid="{00000000-0005-0000-0000-0000B4030000}"/>
    <cellStyle name="Euro 19 24 2" xfId="4634" xr:uid="{00000000-0005-0000-0000-0000B5030000}"/>
    <cellStyle name="Euro 19 25" xfId="494" xr:uid="{00000000-0005-0000-0000-0000B6030000}"/>
    <cellStyle name="Euro 19 25 2" xfId="4635" xr:uid="{00000000-0005-0000-0000-0000B7030000}"/>
    <cellStyle name="Euro 19 26" xfId="495" xr:uid="{00000000-0005-0000-0000-0000B8030000}"/>
    <cellStyle name="Euro 19 26 2" xfId="4636" xr:uid="{00000000-0005-0000-0000-0000B9030000}"/>
    <cellStyle name="Euro 19 27" xfId="496" xr:uid="{00000000-0005-0000-0000-0000BA030000}"/>
    <cellStyle name="Euro 19 27 2" xfId="4637" xr:uid="{00000000-0005-0000-0000-0000BB030000}"/>
    <cellStyle name="Euro 19 28" xfId="497" xr:uid="{00000000-0005-0000-0000-0000BC030000}"/>
    <cellStyle name="Euro 19 28 2" xfId="4638" xr:uid="{00000000-0005-0000-0000-0000BD030000}"/>
    <cellStyle name="Euro 19 29" xfId="4639" xr:uid="{00000000-0005-0000-0000-0000BE030000}"/>
    <cellStyle name="Euro 19 3" xfId="498" xr:uid="{00000000-0005-0000-0000-0000BF030000}"/>
    <cellStyle name="Euro 19 3 2" xfId="4640" xr:uid="{00000000-0005-0000-0000-0000C0030000}"/>
    <cellStyle name="Euro 19 4" xfId="499" xr:uid="{00000000-0005-0000-0000-0000C1030000}"/>
    <cellStyle name="Euro 19 4 2" xfId="4641" xr:uid="{00000000-0005-0000-0000-0000C2030000}"/>
    <cellStyle name="Euro 19 5" xfId="500" xr:uid="{00000000-0005-0000-0000-0000C3030000}"/>
    <cellStyle name="Euro 19 5 2" xfId="4642" xr:uid="{00000000-0005-0000-0000-0000C4030000}"/>
    <cellStyle name="Euro 19 6" xfId="501" xr:uid="{00000000-0005-0000-0000-0000C5030000}"/>
    <cellStyle name="Euro 19 6 2" xfId="4643" xr:uid="{00000000-0005-0000-0000-0000C6030000}"/>
    <cellStyle name="Euro 19 7" xfId="502" xr:uid="{00000000-0005-0000-0000-0000C7030000}"/>
    <cellStyle name="Euro 19 7 2" xfId="4644" xr:uid="{00000000-0005-0000-0000-0000C8030000}"/>
    <cellStyle name="Euro 19 8" xfId="503" xr:uid="{00000000-0005-0000-0000-0000C9030000}"/>
    <cellStyle name="Euro 19 8 2" xfId="4645" xr:uid="{00000000-0005-0000-0000-0000CA030000}"/>
    <cellStyle name="Euro 19 9" xfId="504" xr:uid="{00000000-0005-0000-0000-0000CB030000}"/>
    <cellStyle name="Euro 19 9 2" xfId="4646" xr:uid="{00000000-0005-0000-0000-0000CC030000}"/>
    <cellStyle name="Euro 2" xfId="18" xr:uid="{00000000-0005-0000-0000-0000CD030000}"/>
    <cellStyle name="Euro 2 10" xfId="506" xr:uid="{00000000-0005-0000-0000-0000CE030000}"/>
    <cellStyle name="Euro 2 10 2" xfId="4647" xr:uid="{00000000-0005-0000-0000-0000CF030000}"/>
    <cellStyle name="Euro 2 11" xfId="507" xr:uid="{00000000-0005-0000-0000-0000D0030000}"/>
    <cellStyle name="Euro 2 11 2" xfId="4648" xr:uid="{00000000-0005-0000-0000-0000D1030000}"/>
    <cellStyle name="Euro 2 12" xfId="508" xr:uid="{00000000-0005-0000-0000-0000D2030000}"/>
    <cellStyle name="Euro 2 12 2" xfId="4649" xr:uid="{00000000-0005-0000-0000-0000D3030000}"/>
    <cellStyle name="Euro 2 13" xfId="509" xr:uid="{00000000-0005-0000-0000-0000D4030000}"/>
    <cellStyle name="Euro 2 13 2" xfId="4650" xr:uid="{00000000-0005-0000-0000-0000D5030000}"/>
    <cellStyle name="Euro 2 14" xfId="510" xr:uid="{00000000-0005-0000-0000-0000D6030000}"/>
    <cellStyle name="Euro 2 14 2" xfId="4651" xr:uid="{00000000-0005-0000-0000-0000D7030000}"/>
    <cellStyle name="Euro 2 15" xfId="511" xr:uid="{00000000-0005-0000-0000-0000D8030000}"/>
    <cellStyle name="Euro 2 15 2" xfId="4652" xr:uid="{00000000-0005-0000-0000-0000D9030000}"/>
    <cellStyle name="Euro 2 16" xfId="512" xr:uid="{00000000-0005-0000-0000-0000DA030000}"/>
    <cellStyle name="Euro 2 16 2" xfId="4653" xr:uid="{00000000-0005-0000-0000-0000DB030000}"/>
    <cellStyle name="Euro 2 17" xfId="513" xr:uid="{00000000-0005-0000-0000-0000DC030000}"/>
    <cellStyle name="Euro 2 17 2" xfId="4654" xr:uid="{00000000-0005-0000-0000-0000DD030000}"/>
    <cellStyle name="Euro 2 18" xfId="514" xr:uid="{00000000-0005-0000-0000-0000DE030000}"/>
    <cellStyle name="Euro 2 18 2" xfId="4655" xr:uid="{00000000-0005-0000-0000-0000DF030000}"/>
    <cellStyle name="Euro 2 19" xfId="515" xr:uid="{00000000-0005-0000-0000-0000E0030000}"/>
    <cellStyle name="Euro 2 19 2" xfId="4656" xr:uid="{00000000-0005-0000-0000-0000E1030000}"/>
    <cellStyle name="Euro 2 2" xfId="516" xr:uid="{00000000-0005-0000-0000-0000E2030000}"/>
    <cellStyle name="Euro 2 2 2" xfId="4138" xr:uid="{00000000-0005-0000-0000-0000E3030000}"/>
    <cellStyle name="Euro 2 20" xfId="517" xr:uid="{00000000-0005-0000-0000-0000E4030000}"/>
    <cellStyle name="Euro 2 20 2" xfId="4657" xr:uid="{00000000-0005-0000-0000-0000E5030000}"/>
    <cellStyle name="Euro 2 21" xfId="518" xr:uid="{00000000-0005-0000-0000-0000E6030000}"/>
    <cellStyle name="Euro 2 21 2" xfId="4658" xr:uid="{00000000-0005-0000-0000-0000E7030000}"/>
    <cellStyle name="Euro 2 22" xfId="519" xr:uid="{00000000-0005-0000-0000-0000E8030000}"/>
    <cellStyle name="Euro 2 22 2" xfId="4659" xr:uid="{00000000-0005-0000-0000-0000E9030000}"/>
    <cellStyle name="Euro 2 23" xfId="520" xr:uid="{00000000-0005-0000-0000-0000EA030000}"/>
    <cellStyle name="Euro 2 23 2" xfId="4660" xr:uid="{00000000-0005-0000-0000-0000EB030000}"/>
    <cellStyle name="Euro 2 24" xfId="521" xr:uid="{00000000-0005-0000-0000-0000EC030000}"/>
    <cellStyle name="Euro 2 24 2" xfId="4661" xr:uid="{00000000-0005-0000-0000-0000ED030000}"/>
    <cellStyle name="Euro 2 25" xfId="522" xr:uid="{00000000-0005-0000-0000-0000EE030000}"/>
    <cellStyle name="Euro 2 25 2" xfId="4662" xr:uid="{00000000-0005-0000-0000-0000EF030000}"/>
    <cellStyle name="Euro 2 26" xfId="523" xr:uid="{00000000-0005-0000-0000-0000F0030000}"/>
    <cellStyle name="Euro 2 26 2" xfId="4663" xr:uid="{00000000-0005-0000-0000-0000F1030000}"/>
    <cellStyle name="Euro 2 27" xfId="524" xr:uid="{00000000-0005-0000-0000-0000F2030000}"/>
    <cellStyle name="Euro 2 27 2" xfId="4664" xr:uid="{00000000-0005-0000-0000-0000F3030000}"/>
    <cellStyle name="Euro 2 28" xfId="525" xr:uid="{00000000-0005-0000-0000-0000F4030000}"/>
    <cellStyle name="Euro 2 28 2" xfId="4665" xr:uid="{00000000-0005-0000-0000-0000F5030000}"/>
    <cellStyle name="Euro 2 29" xfId="4064" xr:uid="{00000000-0005-0000-0000-0000F6030000}"/>
    <cellStyle name="Euro 2 3" xfId="526" xr:uid="{00000000-0005-0000-0000-0000F7030000}"/>
    <cellStyle name="Euro 2 3 2" xfId="4098" xr:uid="{00000000-0005-0000-0000-0000F8030000}"/>
    <cellStyle name="Euro 2 30" xfId="505" xr:uid="{00000000-0005-0000-0000-0000F9030000}"/>
    <cellStyle name="Euro 2 4" xfId="527" xr:uid="{00000000-0005-0000-0000-0000FA030000}"/>
    <cellStyle name="Euro 2 4 2" xfId="4666" xr:uid="{00000000-0005-0000-0000-0000FB030000}"/>
    <cellStyle name="Euro 2 5" xfId="528" xr:uid="{00000000-0005-0000-0000-0000FC030000}"/>
    <cellStyle name="Euro 2 5 2" xfId="4667" xr:uid="{00000000-0005-0000-0000-0000FD030000}"/>
    <cellStyle name="Euro 2 6" xfId="529" xr:uid="{00000000-0005-0000-0000-0000FE030000}"/>
    <cellStyle name="Euro 2 6 2" xfId="4668" xr:uid="{00000000-0005-0000-0000-0000FF030000}"/>
    <cellStyle name="Euro 2 7" xfId="530" xr:uid="{00000000-0005-0000-0000-000000040000}"/>
    <cellStyle name="Euro 2 7 2" xfId="4669" xr:uid="{00000000-0005-0000-0000-000001040000}"/>
    <cellStyle name="Euro 2 8" xfId="531" xr:uid="{00000000-0005-0000-0000-000002040000}"/>
    <cellStyle name="Euro 2 8 2" xfId="4670" xr:uid="{00000000-0005-0000-0000-000003040000}"/>
    <cellStyle name="Euro 2 9" xfId="532" xr:uid="{00000000-0005-0000-0000-000004040000}"/>
    <cellStyle name="Euro 2 9 2" xfId="4671" xr:uid="{00000000-0005-0000-0000-000005040000}"/>
    <cellStyle name="Euro 20" xfId="533" xr:uid="{00000000-0005-0000-0000-000006040000}"/>
    <cellStyle name="Euro 20 10" xfId="534" xr:uid="{00000000-0005-0000-0000-000007040000}"/>
    <cellStyle name="Euro 20 10 2" xfId="4672" xr:uid="{00000000-0005-0000-0000-000008040000}"/>
    <cellStyle name="Euro 20 11" xfId="535" xr:uid="{00000000-0005-0000-0000-000009040000}"/>
    <cellStyle name="Euro 20 11 2" xfId="4673" xr:uid="{00000000-0005-0000-0000-00000A040000}"/>
    <cellStyle name="Euro 20 12" xfId="536" xr:uid="{00000000-0005-0000-0000-00000B040000}"/>
    <cellStyle name="Euro 20 12 2" xfId="4674" xr:uid="{00000000-0005-0000-0000-00000C040000}"/>
    <cellStyle name="Euro 20 13" xfId="537" xr:uid="{00000000-0005-0000-0000-00000D040000}"/>
    <cellStyle name="Euro 20 13 2" xfId="4675" xr:uid="{00000000-0005-0000-0000-00000E040000}"/>
    <cellStyle name="Euro 20 14" xfId="538" xr:uid="{00000000-0005-0000-0000-00000F040000}"/>
    <cellStyle name="Euro 20 14 2" xfId="4676" xr:uid="{00000000-0005-0000-0000-000010040000}"/>
    <cellStyle name="Euro 20 15" xfId="539" xr:uid="{00000000-0005-0000-0000-000011040000}"/>
    <cellStyle name="Euro 20 15 2" xfId="4677" xr:uid="{00000000-0005-0000-0000-000012040000}"/>
    <cellStyle name="Euro 20 16" xfId="540" xr:uid="{00000000-0005-0000-0000-000013040000}"/>
    <cellStyle name="Euro 20 16 2" xfId="4678" xr:uid="{00000000-0005-0000-0000-000014040000}"/>
    <cellStyle name="Euro 20 17" xfId="541" xr:uid="{00000000-0005-0000-0000-000015040000}"/>
    <cellStyle name="Euro 20 17 2" xfId="4679" xr:uid="{00000000-0005-0000-0000-000016040000}"/>
    <cellStyle name="Euro 20 18" xfId="542" xr:uid="{00000000-0005-0000-0000-000017040000}"/>
    <cellStyle name="Euro 20 18 2" xfId="4680" xr:uid="{00000000-0005-0000-0000-000018040000}"/>
    <cellStyle name="Euro 20 19" xfId="543" xr:uid="{00000000-0005-0000-0000-000019040000}"/>
    <cellStyle name="Euro 20 19 2" xfId="4681" xr:uid="{00000000-0005-0000-0000-00001A040000}"/>
    <cellStyle name="Euro 20 2" xfId="544" xr:uid="{00000000-0005-0000-0000-00001B040000}"/>
    <cellStyle name="Euro 20 2 2" xfId="4682" xr:uid="{00000000-0005-0000-0000-00001C040000}"/>
    <cellStyle name="Euro 20 20" xfId="545" xr:uid="{00000000-0005-0000-0000-00001D040000}"/>
    <cellStyle name="Euro 20 20 2" xfId="4683" xr:uid="{00000000-0005-0000-0000-00001E040000}"/>
    <cellStyle name="Euro 20 21" xfId="546" xr:uid="{00000000-0005-0000-0000-00001F040000}"/>
    <cellStyle name="Euro 20 21 2" xfId="4684" xr:uid="{00000000-0005-0000-0000-000020040000}"/>
    <cellStyle name="Euro 20 22" xfId="547" xr:uid="{00000000-0005-0000-0000-000021040000}"/>
    <cellStyle name="Euro 20 22 2" xfId="4685" xr:uid="{00000000-0005-0000-0000-000022040000}"/>
    <cellStyle name="Euro 20 23" xfId="548" xr:uid="{00000000-0005-0000-0000-000023040000}"/>
    <cellStyle name="Euro 20 23 2" xfId="4686" xr:uid="{00000000-0005-0000-0000-000024040000}"/>
    <cellStyle name="Euro 20 24" xfId="549" xr:uid="{00000000-0005-0000-0000-000025040000}"/>
    <cellStyle name="Euro 20 24 2" xfId="4687" xr:uid="{00000000-0005-0000-0000-000026040000}"/>
    <cellStyle name="Euro 20 25" xfId="550" xr:uid="{00000000-0005-0000-0000-000027040000}"/>
    <cellStyle name="Euro 20 25 2" xfId="4688" xr:uid="{00000000-0005-0000-0000-000028040000}"/>
    <cellStyle name="Euro 20 26" xfId="551" xr:uid="{00000000-0005-0000-0000-000029040000}"/>
    <cellStyle name="Euro 20 26 2" xfId="4689" xr:uid="{00000000-0005-0000-0000-00002A040000}"/>
    <cellStyle name="Euro 20 27" xfId="552" xr:uid="{00000000-0005-0000-0000-00002B040000}"/>
    <cellStyle name="Euro 20 27 2" xfId="4690" xr:uid="{00000000-0005-0000-0000-00002C040000}"/>
    <cellStyle name="Euro 20 28" xfId="553" xr:uid="{00000000-0005-0000-0000-00002D040000}"/>
    <cellStyle name="Euro 20 28 2" xfId="4691" xr:uid="{00000000-0005-0000-0000-00002E040000}"/>
    <cellStyle name="Euro 20 29" xfId="4692" xr:uid="{00000000-0005-0000-0000-00002F040000}"/>
    <cellStyle name="Euro 20 3" xfId="554" xr:uid="{00000000-0005-0000-0000-000030040000}"/>
    <cellStyle name="Euro 20 3 2" xfId="4693" xr:uid="{00000000-0005-0000-0000-000031040000}"/>
    <cellStyle name="Euro 20 4" xfId="555" xr:uid="{00000000-0005-0000-0000-000032040000}"/>
    <cellStyle name="Euro 20 4 2" xfId="4694" xr:uid="{00000000-0005-0000-0000-000033040000}"/>
    <cellStyle name="Euro 20 5" xfId="556" xr:uid="{00000000-0005-0000-0000-000034040000}"/>
    <cellStyle name="Euro 20 5 2" xfId="4695" xr:uid="{00000000-0005-0000-0000-000035040000}"/>
    <cellStyle name="Euro 20 6" xfId="557" xr:uid="{00000000-0005-0000-0000-000036040000}"/>
    <cellStyle name="Euro 20 6 2" xfId="4696" xr:uid="{00000000-0005-0000-0000-000037040000}"/>
    <cellStyle name="Euro 20 7" xfId="558" xr:uid="{00000000-0005-0000-0000-000038040000}"/>
    <cellStyle name="Euro 20 7 2" xfId="4697" xr:uid="{00000000-0005-0000-0000-000039040000}"/>
    <cellStyle name="Euro 20 8" xfId="559" xr:uid="{00000000-0005-0000-0000-00003A040000}"/>
    <cellStyle name="Euro 20 8 2" xfId="4698" xr:uid="{00000000-0005-0000-0000-00003B040000}"/>
    <cellStyle name="Euro 20 9" xfId="560" xr:uid="{00000000-0005-0000-0000-00003C040000}"/>
    <cellStyle name="Euro 20 9 2" xfId="4699" xr:uid="{00000000-0005-0000-0000-00003D040000}"/>
    <cellStyle name="Euro 21" xfId="561" xr:uid="{00000000-0005-0000-0000-00003E040000}"/>
    <cellStyle name="Euro 21 10" xfId="562" xr:uid="{00000000-0005-0000-0000-00003F040000}"/>
    <cellStyle name="Euro 21 10 2" xfId="4700" xr:uid="{00000000-0005-0000-0000-000040040000}"/>
    <cellStyle name="Euro 21 11" xfId="563" xr:uid="{00000000-0005-0000-0000-000041040000}"/>
    <cellStyle name="Euro 21 11 2" xfId="4701" xr:uid="{00000000-0005-0000-0000-000042040000}"/>
    <cellStyle name="Euro 21 12" xfId="564" xr:uid="{00000000-0005-0000-0000-000043040000}"/>
    <cellStyle name="Euro 21 12 2" xfId="4702" xr:uid="{00000000-0005-0000-0000-000044040000}"/>
    <cellStyle name="Euro 21 13" xfId="565" xr:uid="{00000000-0005-0000-0000-000045040000}"/>
    <cellStyle name="Euro 21 13 2" xfId="4703" xr:uid="{00000000-0005-0000-0000-000046040000}"/>
    <cellStyle name="Euro 21 14" xfId="566" xr:uid="{00000000-0005-0000-0000-000047040000}"/>
    <cellStyle name="Euro 21 14 2" xfId="4704" xr:uid="{00000000-0005-0000-0000-000048040000}"/>
    <cellStyle name="Euro 21 15" xfId="567" xr:uid="{00000000-0005-0000-0000-000049040000}"/>
    <cellStyle name="Euro 21 15 2" xfId="4705" xr:uid="{00000000-0005-0000-0000-00004A040000}"/>
    <cellStyle name="Euro 21 16" xfId="568" xr:uid="{00000000-0005-0000-0000-00004B040000}"/>
    <cellStyle name="Euro 21 16 2" xfId="4706" xr:uid="{00000000-0005-0000-0000-00004C040000}"/>
    <cellStyle name="Euro 21 17" xfId="569" xr:uid="{00000000-0005-0000-0000-00004D040000}"/>
    <cellStyle name="Euro 21 17 2" xfId="4707" xr:uid="{00000000-0005-0000-0000-00004E040000}"/>
    <cellStyle name="Euro 21 18" xfId="570" xr:uid="{00000000-0005-0000-0000-00004F040000}"/>
    <cellStyle name="Euro 21 18 2" xfId="4708" xr:uid="{00000000-0005-0000-0000-000050040000}"/>
    <cellStyle name="Euro 21 19" xfId="571" xr:uid="{00000000-0005-0000-0000-000051040000}"/>
    <cellStyle name="Euro 21 19 2" xfId="4709" xr:uid="{00000000-0005-0000-0000-000052040000}"/>
    <cellStyle name="Euro 21 2" xfId="572" xr:uid="{00000000-0005-0000-0000-000053040000}"/>
    <cellStyle name="Euro 21 2 2" xfId="4710" xr:uid="{00000000-0005-0000-0000-000054040000}"/>
    <cellStyle name="Euro 21 20" xfId="573" xr:uid="{00000000-0005-0000-0000-000055040000}"/>
    <cellStyle name="Euro 21 20 2" xfId="4711" xr:uid="{00000000-0005-0000-0000-000056040000}"/>
    <cellStyle name="Euro 21 21" xfId="574" xr:uid="{00000000-0005-0000-0000-000057040000}"/>
    <cellStyle name="Euro 21 21 2" xfId="4712" xr:uid="{00000000-0005-0000-0000-000058040000}"/>
    <cellStyle name="Euro 21 22" xfId="575" xr:uid="{00000000-0005-0000-0000-000059040000}"/>
    <cellStyle name="Euro 21 22 2" xfId="4713" xr:uid="{00000000-0005-0000-0000-00005A040000}"/>
    <cellStyle name="Euro 21 23" xfId="576" xr:uid="{00000000-0005-0000-0000-00005B040000}"/>
    <cellStyle name="Euro 21 23 2" xfId="4714" xr:uid="{00000000-0005-0000-0000-00005C040000}"/>
    <cellStyle name="Euro 21 24" xfId="577" xr:uid="{00000000-0005-0000-0000-00005D040000}"/>
    <cellStyle name="Euro 21 24 2" xfId="4715" xr:uid="{00000000-0005-0000-0000-00005E040000}"/>
    <cellStyle name="Euro 21 25" xfId="578" xr:uid="{00000000-0005-0000-0000-00005F040000}"/>
    <cellStyle name="Euro 21 25 2" xfId="4716" xr:uid="{00000000-0005-0000-0000-000060040000}"/>
    <cellStyle name="Euro 21 26" xfId="579" xr:uid="{00000000-0005-0000-0000-000061040000}"/>
    <cellStyle name="Euro 21 26 2" xfId="4717" xr:uid="{00000000-0005-0000-0000-000062040000}"/>
    <cellStyle name="Euro 21 27" xfId="580" xr:uid="{00000000-0005-0000-0000-000063040000}"/>
    <cellStyle name="Euro 21 27 2" xfId="4718" xr:uid="{00000000-0005-0000-0000-000064040000}"/>
    <cellStyle name="Euro 21 28" xfId="581" xr:uid="{00000000-0005-0000-0000-000065040000}"/>
    <cellStyle name="Euro 21 28 2" xfId="4719" xr:uid="{00000000-0005-0000-0000-000066040000}"/>
    <cellStyle name="Euro 21 29" xfId="4720" xr:uid="{00000000-0005-0000-0000-000067040000}"/>
    <cellStyle name="Euro 21 3" xfId="582" xr:uid="{00000000-0005-0000-0000-000068040000}"/>
    <cellStyle name="Euro 21 3 2" xfId="4721" xr:uid="{00000000-0005-0000-0000-000069040000}"/>
    <cellStyle name="Euro 21 4" xfId="583" xr:uid="{00000000-0005-0000-0000-00006A040000}"/>
    <cellStyle name="Euro 21 4 2" xfId="4722" xr:uid="{00000000-0005-0000-0000-00006B040000}"/>
    <cellStyle name="Euro 21 5" xfId="584" xr:uid="{00000000-0005-0000-0000-00006C040000}"/>
    <cellStyle name="Euro 21 5 2" xfId="4723" xr:uid="{00000000-0005-0000-0000-00006D040000}"/>
    <cellStyle name="Euro 21 6" xfId="585" xr:uid="{00000000-0005-0000-0000-00006E040000}"/>
    <cellStyle name="Euro 21 6 2" xfId="4724" xr:uid="{00000000-0005-0000-0000-00006F040000}"/>
    <cellStyle name="Euro 21 7" xfId="586" xr:uid="{00000000-0005-0000-0000-000070040000}"/>
    <cellStyle name="Euro 21 7 2" xfId="4725" xr:uid="{00000000-0005-0000-0000-000071040000}"/>
    <cellStyle name="Euro 21 8" xfId="587" xr:uid="{00000000-0005-0000-0000-000072040000}"/>
    <cellStyle name="Euro 21 8 2" xfId="4726" xr:uid="{00000000-0005-0000-0000-000073040000}"/>
    <cellStyle name="Euro 21 9" xfId="588" xr:uid="{00000000-0005-0000-0000-000074040000}"/>
    <cellStyle name="Euro 21 9 2" xfId="4727" xr:uid="{00000000-0005-0000-0000-000075040000}"/>
    <cellStyle name="Euro 22" xfId="589" xr:uid="{00000000-0005-0000-0000-000076040000}"/>
    <cellStyle name="Euro 22 10" xfId="590" xr:uid="{00000000-0005-0000-0000-000077040000}"/>
    <cellStyle name="Euro 22 10 2" xfId="4728" xr:uid="{00000000-0005-0000-0000-000078040000}"/>
    <cellStyle name="Euro 22 11" xfId="591" xr:uid="{00000000-0005-0000-0000-000079040000}"/>
    <cellStyle name="Euro 22 11 2" xfId="4729" xr:uid="{00000000-0005-0000-0000-00007A040000}"/>
    <cellStyle name="Euro 22 12" xfId="592" xr:uid="{00000000-0005-0000-0000-00007B040000}"/>
    <cellStyle name="Euro 22 12 2" xfId="4730" xr:uid="{00000000-0005-0000-0000-00007C040000}"/>
    <cellStyle name="Euro 22 13" xfId="593" xr:uid="{00000000-0005-0000-0000-00007D040000}"/>
    <cellStyle name="Euro 22 13 2" xfId="4731" xr:uid="{00000000-0005-0000-0000-00007E040000}"/>
    <cellStyle name="Euro 22 14" xfId="594" xr:uid="{00000000-0005-0000-0000-00007F040000}"/>
    <cellStyle name="Euro 22 14 2" xfId="4732" xr:uid="{00000000-0005-0000-0000-000080040000}"/>
    <cellStyle name="Euro 22 15" xfId="595" xr:uid="{00000000-0005-0000-0000-000081040000}"/>
    <cellStyle name="Euro 22 15 2" xfId="4733" xr:uid="{00000000-0005-0000-0000-000082040000}"/>
    <cellStyle name="Euro 22 16" xfId="596" xr:uid="{00000000-0005-0000-0000-000083040000}"/>
    <cellStyle name="Euro 22 16 2" xfId="4734" xr:uid="{00000000-0005-0000-0000-000084040000}"/>
    <cellStyle name="Euro 22 17" xfId="597" xr:uid="{00000000-0005-0000-0000-000085040000}"/>
    <cellStyle name="Euro 22 17 2" xfId="4735" xr:uid="{00000000-0005-0000-0000-000086040000}"/>
    <cellStyle name="Euro 22 18" xfId="598" xr:uid="{00000000-0005-0000-0000-000087040000}"/>
    <cellStyle name="Euro 22 18 2" xfId="4736" xr:uid="{00000000-0005-0000-0000-000088040000}"/>
    <cellStyle name="Euro 22 19" xfId="599" xr:uid="{00000000-0005-0000-0000-000089040000}"/>
    <cellStyle name="Euro 22 19 2" xfId="4737" xr:uid="{00000000-0005-0000-0000-00008A040000}"/>
    <cellStyle name="Euro 22 2" xfId="600" xr:uid="{00000000-0005-0000-0000-00008B040000}"/>
    <cellStyle name="Euro 22 2 2" xfId="4738" xr:uid="{00000000-0005-0000-0000-00008C040000}"/>
    <cellStyle name="Euro 22 20" xfId="601" xr:uid="{00000000-0005-0000-0000-00008D040000}"/>
    <cellStyle name="Euro 22 20 2" xfId="4739" xr:uid="{00000000-0005-0000-0000-00008E040000}"/>
    <cellStyle name="Euro 22 21" xfId="602" xr:uid="{00000000-0005-0000-0000-00008F040000}"/>
    <cellStyle name="Euro 22 21 2" xfId="4740" xr:uid="{00000000-0005-0000-0000-000090040000}"/>
    <cellStyle name="Euro 22 22" xfId="603" xr:uid="{00000000-0005-0000-0000-000091040000}"/>
    <cellStyle name="Euro 22 22 2" xfId="4741" xr:uid="{00000000-0005-0000-0000-000092040000}"/>
    <cellStyle name="Euro 22 23" xfId="604" xr:uid="{00000000-0005-0000-0000-000093040000}"/>
    <cellStyle name="Euro 22 23 2" xfId="4742" xr:uid="{00000000-0005-0000-0000-000094040000}"/>
    <cellStyle name="Euro 22 24" xfId="605" xr:uid="{00000000-0005-0000-0000-000095040000}"/>
    <cellStyle name="Euro 22 24 2" xfId="4743" xr:uid="{00000000-0005-0000-0000-000096040000}"/>
    <cellStyle name="Euro 22 25" xfId="606" xr:uid="{00000000-0005-0000-0000-000097040000}"/>
    <cellStyle name="Euro 22 25 2" xfId="4744" xr:uid="{00000000-0005-0000-0000-000098040000}"/>
    <cellStyle name="Euro 22 26" xfId="607" xr:uid="{00000000-0005-0000-0000-000099040000}"/>
    <cellStyle name="Euro 22 26 2" xfId="4745" xr:uid="{00000000-0005-0000-0000-00009A040000}"/>
    <cellStyle name="Euro 22 27" xfId="608" xr:uid="{00000000-0005-0000-0000-00009B040000}"/>
    <cellStyle name="Euro 22 27 2" xfId="4746" xr:uid="{00000000-0005-0000-0000-00009C040000}"/>
    <cellStyle name="Euro 22 28" xfId="609" xr:uid="{00000000-0005-0000-0000-00009D040000}"/>
    <cellStyle name="Euro 22 28 2" xfId="4747" xr:uid="{00000000-0005-0000-0000-00009E040000}"/>
    <cellStyle name="Euro 22 29" xfId="4748" xr:uid="{00000000-0005-0000-0000-00009F040000}"/>
    <cellStyle name="Euro 22 3" xfId="610" xr:uid="{00000000-0005-0000-0000-0000A0040000}"/>
    <cellStyle name="Euro 22 3 2" xfId="4749" xr:uid="{00000000-0005-0000-0000-0000A1040000}"/>
    <cellStyle name="Euro 22 4" xfId="611" xr:uid="{00000000-0005-0000-0000-0000A2040000}"/>
    <cellStyle name="Euro 22 4 2" xfId="4750" xr:uid="{00000000-0005-0000-0000-0000A3040000}"/>
    <cellStyle name="Euro 22 5" xfId="612" xr:uid="{00000000-0005-0000-0000-0000A4040000}"/>
    <cellStyle name="Euro 22 5 2" xfId="4751" xr:uid="{00000000-0005-0000-0000-0000A5040000}"/>
    <cellStyle name="Euro 22 6" xfId="613" xr:uid="{00000000-0005-0000-0000-0000A6040000}"/>
    <cellStyle name="Euro 22 6 2" xfId="4752" xr:uid="{00000000-0005-0000-0000-0000A7040000}"/>
    <cellStyle name="Euro 22 7" xfId="614" xr:uid="{00000000-0005-0000-0000-0000A8040000}"/>
    <cellStyle name="Euro 22 7 2" xfId="4753" xr:uid="{00000000-0005-0000-0000-0000A9040000}"/>
    <cellStyle name="Euro 22 8" xfId="615" xr:uid="{00000000-0005-0000-0000-0000AA040000}"/>
    <cellStyle name="Euro 22 8 2" xfId="4754" xr:uid="{00000000-0005-0000-0000-0000AB040000}"/>
    <cellStyle name="Euro 22 9" xfId="616" xr:uid="{00000000-0005-0000-0000-0000AC040000}"/>
    <cellStyle name="Euro 22 9 2" xfId="4755" xr:uid="{00000000-0005-0000-0000-0000AD040000}"/>
    <cellStyle name="Euro 23" xfId="617" xr:uid="{00000000-0005-0000-0000-0000AE040000}"/>
    <cellStyle name="Euro 23 10" xfId="618" xr:uid="{00000000-0005-0000-0000-0000AF040000}"/>
    <cellStyle name="Euro 23 10 2" xfId="4756" xr:uid="{00000000-0005-0000-0000-0000B0040000}"/>
    <cellStyle name="Euro 23 11" xfId="619" xr:uid="{00000000-0005-0000-0000-0000B1040000}"/>
    <cellStyle name="Euro 23 11 2" xfId="4757" xr:uid="{00000000-0005-0000-0000-0000B2040000}"/>
    <cellStyle name="Euro 23 12" xfId="620" xr:uid="{00000000-0005-0000-0000-0000B3040000}"/>
    <cellStyle name="Euro 23 12 2" xfId="4758" xr:uid="{00000000-0005-0000-0000-0000B4040000}"/>
    <cellStyle name="Euro 23 13" xfId="621" xr:uid="{00000000-0005-0000-0000-0000B5040000}"/>
    <cellStyle name="Euro 23 13 2" xfId="4759" xr:uid="{00000000-0005-0000-0000-0000B6040000}"/>
    <cellStyle name="Euro 23 14" xfId="622" xr:uid="{00000000-0005-0000-0000-0000B7040000}"/>
    <cellStyle name="Euro 23 14 2" xfId="4760" xr:uid="{00000000-0005-0000-0000-0000B8040000}"/>
    <cellStyle name="Euro 23 15" xfId="623" xr:uid="{00000000-0005-0000-0000-0000B9040000}"/>
    <cellStyle name="Euro 23 15 2" xfId="4761" xr:uid="{00000000-0005-0000-0000-0000BA040000}"/>
    <cellStyle name="Euro 23 16" xfId="624" xr:uid="{00000000-0005-0000-0000-0000BB040000}"/>
    <cellStyle name="Euro 23 16 2" xfId="4762" xr:uid="{00000000-0005-0000-0000-0000BC040000}"/>
    <cellStyle name="Euro 23 17" xfId="625" xr:uid="{00000000-0005-0000-0000-0000BD040000}"/>
    <cellStyle name="Euro 23 17 2" xfId="4763" xr:uid="{00000000-0005-0000-0000-0000BE040000}"/>
    <cellStyle name="Euro 23 18" xfId="626" xr:uid="{00000000-0005-0000-0000-0000BF040000}"/>
    <cellStyle name="Euro 23 18 2" xfId="4764" xr:uid="{00000000-0005-0000-0000-0000C0040000}"/>
    <cellStyle name="Euro 23 19" xfId="627" xr:uid="{00000000-0005-0000-0000-0000C1040000}"/>
    <cellStyle name="Euro 23 19 2" xfId="4765" xr:uid="{00000000-0005-0000-0000-0000C2040000}"/>
    <cellStyle name="Euro 23 2" xfId="628" xr:uid="{00000000-0005-0000-0000-0000C3040000}"/>
    <cellStyle name="Euro 23 2 2" xfId="4766" xr:uid="{00000000-0005-0000-0000-0000C4040000}"/>
    <cellStyle name="Euro 23 20" xfId="629" xr:uid="{00000000-0005-0000-0000-0000C5040000}"/>
    <cellStyle name="Euro 23 20 2" xfId="4767" xr:uid="{00000000-0005-0000-0000-0000C6040000}"/>
    <cellStyle name="Euro 23 21" xfId="630" xr:uid="{00000000-0005-0000-0000-0000C7040000}"/>
    <cellStyle name="Euro 23 21 2" xfId="4768" xr:uid="{00000000-0005-0000-0000-0000C8040000}"/>
    <cellStyle name="Euro 23 22" xfId="631" xr:uid="{00000000-0005-0000-0000-0000C9040000}"/>
    <cellStyle name="Euro 23 22 2" xfId="4769" xr:uid="{00000000-0005-0000-0000-0000CA040000}"/>
    <cellStyle name="Euro 23 23" xfId="632" xr:uid="{00000000-0005-0000-0000-0000CB040000}"/>
    <cellStyle name="Euro 23 23 2" xfId="4770" xr:uid="{00000000-0005-0000-0000-0000CC040000}"/>
    <cellStyle name="Euro 23 24" xfId="633" xr:uid="{00000000-0005-0000-0000-0000CD040000}"/>
    <cellStyle name="Euro 23 24 2" xfId="4771" xr:uid="{00000000-0005-0000-0000-0000CE040000}"/>
    <cellStyle name="Euro 23 25" xfId="634" xr:uid="{00000000-0005-0000-0000-0000CF040000}"/>
    <cellStyle name="Euro 23 25 2" xfId="4772" xr:uid="{00000000-0005-0000-0000-0000D0040000}"/>
    <cellStyle name="Euro 23 26" xfId="635" xr:uid="{00000000-0005-0000-0000-0000D1040000}"/>
    <cellStyle name="Euro 23 26 2" xfId="4773" xr:uid="{00000000-0005-0000-0000-0000D2040000}"/>
    <cellStyle name="Euro 23 27" xfId="636" xr:uid="{00000000-0005-0000-0000-0000D3040000}"/>
    <cellStyle name="Euro 23 27 2" xfId="4774" xr:uid="{00000000-0005-0000-0000-0000D4040000}"/>
    <cellStyle name="Euro 23 28" xfId="637" xr:uid="{00000000-0005-0000-0000-0000D5040000}"/>
    <cellStyle name="Euro 23 28 2" xfId="4775" xr:uid="{00000000-0005-0000-0000-0000D6040000}"/>
    <cellStyle name="Euro 23 29" xfId="4776" xr:uid="{00000000-0005-0000-0000-0000D7040000}"/>
    <cellStyle name="Euro 23 3" xfId="638" xr:uid="{00000000-0005-0000-0000-0000D8040000}"/>
    <cellStyle name="Euro 23 3 2" xfId="4777" xr:uid="{00000000-0005-0000-0000-0000D9040000}"/>
    <cellStyle name="Euro 23 4" xfId="639" xr:uid="{00000000-0005-0000-0000-0000DA040000}"/>
    <cellStyle name="Euro 23 4 2" xfId="4778" xr:uid="{00000000-0005-0000-0000-0000DB040000}"/>
    <cellStyle name="Euro 23 5" xfId="640" xr:uid="{00000000-0005-0000-0000-0000DC040000}"/>
    <cellStyle name="Euro 23 5 2" xfId="4779" xr:uid="{00000000-0005-0000-0000-0000DD040000}"/>
    <cellStyle name="Euro 23 6" xfId="641" xr:uid="{00000000-0005-0000-0000-0000DE040000}"/>
    <cellStyle name="Euro 23 6 2" xfId="4780" xr:uid="{00000000-0005-0000-0000-0000DF040000}"/>
    <cellStyle name="Euro 23 7" xfId="642" xr:uid="{00000000-0005-0000-0000-0000E0040000}"/>
    <cellStyle name="Euro 23 7 2" xfId="4781" xr:uid="{00000000-0005-0000-0000-0000E1040000}"/>
    <cellStyle name="Euro 23 8" xfId="643" xr:uid="{00000000-0005-0000-0000-0000E2040000}"/>
    <cellStyle name="Euro 23 8 2" xfId="4782" xr:uid="{00000000-0005-0000-0000-0000E3040000}"/>
    <cellStyle name="Euro 23 9" xfId="644" xr:uid="{00000000-0005-0000-0000-0000E4040000}"/>
    <cellStyle name="Euro 23 9 2" xfId="4783" xr:uid="{00000000-0005-0000-0000-0000E5040000}"/>
    <cellStyle name="Euro 24" xfId="645" xr:uid="{00000000-0005-0000-0000-0000E6040000}"/>
    <cellStyle name="Euro 24 10" xfId="646" xr:uid="{00000000-0005-0000-0000-0000E7040000}"/>
    <cellStyle name="Euro 24 10 2" xfId="4784" xr:uid="{00000000-0005-0000-0000-0000E8040000}"/>
    <cellStyle name="Euro 24 11" xfId="647" xr:uid="{00000000-0005-0000-0000-0000E9040000}"/>
    <cellStyle name="Euro 24 11 2" xfId="4785" xr:uid="{00000000-0005-0000-0000-0000EA040000}"/>
    <cellStyle name="Euro 24 12" xfId="648" xr:uid="{00000000-0005-0000-0000-0000EB040000}"/>
    <cellStyle name="Euro 24 12 2" xfId="4786" xr:uid="{00000000-0005-0000-0000-0000EC040000}"/>
    <cellStyle name="Euro 24 13" xfId="649" xr:uid="{00000000-0005-0000-0000-0000ED040000}"/>
    <cellStyle name="Euro 24 13 2" xfId="4787" xr:uid="{00000000-0005-0000-0000-0000EE040000}"/>
    <cellStyle name="Euro 24 14" xfId="650" xr:uid="{00000000-0005-0000-0000-0000EF040000}"/>
    <cellStyle name="Euro 24 14 2" xfId="4788" xr:uid="{00000000-0005-0000-0000-0000F0040000}"/>
    <cellStyle name="Euro 24 15" xfId="651" xr:uid="{00000000-0005-0000-0000-0000F1040000}"/>
    <cellStyle name="Euro 24 15 2" xfId="4789" xr:uid="{00000000-0005-0000-0000-0000F2040000}"/>
    <cellStyle name="Euro 24 16" xfId="652" xr:uid="{00000000-0005-0000-0000-0000F3040000}"/>
    <cellStyle name="Euro 24 16 2" xfId="4790" xr:uid="{00000000-0005-0000-0000-0000F4040000}"/>
    <cellStyle name="Euro 24 17" xfId="653" xr:uid="{00000000-0005-0000-0000-0000F5040000}"/>
    <cellStyle name="Euro 24 17 2" xfId="4791" xr:uid="{00000000-0005-0000-0000-0000F6040000}"/>
    <cellStyle name="Euro 24 18" xfId="654" xr:uid="{00000000-0005-0000-0000-0000F7040000}"/>
    <cellStyle name="Euro 24 18 2" xfId="4792" xr:uid="{00000000-0005-0000-0000-0000F8040000}"/>
    <cellStyle name="Euro 24 19" xfId="655" xr:uid="{00000000-0005-0000-0000-0000F9040000}"/>
    <cellStyle name="Euro 24 19 2" xfId="4793" xr:uid="{00000000-0005-0000-0000-0000FA040000}"/>
    <cellStyle name="Euro 24 2" xfId="656" xr:uid="{00000000-0005-0000-0000-0000FB040000}"/>
    <cellStyle name="Euro 24 2 2" xfId="4794" xr:uid="{00000000-0005-0000-0000-0000FC040000}"/>
    <cellStyle name="Euro 24 20" xfId="657" xr:uid="{00000000-0005-0000-0000-0000FD040000}"/>
    <cellStyle name="Euro 24 20 2" xfId="4795" xr:uid="{00000000-0005-0000-0000-0000FE040000}"/>
    <cellStyle name="Euro 24 21" xfId="658" xr:uid="{00000000-0005-0000-0000-0000FF040000}"/>
    <cellStyle name="Euro 24 21 2" xfId="4796" xr:uid="{00000000-0005-0000-0000-000000050000}"/>
    <cellStyle name="Euro 24 22" xfId="659" xr:uid="{00000000-0005-0000-0000-000001050000}"/>
    <cellStyle name="Euro 24 22 2" xfId="4797" xr:uid="{00000000-0005-0000-0000-000002050000}"/>
    <cellStyle name="Euro 24 23" xfId="660" xr:uid="{00000000-0005-0000-0000-000003050000}"/>
    <cellStyle name="Euro 24 23 2" xfId="4798" xr:uid="{00000000-0005-0000-0000-000004050000}"/>
    <cellStyle name="Euro 24 24" xfId="661" xr:uid="{00000000-0005-0000-0000-000005050000}"/>
    <cellStyle name="Euro 24 24 2" xfId="4799" xr:uid="{00000000-0005-0000-0000-000006050000}"/>
    <cellStyle name="Euro 24 25" xfId="662" xr:uid="{00000000-0005-0000-0000-000007050000}"/>
    <cellStyle name="Euro 24 25 2" xfId="4800" xr:uid="{00000000-0005-0000-0000-000008050000}"/>
    <cellStyle name="Euro 24 26" xfId="663" xr:uid="{00000000-0005-0000-0000-000009050000}"/>
    <cellStyle name="Euro 24 26 2" xfId="4801" xr:uid="{00000000-0005-0000-0000-00000A050000}"/>
    <cellStyle name="Euro 24 27" xfId="664" xr:uid="{00000000-0005-0000-0000-00000B050000}"/>
    <cellStyle name="Euro 24 27 2" xfId="4802" xr:uid="{00000000-0005-0000-0000-00000C050000}"/>
    <cellStyle name="Euro 24 28" xfId="665" xr:uid="{00000000-0005-0000-0000-00000D050000}"/>
    <cellStyle name="Euro 24 28 2" xfId="4803" xr:uid="{00000000-0005-0000-0000-00000E050000}"/>
    <cellStyle name="Euro 24 29" xfId="4804" xr:uid="{00000000-0005-0000-0000-00000F050000}"/>
    <cellStyle name="Euro 24 3" xfId="666" xr:uid="{00000000-0005-0000-0000-000010050000}"/>
    <cellStyle name="Euro 24 3 2" xfId="4805" xr:uid="{00000000-0005-0000-0000-000011050000}"/>
    <cellStyle name="Euro 24 4" xfId="667" xr:uid="{00000000-0005-0000-0000-000012050000}"/>
    <cellStyle name="Euro 24 4 2" xfId="4806" xr:uid="{00000000-0005-0000-0000-000013050000}"/>
    <cellStyle name="Euro 24 5" xfId="668" xr:uid="{00000000-0005-0000-0000-000014050000}"/>
    <cellStyle name="Euro 24 5 2" xfId="4807" xr:uid="{00000000-0005-0000-0000-000015050000}"/>
    <cellStyle name="Euro 24 6" xfId="669" xr:uid="{00000000-0005-0000-0000-000016050000}"/>
    <cellStyle name="Euro 24 6 2" xfId="4808" xr:uid="{00000000-0005-0000-0000-000017050000}"/>
    <cellStyle name="Euro 24 7" xfId="670" xr:uid="{00000000-0005-0000-0000-000018050000}"/>
    <cellStyle name="Euro 24 7 2" xfId="4809" xr:uid="{00000000-0005-0000-0000-000019050000}"/>
    <cellStyle name="Euro 24 8" xfId="671" xr:uid="{00000000-0005-0000-0000-00001A050000}"/>
    <cellStyle name="Euro 24 8 2" xfId="4810" xr:uid="{00000000-0005-0000-0000-00001B050000}"/>
    <cellStyle name="Euro 24 9" xfId="672" xr:uid="{00000000-0005-0000-0000-00001C050000}"/>
    <cellStyle name="Euro 24 9 2" xfId="4811" xr:uid="{00000000-0005-0000-0000-00001D050000}"/>
    <cellStyle name="Euro 25" xfId="673" xr:uid="{00000000-0005-0000-0000-00001E050000}"/>
    <cellStyle name="Euro 25 10" xfId="674" xr:uid="{00000000-0005-0000-0000-00001F050000}"/>
    <cellStyle name="Euro 25 10 2" xfId="4812" xr:uid="{00000000-0005-0000-0000-000020050000}"/>
    <cellStyle name="Euro 25 11" xfId="675" xr:uid="{00000000-0005-0000-0000-000021050000}"/>
    <cellStyle name="Euro 25 11 2" xfId="4813" xr:uid="{00000000-0005-0000-0000-000022050000}"/>
    <cellStyle name="Euro 25 12" xfId="676" xr:uid="{00000000-0005-0000-0000-000023050000}"/>
    <cellStyle name="Euro 25 12 2" xfId="4814" xr:uid="{00000000-0005-0000-0000-000024050000}"/>
    <cellStyle name="Euro 25 13" xfId="677" xr:uid="{00000000-0005-0000-0000-000025050000}"/>
    <cellStyle name="Euro 25 13 2" xfId="4815" xr:uid="{00000000-0005-0000-0000-000026050000}"/>
    <cellStyle name="Euro 25 14" xfId="678" xr:uid="{00000000-0005-0000-0000-000027050000}"/>
    <cellStyle name="Euro 25 14 2" xfId="4816" xr:uid="{00000000-0005-0000-0000-000028050000}"/>
    <cellStyle name="Euro 25 15" xfId="679" xr:uid="{00000000-0005-0000-0000-000029050000}"/>
    <cellStyle name="Euro 25 15 2" xfId="4817" xr:uid="{00000000-0005-0000-0000-00002A050000}"/>
    <cellStyle name="Euro 25 16" xfId="680" xr:uid="{00000000-0005-0000-0000-00002B050000}"/>
    <cellStyle name="Euro 25 16 2" xfId="4818" xr:uid="{00000000-0005-0000-0000-00002C050000}"/>
    <cellStyle name="Euro 25 17" xfId="681" xr:uid="{00000000-0005-0000-0000-00002D050000}"/>
    <cellStyle name="Euro 25 17 2" xfId="4819" xr:uid="{00000000-0005-0000-0000-00002E050000}"/>
    <cellStyle name="Euro 25 18" xfId="682" xr:uid="{00000000-0005-0000-0000-00002F050000}"/>
    <cellStyle name="Euro 25 18 2" xfId="4820" xr:uid="{00000000-0005-0000-0000-000030050000}"/>
    <cellStyle name="Euro 25 19" xfId="683" xr:uid="{00000000-0005-0000-0000-000031050000}"/>
    <cellStyle name="Euro 25 19 2" xfId="4821" xr:uid="{00000000-0005-0000-0000-000032050000}"/>
    <cellStyle name="Euro 25 2" xfId="684" xr:uid="{00000000-0005-0000-0000-000033050000}"/>
    <cellStyle name="Euro 25 2 2" xfId="4822" xr:uid="{00000000-0005-0000-0000-000034050000}"/>
    <cellStyle name="Euro 25 20" xfId="685" xr:uid="{00000000-0005-0000-0000-000035050000}"/>
    <cellStyle name="Euro 25 20 2" xfId="4823" xr:uid="{00000000-0005-0000-0000-000036050000}"/>
    <cellStyle name="Euro 25 21" xfId="686" xr:uid="{00000000-0005-0000-0000-000037050000}"/>
    <cellStyle name="Euro 25 21 2" xfId="4824" xr:uid="{00000000-0005-0000-0000-000038050000}"/>
    <cellStyle name="Euro 25 22" xfId="687" xr:uid="{00000000-0005-0000-0000-000039050000}"/>
    <cellStyle name="Euro 25 22 2" xfId="4825" xr:uid="{00000000-0005-0000-0000-00003A050000}"/>
    <cellStyle name="Euro 25 23" xfId="688" xr:uid="{00000000-0005-0000-0000-00003B050000}"/>
    <cellStyle name="Euro 25 23 2" xfId="4826" xr:uid="{00000000-0005-0000-0000-00003C050000}"/>
    <cellStyle name="Euro 25 24" xfId="689" xr:uid="{00000000-0005-0000-0000-00003D050000}"/>
    <cellStyle name="Euro 25 24 2" xfId="4827" xr:uid="{00000000-0005-0000-0000-00003E050000}"/>
    <cellStyle name="Euro 25 25" xfId="690" xr:uid="{00000000-0005-0000-0000-00003F050000}"/>
    <cellStyle name="Euro 25 25 2" xfId="4828" xr:uid="{00000000-0005-0000-0000-000040050000}"/>
    <cellStyle name="Euro 25 26" xfId="691" xr:uid="{00000000-0005-0000-0000-000041050000}"/>
    <cellStyle name="Euro 25 26 2" xfId="4829" xr:uid="{00000000-0005-0000-0000-000042050000}"/>
    <cellStyle name="Euro 25 27" xfId="692" xr:uid="{00000000-0005-0000-0000-000043050000}"/>
    <cellStyle name="Euro 25 27 2" xfId="4830" xr:uid="{00000000-0005-0000-0000-000044050000}"/>
    <cellStyle name="Euro 25 28" xfId="693" xr:uid="{00000000-0005-0000-0000-000045050000}"/>
    <cellStyle name="Euro 25 28 2" xfId="4831" xr:uid="{00000000-0005-0000-0000-000046050000}"/>
    <cellStyle name="Euro 25 29" xfId="4832" xr:uid="{00000000-0005-0000-0000-000047050000}"/>
    <cellStyle name="Euro 25 3" xfId="694" xr:uid="{00000000-0005-0000-0000-000048050000}"/>
    <cellStyle name="Euro 25 3 2" xfId="4833" xr:uid="{00000000-0005-0000-0000-000049050000}"/>
    <cellStyle name="Euro 25 4" xfId="695" xr:uid="{00000000-0005-0000-0000-00004A050000}"/>
    <cellStyle name="Euro 25 4 2" xfId="4834" xr:uid="{00000000-0005-0000-0000-00004B050000}"/>
    <cellStyle name="Euro 25 5" xfId="696" xr:uid="{00000000-0005-0000-0000-00004C050000}"/>
    <cellStyle name="Euro 25 5 2" xfId="4835" xr:uid="{00000000-0005-0000-0000-00004D050000}"/>
    <cellStyle name="Euro 25 6" xfId="697" xr:uid="{00000000-0005-0000-0000-00004E050000}"/>
    <cellStyle name="Euro 25 6 2" xfId="4836" xr:uid="{00000000-0005-0000-0000-00004F050000}"/>
    <cellStyle name="Euro 25 7" xfId="698" xr:uid="{00000000-0005-0000-0000-000050050000}"/>
    <cellStyle name="Euro 25 7 2" xfId="4837" xr:uid="{00000000-0005-0000-0000-000051050000}"/>
    <cellStyle name="Euro 25 8" xfId="699" xr:uid="{00000000-0005-0000-0000-000052050000}"/>
    <cellStyle name="Euro 25 8 2" xfId="4838" xr:uid="{00000000-0005-0000-0000-000053050000}"/>
    <cellStyle name="Euro 25 9" xfId="700" xr:uid="{00000000-0005-0000-0000-000054050000}"/>
    <cellStyle name="Euro 25 9 2" xfId="4839" xr:uid="{00000000-0005-0000-0000-000055050000}"/>
    <cellStyle name="Euro 26" xfId="701" xr:uid="{00000000-0005-0000-0000-000056050000}"/>
    <cellStyle name="Euro 26 10" xfId="702" xr:uid="{00000000-0005-0000-0000-000057050000}"/>
    <cellStyle name="Euro 26 10 2" xfId="4840" xr:uid="{00000000-0005-0000-0000-000058050000}"/>
    <cellStyle name="Euro 26 11" xfId="703" xr:uid="{00000000-0005-0000-0000-000059050000}"/>
    <cellStyle name="Euro 26 11 2" xfId="4841" xr:uid="{00000000-0005-0000-0000-00005A050000}"/>
    <cellStyle name="Euro 26 12" xfId="704" xr:uid="{00000000-0005-0000-0000-00005B050000}"/>
    <cellStyle name="Euro 26 12 2" xfId="4842" xr:uid="{00000000-0005-0000-0000-00005C050000}"/>
    <cellStyle name="Euro 26 13" xfId="705" xr:uid="{00000000-0005-0000-0000-00005D050000}"/>
    <cellStyle name="Euro 26 13 2" xfId="4843" xr:uid="{00000000-0005-0000-0000-00005E050000}"/>
    <cellStyle name="Euro 26 14" xfId="706" xr:uid="{00000000-0005-0000-0000-00005F050000}"/>
    <cellStyle name="Euro 26 14 2" xfId="4844" xr:uid="{00000000-0005-0000-0000-000060050000}"/>
    <cellStyle name="Euro 26 15" xfId="707" xr:uid="{00000000-0005-0000-0000-000061050000}"/>
    <cellStyle name="Euro 26 15 2" xfId="4845" xr:uid="{00000000-0005-0000-0000-000062050000}"/>
    <cellStyle name="Euro 26 16" xfId="708" xr:uid="{00000000-0005-0000-0000-000063050000}"/>
    <cellStyle name="Euro 26 16 2" xfId="4846" xr:uid="{00000000-0005-0000-0000-000064050000}"/>
    <cellStyle name="Euro 26 17" xfId="709" xr:uid="{00000000-0005-0000-0000-000065050000}"/>
    <cellStyle name="Euro 26 17 2" xfId="4847" xr:uid="{00000000-0005-0000-0000-000066050000}"/>
    <cellStyle name="Euro 26 18" xfId="710" xr:uid="{00000000-0005-0000-0000-000067050000}"/>
    <cellStyle name="Euro 26 18 2" xfId="4848" xr:uid="{00000000-0005-0000-0000-000068050000}"/>
    <cellStyle name="Euro 26 19" xfId="711" xr:uid="{00000000-0005-0000-0000-000069050000}"/>
    <cellStyle name="Euro 26 19 2" xfId="4849" xr:uid="{00000000-0005-0000-0000-00006A050000}"/>
    <cellStyle name="Euro 26 2" xfId="712" xr:uid="{00000000-0005-0000-0000-00006B050000}"/>
    <cellStyle name="Euro 26 2 2" xfId="4850" xr:uid="{00000000-0005-0000-0000-00006C050000}"/>
    <cellStyle name="Euro 26 20" xfId="713" xr:uid="{00000000-0005-0000-0000-00006D050000}"/>
    <cellStyle name="Euro 26 20 2" xfId="4851" xr:uid="{00000000-0005-0000-0000-00006E050000}"/>
    <cellStyle name="Euro 26 21" xfId="714" xr:uid="{00000000-0005-0000-0000-00006F050000}"/>
    <cellStyle name="Euro 26 21 2" xfId="4852" xr:uid="{00000000-0005-0000-0000-000070050000}"/>
    <cellStyle name="Euro 26 22" xfId="715" xr:uid="{00000000-0005-0000-0000-000071050000}"/>
    <cellStyle name="Euro 26 22 2" xfId="4853" xr:uid="{00000000-0005-0000-0000-000072050000}"/>
    <cellStyle name="Euro 26 23" xfId="716" xr:uid="{00000000-0005-0000-0000-000073050000}"/>
    <cellStyle name="Euro 26 23 2" xfId="4854" xr:uid="{00000000-0005-0000-0000-000074050000}"/>
    <cellStyle name="Euro 26 24" xfId="717" xr:uid="{00000000-0005-0000-0000-000075050000}"/>
    <cellStyle name="Euro 26 24 2" xfId="4855" xr:uid="{00000000-0005-0000-0000-000076050000}"/>
    <cellStyle name="Euro 26 25" xfId="718" xr:uid="{00000000-0005-0000-0000-000077050000}"/>
    <cellStyle name="Euro 26 25 2" xfId="4856" xr:uid="{00000000-0005-0000-0000-000078050000}"/>
    <cellStyle name="Euro 26 26" xfId="719" xr:uid="{00000000-0005-0000-0000-000079050000}"/>
    <cellStyle name="Euro 26 26 2" xfId="4857" xr:uid="{00000000-0005-0000-0000-00007A050000}"/>
    <cellStyle name="Euro 26 27" xfId="720" xr:uid="{00000000-0005-0000-0000-00007B050000}"/>
    <cellStyle name="Euro 26 27 2" xfId="4858" xr:uid="{00000000-0005-0000-0000-00007C050000}"/>
    <cellStyle name="Euro 26 28" xfId="721" xr:uid="{00000000-0005-0000-0000-00007D050000}"/>
    <cellStyle name="Euro 26 28 2" xfId="4859" xr:uid="{00000000-0005-0000-0000-00007E050000}"/>
    <cellStyle name="Euro 26 29" xfId="4860" xr:uid="{00000000-0005-0000-0000-00007F050000}"/>
    <cellStyle name="Euro 26 3" xfId="722" xr:uid="{00000000-0005-0000-0000-000080050000}"/>
    <cellStyle name="Euro 26 3 2" xfId="4861" xr:uid="{00000000-0005-0000-0000-000081050000}"/>
    <cellStyle name="Euro 26 4" xfId="723" xr:uid="{00000000-0005-0000-0000-000082050000}"/>
    <cellStyle name="Euro 26 4 2" xfId="4862" xr:uid="{00000000-0005-0000-0000-000083050000}"/>
    <cellStyle name="Euro 26 5" xfId="724" xr:uid="{00000000-0005-0000-0000-000084050000}"/>
    <cellStyle name="Euro 26 5 2" xfId="4863" xr:uid="{00000000-0005-0000-0000-000085050000}"/>
    <cellStyle name="Euro 26 6" xfId="725" xr:uid="{00000000-0005-0000-0000-000086050000}"/>
    <cellStyle name="Euro 26 6 2" xfId="4864" xr:uid="{00000000-0005-0000-0000-000087050000}"/>
    <cellStyle name="Euro 26 7" xfId="726" xr:uid="{00000000-0005-0000-0000-000088050000}"/>
    <cellStyle name="Euro 26 7 2" xfId="4865" xr:uid="{00000000-0005-0000-0000-000089050000}"/>
    <cellStyle name="Euro 26 8" xfId="727" xr:uid="{00000000-0005-0000-0000-00008A050000}"/>
    <cellStyle name="Euro 26 8 2" xfId="4866" xr:uid="{00000000-0005-0000-0000-00008B050000}"/>
    <cellStyle name="Euro 26 9" xfId="728" xr:uid="{00000000-0005-0000-0000-00008C050000}"/>
    <cellStyle name="Euro 26 9 2" xfId="4867" xr:uid="{00000000-0005-0000-0000-00008D050000}"/>
    <cellStyle name="Euro 27" xfId="729" xr:uid="{00000000-0005-0000-0000-00008E050000}"/>
    <cellStyle name="Euro 27 10" xfId="730" xr:uid="{00000000-0005-0000-0000-00008F050000}"/>
    <cellStyle name="Euro 27 10 2" xfId="4868" xr:uid="{00000000-0005-0000-0000-000090050000}"/>
    <cellStyle name="Euro 27 11" xfId="731" xr:uid="{00000000-0005-0000-0000-000091050000}"/>
    <cellStyle name="Euro 27 11 2" xfId="4869" xr:uid="{00000000-0005-0000-0000-000092050000}"/>
    <cellStyle name="Euro 27 12" xfId="732" xr:uid="{00000000-0005-0000-0000-000093050000}"/>
    <cellStyle name="Euro 27 12 2" xfId="4870" xr:uid="{00000000-0005-0000-0000-000094050000}"/>
    <cellStyle name="Euro 27 13" xfId="733" xr:uid="{00000000-0005-0000-0000-000095050000}"/>
    <cellStyle name="Euro 27 13 2" xfId="4871" xr:uid="{00000000-0005-0000-0000-000096050000}"/>
    <cellStyle name="Euro 27 14" xfId="734" xr:uid="{00000000-0005-0000-0000-000097050000}"/>
    <cellStyle name="Euro 27 14 2" xfId="4872" xr:uid="{00000000-0005-0000-0000-000098050000}"/>
    <cellStyle name="Euro 27 15" xfId="735" xr:uid="{00000000-0005-0000-0000-000099050000}"/>
    <cellStyle name="Euro 27 15 2" xfId="4873" xr:uid="{00000000-0005-0000-0000-00009A050000}"/>
    <cellStyle name="Euro 27 16" xfId="736" xr:uid="{00000000-0005-0000-0000-00009B050000}"/>
    <cellStyle name="Euro 27 16 2" xfId="4874" xr:uid="{00000000-0005-0000-0000-00009C050000}"/>
    <cellStyle name="Euro 27 17" xfId="737" xr:uid="{00000000-0005-0000-0000-00009D050000}"/>
    <cellStyle name="Euro 27 17 2" xfId="4875" xr:uid="{00000000-0005-0000-0000-00009E050000}"/>
    <cellStyle name="Euro 27 18" xfId="738" xr:uid="{00000000-0005-0000-0000-00009F050000}"/>
    <cellStyle name="Euro 27 18 2" xfId="4876" xr:uid="{00000000-0005-0000-0000-0000A0050000}"/>
    <cellStyle name="Euro 27 19" xfId="739" xr:uid="{00000000-0005-0000-0000-0000A1050000}"/>
    <cellStyle name="Euro 27 19 2" xfId="4877" xr:uid="{00000000-0005-0000-0000-0000A2050000}"/>
    <cellStyle name="Euro 27 2" xfId="740" xr:uid="{00000000-0005-0000-0000-0000A3050000}"/>
    <cellStyle name="Euro 27 2 2" xfId="4878" xr:uid="{00000000-0005-0000-0000-0000A4050000}"/>
    <cellStyle name="Euro 27 20" xfId="741" xr:uid="{00000000-0005-0000-0000-0000A5050000}"/>
    <cellStyle name="Euro 27 20 2" xfId="4879" xr:uid="{00000000-0005-0000-0000-0000A6050000}"/>
    <cellStyle name="Euro 27 21" xfId="742" xr:uid="{00000000-0005-0000-0000-0000A7050000}"/>
    <cellStyle name="Euro 27 21 2" xfId="4880" xr:uid="{00000000-0005-0000-0000-0000A8050000}"/>
    <cellStyle name="Euro 27 22" xfId="743" xr:uid="{00000000-0005-0000-0000-0000A9050000}"/>
    <cellStyle name="Euro 27 22 2" xfId="4881" xr:uid="{00000000-0005-0000-0000-0000AA050000}"/>
    <cellStyle name="Euro 27 23" xfId="744" xr:uid="{00000000-0005-0000-0000-0000AB050000}"/>
    <cellStyle name="Euro 27 23 2" xfId="4882" xr:uid="{00000000-0005-0000-0000-0000AC050000}"/>
    <cellStyle name="Euro 27 24" xfId="745" xr:uid="{00000000-0005-0000-0000-0000AD050000}"/>
    <cellStyle name="Euro 27 24 2" xfId="4883" xr:uid="{00000000-0005-0000-0000-0000AE050000}"/>
    <cellStyle name="Euro 27 25" xfId="746" xr:uid="{00000000-0005-0000-0000-0000AF050000}"/>
    <cellStyle name="Euro 27 25 2" xfId="4884" xr:uid="{00000000-0005-0000-0000-0000B0050000}"/>
    <cellStyle name="Euro 27 26" xfId="747" xr:uid="{00000000-0005-0000-0000-0000B1050000}"/>
    <cellStyle name="Euro 27 26 2" xfId="4885" xr:uid="{00000000-0005-0000-0000-0000B2050000}"/>
    <cellStyle name="Euro 27 27" xfId="748" xr:uid="{00000000-0005-0000-0000-0000B3050000}"/>
    <cellStyle name="Euro 27 27 2" xfId="4886" xr:uid="{00000000-0005-0000-0000-0000B4050000}"/>
    <cellStyle name="Euro 27 28" xfId="749" xr:uid="{00000000-0005-0000-0000-0000B5050000}"/>
    <cellStyle name="Euro 27 28 2" xfId="4887" xr:uid="{00000000-0005-0000-0000-0000B6050000}"/>
    <cellStyle name="Euro 27 29" xfId="4888" xr:uid="{00000000-0005-0000-0000-0000B7050000}"/>
    <cellStyle name="Euro 27 3" xfId="750" xr:uid="{00000000-0005-0000-0000-0000B8050000}"/>
    <cellStyle name="Euro 27 3 2" xfId="4889" xr:uid="{00000000-0005-0000-0000-0000B9050000}"/>
    <cellStyle name="Euro 27 4" xfId="751" xr:uid="{00000000-0005-0000-0000-0000BA050000}"/>
    <cellStyle name="Euro 27 4 2" xfId="4890" xr:uid="{00000000-0005-0000-0000-0000BB050000}"/>
    <cellStyle name="Euro 27 5" xfId="752" xr:uid="{00000000-0005-0000-0000-0000BC050000}"/>
    <cellStyle name="Euro 27 5 2" xfId="4891" xr:uid="{00000000-0005-0000-0000-0000BD050000}"/>
    <cellStyle name="Euro 27 6" xfId="753" xr:uid="{00000000-0005-0000-0000-0000BE050000}"/>
    <cellStyle name="Euro 27 6 2" xfId="4892" xr:uid="{00000000-0005-0000-0000-0000BF050000}"/>
    <cellStyle name="Euro 27 7" xfId="754" xr:uid="{00000000-0005-0000-0000-0000C0050000}"/>
    <cellStyle name="Euro 27 7 2" xfId="4893" xr:uid="{00000000-0005-0000-0000-0000C1050000}"/>
    <cellStyle name="Euro 27 8" xfId="755" xr:uid="{00000000-0005-0000-0000-0000C2050000}"/>
    <cellStyle name="Euro 27 8 2" xfId="4894" xr:uid="{00000000-0005-0000-0000-0000C3050000}"/>
    <cellStyle name="Euro 27 9" xfId="756" xr:uid="{00000000-0005-0000-0000-0000C4050000}"/>
    <cellStyle name="Euro 27 9 2" xfId="4895" xr:uid="{00000000-0005-0000-0000-0000C5050000}"/>
    <cellStyle name="Euro 28" xfId="757" xr:uid="{00000000-0005-0000-0000-0000C6050000}"/>
    <cellStyle name="Euro 28 10" xfId="758" xr:uid="{00000000-0005-0000-0000-0000C7050000}"/>
    <cellStyle name="Euro 28 10 2" xfId="4896" xr:uid="{00000000-0005-0000-0000-0000C8050000}"/>
    <cellStyle name="Euro 28 11" xfId="759" xr:uid="{00000000-0005-0000-0000-0000C9050000}"/>
    <cellStyle name="Euro 28 11 2" xfId="4897" xr:uid="{00000000-0005-0000-0000-0000CA050000}"/>
    <cellStyle name="Euro 28 12" xfId="760" xr:uid="{00000000-0005-0000-0000-0000CB050000}"/>
    <cellStyle name="Euro 28 12 2" xfId="4898" xr:uid="{00000000-0005-0000-0000-0000CC050000}"/>
    <cellStyle name="Euro 28 13" xfId="761" xr:uid="{00000000-0005-0000-0000-0000CD050000}"/>
    <cellStyle name="Euro 28 13 2" xfId="4899" xr:uid="{00000000-0005-0000-0000-0000CE050000}"/>
    <cellStyle name="Euro 28 14" xfId="762" xr:uid="{00000000-0005-0000-0000-0000CF050000}"/>
    <cellStyle name="Euro 28 14 2" xfId="4900" xr:uid="{00000000-0005-0000-0000-0000D0050000}"/>
    <cellStyle name="Euro 28 15" xfId="763" xr:uid="{00000000-0005-0000-0000-0000D1050000}"/>
    <cellStyle name="Euro 28 15 2" xfId="4901" xr:uid="{00000000-0005-0000-0000-0000D2050000}"/>
    <cellStyle name="Euro 28 16" xfId="764" xr:uid="{00000000-0005-0000-0000-0000D3050000}"/>
    <cellStyle name="Euro 28 16 2" xfId="4902" xr:uid="{00000000-0005-0000-0000-0000D4050000}"/>
    <cellStyle name="Euro 28 17" xfId="765" xr:uid="{00000000-0005-0000-0000-0000D5050000}"/>
    <cellStyle name="Euro 28 17 2" xfId="4903" xr:uid="{00000000-0005-0000-0000-0000D6050000}"/>
    <cellStyle name="Euro 28 18" xfId="766" xr:uid="{00000000-0005-0000-0000-0000D7050000}"/>
    <cellStyle name="Euro 28 18 2" xfId="4904" xr:uid="{00000000-0005-0000-0000-0000D8050000}"/>
    <cellStyle name="Euro 28 19" xfId="767" xr:uid="{00000000-0005-0000-0000-0000D9050000}"/>
    <cellStyle name="Euro 28 19 2" xfId="4905" xr:uid="{00000000-0005-0000-0000-0000DA050000}"/>
    <cellStyle name="Euro 28 2" xfId="768" xr:uid="{00000000-0005-0000-0000-0000DB050000}"/>
    <cellStyle name="Euro 28 2 2" xfId="4906" xr:uid="{00000000-0005-0000-0000-0000DC050000}"/>
    <cellStyle name="Euro 28 20" xfId="769" xr:uid="{00000000-0005-0000-0000-0000DD050000}"/>
    <cellStyle name="Euro 28 20 2" xfId="4907" xr:uid="{00000000-0005-0000-0000-0000DE050000}"/>
    <cellStyle name="Euro 28 21" xfId="770" xr:uid="{00000000-0005-0000-0000-0000DF050000}"/>
    <cellStyle name="Euro 28 21 2" xfId="4908" xr:uid="{00000000-0005-0000-0000-0000E0050000}"/>
    <cellStyle name="Euro 28 22" xfId="771" xr:uid="{00000000-0005-0000-0000-0000E1050000}"/>
    <cellStyle name="Euro 28 22 2" xfId="4909" xr:uid="{00000000-0005-0000-0000-0000E2050000}"/>
    <cellStyle name="Euro 28 23" xfId="772" xr:uid="{00000000-0005-0000-0000-0000E3050000}"/>
    <cellStyle name="Euro 28 23 2" xfId="4910" xr:uid="{00000000-0005-0000-0000-0000E4050000}"/>
    <cellStyle name="Euro 28 24" xfId="773" xr:uid="{00000000-0005-0000-0000-0000E5050000}"/>
    <cellStyle name="Euro 28 24 2" xfId="4911" xr:uid="{00000000-0005-0000-0000-0000E6050000}"/>
    <cellStyle name="Euro 28 25" xfId="774" xr:uid="{00000000-0005-0000-0000-0000E7050000}"/>
    <cellStyle name="Euro 28 25 2" xfId="4912" xr:uid="{00000000-0005-0000-0000-0000E8050000}"/>
    <cellStyle name="Euro 28 26" xfId="775" xr:uid="{00000000-0005-0000-0000-0000E9050000}"/>
    <cellStyle name="Euro 28 26 2" xfId="4913" xr:uid="{00000000-0005-0000-0000-0000EA050000}"/>
    <cellStyle name="Euro 28 27" xfId="776" xr:uid="{00000000-0005-0000-0000-0000EB050000}"/>
    <cellStyle name="Euro 28 27 2" xfId="4914" xr:uid="{00000000-0005-0000-0000-0000EC050000}"/>
    <cellStyle name="Euro 28 28" xfId="777" xr:uid="{00000000-0005-0000-0000-0000ED050000}"/>
    <cellStyle name="Euro 28 28 2" xfId="4915" xr:uid="{00000000-0005-0000-0000-0000EE050000}"/>
    <cellStyle name="Euro 28 29" xfId="4916" xr:uid="{00000000-0005-0000-0000-0000EF050000}"/>
    <cellStyle name="Euro 28 3" xfId="778" xr:uid="{00000000-0005-0000-0000-0000F0050000}"/>
    <cellStyle name="Euro 28 3 2" xfId="4917" xr:uid="{00000000-0005-0000-0000-0000F1050000}"/>
    <cellStyle name="Euro 28 4" xfId="779" xr:uid="{00000000-0005-0000-0000-0000F2050000}"/>
    <cellStyle name="Euro 28 4 2" xfId="4918" xr:uid="{00000000-0005-0000-0000-0000F3050000}"/>
    <cellStyle name="Euro 28 5" xfId="780" xr:uid="{00000000-0005-0000-0000-0000F4050000}"/>
    <cellStyle name="Euro 28 5 2" xfId="4919" xr:uid="{00000000-0005-0000-0000-0000F5050000}"/>
    <cellStyle name="Euro 28 6" xfId="781" xr:uid="{00000000-0005-0000-0000-0000F6050000}"/>
    <cellStyle name="Euro 28 6 2" xfId="4920" xr:uid="{00000000-0005-0000-0000-0000F7050000}"/>
    <cellStyle name="Euro 28 7" xfId="782" xr:uid="{00000000-0005-0000-0000-0000F8050000}"/>
    <cellStyle name="Euro 28 7 2" xfId="4921" xr:uid="{00000000-0005-0000-0000-0000F9050000}"/>
    <cellStyle name="Euro 28 8" xfId="783" xr:uid="{00000000-0005-0000-0000-0000FA050000}"/>
    <cellStyle name="Euro 28 8 2" xfId="4922" xr:uid="{00000000-0005-0000-0000-0000FB050000}"/>
    <cellStyle name="Euro 28 9" xfId="784" xr:uid="{00000000-0005-0000-0000-0000FC050000}"/>
    <cellStyle name="Euro 28 9 2" xfId="4923" xr:uid="{00000000-0005-0000-0000-0000FD050000}"/>
    <cellStyle name="Euro 29" xfId="785" xr:uid="{00000000-0005-0000-0000-0000FE050000}"/>
    <cellStyle name="Euro 29 10" xfId="786" xr:uid="{00000000-0005-0000-0000-0000FF050000}"/>
    <cellStyle name="Euro 29 10 2" xfId="4924" xr:uid="{00000000-0005-0000-0000-000000060000}"/>
    <cellStyle name="Euro 29 11" xfId="787" xr:uid="{00000000-0005-0000-0000-000001060000}"/>
    <cellStyle name="Euro 29 11 2" xfId="4925" xr:uid="{00000000-0005-0000-0000-000002060000}"/>
    <cellStyle name="Euro 29 12" xfId="788" xr:uid="{00000000-0005-0000-0000-000003060000}"/>
    <cellStyle name="Euro 29 12 2" xfId="4926" xr:uid="{00000000-0005-0000-0000-000004060000}"/>
    <cellStyle name="Euro 29 13" xfId="789" xr:uid="{00000000-0005-0000-0000-000005060000}"/>
    <cellStyle name="Euro 29 13 2" xfId="4927" xr:uid="{00000000-0005-0000-0000-000006060000}"/>
    <cellStyle name="Euro 29 14" xfId="790" xr:uid="{00000000-0005-0000-0000-000007060000}"/>
    <cellStyle name="Euro 29 14 2" xfId="4928" xr:uid="{00000000-0005-0000-0000-000008060000}"/>
    <cellStyle name="Euro 29 15" xfId="791" xr:uid="{00000000-0005-0000-0000-000009060000}"/>
    <cellStyle name="Euro 29 15 2" xfId="4929" xr:uid="{00000000-0005-0000-0000-00000A060000}"/>
    <cellStyle name="Euro 29 16" xfId="792" xr:uid="{00000000-0005-0000-0000-00000B060000}"/>
    <cellStyle name="Euro 29 16 2" xfId="4930" xr:uid="{00000000-0005-0000-0000-00000C060000}"/>
    <cellStyle name="Euro 29 17" xfId="793" xr:uid="{00000000-0005-0000-0000-00000D060000}"/>
    <cellStyle name="Euro 29 17 2" xfId="4931" xr:uid="{00000000-0005-0000-0000-00000E060000}"/>
    <cellStyle name="Euro 29 18" xfId="794" xr:uid="{00000000-0005-0000-0000-00000F060000}"/>
    <cellStyle name="Euro 29 18 2" xfId="4932" xr:uid="{00000000-0005-0000-0000-000010060000}"/>
    <cellStyle name="Euro 29 19" xfId="795" xr:uid="{00000000-0005-0000-0000-000011060000}"/>
    <cellStyle name="Euro 29 19 2" xfId="4933" xr:uid="{00000000-0005-0000-0000-000012060000}"/>
    <cellStyle name="Euro 29 2" xfId="796" xr:uid="{00000000-0005-0000-0000-000013060000}"/>
    <cellStyle name="Euro 29 2 2" xfId="4934" xr:uid="{00000000-0005-0000-0000-000014060000}"/>
    <cellStyle name="Euro 29 20" xfId="797" xr:uid="{00000000-0005-0000-0000-000015060000}"/>
    <cellStyle name="Euro 29 20 2" xfId="4935" xr:uid="{00000000-0005-0000-0000-000016060000}"/>
    <cellStyle name="Euro 29 21" xfId="798" xr:uid="{00000000-0005-0000-0000-000017060000}"/>
    <cellStyle name="Euro 29 21 2" xfId="4936" xr:uid="{00000000-0005-0000-0000-000018060000}"/>
    <cellStyle name="Euro 29 22" xfId="799" xr:uid="{00000000-0005-0000-0000-000019060000}"/>
    <cellStyle name="Euro 29 22 2" xfId="4937" xr:uid="{00000000-0005-0000-0000-00001A060000}"/>
    <cellStyle name="Euro 29 23" xfId="800" xr:uid="{00000000-0005-0000-0000-00001B060000}"/>
    <cellStyle name="Euro 29 23 2" xfId="4938" xr:uid="{00000000-0005-0000-0000-00001C060000}"/>
    <cellStyle name="Euro 29 24" xfId="801" xr:uid="{00000000-0005-0000-0000-00001D060000}"/>
    <cellStyle name="Euro 29 24 2" xfId="4939" xr:uid="{00000000-0005-0000-0000-00001E060000}"/>
    <cellStyle name="Euro 29 25" xfId="802" xr:uid="{00000000-0005-0000-0000-00001F060000}"/>
    <cellStyle name="Euro 29 25 2" xfId="4940" xr:uid="{00000000-0005-0000-0000-000020060000}"/>
    <cellStyle name="Euro 29 26" xfId="803" xr:uid="{00000000-0005-0000-0000-000021060000}"/>
    <cellStyle name="Euro 29 26 2" xfId="4941" xr:uid="{00000000-0005-0000-0000-000022060000}"/>
    <cellStyle name="Euro 29 27" xfId="804" xr:uid="{00000000-0005-0000-0000-000023060000}"/>
    <cellStyle name="Euro 29 27 2" xfId="4942" xr:uid="{00000000-0005-0000-0000-000024060000}"/>
    <cellStyle name="Euro 29 28" xfId="805" xr:uid="{00000000-0005-0000-0000-000025060000}"/>
    <cellStyle name="Euro 29 28 2" xfId="4943" xr:uid="{00000000-0005-0000-0000-000026060000}"/>
    <cellStyle name="Euro 29 29" xfId="4944" xr:uid="{00000000-0005-0000-0000-000027060000}"/>
    <cellStyle name="Euro 29 3" xfId="806" xr:uid="{00000000-0005-0000-0000-000028060000}"/>
    <cellStyle name="Euro 29 3 2" xfId="4945" xr:uid="{00000000-0005-0000-0000-000029060000}"/>
    <cellStyle name="Euro 29 4" xfId="807" xr:uid="{00000000-0005-0000-0000-00002A060000}"/>
    <cellStyle name="Euro 29 4 2" xfId="4946" xr:uid="{00000000-0005-0000-0000-00002B060000}"/>
    <cellStyle name="Euro 29 5" xfId="808" xr:uid="{00000000-0005-0000-0000-00002C060000}"/>
    <cellStyle name="Euro 29 5 2" xfId="4947" xr:uid="{00000000-0005-0000-0000-00002D060000}"/>
    <cellStyle name="Euro 29 6" xfId="809" xr:uid="{00000000-0005-0000-0000-00002E060000}"/>
    <cellStyle name="Euro 29 6 2" xfId="4948" xr:uid="{00000000-0005-0000-0000-00002F060000}"/>
    <cellStyle name="Euro 29 7" xfId="810" xr:uid="{00000000-0005-0000-0000-000030060000}"/>
    <cellStyle name="Euro 29 7 2" xfId="4949" xr:uid="{00000000-0005-0000-0000-000031060000}"/>
    <cellStyle name="Euro 29 8" xfId="811" xr:uid="{00000000-0005-0000-0000-000032060000}"/>
    <cellStyle name="Euro 29 8 2" xfId="4950" xr:uid="{00000000-0005-0000-0000-000033060000}"/>
    <cellStyle name="Euro 29 9" xfId="812" xr:uid="{00000000-0005-0000-0000-000034060000}"/>
    <cellStyle name="Euro 29 9 2" xfId="4951" xr:uid="{00000000-0005-0000-0000-000035060000}"/>
    <cellStyle name="Euro 3" xfId="135" xr:uid="{00000000-0005-0000-0000-000036060000}"/>
    <cellStyle name="Euro 3 10" xfId="814" xr:uid="{00000000-0005-0000-0000-000037060000}"/>
    <cellStyle name="Euro 3 10 2" xfId="4952" xr:uid="{00000000-0005-0000-0000-000038060000}"/>
    <cellStyle name="Euro 3 11" xfId="815" xr:uid="{00000000-0005-0000-0000-000039060000}"/>
    <cellStyle name="Euro 3 11 2" xfId="4953" xr:uid="{00000000-0005-0000-0000-00003A060000}"/>
    <cellStyle name="Euro 3 12" xfId="816" xr:uid="{00000000-0005-0000-0000-00003B060000}"/>
    <cellStyle name="Euro 3 12 2" xfId="4954" xr:uid="{00000000-0005-0000-0000-00003C060000}"/>
    <cellStyle name="Euro 3 13" xfId="817" xr:uid="{00000000-0005-0000-0000-00003D060000}"/>
    <cellStyle name="Euro 3 13 2" xfId="4955" xr:uid="{00000000-0005-0000-0000-00003E060000}"/>
    <cellStyle name="Euro 3 14" xfId="818" xr:uid="{00000000-0005-0000-0000-00003F060000}"/>
    <cellStyle name="Euro 3 14 2" xfId="4956" xr:uid="{00000000-0005-0000-0000-000040060000}"/>
    <cellStyle name="Euro 3 15" xfId="819" xr:uid="{00000000-0005-0000-0000-000041060000}"/>
    <cellStyle name="Euro 3 15 2" xfId="4957" xr:uid="{00000000-0005-0000-0000-000042060000}"/>
    <cellStyle name="Euro 3 16" xfId="820" xr:uid="{00000000-0005-0000-0000-000043060000}"/>
    <cellStyle name="Euro 3 16 2" xfId="4958" xr:uid="{00000000-0005-0000-0000-000044060000}"/>
    <cellStyle name="Euro 3 17" xfId="821" xr:uid="{00000000-0005-0000-0000-000045060000}"/>
    <cellStyle name="Euro 3 17 2" xfId="4959" xr:uid="{00000000-0005-0000-0000-000046060000}"/>
    <cellStyle name="Euro 3 18" xfId="822" xr:uid="{00000000-0005-0000-0000-000047060000}"/>
    <cellStyle name="Euro 3 18 2" xfId="4960" xr:uid="{00000000-0005-0000-0000-000048060000}"/>
    <cellStyle name="Euro 3 19" xfId="823" xr:uid="{00000000-0005-0000-0000-000049060000}"/>
    <cellStyle name="Euro 3 19 2" xfId="4961" xr:uid="{00000000-0005-0000-0000-00004A060000}"/>
    <cellStyle name="Euro 3 2" xfId="824" xr:uid="{00000000-0005-0000-0000-00004B060000}"/>
    <cellStyle name="Euro 3 2 2" xfId="4139" xr:uid="{00000000-0005-0000-0000-00004C060000}"/>
    <cellStyle name="Euro 3 20" xfId="825" xr:uid="{00000000-0005-0000-0000-00004D060000}"/>
    <cellStyle name="Euro 3 20 2" xfId="4962" xr:uid="{00000000-0005-0000-0000-00004E060000}"/>
    <cellStyle name="Euro 3 21" xfId="826" xr:uid="{00000000-0005-0000-0000-00004F060000}"/>
    <cellStyle name="Euro 3 21 2" xfId="4963" xr:uid="{00000000-0005-0000-0000-000050060000}"/>
    <cellStyle name="Euro 3 22" xfId="827" xr:uid="{00000000-0005-0000-0000-000051060000}"/>
    <cellStyle name="Euro 3 22 2" xfId="4964" xr:uid="{00000000-0005-0000-0000-000052060000}"/>
    <cellStyle name="Euro 3 23" xfId="828" xr:uid="{00000000-0005-0000-0000-000053060000}"/>
    <cellStyle name="Euro 3 23 2" xfId="4965" xr:uid="{00000000-0005-0000-0000-000054060000}"/>
    <cellStyle name="Euro 3 24" xfId="829" xr:uid="{00000000-0005-0000-0000-000055060000}"/>
    <cellStyle name="Euro 3 24 2" xfId="4966" xr:uid="{00000000-0005-0000-0000-000056060000}"/>
    <cellStyle name="Euro 3 25" xfId="830" xr:uid="{00000000-0005-0000-0000-000057060000}"/>
    <cellStyle name="Euro 3 25 2" xfId="4967" xr:uid="{00000000-0005-0000-0000-000058060000}"/>
    <cellStyle name="Euro 3 26" xfId="831" xr:uid="{00000000-0005-0000-0000-000059060000}"/>
    <cellStyle name="Euro 3 26 2" xfId="4968" xr:uid="{00000000-0005-0000-0000-00005A060000}"/>
    <cellStyle name="Euro 3 27" xfId="832" xr:uid="{00000000-0005-0000-0000-00005B060000}"/>
    <cellStyle name="Euro 3 27 2" xfId="4969" xr:uid="{00000000-0005-0000-0000-00005C060000}"/>
    <cellStyle name="Euro 3 28" xfId="833" xr:uid="{00000000-0005-0000-0000-00005D060000}"/>
    <cellStyle name="Euro 3 28 2" xfId="4970" xr:uid="{00000000-0005-0000-0000-00005E060000}"/>
    <cellStyle name="Euro 3 29" xfId="4065" xr:uid="{00000000-0005-0000-0000-00005F060000}"/>
    <cellStyle name="Euro 3 3" xfId="834" xr:uid="{00000000-0005-0000-0000-000060060000}"/>
    <cellStyle name="Euro 3 3 2" xfId="4099" xr:uid="{00000000-0005-0000-0000-000061060000}"/>
    <cellStyle name="Euro 3 30" xfId="813" xr:uid="{00000000-0005-0000-0000-000062060000}"/>
    <cellStyle name="Euro 3 4" xfId="835" xr:uid="{00000000-0005-0000-0000-000063060000}"/>
    <cellStyle name="Euro 3 4 2" xfId="4971" xr:uid="{00000000-0005-0000-0000-000064060000}"/>
    <cellStyle name="Euro 3 5" xfId="836" xr:uid="{00000000-0005-0000-0000-000065060000}"/>
    <cellStyle name="Euro 3 5 2" xfId="4972" xr:uid="{00000000-0005-0000-0000-000066060000}"/>
    <cellStyle name="Euro 3 6" xfId="837" xr:uid="{00000000-0005-0000-0000-000067060000}"/>
    <cellStyle name="Euro 3 6 2" xfId="4973" xr:uid="{00000000-0005-0000-0000-000068060000}"/>
    <cellStyle name="Euro 3 7" xfId="838" xr:uid="{00000000-0005-0000-0000-000069060000}"/>
    <cellStyle name="Euro 3 7 2" xfId="4974" xr:uid="{00000000-0005-0000-0000-00006A060000}"/>
    <cellStyle name="Euro 3 8" xfId="839" xr:uid="{00000000-0005-0000-0000-00006B060000}"/>
    <cellStyle name="Euro 3 8 2" xfId="4975" xr:uid="{00000000-0005-0000-0000-00006C060000}"/>
    <cellStyle name="Euro 3 9" xfId="840" xr:uid="{00000000-0005-0000-0000-00006D060000}"/>
    <cellStyle name="Euro 3 9 2" xfId="4976" xr:uid="{00000000-0005-0000-0000-00006E060000}"/>
    <cellStyle name="Euro 30" xfId="12362" xr:uid="{00000000-0005-0000-0000-00006F060000}"/>
    <cellStyle name="Euro 31" xfId="12379" xr:uid="{00000000-0005-0000-0000-000070060000}"/>
    <cellStyle name="Euro 4" xfId="841" xr:uid="{00000000-0005-0000-0000-000071060000}"/>
    <cellStyle name="Euro 4 10" xfId="842" xr:uid="{00000000-0005-0000-0000-000072060000}"/>
    <cellStyle name="Euro 4 10 2" xfId="4977" xr:uid="{00000000-0005-0000-0000-000073060000}"/>
    <cellStyle name="Euro 4 11" xfId="843" xr:uid="{00000000-0005-0000-0000-000074060000}"/>
    <cellStyle name="Euro 4 11 2" xfId="4978" xr:uid="{00000000-0005-0000-0000-000075060000}"/>
    <cellStyle name="Euro 4 12" xfId="844" xr:uid="{00000000-0005-0000-0000-000076060000}"/>
    <cellStyle name="Euro 4 12 2" xfId="4979" xr:uid="{00000000-0005-0000-0000-000077060000}"/>
    <cellStyle name="Euro 4 13" xfId="845" xr:uid="{00000000-0005-0000-0000-000078060000}"/>
    <cellStyle name="Euro 4 13 2" xfId="4980" xr:uid="{00000000-0005-0000-0000-000079060000}"/>
    <cellStyle name="Euro 4 14" xfId="846" xr:uid="{00000000-0005-0000-0000-00007A060000}"/>
    <cellStyle name="Euro 4 14 2" xfId="4981" xr:uid="{00000000-0005-0000-0000-00007B060000}"/>
    <cellStyle name="Euro 4 15" xfId="847" xr:uid="{00000000-0005-0000-0000-00007C060000}"/>
    <cellStyle name="Euro 4 15 2" xfId="4982" xr:uid="{00000000-0005-0000-0000-00007D060000}"/>
    <cellStyle name="Euro 4 16" xfId="848" xr:uid="{00000000-0005-0000-0000-00007E060000}"/>
    <cellStyle name="Euro 4 16 2" xfId="4983" xr:uid="{00000000-0005-0000-0000-00007F060000}"/>
    <cellStyle name="Euro 4 17" xfId="849" xr:uid="{00000000-0005-0000-0000-000080060000}"/>
    <cellStyle name="Euro 4 17 2" xfId="4984" xr:uid="{00000000-0005-0000-0000-000081060000}"/>
    <cellStyle name="Euro 4 18" xfId="850" xr:uid="{00000000-0005-0000-0000-000082060000}"/>
    <cellStyle name="Euro 4 18 2" xfId="4985" xr:uid="{00000000-0005-0000-0000-000083060000}"/>
    <cellStyle name="Euro 4 19" xfId="851" xr:uid="{00000000-0005-0000-0000-000084060000}"/>
    <cellStyle name="Euro 4 19 2" xfId="4986" xr:uid="{00000000-0005-0000-0000-000085060000}"/>
    <cellStyle name="Euro 4 2" xfId="852" xr:uid="{00000000-0005-0000-0000-000086060000}"/>
    <cellStyle name="Euro 4 2 2" xfId="4148" xr:uid="{00000000-0005-0000-0000-000087060000}"/>
    <cellStyle name="Euro 4 20" xfId="853" xr:uid="{00000000-0005-0000-0000-000088060000}"/>
    <cellStyle name="Euro 4 20 2" xfId="4987" xr:uid="{00000000-0005-0000-0000-000089060000}"/>
    <cellStyle name="Euro 4 21" xfId="854" xr:uid="{00000000-0005-0000-0000-00008A060000}"/>
    <cellStyle name="Euro 4 21 2" xfId="4988" xr:uid="{00000000-0005-0000-0000-00008B060000}"/>
    <cellStyle name="Euro 4 22" xfId="855" xr:uid="{00000000-0005-0000-0000-00008C060000}"/>
    <cellStyle name="Euro 4 22 2" xfId="4989" xr:uid="{00000000-0005-0000-0000-00008D060000}"/>
    <cellStyle name="Euro 4 23" xfId="856" xr:uid="{00000000-0005-0000-0000-00008E060000}"/>
    <cellStyle name="Euro 4 23 2" xfId="4990" xr:uid="{00000000-0005-0000-0000-00008F060000}"/>
    <cellStyle name="Euro 4 24" xfId="857" xr:uid="{00000000-0005-0000-0000-000090060000}"/>
    <cellStyle name="Euro 4 24 2" xfId="4991" xr:uid="{00000000-0005-0000-0000-000091060000}"/>
    <cellStyle name="Euro 4 25" xfId="858" xr:uid="{00000000-0005-0000-0000-000092060000}"/>
    <cellStyle name="Euro 4 25 2" xfId="4992" xr:uid="{00000000-0005-0000-0000-000093060000}"/>
    <cellStyle name="Euro 4 26" xfId="859" xr:uid="{00000000-0005-0000-0000-000094060000}"/>
    <cellStyle name="Euro 4 26 2" xfId="4993" xr:uid="{00000000-0005-0000-0000-000095060000}"/>
    <cellStyle name="Euro 4 27" xfId="860" xr:uid="{00000000-0005-0000-0000-000096060000}"/>
    <cellStyle name="Euro 4 27 2" xfId="4994" xr:uid="{00000000-0005-0000-0000-000097060000}"/>
    <cellStyle name="Euro 4 28" xfId="861" xr:uid="{00000000-0005-0000-0000-000098060000}"/>
    <cellStyle name="Euro 4 28 2" xfId="4995" xr:uid="{00000000-0005-0000-0000-000099060000}"/>
    <cellStyle name="Euro 4 29" xfId="4075" xr:uid="{00000000-0005-0000-0000-00009A060000}"/>
    <cellStyle name="Euro 4 3" xfId="862" xr:uid="{00000000-0005-0000-0000-00009B060000}"/>
    <cellStyle name="Euro 4 3 2" xfId="4108" xr:uid="{00000000-0005-0000-0000-00009C060000}"/>
    <cellStyle name="Euro 4 4" xfId="863" xr:uid="{00000000-0005-0000-0000-00009D060000}"/>
    <cellStyle name="Euro 4 4 2" xfId="4996" xr:uid="{00000000-0005-0000-0000-00009E060000}"/>
    <cellStyle name="Euro 4 5" xfId="864" xr:uid="{00000000-0005-0000-0000-00009F060000}"/>
    <cellStyle name="Euro 4 5 2" xfId="4997" xr:uid="{00000000-0005-0000-0000-0000A0060000}"/>
    <cellStyle name="Euro 4 6" xfId="865" xr:uid="{00000000-0005-0000-0000-0000A1060000}"/>
    <cellStyle name="Euro 4 6 2" xfId="4998" xr:uid="{00000000-0005-0000-0000-0000A2060000}"/>
    <cellStyle name="Euro 4 7" xfId="866" xr:uid="{00000000-0005-0000-0000-0000A3060000}"/>
    <cellStyle name="Euro 4 7 2" xfId="4999" xr:uid="{00000000-0005-0000-0000-0000A4060000}"/>
    <cellStyle name="Euro 4 8" xfId="867" xr:uid="{00000000-0005-0000-0000-0000A5060000}"/>
    <cellStyle name="Euro 4 8 2" xfId="5000" xr:uid="{00000000-0005-0000-0000-0000A6060000}"/>
    <cellStyle name="Euro 4 9" xfId="868" xr:uid="{00000000-0005-0000-0000-0000A7060000}"/>
    <cellStyle name="Euro 4 9 2" xfId="5001" xr:uid="{00000000-0005-0000-0000-0000A8060000}"/>
    <cellStyle name="Euro 5" xfId="869" xr:uid="{00000000-0005-0000-0000-0000A9060000}"/>
    <cellStyle name="Euro 5 10" xfId="870" xr:uid="{00000000-0005-0000-0000-0000AA060000}"/>
    <cellStyle name="Euro 5 10 2" xfId="5002" xr:uid="{00000000-0005-0000-0000-0000AB060000}"/>
    <cellStyle name="Euro 5 11" xfId="871" xr:uid="{00000000-0005-0000-0000-0000AC060000}"/>
    <cellStyle name="Euro 5 11 2" xfId="5003" xr:uid="{00000000-0005-0000-0000-0000AD060000}"/>
    <cellStyle name="Euro 5 12" xfId="872" xr:uid="{00000000-0005-0000-0000-0000AE060000}"/>
    <cellStyle name="Euro 5 12 2" xfId="5004" xr:uid="{00000000-0005-0000-0000-0000AF060000}"/>
    <cellStyle name="Euro 5 13" xfId="873" xr:uid="{00000000-0005-0000-0000-0000B0060000}"/>
    <cellStyle name="Euro 5 13 2" xfId="5005" xr:uid="{00000000-0005-0000-0000-0000B1060000}"/>
    <cellStyle name="Euro 5 14" xfId="874" xr:uid="{00000000-0005-0000-0000-0000B2060000}"/>
    <cellStyle name="Euro 5 14 2" xfId="5006" xr:uid="{00000000-0005-0000-0000-0000B3060000}"/>
    <cellStyle name="Euro 5 15" xfId="875" xr:uid="{00000000-0005-0000-0000-0000B4060000}"/>
    <cellStyle name="Euro 5 15 2" xfId="5007" xr:uid="{00000000-0005-0000-0000-0000B5060000}"/>
    <cellStyle name="Euro 5 16" xfId="876" xr:uid="{00000000-0005-0000-0000-0000B6060000}"/>
    <cellStyle name="Euro 5 16 2" xfId="5008" xr:uid="{00000000-0005-0000-0000-0000B7060000}"/>
    <cellStyle name="Euro 5 17" xfId="877" xr:uid="{00000000-0005-0000-0000-0000B8060000}"/>
    <cellStyle name="Euro 5 17 2" xfId="5009" xr:uid="{00000000-0005-0000-0000-0000B9060000}"/>
    <cellStyle name="Euro 5 18" xfId="878" xr:uid="{00000000-0005-0000-0000-0000BA060000}"/>
    <cellStyle name="Euro 5 18 2" xfId="5010" xr:uid="{00000000-0005-0000-0000-0000BB060000}"/>
    <cellStyle name="Euro 5 19" xfId="879" xr:uid="{00000000-0005-0000-0000-0000BC060000}"/>
    <cellStyle name="Euro 5 19 2" xfId="5011" xr:uid="{00000000-0005-0000-0000-0000BD060000}"/>
    <cellStyle name="Euro 5 2" xfId="880" xr:uid="{00000000-0005-0000-0000-0000BE060000}"/>
    <cellStyle name="Euro 5 2 2" xfId="4151" xr:uid="{00000000-0005-0000-0000-0000BF060000}"/>
    <cellStyle name="Euro 5 20" xfId="881" xr:uid="{00000000-0005-0000-0000-0000C0060000}"/>
    <cellStyle name="Euro 5 20 2" xfId="5012" xr:uid="{00000000-0005-0000-0000-0000C1060000}"/>
    <cellStyle name="Euro 5 21" xfId="882" xr:uid="{00000000-0005-0000-0000-0000C2060000}"/>
    <cellStyle name="Euro 5 21 2" xfId="5013" xr:uid="{00000000-0005-0000-0000-0000C3060000}"/>
    <cellStyle name="Euro 5 22" xfId="883" xr:uid="{00000000-0005-0000-0000-0000C4060000}"/>
    <cellStyle name="Euro 5 22 2" xfId="5014" xr:uid="{00000000-0005-0000-0000-0000C5060000}"/>
    <cellStyle name="Euro 5 23" xfId="884" xr:uid="{00000000-0005-0000-0000-0000C6060000}"/>
    <cellStyle name="Euro 5 23 2" xfId="5015" xr:uid="{00000000-0005-0000-0000-0000C7060000}"/>
    <cellStyle name="Euro 5 24" xfId="885" xr:uid="{00000000-0005-0000-0000-0000C8060000}"/>
    <cellStyle name="Euro 5 24 2" xfId="5016" xr:uid="{00000000-0005-0000-0000-0000C9060000}"/>
    <cellStyle name="Euro 5 25" xfId="886" xr:uid="{00000000-0005-0000-0000-0000CA060000}"/>
    <cellStyle name="Euro 5 25 2" xfId="5017" xr:uid="{00000000-0005-0000-0000-0000CB060000}"/>
    <cellStyle name="Euro 5 26" xfId="887" xr:uid="{00000000-0005-0000-0000-0000CC060000}"/>
    <cellStyle name="Euro 5 26 2" xfId="5018" xr:uid="{00000000-0005-0000-0000-0000CD060000}"/>
    <cellStyle name="Euro 5 27" xfId="888" xr:uid="{00000000-0005-0000-0000-0000CE060000}"/>
    <cellStyle name="Euro 5 27 2" xfId="5019" xr:uid="{00000000-0005-0000-0000-0000CF060000}"/>
    <cellStyle name="Euro 5 28" xfId="889" xr:uid="{00000000-0005-0000-0000-0000D0060000}"/>
    <cellStyle name="Euro 5 28 2" xfId="5020" xr:uid="{00000000-0005-0000-0000-0000D1060000}"/>
    <cellStyle name="Euro 5 29" xfId="4078" xr:uid="{00000000-0005-0000-0000-0000D2060000}"/>
    <cellStyle name="Euro 5 3" xfId="890" xr:uid="{00000000-0005-0000-0000-0000D3060000}"/>
    <cellStyle name="Euro 5 3 2" xfId="4111" xr:uid="{00000000-0005-0000-0000-0000D4060000}"/>
    <cellStyle name="Euro 5 4" xfId="891" xr:uid="{00000000-0005-0000-0000-0000D5060000}"/>
    <cellStyle name="Euro 5 4 2" xfId="5021" xr:uid="{00000000-0005-0000-0000-0000D6060000}"/>
    <cellStyle name="Euro 5 5" xfId="892" xr:uid="{00000000-0005-0000-0000-0000D7060000}"/>
    <cellStyle name="Euro 5 5 2" xfId="5022" xr:uid="{00000000-0005-0000-0000-0000D8060000}"/>
    <cellStyle name="Euro 5 6" xfId="893" xr:uid="{00000000-0005-0000-0000-0000D9060000}"/>
    <cellStyle name="Euro 5 6 2" xfId="5023" xr:uid="{00000000-0005-0000-0000-0000DA060000}"/>
    <cellStyle name="Euro 5 7" xfId="894" xr:uid="{00000000-0005-0000-0000-0000DB060000}"/>
    <cellStyle name="Euro 5 7 2" xfId="5024" xr:uid="{00000000-0005-0000-0000-0000DC060000}"/>
    <cellStyle name="Euro 5 8" xfId="895" xr:uid="{00000000-0005-0000-0000-0000DD060000}"/>
    <cellStyle name="Euro 5 8 2" xfId="5025" xr:uid="{00000000-0005-0000-0000-0000DE060000}"/>
    <cellStyle name="Euro 5 9" xfId="896" xr:uid="{00000000-0005-0000-0000-0000DF060000}"/>
    <cellStyle name="Euro 5 9 2" xfId="5026" xr:uid="{00000000-0005-0000-0000-0000E0060000}"/>
    <cellStyle name="Euro 6" xfId="897" xr:uid="{00000000-0005-0000-0000-0000E1060000}"/>
    <cellStyle name="Euro 6 10" xfId="898" xr:uid="{00000000-0005-0000-0000-0000E2060000}"/>
    <cellStyle name="Euro 6 10 2" xfId="5027" xr:uid="{00000000-0005-0000-0000-0000E3060000}"/>
    <cellStyle name="Euro 6 11" xfId="899" xr:uid="{00000000-0005-0000-0000-0000E4060000}"/>
    <cellStyle name="Euro 6 11 2" xfId="5028" xr:uid="{00000000-0005-0000-0000-0000E5060000}"/>
    <cellStyle name="Euro 6 12" xfId="900" xr:uid="{00000000-0005-0000-0000-0000E6060000}"/>
    <cellStyle name="Euro 6 12 2" xfId="5029" xr:uid="{00000000-0005-0000-0000-0000E7060000}"/>
    <cellStyle name="Euro 6 13" xfId="901" xr:uid="{00000000-0005-0000-0000-0000E8060000}"/>
    <cellStyle name="Euro 6 13 2" xfId="5030" xr:uid="{00000000-0005-0000-0000-0000E9060000}"/>
    <cellStyle name="Euro 6 14" xfId="902" xr:uid="{00000000-0005-0000-0000-0000EA060000}"/>
    <cellStyle name="Euro 6 14 2" xfId="5031" xr:uid="{00000000-0005-0000-0000-0000EB060000}"/>
    <cellStyle name="Euro 6 15" xfId="903" xr:uid="{00000000-0005-0000-0000-0000EC060000}"/>
    <cellStyle name="Euro 6 15 2" xfId="5032" xr:uid="{00000000-0005-0000-0000-0000ED060000}"/>
    <cellStyle name="Euro 6 16" xfId="904" xr:uid="{00000000-0005-0000-0000-0000EE060000}"/>
    <cellStyle name="Euro 6 16 2" xfId="5033" xr:uid="{00000000-0005-0000-0000-0000EF060000}"/>
    <cellStyle name="Euro 6 17" xfId="905" xr:uid="{00000000-0005-0000-0000-0000F0060000}"/>
    <cellStyle name="Euro 6 17 2" xfId="5034" xr:uid="{00000000-0005-0000-0000-0000F1060000}"/>
    <cellStyle name="Euro 6 18" xfId="906" xr:uid="{00000000-0005-0000-0000-0000F2060000}"/>
    <cellStyle name="Euro 6 18 2" xfId="5035" xr:uid="{00000000-0005-0000-0000-0000F3060000}"/>
    <cellStyle name="Euro 6 19" xfId="907" xr:uid="{00000000-0005-0000-0000-0000F4060000}"/>
    <cellStyle name="Euro 6 19 2" xfId="5036" xr:uid="{00000000-0005-0000-0000-0000F5060000}"/>
    <cellStyle name="Euro 6 2" xfId="908" xr:uid="{00000000-0005-0000-0000-0000F6060000}"/>
    <cellStyle name="Euro 6 2 2" xfId="4147" xr:uid="{00000000-0005-0000-0000-0000F7060000}"/>
    <cellStyle name="Euro 6 20" xfId="909" xr:uid="{00000000-0005-0000-0000-0000F8060000}"/>
    <cellStyle name="Euro 6 20 2" xfId="5037" xr:uid="{00000000-0005-0000-0000-0000F9060000}"/>
    <cellStyle name="Euro 6 21" xfId="910" xr:uid="{00000000-0005-0000-0000-0000FA060000}"/>
    <cellStyle name="Euro 6 21 2" xfId="5038" xr:uid="{00000000-0005-0000-0000-0000FB060000}"/>
    <cellStyle name="Euro 6 22" xfId="911" xr:uid="{00000000-0005-0000-0000-0000FC060000}"/>
    <cellStyle name="Euro 6 22 2" xfId="5039" xr:uid="{00000000-0005-0000-0000-0000FD060000}"/>
    <cellStyle name="Euro 6 23" xfId="912" xr:uid="{00000000-0005-0000-0000-0000FE060000}"/>
    <cellStyle name="Euro 6 23 2" xfId="5040" xr:uid="{00000000-0005-0000-0000-0000FF060000}"/>
    <cellStyle name="Euro 6 24" xfId="913" xr:uid="{00000000-0005-0000-0000-000000070000}"/>
    <cellStyle name="Euro 6 24 2" xfId="5041" xr:uid="{00000000-0005-0000-0000-000001070000}"/>
    <cellStyle name="Euro 6 25" xfId="914" xr:uid="{00000000-0005-0000-0000-000002070000}"/>
    <cellStyle name="Euro 6 25 2" xfId="5042" xr:uid="{00000000-0005-0000-0000-000003070000}"/>
    <cellStyle name="Euro 6 26" xfId="915" xr:uid="{00000000-0005-0000-0000-000004070000}"/>
    <cellStyle name="Euro 6 26 2" xfId="5043" xr:uid="{00000000-0005-0000-0000-000005070000}"/>
    <cellStyle name="Euro 6 27" xfId="916" xr:uid="{00000000-0005-0000-0000-000006070000}"/>
    <cellStyle name="Euro 6 27 2" xfId="5044" xr:uid="{00000000-0005-0000-0000-000007070000}"/>
    <cellStyle name="Euro 6 28" xfId="917" xr:uid="{00000000-0005-0000-0000-000008070000}"/>
    <cellStyle name="Euro 6 28 2" xfId="5045" xr:uid="{00000000-0005-0000-0000-000009070000}"/>
    <cellStyle name="Euro 6 29" xfId="4074" xr:uid="{00000000-0005-0000-0000-00000A070000}"/>
    <cellStyle name="Euro 6 3" xfId="918" xr:uid="{00000000-0005-0000-0000-00000B070000}"/>
    <cellStyle name="Euro 6 3 2" xfId="4107" xr:uid="{00000000-0005-0000-0000-00000C070000}"/>
    <cellStyle name="Euro 6 4" xfId="919" xr:uid="{00000000-0005-0000-0000-00000D070000}"/>
    <cellStyle name="Euro 6 4 2" xfId="5046" xr:uid="{00000000-0005-0000-0000-00000E070000}"/>
    <cellStyle name="Euro 6 5" xfId="920" xr:uid="{00000000-0005-0000-0000-00000F070000}"/>
    <cellStyle name="Euro 6 5 2" xfId="5047" xr:uid="{00000000-0005-0000-0000-000010070000}"/>
    <cellStyle name="Euro 6 6" xfId="921" xr:uid="{00000000-0005-0000-0000-000011070000}"/>
    <cellStyle name="Euro 6 6 2" xfId="5048" xr:uid="{00000000-0005-0000-0000-000012070000}"/>
    <cellStyle name="Euro 6 7" xfId="922" xr:uid="{00000000-0005-0000-0000-000013070000}"/>
    <cellStyle name="Euro 6 7 2" xfId="5049" xr:uid="{00000000-0005-0000-0000-000014070000}"/>
    <cellStyle name="Euro 6 8" xfId="923" xr:uid="{00000000-0005-0000-0000-000015070000}"/>
    <cellStyle name="Euro 6 8 2" xfId="5050" xr:uid="{00000000-0005-0000-0000-000016070000}"/>
    <cellStyle name="Euro 6 9" xfId="924" xr:uid="{00000000-0005-0000-0000-000017070000}"/>
    <cellStyle name="Euro 6 9 2" xfId="5051" xr:uid="{00000000-0005-0000-0000-000018070000}"/>
    <cellStyle name="Euro 7" xfId="925" xr:uid="{00000000-0005-0000-0000-000019070000}"/>
    <cellStyle name="Euro 7 10" xfId="926" xr:uid="{00000000-0005-0000-0000-00001A070000}"/>
    <cellStyle name="Euro 7 10 2" xfId="5052" xr:uid="{00000000-0005-0000-0000-00001B070000}"/>
    <cellStyle name="Euro 7 11" xfId="927" xr:uid="{00000000-0005-0000-0000-00001C070000}"/>
    <cellStyle name="Euro 7 11 2" xfId="5053" xr:uid="{00000000-0005-0000-0000-00001D070000}"/>
    <cellStyle name="Euro 7 12" xfId="928" xr:uid="{00000000-0005-0000-0000-00001E070000}"/>
    <cellStyle name="Euro 7 12 2" xfId="5054" xr:uid="{00000000-0005-0000-0000-00001F070000}"/>
    <cellStyle name="Euro 7 13" xfId="929" xr:uid="{00000000-0005-0000-0000-000020070000}"/>
    <cellStyle name="Euro 7 13 2" xfId="5055" xr:uid="{00000000-0005-0000-0000-000021070000}"/>
    <cellStyle name="Euro 7 14" xfId="930" xr:uid="{00000000-0005-0000-0000-000022070000}"/>
    <cellStyle name="Euro 7 14 2" xfId="5056" xr:uid="{00000000-0005-0000-0000-000023070000}"/>
    <cellStyle name="Euro 7 15" xfId="931" xr:uid="{00000000-0005-0000-0000-000024070000}"/>
    <cellStyle name="Euro 7 15 2" xfId="5057" xr:uid="{00000000-0005-0000-0000-000025070000}"/>
    <cellStyle name="Euro 7 16" xfId="932" xr:uid="{00000000-0005-0000-0000-000026070000}"/>
    <cellStyle name="Euro 7 16 2" xfId="5058" xr:uid="{00000000-0005-0000-0000-000027070000}"/>
    <cellStyle name="Euro 7 17" xfId="933" xr:uid="{00000000-0005-0000-0000-000028070000}"/>
    <cellStyle name="Euro 7 17 2" xfId="5059" xr:uid="{00000000-0005-0000-0000-000029070000}"/>
    <cellStyle name="Euro 7 18" xfId="934" xr:uid="{00000000-0005-0000-0000-00002A070000}"/>
    <cellStyle name="Euro 7 18 2" xfId="5060" xr:uid="{00000000-0005-0000-0000-00002B070000}"/>
    <cellStyle name="Euro 7 19" xfId="935" xr:uid="{00000000-0005-0000-0000-00002C070000}"/>
    <cellStyle name="Euro 7 19 2" xfId="5061" xr:uid="{00000000-0005-0000-0000-00002D070000}"/>
    <cellStyle name="Euro 7 2" xfId="936" xr:uid="{00000000-0005-0000-0000-00002E070000}"/>
    <cellStyle name="Euro 7 2 2" xfId="4149" xr:uid="{00000000-0005-0000-0000-00002F070000}"/>
    <cellStyle name="Euro 7 20" xfId="937" xr:uid="{00000000-0005-0000-0000-000030070000}"/>
    <cellStyle name="Euro 7 20 2" xfId="5062" xr:uid="{00000000-0005-0000-0000-000031070000}"/>
    <cellStyle name="Euro 7 21" xfId="938" xr:uid="{00000000-0005-0000-0000-000032070000}"/>
    <cellStyle name="Euro 7 21 2" xfId="5063" xr:uid="{00000000-0005-0000-0000-000033070000}"/>
    <cellStyle name="Euro 7 22" xfId="939" xr:uid="{00000000-0005-0000-0000-000034070000}"/>
    <cellStyle name="Euro 7 22 2" xfId="5064" xr:uid="{00000000-0005-0000-0000-000035070000}"/>
    <cellStyle name="Euro 7 23" xfId="940" xr:uid="{00000000-0005-0000-0000-000036070000}"/>
    <cellStyle name="Euro 7 23 2" xfId="5065" xr:uid="{00000000-0005-0000-0000-000037070000}"/>
    <cellStyle name="Euro 7 24" xfId="941" xr:uid="{00000000-0005-0000-0000-000038070000}"/>
    <cellStyle name="Euro 7 24 2" xfId="5066" xr:uid="{00000000-0005-0000-0000-000039070000}"/>
    <cellStyle name="Euro 7 25" xfId="942" xr:uid="{00000000-0005-0000-0000-00003A070000}"/>
    <cellStyle name="Euro 7 25 2" xfId="5067" xr:uid="{00000000-0005-0000-0000-00003B070000}"/>
    <cellStyle name="Euro 7 26" xfId="943" xr:uid="{00000000-0005-0000-0000-00003C070000}"/>
    <cellStyle name="Euro 7 26 2" xfId="5068" xr:uid="{00000000-0005-0000-0000-00003D070000}"/>
    <cellStyle name="Euro 7 27" xfId="944" xr:uid="{00000000-0005-0000-0000-00003E070000}"/>
    <cellStyle name="Euro 7 27 2" xfId="5069" xr:uid="{00000000-0005-0000-0000-00003F070000}"/>
    <cellStyle name="Euro 7 28" xfId="945" xr:uid="{00000000-0005-0000-0000-000040070000}"/>
    <cellStyle name="Euro 7 28 2" xfId="5070" xr:uid="{00000000-0005-0000-0000-000041070000}"/>
    <cellStyle name="Euro 7 29" xfId="4076" xr:uid="{00000000-0005-0000-0000-000042070000}"/>
    <cellStyle name="Euro 7 3" xfId="946" xr:uid="{00000000-0005-0000-0000-000043070000}"/>
    <cellStyle name="Euro 7 3 2" xfId="4109" xr:uid="{00000000-0005-0000-0000-000044070000}"/>
    <cellStyle name="Euro 7 4" xfId="947" xr:uid="{00000000-0005-0000-0000-000045070000}"/>
    <cellStyle name="Euro 7 4 2" xfId="5071" xr:uid="{00000000-0005-0000-0000-000046070000}"/>
    <cellStyle name="Euro 7 5" xfId="948" xr:uid="{00000000-0005-0000-0000-000047070000}"/>
    <cellStyle name="Euro 7 5 2" xfId="5072" xr:uid="{00000000-0005-0000-0000-000048070000}"/>
    <cellStyle name="Euro 7 6" xfId="949" xr:uid="{00000000-0005-0000-0000-000049070000}"/>
    <cellStyle name="Euro 7 6 2" xfId="5073" xr:uid="{00000000-0005-0000-0000-00004A070000}"/>
    <cellStyle name="Euro 7 7" xfId="950" xr:uid="{00000000-0005-0000-0000-00004B070000}"/>
    <cellStyle name="Euro 7 7 2" xfId="5074" xr:uid="{00000000-0005-0000-0000-00004C070000}"/>
    <cellStyle name="Euro 7 8" xfId="951" xr:uid="{00000000-0005-0000-0000-00004D070000}"/>
    <cellStyle name="Euro 7 8 2" xfId="5075" xr:uid="{00000000-0005-0000-0000-00004E070000}"/>
    <cellStyle name="Euro 7 9" xfId="952" xr:uid="{00000000-0005-0000-0000-00004F070000}"/>
    <cellStyle name="Euro 7 9 2" xfId="5076" xr:uid="{00000000-0005-0000-0000-000050070000}"/>
    <cellStyle name="Euro 8" xfId="953" xr:uid="{00000000-0005-0000-0000-000051070000}"/>
    <cellStyle name="Euro 8 10" xfId="954" xr:uid="{00000000-0005-0000-0000-000052070000}"/>
    <cellStyle name="Euro 8 10 2" xfId="5077" xr:uid="{00000000-0005-0000-0000-000053070000}"/>
    <cellStyle name="Euro 8 11" xfId="955" xr:uid="{00000000-0005-0000-0000-000054070000}"/>
    <cellStyle name="Euro 8 11 2" xfId="5078" xr:uid="{00000000-0005-0000-0000-000055070000}"/>
    <cellStyle name="Euro 8 12" xfId="956" xr:uid="{00000000-0005-0000-0000-000056070000}"/>
    <cellStyle name="Euro 8 12 2" xfId="5079" xr:uid="{00000000-0005-0000-0000-000057070000}"/>
    <cellStyle name="Euro 8 13" xfId="957" xr:uid="{00000000-0005-0000-0000-000058070000}"/>
    <cellStyle name="Euro 8 13 2" xfId="5080" xr:uid="{00000000-0005-0000-0000-000059070000}"/>
    <cellStyle name="Euro 8 14" xfId="958" xr:uid="{00000000-0005-0000-0000-00005A070000}"/>
    <cellStyle name="Euro 8 14 2" xfId="5081" xr:uid="{00000000-0005-0000-0000-00005B070000}"/>
    <cellStyle name="Euro 8 15" xfId="959" xr:uid="{00000000-0005-0000-0000-00005C070000}"/>
    <cellStyle name="Euro 8 15 2" xfId="5082" xr:uid="{00000000-0005-0000-0000-00005D070000}"/>
    <cellStyle name="Euro 8 16" xfId="960" xr:uid="{00000000-0005-0000-0000-00005E070000}"/>
    <cellStyle name="Euro 8 16 2" xfId="5083" xr:uid="{00000000-0005-0000-0000-00005F070000}"/>
    <cellStyle name="Euro 8 17" xfId="961" xr:uid="{00000000-0005-0000-0000-000060070000}"/>
    <cellStyle name="Euro 8 17 2" xfId="5084" xr:uid="{00000000-0005-0000-0000-000061070000}"/>
    <cellStyle name="Euro 8 18" xfId="962" xr:uid="{00000000-0005-0000-0000-000062070000}"/>
    <cellStyle name="Euro 8 18 2" xfId="5085" xr:uid="{00000000-0005-0000-0000-000063070000}"/>
    <cellStyle name="Euro 8 19" xfId="963" xr:uid="{00000000-0005-0000-0000-000064070000}"/>
    <cellStyle name="Euro 8 19 2" xfId="5086" xr:uid="{00000000-0005-0000-0000-000065070000}"/>
    <cellStyle name="Euro 8 2" xfId="964" xr:uid="{00000000-0005-0000-0000-000066070000}"/>
    <cellStyle name="Euro 8 2 2" xfId="4158" xr:uid="{00000000-0005-0000-0000-000067070000}"/>
    <cellStyle name="Euro 8 20" xfId="965" xr:uid="{00000000-0005-0000-0000-000068070000}"/>
    <cellStyle name="Euro 8 20 2" xfId="5087" xr:uid="{00000000-0005-0000-0000-000069070000}"/>
    <cellStyle name="Euro 8 21" xfId="966" xr:uid="{00000000-0005-0000-0000-00006A070000}"/>
    <cellStyle name="Euro 8 21 2" xfId="5088" xr:uid="{00000000-0005-0000-0000-00006B070000}"/>
    <cellStyle name="Euro 8 22" xfId="967" xr:uid="{00000000-0005-0000-0000-00006C070000}"/>
    <cellStyle name="Euro 8 22 2" xfId="5089" xr:uid="{00000000-0005-0000-0000-00006D070000}"/>
    <cellStyle name="Euro 8 23" xfId="968" xr:uid="{00000000-0005-0000-0000-00006E070000}"/>
    <cellStyle name="Euro 8 23 2" xfId="5090" xr:uid="{00000000-0005-0000-0000-00006F070000}"/>
    <cellStyle name="Euro 8 24" xfId="969" xr:uid="{00000000-0005-0000-0000-000070070000}"/>
    <cellStyle name="Euro 8 24 2" xfId="5091" xr:uid="{00000000-0005-0000-0000-000071070000}"/>
    <cellStyle name="Euro 8 25" xfId="970" xr:uid="{00000000-0005-0000-0000-000072070000}"/>
    <cellStyle name="Euro 8 25 2" xfId="5092" xr:uid="{00000000-0005-0000-0000-000073070000}"/>
    <cellStyle name="Euro 8 26" xfId="971" xr:uid="{00000000-0005-0000-0000-000074070000}"/>
    <cellStyle name="Euro 8 26 2" xfId="5093" xr:uid="{00000000-0005-0000-0000-000075070000}"/>
    <cellStyle name="Euro 8 27" xfId="972" xr:uid="{00000000-0005-0000-0000-000076070000}"/>
    <cellStyle name="Euro 8 27 2" xfId="5094" xr:uid="{00000000-0005-0000-0000-000077070000}"/>
    <cellStyle name="Euro 8 28" xfId="973" xr:uid="{00000000-0005-0000-0000-000078070000}"/>
    <cellStyle name="Euro 8 28 2" xfId="5095" xr:uid="{00000000-0005-0000-0000-000079070000}"/>
    <cellStyle name="Euro 8 29" xfId="4085" xr:uid="{00000000-0005-0000-0000-00007A070000}"/>
    <cellStyle name="Euro 8 3" xfId="974" xr:uid="{00000000-0005-0000-0000-00007B070000}"/>
    <cellStyle name="Euro 8 3 2" xfId="4118" xr:uid="{00000000-0005-0000-0000-00007C070000}"/>
    <cellStyle name="Euro 8 4" xfId="975" xr:uid="{00000000-0005-0000-0000-00007D070000}"/>
    <cellStyle name="Euro 8 4 2" xfId="5096" xr:uid="{00000000-0005-0000-0000-00007E070000}"/>
    <cellStyle name="Euro 8 5" xfId="976" xr:uid="{00000000-0005-0000-0000-00007F070000}"/>
    <cellStyle name="Euro 8 5 2" xfId="5097" xr:uid="{00000000-0005-0000-0000-000080070000}"/>
    <cellStyle name="Euro 8 6" xfId="977" xr:uid="{00000000-0005-0000-0000-000081070000}"/>
    <cellStyle name="Euro 8 6 2" xfId="5098" xr:uid="{00000000-0005-0000-0000-000082070000}"/>
    <cellStyle name="Euro 8 7" xfId="978" xr:uid="{00000000-0005-0000-0000-000083070000}"/>
    <cellStyle name="Euro 8 7 2" xfId="5099" xr:uid="{00000000-0005-0000-0000-000084070000}"/>
    <cellStyle name="Euro 8 8" xfId="979" xr:uid="{00000000-0005-0000-0000-000085070000}"/>
    <cellStyle name="Euro 8 8 2" xfId="5100" xr:uid="{00000000-0005-0000-0000-000086070000}"/>
    <cellStyle name="Euro 8 9" xfId="980" xr:uid="{00000000-0005-0000-0000-000087070000}"/>
    <cellStyle name="Euro 8 9 2" xfId="5101" xr:uid="{00000000-0005-0000-0000-000088070000}"/>
    <cellStyle name="Euro 9" xfId="981" xr:uid="{00000000-0005-0000-0000-000089070000}"/>
    <cellStyle name="Euro 9 10" xfId="982" xr:uid="{00000000-0005-0000-0000-00008A070000}"/>
    <cellStyle name="Euro 9 10 2" xfId="5102" xr:uid="{00000000-0005-0000-0000-00008B070000}"/>
    <cellStyle name="Euro 9 11" xfId="983" xr:uid="{00000000-0005-0000-0000-00008C070000}"/>
    <cellStyle name="Euro 9 11 2" xfId="5103" xr:uid="{00000000-0005-0000-0000-00008D070000}"/>
    <cellStyle name="Euro 9 12" xfId="984" xr:uid="{00000000-0005-0000-0000-00008E070000}"/>
    <cellStyle name="Euro 9 12 2" xfId="5104" xr:uid="{00000000-0005-0000-0000-00008F070000}"/>
    <cellStyle name="Euro 9 13" xfId="985" xr:uid="{00000000-0005-0000-0000-000090070000}"/>
    <cellStyle name="Euro 9 13 2" xfId="5105" xr:uid="{00000000-0005-0000-0000-000091070000}"/>
    <cellStyle name="Euro 9 14" xfId="986" xr:uid="{00000000-0005-0000-0000-000092070000}"/>
    <cellStyle name="Euro 9 14 2" xfId="5106" xr:uid="{00000000-0005-0000-0000-000093070000}"/>
    <cellStyle name="Euro 9 15" xfId="987" xr:uid="{00000000-0005-0000-0000-000094070000}"/>
    <cellStyle name="Euro 9 15 2" xfId="5107" xr:uid="{00000000-0005-0000-0000-000095070000}"/>
    <cellStyle name="Euro 9 16" xfId="988" xr:uid="{00000000-0005-0000-0000-000096070000}"/>
    <cellStyle name="Euro 9 16 2" xfId="5108" xr:uid="{00000000-0005-0000-0000-000097070000}"/>
    <cellStyle name="Euro 9 17" xfId="989" xr:uid="{00000000-0005-0000-0000-000098070000}"/>
    <cellStyle name="Euro 9 17 2" xfId="5109" xr:uid="{00000000-0005-0000-0000-000099070000}"/>
    <cellStyle name="Euro 9 18" xfId="990" xr:uid="{00000000-0005-0000-0000-00009A070000}"/>
    <cellStyle name="Euro 9 18 2" xfId="5110" xr:uid="{00000000-0005-0000-0000-00009B070000}"/>
    <cellStyle name="Euro 9 19" xfId="991" xr:uid="{00000000-0005-0000-0000-00009C070000}"/>
    <cellStyle name="Euro 9 19 2" xfId="5111" xr:uid="{00000000-0005-0000-0000-00009D070000}"/>
    <cellStyle name="Euro 9 2" xfId="992" xr:uid="{00000000-0005-0000-0000-00009E070000}"/>
    <cellStyle name="Euro 9 2 2" xfId="4150" xr:uid="{00000000-0005-0000-0000-00009F070000}"/>
    <cellStyle name="Euro 9 20" xfId="993" xr:uid="{00000000-0005-0000-0000-0000A0070000}"/>
    <cellStyle name="Euro 9 20 2" xfId="5112" xr:uid="{00000000-0005-0000-0000-0000A1070000}"/>
    <cellStyle name="Euro 9 21" xfId="994" xr:uid="{00000000-0005-0000-0000-0000A2070000}"/>
    <cellStyle name="Euro 9 21 2" xfId="5113" xr:uid="{00000000-0005-0000-0000-0000A3070000}"/>
    <cellStyle name="Euro 9 22" xfId="995" xr:uid="{00000000-0005-0000-0000-0000A4070000}"/>
    <cellStyle name="Euro 9 22 2" xfId="5114" xr:uid="{00000000-0005-0000-0000-0000A5070000}"/>
    <cellStyle name="Euro 9 23" xfId="996" xr:uid="{00000000-0005-0000-0000-0000A6070000}"/>
    <cellStyle name="Euro 9 23 2" xfId="5115" xr:uid="{00000000-0005-0000-0000-0000A7070000}"/>
    <cellStyle name="Euro 9 24" xfId="997" xr:uid="{00000000-0005-0000-0000-0000A8070000}"/>
    <cellStyle name="Euro 9 24 2" xfId="5116" xr:uid="{00000000-0005-0000-0000-0000A9070000}"/>
    <cellStyle name="Euro 9 25" xfId="998" xr:uid="{00000000-0005-0000-0000-0000AA070000}"/>
    <cellStyle name="Euro 9 25 2" xfId="5117" xr:uid="{00000000-0005-0000-0000-0000AB070000}"/>
    <cellStyle name="Euro 9 26" xfId="999" xr:uid="{00000000-0005-0000-0000-0000AC070000}"/>
    <cellStyle name="Euro 9 26 2" xfId="5118" xr:uid="{00000000-0005-0000-0000-0000AD070000}"/>
    <cellStyle name="Euro 9 27" xfId="1000" xr:uid="{00000000-0005-0000-0000-0000AE070000}"/>
    <cellStyle name="Euro 9 27 2" xfId="5119" xr:uid="{00000000-0005-0000-0000-0000AF070000}"/>
    <cellStyle name="Euro 9 28" xfId="1001" xr:uid="{00000000-0005-0000-0000-0000B0070000}"/>
    <cellStyle name="Euro 9 28 2" xfId="5120" xr:uid="{00000000-0005-0000-0000-0000B1070000}"/>
    <cellStyle name="Euro 9 29" xfId="4077" xr:uid="{00000000-0005-0000-0000-0000B2070000}"/>
    <cellStyle name="Euro 9 3" xfId="1002" xr:uid="{00000000-0005-0000-0000-0000B3070000}"/>
    <cellStyle name="Euro 9 3 2" xfId="4110" xr:uid="{00000000-0005-0000-0000-0000B4070000}"/>
    <cellStyle name="Euro 9 4" xfId="1003" xr:uid="{00000000-0005-0000-0000-0000B5070000}"/>
    <cellStyle name="Euro 9 4 2" xfId="5121" xr:uid="{00000000-0005-0000-0000-0000B6070000}"/>
    <cellStyle name="Euro 9 5" xfId="1004" xr:uid="{00000000-0005-0000-0000-0000B7070000}"/>
    <cellStyle name="Euro 9 5 2" xfId="5122" xr:uid="{00000000-0005-0000-0000-0000B8070000}"/>
    <cellStyle name="Euro 9 6" xfId="1005" xr:uid="{00000000-0005-0000-0000-0000B9070000}"/>
    <cellStyle name="Euro 9 6 2" xfId="5123" xr:uid="{00000000-0005-0000-0000-0000BA070000}"/>
    <cellStyle name="Euro 9 7" xfId="1006" xr:uid="{00000000-0005-0000-0000-0000BB070000}"/>
    <cellStyle name="Euro 9 7 2" xfId="5124" xr:uid="{00000000-0005-0000-0000-0000BC070000}"/>
    <cellStyle name="Euro 9 8" xfId="1007" xr:uid="{00000000-0005-0000-0000-0000BD070000}"/>
    <cellStyle name="Euro 9 8 2" xfId="5125" xr:uid="{00000000-0005-0000-0000-0000BE070000}"/>
    <cellStyle name="Euro 9 9" xfId="1008" xr:uid="{00000000-0005-0000-0000-0000BF070000}"/>
    <cellStyle name="Euro 9 9 2" xfId="5126" xr:uid="{00000000-0005-0000-0000-0000C0070000}"/>
    <cellStyle name="Excel.Chart" xfId="139" xr:uid="{00000000-0005-0000-0000-0000C1070000}"/>
    <cellStyle name="F2" xfId="19" xr:uid="{00000000-0005-0000-0000-0000C2070000}"/>
    <cellStyle name="F2 2" xfId="86" xr:uid="{00000000-0005-0000-0000-0000C3070000}"/>
    <cellStyle name="F2 3" xfId="144" xr:uid="{00000000-0005-0000-0000-0000C4070000}"/>
    <cellStyle name="F3" xfId="20" xr:uid="{00000000-0005-0000-0000-0000C5070000}"/>
    <cellStyle name="F3 2" xfId="87" xr:uid="{00000000-0005-0000-0000-0000C6070000}"/>
    <cellStyle name="F3 3" xfId="145" xr:uid="{00000000-0005-0000-0000-0000C7070000}"/>
    <cellStyle name="F4" xfId="21" xr:uid="{00000000-0005-0000-0000-0000C8070000}"/>
    <cellStyle name="F4 2" xfId="88" xr:uid="{00000000-0005-0000-0000-0000C9070000}"/>
    <cellStyle name="F4 3" xfId="146" xr:uid="{00000000-0005-0000-0000-0000CA070000}"/>
    <cellStyle name="F5" xfId="22" xr:uid="{00000000-0005-0000-0000-0000CB070000}"/>
    <cellStyle name="F5 2" xfId="89" xr:uid="{00000000-0005-0000-0000-0000CC070000}"/>
    <cellStyle name="F5 3" xfId="147" xr:uid="{00000000-0005-0000-0000-0000CD070000}"/>
    <cellStyle name="F6" xfId="23" xr:uid="{00000000-0005-0000-0000-0000CE070000}"/>
    <cellStyle name="F6 2" xfId="90" xr:uid="{00000000-0005-0000-0000-0000CF070000}"/>
    <cellStyle name="F6 3" xfId="148" xr:uid="{00000000-0005-0000-0000-0000D0070000}"/>
    <cellStyle name="F7" xfId="24" xr:uid="{00000000-0005-0000-0000-0000D1070000}"/>
    <cellStyle name="F7 2" xfId="91" xr:uid="{00000000-0005-0000-0000-0000D2070000}"/>
    <cellStyle name="F7 3" xfId="149" xr:uid="{00000000-0005-0000-0000-0000D3070000}"/>
    <cellStyle name="F8" xfId="25" xr:uid="{00000000-0005-0000-0000-0000D4070000}"/>
    <cellStyle name="F8 2" xfId="92" xr:uid="{00000000-0005-0000-0000-0000D5070000}"/>
    <cellStyle name="F8 3" xfId="150" xr:uid="{00000000-0005-0000-0000-0000D6070000}"/>
    <cellStyle name="Fecha" xfId="1009" xr:uid="{00000000-0005-0000-0000-0000D7070000}"/>
    <cellStyle name="Fijo" xfId="75" xr:uid="{00000000-0005-0000-0000-0000D8070000}"/>
    <cellStyle name="Fijo 2" xfId="93" xr:uid="{00000000-0005-0000-0000-0000D9070000}"/>
    <cellStyle name="Fijo 3" xfId="1010" xr:uid="{00000000-0005-0000-0000-0000DA070000}"/>
    <cellStyle name="Financiero" xfId="76" xr:uid="{00000000-0005-0000-0000-0000DB070000}"/>
    <cellStyle name="Financiero 2" xfId="94" xr:uid="{00000000-0005-0000-0000-0000DC070000}"/>
    <cellStyle name="Fixed" xfId="9" xr:uid="{00000000-0005-0000-0000-0000DD070000}"/>
    <cellStyle name="Heading1" xfId="10" xr:uid="{00000000-0005-0000-0000-0000DE070000}"/>
    <cellStyle name="Heading2" xfId="11" xr:uid="{00000000-0005-0000-0000-0000DF070000}"/>
    <cellStyle name="Hipervínculo" xfId="12" builtinId="8"/>
    <cellStyle name="Hipervínculo 2" xfId="95" xr:uid="{00000000-0005-0000-0000-0000E1070000}"/>
    <cellStyle name="Hipervínculo 2 2" xfId="4129" xr:uid="{00000000-0005-0000-0000-0000E2070000}"/>
    <cellStyle name="Hipervínculo 2 3" xfId="1011" xr:uid="{00000000-0005-0000-0000-0000E3070000}"/>
    <cellStyle name="Hipervínculo 2 4" xfId="9902" xr:uid="{00000000-0005-0000-0000-0000E4070000}"/>
    <cellStyle name="Hipervínculo 3" xfId="9870" xr:uid="{00000000-0005-0000-0000-0000E5070000}"/>
    <cellStyle name="Hipervínculo 4" xfId="10600" xr:uid="{00000000-0005-0000-0000-0000E6070000}"/>
    <cellStyle name="Hipervínculo 5" xfId="10620" xr:uid="{00000000-0005-0000-0000-0000E7070000}"/>
    <cellStyle name="Hyperlink 2" xfId="9903" xr:uid="{00000000-0005-0000-0000-0000E8070000}"/>
    <cellStyle name="Incorrecto" xfId="36" builtinId="27" customBuiltin="1"/>
    <cellStyle name="Incorrecto 2" xfId="9904" xr:uid="{00000000-0005-0000-0000-0000EA070000}"/>
    <cellStyle name="Millares 10" xfId="1012" xr:uid="{00000000-0005-0000-0000-0000EB070000}"/>
    <cellStyle name="Millares 10 2" xfId="4176" xr:uid="{00000000-0005-0000-0000-0000EC070000}"/>
    <cellStyle name="Millares 10 2 2" xfId="10989" xr:uid="{00000000-0005-0000-0000-0000ED070000}"/>
    <cellStyle name="Millares 10 3" xfId="10743" xr:uid="{00000000-0005-0000-0000-0000EE070000}"/>
    <cellStyle name="Millares 11" xfId="1013" xr:uid="{00000000-0005-0000-0000-0000EF070000}"/>
    <cellStyle name="Millares 11 2" xfId="4294" xr:uid="{00000000-0005-0000-0000-0000F0070000}"/>
    <cellStyle name="Millares 11 2 2" xfId="11103" xr:uid="{00000000-0005-0000-0000-0000F1070000}"/>
    <cellStyle name="Millares 12" xfId="1014" xr:uid="{00000000-0005-0000-0000-0000F2070000}"/>
    <cellStyle name="Millares 12 2" xfId="4293" xr:uid="{00000000-0005-0000-0000-0000F3070000}"/>
    <cellStyle name="Millares 12 2 2" xfId="11102" xr:uid="{00000000-0005-0000-0000-0000F4070000}"/>
    <cellStyle name="Millares 13" xfId="1015" xr:uid="{00000000-0005-0000-0000-0000F5070000}"/>
    <cellStyle name="Millares 13 2" xfId="4295" xr:uid="{00000000-0005-0000-0000-0000F6070000}"/>
    <cellStyle name="Millares 13 2 2" xfId="11104" xr:uid="{00000000-0005-0000-0000-0000F7070000}"/>
    <cellStyle name="Millares 14" xfId="1016" xr:uid="{00000000-0005-0000-0000-0000F8070000}"/>
    <cellStyle name="Millares 14 2" xfId="4311" xr:uid="{00000000-0005-0000-0000-0000F9070000}"/>
    <cellStyle name="Millares 14 2 2" xfId="11120" xr:uid="{00000000-0005-0000-0000-0000FA070000}"/>
    <cellStyle name="Millares 15" xfId="1017" xr:uid="{00000000-0005-0000-0000-0000FB070000}"/>
    <cellStyle name="Millares 15 2" xfId="4309" xr:uid="{00000000-0005-0000-0000-0000FC070000}"/>
    <cellStyle name="Millares 15 2 2" xfId="11118" xr:uid="{00000000-0005-0000-0000-0000FD070000}"/>
    <cellStyle name="Millares 15 3" xfId="9942" xr:uid="{00000000-0005-0000-0000-0000FE070000}"/>
    <cellStyle name="Millares 15 3 2" xfId="11678" xr:uid="{00000000-0005-0000-0000-0000FF070000}"/>
    <cellStyle name="Millares 15 4" xfId="10744" xr:uid="{00000000-0005-0000-0000-000000080000}"/>
    <cellStyle name="Millares 16" xfId="1018" xr:uid="{00000000-0005-0000-0000-000001080000}"/>
    <cellStyle name="Millares 16 2" xfId="4307" xr:uid="{00000000-0005-0000-0000-000002080000}"/>
    <cellStyle name="Millares 16 2 2" xfId="11116" xr:uid="{00000000-0005-0000-0000-000003080000}"/>
    <cellStyle name="Millares 16 3" xfId="9943" xr:uid="{00000000-0005-0000-0000-000004080000}"/>
    <cellStyle name="Millares 16 3 2" xfId="11679" xr:uid="{00000000-0005-0000-0000-000005080000}"/>
    <cellStyle name="Millares 16 4" xfId="10745" xr:uid="{00000000-0005-0000-0000-000006080000}"/>
    <cellStyle name="Millares 17" xfId="1019" xr:uid="{00000000-0005-0000-0000-000007080000}"/>
    <cellStyle name="Millares 17 2" xfId="4312" xr:uid="{00000000-0005-0000-0000-000008080000}"/>
    <cellStyle name="Millares 17 2 2" xfId="11121" xr:uid="{00000000-0005-0000-0000-000009080000}"/>
    <cellStyle name="Millares 17 3" xfId="9944" xr:uid="{00000000-0005-0000-0000-00000A080000}"/>
    <cellStyle name="Millares 17 3 2" xfId="11680" xr:uid="{00000000-0005-0000-0000-00000B080000}"/>
    <cellStyle name="Millares 17 4" xfId="10746" xr:uid="{00000000-0005-0000-0000-00000C080000}"/>
    <cellStyle name="Millares 18" xfId="4313" xr:uid="{00000000-0005-0000-0000-00000D080000}"/>
    <cellStyle name="Millares 18 2" xfId="11122" xr:uid="{00000000-0005-0000-0000-00000E080000}"/>
    <cellStyle name="Millares 19" xfId="4316" xr:uid="{00000000-0005-0000-0000-00000F080000}"/>
    <cellStyle name="Millares 19 2" xfId="11124" xr:uid="{00000000-0005-0000-0000-000010080000}"/>
    <cellStyle name="Millares 2" xfId="26" xr:uid="{00000000-0005-0000-0000-000011080000}"/>
    <cellStyle name="Millares 2 10" xfId="1021" xr:uid="{00000000-0005-0000-0000-000012080000}"/>
    <cellStyle name="Millares 2 10 2" xfId="7591" xr:uid="{00000000-0005-0000-0000-000013080000}"/>
    <cellStyle name="Millares 2 10 2 2" xfId="11258" xr:uid="{00000000-0005-0000-0000-000014080000}"/>
    <cellStyle name="Millares 2 10 3" xfId="10748" xr:uid="{00000000-0005-0000-0000-000015080000}"/>
    <cellStyle name="Millares 2 11" xfId="1022" xr:uid="{00000000-0005-0000-0000-000016080000}"/>
    <cellStyle name="Millares 2 11 2" xfId="7592" xr:uid="{00000000-0005-0000-0000-000017080000}"/>
    <cellStyle name="Millares 2 11 2 2" xfId="11259" xr:uid="{00000000-0005-0000-0000-000018080000}"/>
    <cellStyle name="Millares 2 11 3" xfId="10749" xr:uid="{00000000-0005-0000-0000-000019080000}"/>
    <cellStyle name="Millares 2 12" xfId="1023" xr:uid="{00000000-0005-0000-0000-00001A080000}"/>
    <cellStyle name="Millares 2 12 2" xfId="7593" xr:uid="{00000000-0005-0000-0000-00001B080000}"/>
    <cellStyle name="Millares 2 12 2 2" xfId="11260" xr:uid="{00000000-0005-0000-0000-00001C080000}"/>
    <cellStyle name="Millares 2 12 3" xfId="10750" xr:uid="{00000000-0005-0000-0000-00001D080000}"/>
    <cellStyle name="Millares 2 13" xfId="1024" xr:uid="{00000000-0005-0000-0000-00001E080000}"/>
    <cellStyle name="Millares 2 13 2" xfId="7594" xr:uid="{00000000-0005-0000-0000-00001F080000}"/>
    <cellStyle name="Millares 2 13 2 2" xfId="11261" xr:uid="{00000000-0005-0000-0000-000020080000}"/>
    <cellStyle name="Millares 2 13 3" xfId="10751" xr:uid="{00000000-0005-0000-0000-000021080000}"/>
    <cellStyle name="Millares 2 14" xfId="1025" xr:uid="{00000000-0005-0000-0000-000022080000}"/>
    <cellStyle name="Millares 2 14 2" xfId="7595" xr:uid="{00000000-0005-0000-0000-000023080000}"/>
    <cellStyle name="Millares 2 14 2 2" xfId="11262" xr:uid="{00000000-0005-0000-0000-000024080000}"/>
    <cellStyle name="Millares 2 14 3" xfId="10752" xr:uid="{00000000-0005-0000-0000-000025080000}"/>
    <cellStyle name="Millares 2 15" xfId="1026" xr:uid="{00000000-0005-0000-0000-000026080000}"/>
    <cellStyle name="Millares 2 15 2" xfId="7596" xr:uid="{00000000-0005-0000-0000-000027080000}"/>
    <cellStyle name="Millares 2 15 2 2" xfId="11263" xr:uid="{00000000-0005-0000-0000-000028080000}"/>
    <cellStyle name="Millares 2 15 3" xfId="10753" xr:uid="{00000000-0005-0000-0000-000029080000}"/>
    <cellStyle name="Millares 2 16" xfId="1027" xr:uid="{00000000-0005-0000-0000-00002A080000}"/>
    <cellStyle name="Millares 2 16 2" xfId="7597" xr:uid="{00000000-0005-0000-0000-00002B080000}"/>
    <cellStyle name="Millares 2 16 2 2" xfId="11264" xr:uid="{00000000-0005-0000-0000-00002C080000}"/>
    <cellStyle name="Millares 2 16 3" xfId="10754" xr:uid="{00000000-0005-0000-0000-00002D080000}"/>
    <cellStyle name="Millares 2 17" xfId="1028" xr:uid="{00000000-0005-0000-0000-00002E080000}"/>
    <cellStyle name="Millares 2 17 2" xfId="7598" xr:uid="{00000000-0005-0000-0000-00002F080000}"/>
    <cellStyle name="Millares 2 17 2 2" xfId="11265" xr:uid="{00000000-0005-0000-0000-000030080000}"/>
    <cellStyle name="Millares 2 17 3" xfId="10755" xr:uid="{00000000-0005-0000-0000-000031080000}"/>
    <cellStyle name="Millares 2 18" xfId="1029" xr:uid="{00000000-0005-0000-0000-000032080000}"/>
    <cellStyle name="Millares 2 18 2" xfId="7599" xr:uid="{00000000-0005-0000-0000-000033080000}"/>
    <cellStyle name="Millares 2 18 2 2" xfId="11266" xr:uid="{00000000-0005-0000-0000-000034080000}"/>
    <cellStyle name="Millares 2 18 3" xfId="10756" xr:uid="{00000000-0005-0000-0000-000035080000}"/>
    <cellStyle name="Millares 2 19" xfId="1030" xr:uid="{00000000-0005-0000-0000-000036080000}"/>
    <cellStyle name="Millares 2 19 2" xfId="7600" xr:uid="{00000000-0005-0000-0000-000037080000}"/>
    <cellStyle name="Millares 2 19 2 2" xfId="11267" xr:uid="{00000000-0005-0000-0000-000038080000}"/>
    <cellStyle name="Millares 2 19 3" xfId="10757" xr:uid="{00000000-0005-0000-0000-000039080000}"/>
    <cellStyle name="Millares 2 2" xfId="96" xr:uid="{00000000-0005-0000-0000-00003A080000}"/>
    <cellStyle name="Millares 2 2 10" xfId="1032" xr:uid="{00000000-0005-0000-0000-00003B080000}"/>
    <cellStyle name="Millares 2 2 10 2" xfId="5127" xr:uid="{00000000-0005-0000-0000-00003C080000}"/>
    <cellStyle name="Millares 2 2 10 2 2" xfId="11171" xr:uid="{00000000-0005-0000-0000-00003D080000}"/>
    <cellStyle name="Millares 2 2 10 3" xfId="7601" xr:uid="{00000000-0005-0000-0000-00003E080000}"/>
    <cellStyle name="Millares 2 2 10 3 2" xfId="11268" xr:uid="{00000000-0005-0000-0000-00003F080000}"/>
    <cellStyle name="Millares 2 2 10 4" xfId="10759" xr:uid="{00000000-0005-0000-0000-000040080000}"/>
    <cellStyle name="Millares 2 2 11" xfId="1033" xr:uid="{00000000-0005-0000-0000-000041080000}"/>
    <cellStyle name="Millares 2 2 11 2" xfId="5128" xr:uid="{00000000-0005-0000-0000-000042080000}"/>
    <cellStyle name="Millares 2 2 11 2 2" xfId="11172" xr:uid="{00000000-0005-0000-0000-000043080000}"/>
    <cellStyle name="Millares 2 2 11 3" xfId="7602" xr:uid="{00000000-0005-0000-0000-000044080000}"/>
    <cellStyle name="Millares 2 2 11 3 2" xfId="11269" xr:uid="{00000000-0005-0000-0000-000045080000}"/>
    <cellStyle name="Millares 2 2 11 4" xfId="10760" xr:uid="{00000000-0005-0000-0000-000046080000}"/>
    <cellStyle name="Millares 2 2 12" xfId="1034" xr:uid="{00000000-0005-0000-0000-000047080000}"/>
    <cellStyle name="Millares 2 2 12 2" xfId="5129" xr:uid="{00000000-0005-0000-0000-000048080000}"/>
    <cellStyle name="Millares 2 2 12 2 2" xfId="11173" xr:uid="{00000000-0005-0000-0000-000049080000}"/>
    <cellStyle name="Millares 2 2 12 3" xfId="7603" xr:uid="{00000000-0005-0000-0000-00004A080000}"/>
    <cellStyle name="Millares 2 2 12 3 2" xfId="11270" xr:uid="{00000000-0005-0000-0000-00004B080000}"/>
    <cellStyle name="Millares 2 2 12 4" xfId="10761" xr:uid="{00000000-0005-0000-0000-00004C080000}"/>
    <cellStyle name="Millares 2 2 13" xfId="1035" xr:uid="{00000000-0005-0000-0000-00004D080000}"/>
    <cellStyle name="Millares 2 2 13 2" xfId="5130" xr:uid="{00000000-0005-0000-0000-00004E080000}"/>
    <cellStyle name="Millares 2 2 13 2 2" xfId="11174" xr:uid="{00000000-0005-0000-0000-00004F080000}"/>
    <cellStyle name="Millares 2 2 13 3" xfId="7604" xr:uid="{00000000-0005-0000-0000-000050080000}"/>
    <cellStyle name="Millares 2 2 13 3 2" xfId="11271" xr:uid="{00000000-0005-0000-0000-000051080000}"/>
    <cellStyle name="Millares 2 2 13 4" xfId="10762" xr:uid="{00000000-0005-0000-0000-000052080000}"/>
    <cellStyle name="Millares 2 2 14" xfId="1036" xr:uid="{00000000-0005-0000-0000-000053080000}"/>
    <cellStyle name="Millares 2 2 14 2" xfId="5131" xr:uid="{00000000-0005-0000-0000-000054080000}"/>
    <cellStyle name="Millares 2 2 14 2 2" xfId="11175" xr:uid="{00000000-0005-0000-0000-000055080000}"/>
    <cellStyle name="Millares 2 2 14 3" xfId="7605" xr:uid="{00000000-0005-0000-0000-000056080000}"/>
    <cellStyle name="Millares 2 2 14 3 2" xfId="11272" xr:uid="{00000000-0005-0000-0000-000057080000}"/>
    <cellStyle name="Millares 2 2 14 4" xfId="10763" xr:uid="{00000000-0005-0000-0000-000058080000}"/>
    <cellStyle name="Millares 2 2 15" xfId="1037" xr:uid="{00000000-0005-0000-0000-000059080000}"/>
    <cellStyle name="Millares 2 2 15 2" xfId="5132" xr:uid="{00000000-0005-0000-0000-00005A080000}"/>
    <cellStyle name="Millares 2 2 15 2 2" xfId="11176" xr:uid="{00000000-0005-0000-0000-00005B080000}"/>
    <cellStyle name="Millares 2 2 15 3" xfId="7606" xr:uid="{00000000-0005-0000-0000-00005C080000}"/>
    <cellStyle name="Millares 2 2 15 3 2" xfId="11273" xr:uid="{00000000-0005-0000-0000-00005D080000}"/>
    <cellStyle name="Millares 2 2 15 4" xfId="10764" xr:uid="{00000000-0005-0000-0000-00005E080000}"/>
    <cellStyle name="Millares 2 2 16" xfId="1038" xr:uid="{00000000-0005-0000-0000-00005F080000}"/>
    <cellStyle name="Millares 2 2 16 2" xfId="5133" xr:uid="{00000000-0005-0000-0000-000060080000}"/>
    <cellStyle name="Millares 2 2 16 2 2" xfId="11177" xr:uid="{00000000-0005-0000-0000-000061080000}"/>
    <cellStyle name="Millares 2 2 16 3" xfId="7607" xr:uid="{00000000-0005-0000-0000-000062080000}"/>
    <cellStyle name="Millares 2 2 16 3 2" xfId="11274" xr:uid="{00000000-0005-0000-0000-000063080000}"/>
    <cellStyle name="Millares 2 2 16 4" xfId="10765" xr:uid="{00000000-0005-0000-0000-000064080000}"/>
    <cellStyle name="Millares 2 2 17" xfId="1039" xr:uid="{00000000-0005-0000-0000-000065080000}"/>
    <cellStyle name="Millares 2 2 17 2" xfId="5134" xr:uid="{00000000-0005-0000-0000-000066080000}"/>
    <cellStyle name="Millares 2 2 17 2 2" xfId="11178" xr:uid="{00000000-0005-0000-0000-000067080000}"/>
    <cellStyle name="Millares 2 2 17 3" xfId="7608" xr:uid="{00000000-0005-0000-0000-000068080000}"/>
    <cellStyle name="Millares 2 2 17 3 2" xfId="11275" xr:uid="{00000000-0005-0000-0000-000069080000}"/>
    <cellStyle name="Millares 2 2 17 4" xfId="10766" xr:uid="{00000000-0005-0000-0000-00006A080000}"/>
    <cellStyle name="Millares 2 2 18" xfId="1040" xr:uid="{00000000-0005-0000-0000-00006B080000}"/>
    <cellStyle name="Millares 2 2 18 2" xfId="5135" xr:uid="{00000000-0005-0000-0000-00006C080000}"/>
    <cellStyle name="Millares 2 2 18 2 2" xfId="11179" xr:uid="{00000000-0005-0000-0000-00006D080000}"/>
    <cellStyle name="Millares 2 2 18 3" xfId="7609" xr:uid="{00000000-0005-0000-0000-00006E080000}"/>
    <cellStyle name="Millares 2 2 18 3 2" xfId="11276" xr:uid="{00000000-0005-0000-0000-00006F080000}"/>
    <cellStyle name="Millares 2 2 18 4" xfId="10767" xr:uid="{00000000-0005-0000-0000-000070080000}"/>
    <cellStyle name="Millares 2 2 19" xfId="1041" xr:uid="{00000000-0005-0000-0000-000071080000}"/>
    <cellStyle name="Millares 2 2 19 2" xfId="5136" xr:uid="{00000000-0005-0000-0000-000072080000}"/>
    <cellStyle name="Millares 2 2 19 2 2" xfId="11180" xr:uid="{00000000-0005-0000-0000-000073080000}"/>
    <cellStyle name="Millares 2 2 19 3" xfId="7610" xr:uid="{00000000-0005-0000-0000-000074080000}"/>
    <cellStyle name="Millares 2 2 19 3 2" xfId="11277" xr:uid="{00000000-0005-0000-0000-000075080000}"/>
    <cellStyle name="Millares 2 2 19 4" xfId="10768" xr:uid="{00000000-0005-0000-0000-000076080000}"/>
    <cellStyle name="Millares 2 2 2" xfId="1042" xr:uid="{00000000-0005-0000-0000-000077080000}"/>
    <cellStyle name="Millares 2 2 2 2" xfId="4140" xr:uid="{00000000-0005-0000-0000-000078080000}"/>
    <cellStyle name="Millares 2 2 2 2 2" xfId="4268" xr:uid="{00000000-0005-0000-0000-000079080000}"/>
    <cellStyle name="Millares 2 2 2 2 2 2" xfId="9703" xr:uid="{00000000-0005-0000-0000-00007A080000}"/>
    <cellStyle name="Millares 2 2 2 2 2 2 2" xfId="10404" xr:uid="{00000000-0005-0000-0000-00007B080000}"/>
    <cellStyle name="Millares 2 2 2 2 2 2 2 2" xfId="12139" xr:uid="{00000000-0005-0000-0000-00007C080000}"/>
    <cellStyle name="Millares 2 2 2 2 2 2 3" xfId="11492" xr:uid="{00000000-0005-0000-0000-00007D080000}"/>
    <cellStyle name="Millares 2 2 2 2 2 3" xfId="10107" xr:uid="{00000000-0005-0000-0000-00007E080000}"/>
    <cellStyle name="Millares 2 2 2 2 2 3 2" xfId="11843" xr:uid="{00000000-0005-0000-0000-00007F080000}"/>
    <cellStyle name="Millares 2 2 2 2 2 4" xfId="11079" xr:uid="{00000000-0005-0000-0000-000080080000}"/>
    <cellStyle name="Millares 2 2 2 2 3" xfId="9600" xr:uid="{00000000-0005-0000-0000-000081080000}"/>
    <cellStyle name="Millares 2 2 2 2 3 2" xfId="10302" xr:uid="{00000000-0005-0000-0000-000082080000}"/>
    <cellStyle name="Millares 2 2 2 2 3 2 2" xfId="12037" xr:uid="{00000000-0005-0000-0000-000083080000}"/>
    <cellStyle name="Millares 2 2 2 2 3 3" xfId="11390" xr:uid="{00000000-0005-0000-0000-000084080000}"/>
    <cellStyle name="Millares 2 2 2 2 4" xfId="10005" xr:uid="{00000000-0005-0000-0000-000085080000}"/>
    <cellStyle name="Millares 2 2 2 2 4 2" xfId="11741" xr:uid="{00000000-0005-0000-0000-000086080000}"/>
    <cellStyle name="Millares 2 2 2 2 5" xfId="10967" xr:uid="{00000000-0005-0000-0000-000087080000}"/>
    <cellStyle name="Millares 2 2 2 3" xfId="4217" xr:uid="{00000000-0005-0000-0000-000088080000}"/>
    <cellStyle name="Millares 2 2 2 3 2" xfId="9652" xr:uid="{00000000-0005-0000-0000-000089080000}"/>
    <cellStyle name="Millares 2 2 2 3 2 2" xfId="10353" xr:uid="{00000000-0005-0000-0000-00008A080000}"/>
    <cellStyle name="Millares 2 2 2 3 2 2 2" xfId="12088" xr:uid="{00000000-0005-0000-0000-00008B080000}"/>
    <cellStyle name="Millares 2 2 2 3 2 3" xfId="11441" xr:uid="{00000000-0005-0000-0000-00008C080000}"/>
    <cellStyle name="Millares 2 2 2 3 3" xfId="10056" xr:uid="{00000000-0005-0000-0000-00008D080000}"/>
    <cellStyle name="Millares 2 2 2 3 3 2" xfId="11792" xr:uid="{00000000-0005-0000-0000-00008E080000}"/>
    <cellStyle name="Millares 2 2 2 3 4" xfId="11028" xr:uid="{00000000-0005-0000-0000-00008F080000}"/>
    <cellStyle name="Millares 2 2 2 4" xfId="4321" xr:uid="{00000000-0005-0000-0000-000090080000}"/>
    <cellStyle name="Millares 2 2 2 4 2" xfId="9737" xr:uid="{00000000-0005-0000-0000-000091080000}"/>
    <cellStyle name="Millares 2 2 2 4 2 2" xfId="10436" xr:uid="{00000000-0005-0000-0000-000092080000}"/>
    <cellStyle name="Millares 2 2 2 4 2 2 2" xfId="12171" xr:uid="{00000000-0005-0000-0000-000093080000}"/>
    <cellStyle name="Millares 2 2 2 4 2 3" xfId="11524" xr:uid="{00000000-0005-0000-0000-000094080000}"/>
    <cellStyle name="Millares 2 2 2 4 3" xfId="10139" xr:uid="{00000000-0005-0000-0000-000095080000}"/>
    <cellStyle name="Millares 2 2 2 4 3 2" xfId="11875" xr:uid="{00000000-0005-0000-0000-000096080000}"/>
    <cellStyle name="Millares 2 2 2 4 4" xfId="11128" xr:uid="{00000000-0005-0000-0000-000097080000}"/>
    <cellStyle name="Millares 2 2 2 5" xfId="7611" xr:uid="{00000000-0005-0000-0000-000098080000}"/>
    <cellStyle name="Millares 2 2 2 5 2" xfId="11278" xr:uid="{00000000-0005-0000-0000-000099080000}"/>
    <cellStyle name="Millares 2 2 2 6" xfId="10769" xr:uid="{00000000-0005-0000-0000-00009A080000}"/>
    <cellStyle name="Millares 2 2 20" xfId="1043" xr:uid="{00000000-0005-0000-0000-00009B080000}"/>
    <cellStyle name="Millares 2 2 20 2" xfId="5137" xr:uid="{00000000-0005-0000-0000-00009C080000}"/>
    <cellStyle name="Millares 2 2 20 2 2" xfId="11181" xr:uid="{00000000-0005-0000-0000-00009D080000}"/>
    <cellStyle name="Millares 2 2 20 3" xfId="7612" xr:uid="{00000000-0005-0000-0000-00009E080000}"/>
    <cellStyle name="Millares 2 2 20 3 2" xfId="11279" xr:uid="{00000000-0005-0000-0000-00009F080000}"/>
    <cellStyle name="Millares 2 2 20 4" xfId="10770" xr:uid="{00000000-0005-0000-0000-0000A0080000}"/>
    <cellStyle name="Millares 2 2 21" xfId="1044" xr:uid="{00000000-0005-0000-0000-0000A1080000}"/>
    <cellStyle name="Millares 2 2 21 2" xfId="5138" xr:uid="{00000000-0005-0000-0000-0000A2080000}"/>
    <cellStyle name="Millares 2 2 21 2 2" xfId="11182" xr:uid="{00000000-0005-0000-0000-0000A3080000}"/>
    <cellStyle name="Millares 2 2 21 3" xfId="7613" xr:uid="{00000000-0005-0000-0000-0000A4080000}"/>
    <cellStyle name="Millares 2 2 21 3 2" xfId="11280" xr:uid="{00000000-0005-0000-0000-0000A5080000}"/>
    <cellStyle name="Millares 2 2 21 4" xfId="10771" xr:uid="{00000000-0005-0000-0000-0000A6080000}"/>
    <cellStyle name="Millares 2 2 22" xfId="1045" xr:uid="{00000000-0005-0000-0000-0000A7080000}"/>
    <cellStyle name="Millares 2 2 22 2" xfId="5139" xr:uid="{00000000-0005-0000-0000-0000A8080000}"/>
    <cellStyle name="Millares 2 2 22 2 2" xfId="11183" xr:uid="{00000000-0005-0000-0000-0000A9080000}"/>
    <cellStyle name="Millares 2 2 22 3" xfId="7614" xr:uid="{00000000-0005-0000-0000-0000AA080000}"/>
    <cellStyle name="Millares 2 2 22 3 2" xfId="11281" xr:uid="{00000000-0005-0000-0000-0000AB080000}"/>
    <cellStyle name="Millares 2 2 22 4" xfId="10772" xr:uid="{00000000-0005-0000-0000-0000AC080000}"/>
    <cellStyle name="Millares 2 2 23" xfId="1046" xr:uid="{00000000-0005-0000-0000-0000AD080000}"/>
    <cellStyle name="Millares 2 2 23 2" xfId="5140" xr:uid="{00000000-0005-0000-0000-0000AE080000}"/>
    <cellStyle name="Millares 2 2 23 2 2" xfId="11184" xr:uid="{00000000-0005-0000-0000-0000AF080000}"/>
    <cellStyle name="Millares 2 2 23 3" xfId="7615" xr:uid="{00000000-0005-0000-0000-0000B0080000}"/>
    <cellStyle name="Millares 2 2 23 3 2" xfId="11282" xr:uid="{00000000-0005-0000-0000-0000B1080000}"/>
    <cellStyle name="Millares 2 2 23 4" xfId="10773" xr:uid="{00000000-0005-0000-0000-0000B2080000}"/>
    <cellStyle name="Millares 2 2 24" xfId="1047" xr:uid="{00000000-0005-0000-0000-0000B3080000}"/>
    <cellStyle name="Millares 2 2 24 2" xfId="5141" xr:uid="{00000000-0005-0000-0000-0000B4080000}"/>
    <cellStyle name="Millares 2 2 24 2 2" xfId="11185" xr:uid="{00000000-0005-0000-0000-0000B5080000}"/>
    <cellStyle name="Millares 2 2 24 3" xfId="7616" xr:uid="{00000000-0005-0000-0000-0000B6080000}"/>
    <cellStyle name="Millares 2 2 24 3 2" xfId="11283" xr:uid="{00000000-0005-0000-0000-0000B7080000}"/>
    <cellStyle name="Millares 2 2 24 4" xfId="10774" xr:uid="{00000000-0005-0000-0000-0000B8080000}"/>
    <cellStyle name="Millares 2 2 25" xfId="1048" xr:uid="{00000000-0005-0000-0000-0000B9080000}"/>
    <cellStyle name="Millares 2 2 25 2" xfId="5142" xr:uid="{00000000-0005-0000-0000-0000BA080000}"/>
    <cellStyle name="Millares 2 2 25 2 2" xfId="11186" xr:uid="{00000000-0005-0000-0000-0000BB080000}"/>
    <cellStyle name="Millares 2 2 25 3" xfId="7617" xr:uid="{00000000-0005-0000-0000-0000BC080000}"/>
    <cellStyle name="Millares 2 2 25 3 2" xfId="11284" xr:uid="{00000000-0005-0000-0000-0000BD080000}"/>
    <cellStyle name="Millares 2 2 25 4" xfId="10775" xr:uid="{00000000-0005-0000-0000-0000BE080000}"/>
    <cellStyle name="Millares 2 2 26" xfId="1049" xr:uid="{00000000-0005-0000-0000-0000BF080000}"/>
    <cellStyle name="Millares 2 2 26 2" xfId="5143" xr:uid="{00000000-0005-0000-0000-0000C0080000}"/>
    <cellStyle name="Millares 2 2 26 2 2" xfId="11187" xr:uid="{00000000-0005-0000-0000-0000C1080000}"/>
    <cellStyle name="Millares 2 2 26 3" xfId="7618" xr:uid="{00000000-0005-0000-0000-0000C2080000}"/>
    <cellStyle name="Millares 2 2 26 3 2" xfId="11285" xr:uid="{00000000-0005-0000-0000-0000C3080000}"/>
    <cellStyle name="Millares 2 2 26 4" xfId="10776" xr:uid="{00000000-0005-0000-0000-0000C4080000}"/>
    <cellStyle name="Millares 2 2 27" xfId="1050" xr:uid="{00000000-0005-0000-0000-0000C5080000}"/>
    <cellStyle name="Millares 2 2 27 2" xfId="5144" xr:uid="{00000000-0005-0000-0000-0000C6080000}"/>
    <cellStyle name="Millares 2 2 27 2 2" xfId="11188" xr:uid="{00000000-0005-0000-0000-0000C7080000}"/>
    <cellStyle name="Millares 2 2 27 3" xfId="7619" xr:uid="{00000000-0005-0000-0000-0000C8080000}"/>
    <cellStyle name="Millares 2 2 27 3 2" xfId="11286" xr:uid="{00000000-0005-0000-0000-0000C9080000}"/>
    <cellStyle name="Millares 2 2 27 4" xfId="10777" xr:uid="{00000000-0005-0000-0000-0000CA080000}"/>
    <cellStyle name="Millares 2 2 28" xfId="1051" xr:uid="{00000000-0005-0000-0000-0000CB080000}"/>
    <cellStyle name="Millares 2 2 28 2" xfId="5145" xr:uid="{00000000-0005-0000-0000-0000CC080000}"/>
    <cellStyle name="Millares 2 2 28 2 2" xfId="11189" xr:uid="{00000000-0005-0000-0000-0000CD080000}"/>
    <cellStyle name="Millares 2 2 28 3" xfId="7620" xr:uid="{00000000-0005-0000-0000-0000CE080000}"/>
    <cellStyle name="Millares 2 2 28 3 2" xfId="11287" xr:uid="{00000000-0005-0000-0000-0000CF080000}"/>
    <cellStyle name="Millares 2 2 28 4" xfId="10778" xr:uid="{00000000-0005-0000-0000-0000D0080000}"/>
    <cellStyle name="Millares 2 2 29" xfId="1052" xr:uid="{00000000-0005-0000-0000-0000D1080000}"/>
    <cellStyle name="Millares 2 2 29 2" xfId="5146" xr:uid="{00000000-0005-0000-0000-0000D2080000}"/>
    <cellStyle name="Millares 2 2 29 2 2" xfId="11190" xr:uid="{00000000-0005-0000-0000-0000D3080000}"/>
    <cellStyle name="Millares 2 2 29 3" xfId="7621" xr:uid="{00000000-0005-0000-0000-0000D4080000}"/>
    <cellStyle name="Millares 2 2 29 3 2" xfId="11288" xr:uid="{00000000-0005-0000-0000-0000D5080000}"/>
    <cellStyle name="Millares 2 2 29 4" xfId="10779" xr:uid="{00000000-0005-0000-0000-0000D6080000}"/>
    <cellStyle name="Millares 2 2 3" xfId="1053" xr:uid="{00000000-0005-0000-0000-0000D7080000}"/>
    <cellStyle name="Millares 2 2 3 2" xfId="4100" xr:uid="{00000000-0005-0000-0000-0000D8080000}"/>
    <cellStyle name="Millares 2 2 3 2 2" xfId="4250" xr:uid="{00000000-0005-0000-0000-0000D9080000}"/>
    <cellStyle name="Millares 2 2 3 2 2 2" xfId="9685" xr:uid="{00000000-0005-0000-0000-0000DA080000}"/>
    <cellStyle name="Millares 2 2 3 2 2 2 2" xfId="10386" xr:uid="{00000000-0005-0000-0000-0000DB080000}"/>
    <cellStyle name="Millares 2 2 3 2 2 2 2 2" xfId="12121" xr:uid="{00000000-0005-0000-0000-0000DC080000}"/>
    <cellStyle name="Millares 2 2 3 2 2 2 3" xfId="11474" xr:uid="{00000000-0005-0000-0000-0000DD080000}"/>
    <cellStyle name="Millares 2 2 3 2 2 3" xfId="10089" xr:uid="{00000000-0005-0000-0000-0000DE080000}"/>
    <cellStyle name="Millares 2 2 3 2 2 3 2" xfId="11825" xr:uid="{00000000-0005-0000-0000-0000DF080000}"/>
    <cellStyle name="Millares 2 2 3 2 2 4" xfId="11061" xr:uid="{00000000-0005-0000-0000-0000E0080000}"/>
    <cellStyle name="Millares 2 2 3 2 3" xfId="9581" xr:uid="{00000000-0005-0000-0000-0000E1080000}"/>
    <cellStyle name="Millares 2 2 3 2 3 2" xfId="10284" xr:uid="{00000000-0005-0000-0000-0000E2080000}"/>
    <cellStyle name="Millares 2 2 3 2 3 2 2" xfId="12019" xr:uid="{00000000-0005-0000-0000-0000E3080000}"/>
    <cellStyle name="Millares 2 2 3 2 3 3" xfId="11372" xr:uid="{00000000-0005-0000-0000-0000E4080000}"/>
    <cellStyle name="Millares 2 2 3 2 4" xfId="9987" xr:uid="{00000000-0005-0000-0000-0000E5080000}"/>
    <cellStyle name="Millares 2 2 3 2 4 2" xfId="11723" xr:uid="{00000000-0005-0000-0000-0000E6080000}"/>
    <cellStyle name="Millares 2 2 3 2 5" xfId="10946" xr:uid="{00000000-0005-0000-0000-0000E7080000}"/>
    <cellStyle name="Millares 2 2 3 3" xfId="4199" xr:uid="{00000000-0005-0000-0000-0000E8080000}"/>
    <cellStyle name="Millares 2 2 3 3 2" xfId="9634" xr:uid="{00000000-0005-0000-0000-0000E9080000}"/>
    <cellStyle name="Millares 2 2 3 3 2 2" xfId="10335" xr:uid="{00000000-0005-0000-0000-0000EA080000}"/>
    <cellStyle name="Millares 2 2 3 3 2 2 2" xfId="12070" xr:uid="{00000000-0005-0000-0000-0000EB080000}"/>
    <cellStyle name="Millares 2 2 3 3 2 3" xfId="11423" xr:uid="{00000000-0005-0000-0000-0000EC080000}"/>
    <cellStyle name="Millares 2 2 3 3 3" xfId="10038" xr:uid="{00000000-0005-0000-0000-0000ED080000}"/>
    <cellStyle name="Millares 2 2 3 3 3 2" xfId="11774" xr:uid="{00000000-0005-0000-0000-0000EE080000}"/>
    <cellStyle name="Millares 2 2 3 3 4" xfId="11010" xr:uid="{00000000-0005-0000-0000-0000EF080000}"/>
    <cellStyle name="Millares 2 2 3 4" xfId="4338" xr:uid="{00000000-0005-0000-0000-0000F0080000}"/>
    <cellStyle name="Millares 2 2 3 4 2" xfId="9749" xr:uid="{00000000-0005-0000-0000-0000F1080000}"/>
    <cellStyle name="Millares 2 2 3 4 2 2" xfId="10447" xr:uid="{00000000-0005-0000-0000-0000F2080000}"/>
    <cellStyle name="Millares 2 2 3 4 2 2 2" xfId="12182" xr:uid="{00000000-0005-0000-0000-0000F3080000}"/>
    <cellStyle name="Millares 2 2 3 4 2 3" xfId="11535" xr:uid="{00000000-0005-0000-0000-0000F4080000}"/>
    <cellStyle name="Millares 2 2 3 4 3" xfId="10150" xr:uid="{00000000-0005-0000-0000-0000F5080000}"/>
    <cellStyle name="Millares 2 2 3 4 3 2" xfId="11886" xr:uid="{00000000-0005-0000-0000-0000F6080000}"/>
    <cellStyle name="Millares 2 2 3 4 4" xfId="11143" xr:uid="{00000000-0005-0000-0000-0000F7080000}"/>
    <cellStyle name="Millares 2 2 3 5" xfId="7622" xr:uid="{00000000-0005-0000-0000-0000F8080000}"/>
    <cellStyle name="Millares 2 2 3 5 2" xfId="11289" xr:uid="{00000000-0005-0000-0000-0000F9080000}"/>
    <cellStyle name="Millares 2 2 3 6" xfId="10780" xr:uid="{00000000-0005-0000-0000-0000FA080000}"/>
    <cellStyle name="Millares 2 2 30" xfId="1054" xr:uid="{00000000-0005-0000-0000-0000FB080000}"/>
    <cellStyle name="Millares 2 2 30 2" xfId="7623" xr:uid="{00000000-0005-0000-0000-0000FC080000}"/>
    <cellStyle name="Millares 2 2 30 2 2" xfId="11290" xr:uid="{00000000-0005-0000-0000-0000FD080000}"/>
    <cellStyle name="Millares 2 2 30 3" xfId="10781" xr:uid="{00000000-0005-0000-0000-0000FE080000}"/>
    <cellStyle name="Millares 2 2 31" xfId="1055" xr:uid="{00000000-0005-0000-0000-0000FF080000}"/>
    <cellStyle name="Millares 2 2 31 2" xfId="7624" xr:uid="{00000000-0005-0000-0000-000000090000}"/>
    <cellStyle name="Millares 2 2 31 2 2" xfId="11291" xr:uid="{00000000-0005-0000-0000-000001090000}"/>
    <cellStyle name="Millares 2 2 31 3" xfId="10782" xr:uid="{00000000-0005-0000-0000-000002090000}"/>
    <cellStyle name="Millares 2 2 32" xfId="1056" xr:uid="{00000000-0005-0000-0000-000003090000}"/>
    <cellStyle name="Millares 2 2 32 2" xfId="7625" xr:uid="{00000000-0005-0000-0000-000004090000}"/>
    <cellStyle name="Millares 2 2 32 2 2" xfId="11292" xr:uid="{00000000-0005-0000-0000-000005090000}"/>
    <cellStyle name="Millares 2 2 32 3" xfId="10783" xr:uid="{00000000-0005-0000-0000-000006090000}"/>
    <cellStyle name="Millares 2 2 33" xfId="1057" xr:uid="{00000000-0005-0000-0000-000007090000}"/>
    <cellStyle name="Millares 2 2 33 2" xfId="7626" xr:uid="{00000000-0005-0000-0000-000008090000}"/>
    <cellStyle name="Millares 2 2 33 2 2" xfId="11293" xr:uid="{00000000-0005-0000-0000-000009090000}"/>
    <cellStyle name="Millares 2 2 33 3" xfId="10784" xr:uid="{00000000-0005-0000-0000-00000A090000}"/>
    <cellStyle name="Millares 2 2 34" xfId="1058" xr:uid="{00000000-0005-0000-0000-00000B090000}"/>
    <cellStyle name="Millares 2 2 34 2" xfId="7627" xr:uid="{00000000-0005-0000-0000-00000C090000}"/>
    <cellStyle name="Millares 2 2 34 2 2" xfId="11294" xr:uid="{00000000-0005-0000-0000-00000D090000}"/>
    <cellStyle name="Millares 2 2 34 3" xfId="10785" xr:uid="{00000000-0005-0000-0000-00000E090000}"/>
    <cellStyle name="Millares 2 2 35" xfId="1059" xr:uid="{00000000-0005-0000-0000-00000F090000}"/>
    <cellStyle name="Millares 2 2 35 2" xfId="7628" xr:uid="{00000000-0005-0000-0000-000010090000}"/>
    <cellStyle name="Millares 2 2 35 2 2" xfId="11295" xr:uid="{00000000-0005-0000-0000-000011090000}"/>
    <cellStyle name="Millares 2 2 35 3" xfId="10786" xr:uid="{00000000-0005-0000-0000-000012090000}"/>
    <cellStyle name="Millares 2 2 36" xfId="4066" xr:uid="{00000000-0005-0000-0000-000013090000}"/>
    <cellStyle name="Millares 2 2 36 2" xfId="9565" xr:uid="{00000000-0005-0000-0000-000014090000}"/>
    <cellStyle name="Millares 2 2 36 2 2" xfId="10268" xr:uid="{00000000-0005-0000-0000-000015090000}"/>
    <cellStyle name="Millares 2 2 36 2 2 2" xfId="12003" xr:uid="{00000000-0005-0000-0000-000016090000}"/>
    <cellStyle name="Millares 2 2 36 2 3" xfId="11356" xr:uid="{00000000-0005-0000-0000-000017090000}"/>
    <cellStyle name="Millares 2 2 36 3" xfId="9971" xr:uid="{00000000-0005-0000-0000-000018090000}"/>
    <cellStyle name="Millares 2 2 36 3 2" xfId="11707" xr:uid="{00000000-0005-0000-0000-000019090000}"/>
    <cellStyle name="Millares 2 2 36 4" xfId="10929" xr:uid="{00000000-0005-0000-0000-00001A090000}"/>
    <cellStyle name="Millares 2 2 37" xfId="4183" xr:uid="{00000000-0005-0000-0000-00001B090000}"/>
    <cellStyle name="Millares 2 2 37 2" xfId="9618" xr:uid="{00000000-0005-0000-0000-00001C090000}"/>
    <cellStyle name="Millares 2 2 37 2 2" xfId="10319" xr:uid="{00000000-0005-0000-0000-00001D090000}"/>
    <cellStyle name="Millares 2 2 37 2 2 2" xfId="12054" xr:uid="{00000000-0005-0000-0000-00001E090000}"/>
    <cellStyle name="Millares 2 2 37 2 3" xfId="11407" xr:uid="{00000000-0005-0000-0000-00001F090000}"/>
    <cellStyle name="Millares 2 2 37 3" xfId="10022" xr:uid="{00000000-0005-0000-0000-000020090000}"/>
    <cellStyle name="Millares 2 2 37 3 2" xfId="11758" xr:uid="{00000000-0005-0000-0000-000021090000}"/>
    <cellStyle name="Millares 2 2 37 4" xfId="10994" xr:uid="{00000000-0005-0000-0000-000022090000}"/>
    <cellStyle name="Millares 2 2 38" xfId="4286" xr:uid="{00000000-0005-0000-0000-000023090000}"/>
    <cellStyle name="Millares 2 2 38 2" xfId="9719" xr:uid="{00000000-0005-0000-0000-000024090000}"/>
    <cellStyle name="Millares 2 2 38 2 2" xfId="10419" xr:uid="{00000000-0005-0000-0000-000025090000}"/>
    <cellStyle name="Millares 2 2 38 2 2 2" xfId="12154" xr:uid="{00000000-0005-0000-0000-000026090000}"/>
    <cellStyle name="Millares 2 2 38 2 3" xfId="11507" xr:uid="{00000000-0005-0000-0000-000027090000}"/>
    <cellStyle name="Millares 2 2 38 3" xfId="10122" xr:uid="{00000000-0005-0000-0000-000028090000}"/>
    <cellStyle name="Millares 2 2 38 3 2" xfId="11858" xr:uid="{00000000-0005-0000-0000-000029090000}"/>
    <cellStyle name="Millares 2 2 38 4" xfId="11096" xr:uid="{00000000-0005-0000-0000-00002A090000}"/>
    <cellStyle name="Millares 2 2 39" xfId="4297" xr:uid="{00000000-0005-0000-0000-00002B090000}"/>
    <cellStyle name="Millares 2 2 39 2" xfId="9723" xr:uid="{00000000-0005-0000-0000-00002C090000}"/>
    <cellStyle name="Millares 2 2 39 2 2" xfId="10423" xr:uid="{00000000-0005-0000-0000-00002D090000}"/>
    <cellStyle name="Millares 2 2 39 2 2 2" xfId="12158" xr:uid="{00000000-0005-0000-0000-00002E090000}"/>
    <cellStyle name="Millares 2 2 39 2 3" xfId="11511" xr:uid="{00000000-0005-0000-0000-00002F090000}"/>
    <cellStyle name="Millares 2 2 39 3" xfId="10126" xr:uid="{00000000-0005-0000-0000-000030090000}"/>
    <cellStyle name="Millares 2 2 39 3 2" xfId="11862" xr:uid="{00000000-0005-0000-0000-000031090000}"/>
    <cellStyle name="Millares 2 2 39 4" xfId="11106" xr:uid="{00000000-0005-0000-0000-000032090000}"/>
    <cellStyle name="Millares 2 2 4" xfId="1060" xr:uid="{00000000-0005-0000-0000-000033090000}"/>
    <cellStyle name="Millares 2 2 4 2" xfId="4234" xr:uid="{00000000-0005-0000-0000-000034090000}"/>
    <cellStyle name="Millares 2 2 4 2 2" xfId="9669" xr:uid="{00000000-0005-0000-0000-000035090000}"/>
    <cellStyle name="Millares 2 2 4 2 2 2" xfId="10370" xr:uid="{00000000-0005-0000-0000-000036090000}"/>
    <cellStyle name="Millares 2 2 4 2 2 2 2" xfId="12105" xr:uid="{00000000-0005-0000-0000-000037090000}"/>
    <cellStyle name="Millares 2 2 4 2 2 3" xfId="11458" xr:uid="{00000000-0005-0000-0000-000038090000}"/>
    <cellStyle name="Millares 2 2 4 2 3" xfId="10073" xr:uid="{00000000-0005-0000-0000-000039090000}"/>
    <cellStyle name="Millares 2 2 4 2 3 2" xfId="11809" xr:uid="{00000000-0005-0000-0000-00003A090000}"/>
    <cellStyle name="Millares 2 2 4 2 4" xfId="11045" xr:uid="{00000000-0005-0000-0000-00003B090000}"/>
    <cellStyle name="Millares 2 2 4 3" xfId="7629" xr:uid="{00000000-0005-0000-0000-00003C090000}"/>
    <cellStyle name="Millares 2 2 4 3 2" xfId="11296" xr:uid="{00000000-0005-0000-0000-00003D090000}"/>
    <cellStyle name="Millares 2 2 4 4" xfId="10787" xr:uid="{00000000-0005-0000-0000-00003E090000}"/>
    <cellStyle name="Millares 2 2 40" xfId="4303" xr:uid="{00000000-0005-0000-0000-00003F090000}"/>
    <cellStyle name="Millares 2 2 40 2" xfId="9729" xr:uid="{00000000-0005-0000-0000-000040090000}"/>
    <cellStyle name="Millares 2 2 40 2 2" xfId="10429" xr:uid="{00000000-0005-0000-0000-000041090000}"/>
    <cellStyle name="Millares 2 2 40 2 2 2" xfId="12164" xr:uid="{00000000-0005-0000-0000-000042090000}"/>
    <cellStyle name="Millares 2 2 40 2 3" xfId="11517" xr:uid="{00000000-0005-0000-0000-000043090000}"/>
    <cellStyle name="Millares 2 2 40 3" xfId="10132" xr:uid="{00000000-0005-0000-0000-000044090000}"/>
    <cellStyle name="Millares 2 2 40 3 2" xfId="11868" xr:uid="{00000000-0005-0000-0000-000045090000}"/>
    <cellStyle name="Millares 2 2 40 4" xfId="11112" xr:uid="{00000000-0005-0000-0000-000046090000}"/>
    <cellStyle name="Millares 2 2 41" xfId="4361" xr:uid="{00000000-0005-0000-0000-000047090000}"/>
    <cellStyle name="Millares 2 2 41 2" xfId="9769" xr:uid="{00000000-0005-0000-0000-000048090000}"/>
    <cellStyle name="Millares 2 2 41 2 2" xfId="10467" xr:uid="{00000000-0005-0000-0000-000049090000}"/>
    <cellStyle name="Millares 2 2 41 2 2 2" xfId="12202" xr:uid="{00000000-0005-0000-0000-00004A090000}"/>
    <cellStyle name="Millares 2 2 41 2 3" xfId="11555" xr:uid="{00000000-0005-0000-0000-00004B090000}"/>
    <cellStyle name="Millares 2 2 41 3" xfId="10172" xr:uid="{00000000-0005-0000-0000-00004C090000}"/>
    <cellStyle name="Millares 2 2 41 3 2" xfId="11908" xr:uid="{00000000-0005-0000-0000-00004D090000}"/>
    <cellStyle name="Millares 2 2 41 4" xfId="11165" xr:uid="{00000000-0005-0000-0000-00004E090000}"/>
    <cellStyle name="Millares 2 2 42" xfId="1031" xr:uid="{00000000-0005-0000-0000-00004F090000}"/>
    <cellStyle name="Millares 2 2 42 2" xfId="10758" xr:uid="{00000000-0005-0000-0000-000050090000}"/>
    <cellStyle name="Millares 2 2 43" xfId="10654" xr:uid="{00000000-0005-0000-0000-000051090000}"/>
    <cellStyle name="Millares 2 2 5" xfId="1061" xr:uid="{00000000-0005-0000-0000-000052090000}"/>
    <cellStyle name="Millares 2 2 5 2" xfId="5147" xr:uid="{00000000-0005-0000-0000-000053090000}"/>
    <cellStyle name="Millares 2 2 5 2 2" xfId="11191" xr:uid="{00000000-0005-0000-0000-000054090000}"/>
    <cellStyle name="Millares 2 2 5 3" xfId="7630" xr:uid="{00000000-0005-0000-0000-000055090000}"/>
    <cellStyle name="Millares 2 2 5 3 2" xfId="11297" xr:uid="{00000000-0005-0000-0000-000056090000}"/>
    <cellStyle name="Millares 2 2 5 4" xfId="10788" xr:uid="{00000000-0005-0000-0000-000057090000}"/>
    <cellStyle name="Millares 2 2 6" xfId="1062" xr:uid="{00000000-0005-0000-0000-000058090000}"/>
    <cellStyle name="Millares 2 2 6 2" xfId="5148" xr:uid="{00000000-0005-0000-0000-000059090000}"/>
    <cellStyle name="Millares 2 2 6 2 2" xfId="11192" xr:uid="{00000000-0005-0000-0000-00005A090000}"/>
    <cellStyle name="Millares 2 2 6 3" xfId="7631" xr:uid="{00000000-0005-0000-0000-00005B090000}"/>
    <cellStyle name="Millares 2 2 6 3 2" xfId="11298" xr:uid="{00000000-0005-0000-0000-00005C090000}"/>
    <cellStyle name="Millares 2 2 6 4" xfId="10789" xr:uid="{00000000-0005-0000-0000-00005D090000}"/>
    <cellStyle name="Millares 2 2 7" xfId="1063" xr:uid="{00000000-0005-0000-0000-00005E090000}"/>
    <cellStyle name="Millares 2 2 7 2" xfId="5149" xr:uid="{00000000-0005-0000-0000-00005F090000}"/>
    <cellStyle name="Millares 2 2 7 2 2" xfId="11193" xr:uid="{00000000-0005-0000-0000-000060090000}"/>
    <cellStyle name="Millares 2 2 7 3" xfId="7632" xr:uid="{00000000-0005-0000-0000-000061090000}"/>
    <cellStyle name="Millares 2 2 7 3 2" xfId="11299" xr:uid="{00000000-0005-0000-0000-000062090000}"/>
    <cellStyle name="Millares 2 2 7 4" xfId="10790" xr:uid="{00000000-0005-0000-0000-000063090000}"/>
    <cellStyle name="Millares 2 2 8" xfId="1064" xr:uid="{00000000-0005-0000-0000-000064090000}"/>
    <cellStyle name="Millares 2 2 8 2" xfId="5150" xr:uid="{00000000-0005-0000-0000-000065090000}"/>
    <cellStyle name="Millares 2 2 8 2 2" xfId="11194" xr:uid="{00000000-0005-0000-0000-000066090000}"/>
    <cellStyle name="Millares 2 2 8 3" xfId="7633" xr:uid="{00000000-0005-0000-0000-000067090000}"/>
    <cellStyle name="Millares 2 2 8 3 2" xfId="11300" xr:uid="{00000000-0005-0000-0000-000068090000}"/>
    <cellStyle name="Millares 2 2 8 4" xfId="10791" xr:uid="{00000000-0005-0000-0000-000069090000}"/>
    <cellStyle name="Millares 2 2 9" xfId="1065" xr:uid="{00000000-0005-0000-0000-00006A090000}"/>
    <cellStyle name="Millares 2 2 9 2" xfId="5151" xr:uid="{00000000-0005-0000-0000-00006B090000}"/>
    <cellStyle name="Millares 2 2 9 2 2" xfId="11195" xr:uid="{00000000-0005-0000-0000-00006C090000}"/>
    <cellStyle name="Millares 2 2 9 3" xfId="7634" xr:uid="{00000000-0005-0000-0000-00006D090000}"/>
    <cellStyle name="Millares 2 2 9 3 2" xfId="11301" xr:uid="{00000000-0005-0000-0000-00006E090000}"/>
    <cellStyle name="Millares 2 2 9 4" xfId="10792" xr:uid="{00000000-0005-0000-0000-00006F090000}"/>
    <cellStyle name="Millares 2 20" xfId="1066" xr:uid="{00000000-0005-0000-0000-000070090000}"/>
    <cellStyle name="Millares 2 20 2" xfId="7635" xr:uid="{00000000-0005-0000-0000-000071090000}"/>
    <cellStyle name="Millares 2 20 2 2" xfId="11302" xr:uid="{00000000-0005-0000-0000-000072090000}"/>
    <cellStyle name="Millares 2 20 3" xfId="10793" xr:uid="{00000000-0005-0000-0000-000073090000}"/>
    <cellStyle name="Millares 2 21" xfId="1067" xr:uid="{00000000-0005-0000-0000-000074090000}"/>
    <cellStyle name="Millares 2 21 2" xfId="7636" xr:uid="{00000000-0005-0000-0000-000075090000}"/>
    <cellStyle name="Millares 2 21 2 2" xfId="11303" xr:uid="{00000000-0005-0000-0000-000076090000}"/>
    <cellStyle name="Millares 2 21 3" xfId="10794" xr:uid="{00000000-0005-0000-0000-000077090000}"/>
    <cellStyle name="Millares 2 22" xfId="1068" xr:uid="{00000000-0005-0000-0000-000078090000}"/>
    <cellStyle name="Millares 2 22 2" xfId="7637" xr:uid="{00000000-0005-0000-0000-000079090000}"/>
    <cellStyle name="Millares 2 22 2 2" xfId="11304" xr:uid="{00000000-0005-0000-0000-00007A090000}"/>
    <cellStyle name="Millares 2 22 3" xfId="10795" xr:uid="{00000000-0005-0000-0000-00007B090000}"/>
    <cellStyle name="Millares 2 23" xfId="1069" xr:uid="{00000000-0005-0000-0000-00007C090000}"/>
    <cellStyle name="Millares 2 23 2" xfId="7638" xr:uid="{00000000-0005-0000-0000-00007D090000}"/>
    <cellStyle name="Millares 2 23 2 2" xfId="11305" xr:uid="{00000000-0005-0000-0000-00007E090000}"/>
    <cellStyle name="Millares 2 23 3" xfId="10796" xr:uid="{00000000-0005-0000-0000-00007F090000}"/>
    <cellStyle name="Millares 2 24" xfId="1070" xr:uid="{00000000-0005-0000-0000-000080090000}"/>
    <cellStyle name="Millares 2 24 2" xfId="7639" xr:uid="{00000000-0005-0000-0000-000081090000}"/>
    <cellStyle name="Millares 2 24 2 2" xfId="11306" xr:uid="{00000000-0005-0000-0000-000082090000}"/>
    <cellStyle name="Millares 2 24 3" xfId="10797" xr:uid="{00000000-0005-0000-0000-000083090000}"/>
    <cellStyle name="Millares 2 25" xfId="1071" xr:uid="{00000000-0005-0000-0000-000084090000}"/>
    <cellStyle name="Millares 2 25 2" xfId="7640" xr:uid="{00000000-0005-0000-0000-000085090000}"/>
    <cellStyle name="Millares 2 25 2 2" xfId="11307" xr:uid="{00000000-0005-0000-0000-000086090000}"/>
    <cellStyle name="Millares 2 25 3" xfId="10798" xr:uid="{00000000-0005-0000-0000-000087090000}"/>
    <cellStyle name="Millares 2 26" xfId="1072" xr:uid="{00000000-0005-0000-0000-000088090000}"/>
    <cellStyle name="Millares 2 26 2" xfId="7641" xr:uid="{00000000-0005-0000-0000-000089090000}"/>
    <cellStyle name="Millares 2 26 2 2" xfId="11308" xr:uid="{00000000-0005-0000-0000-00008A090000}"/>
    <cellStyle name="Millares 2 26 3" xfId="10799" xr:uid="{00000000-0005-0000-0000-00008B090000}"/>
    <cellStyle name="Millares 2 27" xfId="1073" xr:uid="{00000000-0005-0000-0000-00008C090000}"/>
    <cellStyle name="Millares 2 27 2" xfId="7642" xr:uid="{00000000-0005-0000-0000-00008D090000}"/>
    <cellStyle name="Millares 2 27 2 2" xfId="11309" xr:uid="{00000000-0005-0000-0000-00008E090000}"/>
    <cellStyle name="Millares 2 27 3" xfId="10800" xr:uid="{00000000-0005-0000-0000-00008F090000}"/>
    <cellStyle name="Millares 2 28" xfId="1074" xr:uid="{00000000-0005-0000-0000-000090090000}"/>
    <cellStyle name="Millares 2 28 2" xfId="7643" xr:uid="{00000000-0005-0000-0000-000091090000}"/>
    <cellStyle name="Millares 2 28 2 2" xfId="11310" xr:uid="{00000000-0005-0000-0000-000092090000}"/>
    <cellStyle name="Millares 2 28 3" xfId="10801" xr:uid="{00000000-0005-0000-0000-000093090000}"/>
    <cellStyle name="Millares 2 29" xfId="1075" xr:uid="{00000000-0005-0000-0000-000094090000}"/>
    <cellStyle name="Millares 2 29 2" xfId="7644" xr:uid="{00000000-0005-0000-0000-000095090000}"/>
    <cellStyle name="Millares 2 29 2 2" xfId="11311" xr:uid="{00000000-0005-0000-0000-000096090000}"/>
    <cellStyle name="Millares 2 29 3" xfId="10802" xr:uid="{00000000-0005-0000-0000-000097090000}"/>
    <cellStyle name="Millares 2 3" xfId="141" xr:uid="{00000000-0005-0000-0000-000098090000}"/>
    <cellStyle name="Millares 2 3 10" xfId="4214" xr:uid="{00000000-0005-0000-0000-000099090000}"/>
    <cellStyle name="Millares 2 3 10 2" xfId="9649" xr:uid="{00000000-0005-0000-0000-00009A090000}"/>
    <cellStyle name="Millares 2 3 10 2 2" xfId="10350" xr:uid="{00000000-0005-0000-0000-00009B090000}"/>
    <cellStyle name="Millares 2 3 10 2 2 2" xfId="12085" xr:uid="{00000000-0005-0000-0000-00009C090000}"/>
    <cellStyle name="Millares 2 3 10 2 3" xfId="11438" xr:uid="{00000000-0005-0000-0000-00009D090000}"/>
    <cellStyle name="Millares 2 3 10 3" xfId="10053" xr:uid="{00000000-0005-0000-0000-00009E090000}"/>
    <cellStyle name="Millares 2 3 10 3 2" xfId="11789" xr:uid="{00000000-0005-0000-0000-00009F090000}"/>
    <cellStyle name="Millares 2 3 10 4" xfId="11025" xr:uid="{00000000-0005-0000-0000-0000A0090000}"/>
    <cellStyle name="Millares 2 3 11" xfId="4320" xr:uid="{00000000-0005-0000-0000-0000A1090000}"/>
    <cellStyle name="Millares 2 3 11 2" xfId="11127" xr:uid="{00000000-0005-0000-0000-0000A2090000}"/>
    <cellStyle name="Millares 2 3 12" xfId="10669" xr:uid="{00000000-0005-0000-0000-0000A3090000}"/>
    <cellStyle name="Millares 2 3 2" xfId="1076" xr:uid="{00000000-0005-0000-0000-0000A4090000}"/>
    <cellStyle name="Millares 2 3 2 2" xfId="4265" xr:uid="{00000000-0005-0000-0000-0000A5090000}"/>
    <cellStyle name="Millares 2 3 2 2 2" xfId="9700" xr:uid="{00000000-0005-0000-0000-0000A6090000}"/>
    <cellStyle name="Millares 2 3 2 2 2 2" xfId="10401" xr:uid="{00000000-0005-0000-0000-0000A7090000}"/>
    <cellStyle name="Millares 2 3 2 2 2 2 2" xfId="12136" xr:uid="{00000000-0005-0000-0000-0000A8090000}"/>
    <cellStyle name="Millares 2 3 2 2 2 3" xfId="11489" xr:uid="{00000000-0005-0000-0000-0000A9090000}"/>
    <cellStyle name="Millares 2 3 2 2 3" xfId="10104" xr:uid="{00000000-0005-0000-0000-0000AA090000}"/>
    <cellStyle name="Millares 2 3 2 2 3 2" xfId="11840" xr:uid="{00000000-0005-0000-0000-0000AB090000}"/>
    <cellStyle name="Millares 2 3 2 2 4" xfId="11076" xr:uid="{00000000-0005-0000-0000-0000AC090000}"/>
    <cellStyle name="Millares 2 3 2 3" xfId="7645" xr:uid="{00000000-0005-0000-0000-0000AD090000}"/>
    <cellStyle name="Millares 2 3 3" xfId="1077" xr:uid="{00000000-0005-0000-0000-0000AE090000}"/>
    <cellStyle name="Millares 2 3 3 2" xfId="7646" xr:uid="{00000000-0005-0000-0000-0000AF090000}"/>
    <cellStyle name="Millares 2 3 4" xfId="1078" xr:uid="{00000000-0005-0000-0000-0000B0090000}"/>
    <cellStyle name="Millares 2 3 4 2" xfId="7647" xr:uid="{00000000-0005-0000-0000-0000B1090000}"/>
    <cellStyle name="Millares 2 3 5" xfId="1079" xr:uid="{00000000-0005-0000-0000-0000B2090000}"/>
    <cellStyle name="Millares 2 3 5 2" xfId="7648" xr:uid="{00000000-0005-0000-0000-0000B3090000}"/>
    <cellStyle name="Millares 2 3 6" xfId="1080" xr:uid="{00000000-0005-0000-0000-0000B4090000}"/>
    <cellStyle name="Millares 2 3 6 2" xfId="7649" xr:uid="{00000000-0005-0000-0000-0000B5090000}"/>
    <cellStyle name="Millares 2 3 7" xfId="1081" xr:uid="{00000000-0005-0000-0000-0000B6090000}"/>
    <cellStyle name="Millares 2 3 7 2" xfId="7650" xr:uid="{00000000-0005-0000-0000-0000B7090000}"/>
    <cellStyle name="Millares 2 3 8" xfId="1082" xr:uid="{00000000-0005-0000-0000-0000B8090000}"/>
    <cellStyle name="Millares 2 3 8 2" xfId="7651" xr:uid="{00000000-0005-0000-0000-0000B9090000}"/>
    <cellStyle name="Millares 2 3 9" xfId="4131" xr:uid="{00000000-0005-0000-0000-0000BA090000}"/>
    <cellStyle name="Millares 2 3 9 2" xfId="9597" xr:uid="{00000000-0005-0000-0000-0000BB090000}"/>
    <cellStyle name="Millares 2 3 9 2 2" xfId="10299" xr:uid="{00000000-0005-0000-0000-0000BC090000}"/>
    <cellStyle name="Millares 2 3 9 2 2 2" xfId="12034" xr:uid="{00000000-0005-0000-0000-0000BD090000}"/>
    <cellStyle name="Millares 2 3 9 2 3" xfId="11387" xr:uid="{00000000-0005-0000-0000-0000BE090000}"/>
    <cellStyle name="Millares 2 3 9 3" xfId="10002" xr:uid="{00000000-0005-0000-0000-0000BF090000}"/>
    <cellStyle name="Millares 2 3 9 3 2" xfId="11738" xr:uid="{00000000-0005-0000-0000-0000C0090000}"/>
    <cellStyle name="Millares 2 3 9 4" xfId="10963" xr:uid="{00000000-0005-0000-0000-0000C1090000}"/>
    <cellStyle name="Millares 2 30" xfId="1083" xr:uid="{00000000-0005-0000-0000-0000C2090000}"/>
    <cellStyle name="Millares 2 30 2" xfId="7652" xr:uid="{00000000-0005-0000-0000-0000C3090000}"/>
    <cellStyle name="Millares 2 30 2 2" xfId="11312" xr:uid="{00000000-0005-0000-0000-0000C4090000}"/>
    <cellStyle name="Millares 2 30 3" xfId="10803" xr:uid="{00000000-0005-0000-0000-0000C5090000}"/>
    <cellStyle name="Millares 2 31" xfId="1084" xr:uid="{00000000-0005-0000-0000-0000C6090000}"/>
    <cellStyle name="Millares 2 31 2" xfId="7653" xr:uid="{00000000-0005-0000-0000-0000C7090000}"/>
    <cellStyle name="Millares 2 31 2 2" xfId="11313" xr:uid="{00000000-0005-0000-0000-0000C8090000}"/>
    <cellStyle name="Millares 2 31 3" xfId="10804" xr:uid="{00000000-0005-0000-0000-0000C9090000}"/>
    <cellStyle name="Millares 2 32" xfId="1085" xr:uid="{00000000-0005-0000-0000-0000CA090000}"/>
    <cellStyle name="Millares 2 32 2" xfId="10805" xr:uid="{00000000-0005-0000-0000-0000CB090000}"/>
    <cellStyle name="Millares 2 33" xfId="1086" xr:uid="{00000000-0005-0000-0000-0000CC090000}"/>
    <cellStyle name="Millares 2 33 2" xfId="10806" xr:uid="{00000000-0005-0000-0000-0000CD090000}"/>
    <cellStyle name="Millares 2 34" xfId="1087" xr:uid="{00000000-0005-0000-0000-0000CE090000}"/>
    <cellStyle name="Millares 2 34 2" xfId="10807" xr:uid="{00000000-0005-0000-0000-0000CF090000}"/>
    <cellStyle name="Millares 2 35" xfId="1088" xr:uid="{00000000-0005-0000-0000-0000D0090000}"/>
    <cellStyle name="Millares 2 35 2" xfId="10808" xr:uid="{00000000-0005-0000-0000-0000D1090000}"/>
    <cellStyle name="Millares 2 36" xfId="1089" xr:uid="{00000000-0005-0000-0000-0000D2090000}"/>
    <cellStyle name="Millares 2 36 2" xfId="10809" xr:uid="{00000000-0005-0000-0000-0000D3090000}"/>
    <cellStyle name="Millares 2 37" xfId="1090" xr:uid="{00000000-0005-0000-0000-0000D4090000}"/>
    <cellStyle name="Millares 2 37 2" xfId="10810" xr:uid="{00000000-0005-0000-0000-0000D5090000}"/>
    <cellStyle name="Millares 2 38" xfId="1091" xr:uid="{00000000-0005-0000-0000-0000D6090000}"/>
    <cellStyle name="Millares 2 38 2" xfId="10811" xr:uid="{00000000-0005-0000-0000-0000D7090000}"/>
    <cellStyle name="Millares 2 39" xfId="1092" xr:uid="{00000000-0005-0000-0000-0000D8090000}"/>
    <cellStyle name="Millares 2 39 2" xfId="10812" xr:uid="{00000000-0005-0000-0000-0000D9090000}"/>
    <cellStyle name="Millares 2 4" xfId="1093" xr:uid="{00000000-0005-0000-0000-0000DA090000}"/>
    <cellStyle name="Millares 2 4 10" xfId="4196" xr:uid="{00000000-0005-0000-0000-0000DB090000}"/>
    <cellStyle name="Millares 2 4 10 2" xfId="9631" xr:uid="{00000000-0005-0000-0000-0000DC090000}"/>
    <cellStyle name="Millares 2 4 10 2 2" xfId="10332" xr:uid="{00000000-0005-0000-0000-0000DD090000}"/>
    <cellStyle name="Millares 2 4 10 2 2 2" xfId="12067" xr:uid="{00000000-0005-0000-0000-0000DE090000}"/>
    <cellStyle name="Millares 2 4 10 2 3" xfId="11420" xr:uid="{00000000-0005-0000-0000-0000DF090000}"/>
    <cellStyle name="Millares 2 4 10 3" xfId="10035" xr:uid="{00000000-0005-0000-0000-0000E0090000}"/>
    <cellStyle name="Millares 2 4 10 3 2" xfId="11771" xr:uid="{00000000-0005-0000-0000-0000E1090000}"/>
    <cellStyle name="Millares 2 4 10 4" xfId="11007" xr:uid="{00000000-0005-0000-0000-0000E2090000}"/>
    <cellStyle name="Millares 2 4 11" xfId="7654" xr:uid="{00000000-0005-0000-0000-0000E3090000}"/>
    <cellStyle name="Millares 2 4 11 2" xfId="11314" xr:uid="{00000000-0005-0000-0000-0000E4090000}"/>
    <cellStyle name="Millares 2 4 12" xfId="10813" xr:uid="{00000000-0005-0000-0000-0000E5090000}"/>
    <cellStyle name="Millares 2 4 2" xfId="1094" xr:uid="{00000000-0005-0000-0000-0000E6090000}"/>
    <cellStyle name="Millares 2 4 2 2" xfId="4247" xr:uid="{00000000-0005-0000-0000-0000E7090000}"/>
    <cellStyle name="Millares 2 4 2 2 2" xfId="9682" xr:uid="{00000000-0005-0000-0000-0000E8090000}"/>
    <cellStyle name="Millares 2 4 2 2 2 2" xfId="10383" xr:uid="{00000000-0005-0000-0000-0000E9090000}"/>
    <cellStyle name="Millares 2 4 2 2 2 2 2" xfId="12118" xr:uid="{00000000-0005-0000-0000-0000EA090000}"/>
    <cellStyle name="Millares 2 4 2 2 2 3" xfId="11471" xr:uid="{00000000-0005-0000-0000-0000EB090000}"/>
    <cellStyle name="Millares 2 4 2 2 3" xfId="10086" xr:uid="{00000000-0005-0000-0000-0000EC090000}"/>
    <cellStyle name="Millares 2 4 2 2 3 2" xfId="11822" xr:uid="{00000000-0005-0000-0000-0000ED090000}"/>
    <cellStyle name="Millares 2 4 2 2 4" xfId="11058" xr:uid="{00000000-0005-0000-0000-0000EE090000}"/>
    <cellStyle name="Millares 2 4 3" xfId="1095" xr:uid="{00000000-0005-0000-0000-0000EF090000}"/>
    <cellStyle name="Millares 2 4 4" xfId="1096" xr:uid="{00000000-0005-0000-0000-0000F0090000}"/>
    <cellStyle name="Millares 2 4 5" xfId="1097" xr:uid="{00000000-0005-0000-0000-0000F1090000}"/>
    <cellStyle name="Millares 2 4 6" xfId="1098" xr:uid="{00000000-0005-0000-0000-0000F2090000}"/>
    <cellStyle name="Millares 2 4 7" xfId="1099" xr:uid="{00000000-0005-0000-0000-0000F3090000}"/>
    <cellStyle name="Millares 2 4 8" xfId="1100" xr:uid="{00000000-0005-0000-0000-0000F4090000}"/>
    <cellStyle name="Millares 2 4 9" xfId="4094" xr:uid="{00000000-0005-0000-0000-0000F5090000}"/>
    <cellStyle name="Millares 2 4 9 2" xfId="9578" xr:uid="{00000000-0005-0000-0000-0000F6090000}"/>
    <cellStyle name="Millares 2 4 9 2 2" xfId="10281" xr:uid="{00000000-0005-0000-0000-0000F7090000}"/>
    <cellStyle name="Millares 2 4 9 2 2 2" xfId="12016" xr:uid="{00000000-0005-0000-0000-0000F8090000}"/>
    <cellStyle name="Millares 2 4 9 2 3" xfId="11369" xr:uid="{00000000-0005-0000-0000-0000F9090000}"/>
    <cellStyle name="Millares 2 4 9 3" xfId="9984" xr:uid="{00000000-0005-0000-0000-0000FA090000}"/>
    <cellStyle name="Millares 2 4 9 3 2" xfId="11720" xr:uid="{00000000-0005-0000-0000-0000FB090000}"/>
    <cellStyle name="Millares 2 4 9 4" xfId="10943" xr:uid="{00000000-0005-0000-0000-0000FC090000}"/>
    <cellStyle name="Millares 2 40" xfId="1101" xr:uid="{00000000-0005-0000-0000-0000FD090000}"/>
    <cellStyle name="Millares 2 40 2" xfId="10814" xr:uid="{00000000-0005-0000-0000-0000FE090000}"/>
    <cellStyle name="Millares 2 41" xfId="1102" xr:uid="{00000000-0005-0000-0000-0000FF090000}"/>
    <cellStyle name="Millares 2 41 2" xfId="10815" xr:uid="{00000000-0005-0000-0000-0000000A0000}"/>
    <cellStyle name="Millares 2 42" xfId="1103" xr:uid="{00000000-0005-0000-0000-0000010A0000}"/>
    <cellStyle name="Millares 2 42 2" xfId="10816" xr:uid="{00000000-0005-0000-0000-0000020A0000}"/>
    <cellStyle name="Millares 2 43" xfId="1104" xr:uid="{00000000-0005-0000-0000-0000030A0000}"/>
    <cellStyle name="Millares 2 43 2" xfId="10817" xr:uid="{00000000-0005-0000-0000-0000040A0000}"/>
    <cellStyle name="Millares 2 44" xfId="1105" xr:uid="{00000000-0005-0000-0000-0000050A0000}"/>
    <cellStyle name="Millares 2 44 2" xfId="10818" xr:uid="{00000000-0005-0000-0000-0000060A0000}"/>
    <cellStyle name="Millares 2 45" xfId="1106" xr:uid="{00000000-0005-0000-0000-0000070A0000}"/>
    <cellStyle name="Millares 2 45 2" xfId="10819" xr:uid="{00000000-0005-0000-0000-0000080A0000}"/>
    <cellStyle name="Millares 2 46" xfId="1107" xr:uid="{00000000-0005-0000-0000-0000090A0000}"/>
    <cellStyle name="Millares 2 46 2" xfId="10820" xr:uid="{00000000-0005-0000-0000-00000A0A0000}"/>
    <cellStyle name="Millares 2 47" xfId="1108" xr:uid="{00000000-0005-0000-0000-00000B0A0000}"/>
    <cellStyle name="Millares 2 47 2" xfId="10821" xr:uid="{00000000-0005-0000-0000-00000C0A0000}"/>
    <cellStyle name="Millares 2 48" xfId="1109" xr:uid="{00000000-0005-0000-0000-00000D0A0000}"/>
    <cellStyle name="Millares 2 48 2" xfId="10822" xr:uid="{00000000-0005-0000-0000-00000E0A0000}"/>
    <cellStyle name="Millares 2 49" xfId="1110" xr:uid="{00000000-0005-0000-0000-00000F0A0000}"/>
    <cellStyle name="Millares 2 49 2" xfId="10823" xr:uid="{00000000-0005-0000-0000-0000100A0000}"/>
    <cellStyle name="Millares 2 5" xfId="1111" xr:uid="{00000000-0005-0000-0000-0000110A0000}"/>
    <cellStyle name="Millares 2 5 2" xfId="4231" xr:uid="{00000000-0005-0000-0000-0000120A0000}"/>
    <cellStyle name="Millares 2 5 2 2" xfId="9666" xr:uid="{00000000-0005-0000-0000-0000130A0000}"/>
    <cellStyle name="Millares 2 5 2 2 2" xfId="10367" xr:uid="{00000000-0005-0000-0000-0000140A0000}"/>
    <cellStyle name="Millares 2 5 2 2 2 2" xfId="12102" xr:uid="{00000000-0005-0000-0000-0000150A0000}"/>
    <cellStyle name="Millares 2 5 2 2 3" xfId="11455" xr:uid="{00000000-0005-0000-0000-0000160A0000}"/>
    <cellStyle name="Millares 2 5 2 3" xfId="10070" xr:uid="{00000000-0005-0000-0000-0000170A0000}"/>
    <cellStyle name="Millares 2 5 2 3 2" xfId="11806" xr:uid="{00000000-0005-0000-0000-0000180A0000}"/>
    <cellStyle name="Millares 2 5 2 4" xfId="11042" xr:uid="{00000000-0005-0000-0000-0000190A0000}"/>
    <cellStyle name="Millares 2 5 3" xfId="7655" xr:uid="{00000000-0005-0000-0000-00001A0A0000}"/>
    <cellStyle name="Millares 2 5 3 2" xfId="11315" xr:uid="{00000000-0005-0000-0000-00001B0A0000}"/>
    <cellStyle name="Millares 2 5 4" xfId="10824" xr:uid="{00000000-0005-0000-0000-00001C0A0000}"/>
    <cellStyle name="Millares 2 50" xfId="1112" xr:uid="{00000000-0005-0000-0000-00001D0A0000}"/>
    <cellStyle name="Millares 2 50 2" xfId="10825" xr:uid="{00000000-0005-0000-0000-00001E0A0000}"/>
    <cellStyle name="Millares 2 51" xfId="1113" xr:uid="{00000000-0005-0000-0000-00001F0A0000}"/>
    <cellStyle name="Millares 2 51 2" xfId="10826" xr:uid="{00000000-0005-0000-0000-0000200A0000}"/>
    <cellStyle name="Millares 2 52" xfId="1114" xr:uid="{00000000-0005-0000-0000-0000210A0000}"/>
    <cellStyle name="Millares 2 52 2" xfId="10827" xr:uid="{00000000-0005-0000-0000-0000220A0000}"/>
    <cellStyle name="Millares 2 53" xfId="1115" xr:uid="{00000000-0005-0000-0000-0000230A0000}"/>
    <cellStyle name="Millares 2 53 2" xfId="10828" xr:uid="{00000000-0005-0000-0000-0000240A0000}"/>
    <cellStyle name="Millares 2 54" xfId="1116" xr:uid="{00000000-0005-0000-0000-0000250A0000}"/>
    <cellStyle name="Millares 2 54 2" xfId="10829" xr:uid="{00000000-0005-0000-0000-0000260A0000}"/>
    <cellStyle name="Millares 2 55" xfId="1117" xr:uid="{00000000-0005-0000-0000-0000270A0000}"/>
    <cellStyle name="Millares 2 55 2" xfId="10830" xr:uid="{00000000-0005-0000-0000-0000280A0000}"/>
    <cellStyle name="Millares 2 56" xfId="1118" xr:uid="{00000000-0005-0000-0000-0000290A0000}"/>
    <cellStyle name="Millares 2 56 2" xfId="10831" xr:uid="{00000000-0005-0000-0000-00002A0A0000}"/>
    <cellStyle name="Millares 2 57" xfId="1119" xr:uid="{00000000-0005-0000-0000-00002B0A0000}"/>
    <cellStyle name="Millares 2 57 2" xfId="10832" xr:uid="{00000000-0005-0000-0000-00002C0A0000}"/>
    <cellStyle name="Millares 2 58" xfId="1120" xr:uid="{00000000-0005-0000-0000-00002D0A0000}"/>
    <cellStyle name="Millares 2 58 2" xfId="10833" xr:uid="{00000000-0005-0000-0000-00002E0A0000}"/>
    <cellStyle name="Millares 2 59" xfId="1121" xr:uid="{00000000-0005-0000-0000-00002F0A0000}"/>
    <cellStyle name="Millares 2 59 2" xfId="10834" xr:uid="{00000000-0005-0000-0000-0000300A0000}"/>
    <cellStyle name="Millares 2 6" xfId="1122" xr:uid="{00000000-0005-0000-0000-0000310A0000}"/>
    <cellStyle name="Millares 2 6 2" xfId="4281" xr:uid="{00000000-0005-0000-0000-0000320A0000}"/>
    <cellStyle name="Millares 2 6 2 2" xfId="11092" xr:uid="{00000000-0005-0000-0000-0000330A0000}"/>
    <cellStyle name="Millares 2 6 3" xfId="10835" xr:uid="{00000000-0005-0000-0000-0000340A0000}"/>
    <cellStyle name="Millares 2 60" xfId="1123" xr:uid="{00000000-0005-0000-0000-0000350A0000}"/>
    <cellStyle name="Millares 2 60 2" xfId="10836" xr:uid="{00000000-0005-0000-0000-0000360A0000}"/>
    <cellStyle name="Millares 2 61" xfId="1124" xr:uid="{00000000-0005-0000-0000-0000370A0000}"/>
    <cellStyle name="Millares 2 61 2" xfId="10837" xr:uid="{00000000-0005-0000-0000-0000380A0000}"/>
    <cellStyle name="Millares 2 62" xfId="1125" xr:uid="{00000000-0005-0000-0000-0000390A0000}"/>
    <cellStyle name="Millares 2 62 2" xfId="10838" xr:uid="{00000000-0005-0000-0000-00003A0A0000}"/>
    <cellStyle name="Millares 2 63" xfId="1126" xr:uid="{00000000-0005-0000-0000-00003B0A0000}"/>
    <cellStyle name="Millares 2 63 2" xfId="10839" xr:uid="{00000000-0005-0000-0000-00003C0A0000}"/>
    <cellStyle name="Millares 2 64" xfId="1127" xr:uid="{00000000-0005-0000-0000-00003D0A0000}"/>
    <cellStyle name="Millares 2 64 2" xfId="10840" xr:uid="{00000000-0005-0000-0000-00003E0A0000}"/>
    <cellStyle name="Millares 2 65" xfId="1128" xr:uid="{00000000-0005-0000-0000-00003F0A0000}"/>
    <cellStyle name="Millares 2 65 2" xfId="10841" xr:uid="{00000000-0005-0000-0000-0000400A0000}"/>
    <cellStyle name="Millares 2 66" xfId="1129" xr:uid="{00000000-0005-0000-0000-0000410A0000}"/>
    <cellStyle name="Millares 2 66 2" xfId="10842" xr:uid="{00000000-0005-0000-0000-0000420A0000}"/>
    <cellStyle name="Millares 2 67" xfId="1130" xr:uid="{00000000-0005-0000-0000-0000430A0000}"/>
    <cellStyle name="Millares 2 67 2" xfId="10843" xr:uid="{00000000-0005-0000-0000-0000440A0000}"/>
    <cellStyle name="Millares 2 68" xfId="1131" xr:uid="{00000000-0005-0000-0000-0000450A0000}"/>
    <cellStyle name="Millares 2 68 2" xfId="10844" xr:uid="{00000000-0005-0000-0000-0000460A0000}"/>
    <cellStyle name="Millares 2 69" xfId="1132" xr:uid="{00000000-0005-0000-0000-0000470A0000}"/>
    <cellStyle name="Millares 2 69 2" xfId="10845" xr:uid="{00000000-0005-0000-0000-0000480A0000}"/>
    <cellStyle name="Millares 2 7" xfId="1133" xr:uid="{00000000-0005-0000-0000-0000490A0000}"/>
    <cellStyle name="Millares 2 7 2" xfId="7656" xr:uid="{00000000-0005-0000-0000-00004A0A0000}"/>
    <cellStyle name="Millares 2 7 2 2" xfId="11316" xr:uid="{00000000-0005-0000-0000-00004B0A0000}"/>
    <cellStyle name="Millares 2 7 3" xfId="10846" xr:uid="{00000000-0005-0000-0000-00004C0A0000}"/>
    <cellStyle name="Millares 2 70" xfId="1134" xr:uid="{00000000-0005-0000-0000-00004D0A0000}"/>
    <cellStyle name="Millares 2 70 2" xfId="10847" xr:uid="{00000000-0005-0000-0000-00004E0A0000}"/>
    <cellStyle name="Millares 2 71" xfId="1135" xr:uid="{00000000-0005-0000-0000-00004F0A0000}"/>
    <cellStyle name="Millares 2 71 2" xfId="10848" xr:uid="{00000000-0005-0000-0000-0000500A0000}"/>
    <cellStyle name="Millares 2 72" xfId="1136" xr:uid="{00000000-0005-0000-0000-0000510A0000}"/>
    <cellStyle name="Millares 2 72 2" xfId="10849" xr:uid="{00000000-0005-0000-0000-0000520A0000}"/>
    <cellStyle name="Millares 2 73" xfId="1137" xr:uid="{00000000-0005-0000-0000-0000530A0000}"/>
    <cellStyle name="Millares 2 73 2" xfId="10850" xr:uid="{00000000-0005-0000-0000-0000540A0000}"/>
    <cellStyle name="Millares 2 74" xfId="1138" xr:uid="{00000000-0005-0000-0000-0000550A0000}"/>
    <cellStyle name="Millares 2 74 2" xfId="10851" xr:uid="{00000000-0005-0000-0000-0000560A0000}"/>
    <cellStyle name="Millares 2 75" xfId="1139" xr:uid="{00000000-0005-0000-0000-0000570A0000}"/>
    <cellStyle name="Millares 2 75 2" xfId="10852" xr:uid="{00000000-0005-0000-0000-0000580A0000}"/>
    <cellStyle name="Millares 2 76" xfId="1140" xr:uid="{00000000-0005-0000-0000-0000590A0000}"/>
    <cellStyle name="Millares 2 76 2" xfId="10853" xr:uid="{00000000-0005-0000-0000-00005A0A0000}"/>
    <cellStyle name="Millares 2 77" xfId="1141" xr:uid="{00000000-0005-0000-0000-00005B0A0000}"/>
    <cellStyle name="Millares 2 77 2" xfId="10854" xr:uid="{00000000-0005-0000-0000-00005C0A0000}"/>
    <cellStyle name="Millares 2 78" xfId="1142" xr:uid="{00000000-0005-0000-0000-00005D0A0000}"/>
    <cellStyle name="Millares 2 78 2" xfId="10855" xr:uid="{00000000-0005-0000-0000-00005E0A0000}"/>
    <cellStyle name="Millares 2 79" xfId="1143" xr:uid="{00000000-0005-0000-0000-00005F0A0000}"/>
    <cellStyle name="Millares 2 79 2" xfId="10856" xr:uid="{00000000-0005-0000-0000-0000600A0000}"/>
    <cellStyle name="Millares 2 8" xfId="1144" xr:uid="{00000000-0005-0000-0000-0000610A0000}"/>
    <cellStyle name="Millares 2 8 2" xfId="7657" xr:uid="{00000000-0005-0000-0000-0000620A0000}"/>
    <cellStyle name="Millares 2 8 2 2" xfId="11317" xr:uid="{00000000-0005-0000-0000-0000630A0000}"/>
    <cellStyle name="Millares 2 8 3" xfId="10857" xr:uid="{00000000-0005-0000-0000-0000640A0000}"/>
    <cellStyle name="Millares 2 80" xfId="1145" xr:uid="{00000000-0005-0000-0000-0000650A0000}"/>
    <cellStyle name="Millares 2 80 2" xfId="10858" xr:uid="{00000000-0005-0000-0000-0000660A0000}"/>
    <cellStyle name="Millares 2 81" xfId="1146" xr:uid="{00000000-0005-0000-0000-0000670A0000}"/>
    <cellStyle name="Millares 2 81 2" xfId="10859" xr:uid="{00000000-0005-0000-0000-0000680A0000}"/>
    <cellStyle name="Millares 2 82" xfId="1147" xr:uid="{00000000-0005-0000-0000-0000690A0000}"/>
    <cellStyle name="Millares 2 82 2" xfId="10860" xr:uid="{00000000-0005-0000-0000-00006A0A0000}"/>
    <cellStyle name="Millares 2 83" xfId="1148" xr:uid="{00000000-0005-0000-0000-00006B0A0000}"/>
    <cellStyle name="Millares 2 83 2" xfId="10861" xr:uid="{00000000-0005-0000-0000-00006C0A0000}"/>
    <cellStyle name="Millares 2 84" xfId="4058" xr:uid="{00000000-0005-0000-0000-00006D0A0000}"/>
    <cellStyle name="Millares 2 84 2" xfId="9562" xr:uid="{00000000-0005-0000-0000-00006E0A0000}"/>
    <cellStyle name="Millares 2 84 2 2" xfId="10265" xr:uid="{00000000-0005-0000-0000-00006F0A0000}"/>
    <cellStyle name="Millares 2 84 2 2 2" xfId="12000" xr:uid="{00000000-0005-0000-0000-0000700A0000}"/>
    <cellStyle name="Millares 2 84 2 3" xfId="11353" xr:uid="{00000000-0005-0000-0000-0000710A0000}"/>
    <cellStyle name="Millares 2 84 3" xfId="9968" xr:uid="{00000000-0005-0000-0000-0000720A0000}"/>
    <cellStyle name="Millares 2 84 3 2" xfId="11704" xr:uid="{00000000-0005-0000-0000-0000730A0000}"/>
    <cellStyle name="Millares 2 84 4" xfId="10925" xr:uid="{00000000-0005-0000-0000-0000740A0000}"/>
    <cellStyle name="Millares 2 85" xfId="4177" xr:uid="{00000000-0005-0000-0000-0000750A0000}"/>
    <cellStyle name="Millares 2 85 2" xfId="9615" xr:uid="{00000000-0005-0000-0000-0000760A0000}"/>
    <cellStyle name="Millares 2 85 2 2" xfId="10316" xr:uid="{00000000-0005-0000-0000-0000770A0000}"/>
    <cellStyle name="Millares 2 85 2 2 2" xfId="12051" xr:uid="{00000000-0005-0000-0000-0000780A0000}"/>
    <cellStyle name="Millares 2 85 2 3" xfId="11404" xr:uid="{00000000-0005-0000-0000-0000790A0000}"/>
    <cellStyle name="Millares 2 85 3" xfId="10019" xr:uid="{00000000-0005-0000-0000-00007A0A0000}"/>
    <cellStyle name="Millares 2 85 3 2" xfId="11755" xr:uid="{00000000-0005-0000-0000-00007B0A0000}"/>
    <cellStyle name="Millares 2 85 4" xfId="10990" xr:uid="{00000000-0005-0000-0000-00007C0A0000}"/>
    <cellStyle name="Millares 2 86" xfId="1020" xr:uid="{00000000-0005-0000-0000-00007D0A0000}"/>
    <cellStyle name="Millares 2 86 2" xfId="10747" xr:uid="{00000000-0005-0000-0000-00007E0A0000}"/>
    <cellStyle name="Millares 2 87" xfId="9905" xr:uid="{00000000-0005-0000-0000-00007F0A0000}"/>
    <cellStyle name="Millares 2 88" xfId="10194" xr:uid="{00000000-0005-0000-0000-0000800A0000}"/>
    <cellStyle name="Millares 2 88 2" xfId="11930" xr:uid="{00000000-0005-0000-0000-0000810A0000}"/>
    <cellStyle name="Millares 2 89" xfId="10554" xr:uid="{00000000-0005-0000-0000-0000820A0000}"/>
    <cellStyle name="Millares 2 89 2" xfId="12289" xr:uid="{00000000-0005-0000-0000-0000830A0000}"/>
    <cellStyle name="Millares 2 9" xfId="1149" xr:uid="{00000000-0005-0000-0000-0000840A0000}"/>
    <cellStyle name="Millares 2 9 2" xfId="7658" xr:uid="{00000000-0005-0000-0000-0000850A0000}"/>
    <cellStyle name="Millares 2 9 2 2" xfId="11318" xr:uid="{00000000-0005-0000-0000-0000860A0000}"/>
    <cellStyle name="Millares 2 9 3" xfId="10862" xr:uid="{00000000-0005-0000-0000-0000870A0000}"/>
    <cellStyle name="Millares 2 90" xfId="10621" xr:uid="{00000000-0005-0000-0000-0000880A0000}"/>
    <cellStyle name="Millares 2 90 2" xfId="12348" xr:uid="{00000000-0005-0000-0000-0000890A0000}"/>
    <cellStyle name="Millares 2 91" xfId="10641" xr:uid="{00000000-0005-0000-0000-00008A0A0000}"/>
    <cellStyle name="Millares 2 92" xfId="12361" xr:uid="{00000000-0005-0000-0000-00008B0A0000}"/>
    <cellStyle name="Millares 2 93" xfId="12364" xr:uid="{00000000-0005-0000-0000-00008C0A0000}"/>
    <cellStyle name="Millares 20" xfId="4315" xr:uid="{00000000-0005-0000-0000-00008D0A0000}"/>
    <cellStyle name="Millares 20 2" xfId="11123" xr:uid="{00000000-0005-0000-0000-00008E0A0000}"/>
    <cellStyle name="Millares 21" xfId="4324" xr:uid="{00000000-0005-0000-0000-00008F0A0000}"/>
    <cellStyle name="Millares 21 2" xfId="11131" xr:uid="{00000000-0005-0000-0000-0000900A0000}"/>
    <cellStyle name="Millares 22" xfId="4325" xr:uid="{00000000-0005-0000-0000-0000910A0000}"/>
    <cellStyle name="Millares 22 2" xfId="11132" xr:uid="{00000000-0005-0000-0000-0000920A0000}"/>
    <cellStyle name="Millares 23" xfId="4308" xr:uid="{00000000-0005-0000-0000-0000930A0000}"/>
    <cellStyle name="Millares 23 2" xfId="11117" xr:uid="{00000000-0005-0000-0000-0000940A0000}"/>
    <cellStyle name="Millares 24" xfId="4334" xr:uid="{00000000-0005-0000-0000-0000950A0000}"/>
    <cellStyle name="Millares 24 2" xfId="11140" xr:uid="{00000000-0005-0000-0000-0000960A0000}"/>
    <cellStyle name="Millares 25" xfId="4333" xr:uid="{00000000-0005-0000-0000-0000970A0000}"/>
    <cellStyle name="Millares 25 2" xfId="11139" xr:uid="{00000000-0005-0000-0000-0000980A0000}"/>
    <cellStyle name="Millares 26" xfId="7590" xr:uid="{00000000-0005-0000-0000-0000990A0000}"/>
    <cellStyle name="Millares 26 2" xfId="11257" xr:uid="{00000000-0005-0000-0000-00009A0A0000}"/>
    <cellStyle name="Millares 27" xfId="9846" xr:uid="{00000000-0005-0000-0000-00009B0A0000}"/>
    <cellStyle name="Millares 27 2" xfId="11632" xr:uid="{00000000-0005-0000-0000-00009C0A0000}"/>
    <cellStyle name="Millares 28" xfId="9848" xr:uid="{00000000-0005-0000-0000-00009D0A0000}"/>
    <cellStyle name="Millares 29" xfId="9866" xr:uid="{00000000-0005-0000-0000-00009E0A0000}"/>
    <cellStyle name="Millares 29 2" xfId="11651" xr:uid="{00000000-0005-0000-0000-00009F0A0000}"/>
    <cellStyle name="Millares 3" xfId="28" xr:uid="{00000000-0005-0000-0000-0000A00A0000}"/>
    <cellStyle name="Millares 3 10" xfId="1151" xr:uid="{00000000-0005-0000-0000-0000A10A0000}"/>
    <cellStyle name="Millares 3 11" xfId="1152" xr:uid="{00000000-0005-0000-0000-0000A20A0000}"/>
    <cellStyle name="Millares 3 12" xfId="1153" xr:uid="{00000000-0005-0000-0000-0000A30A0000}"/>
    <cellStyle name="Millares 3 12 2" xfId="7660" xr:uid="{00000000-0005-0000-0000-0000A40A0000}"/>
    <cellStyle name="Millares 3 12 2 2" xfId="11320" xr:uid="{00000000-0005-0000-0000-0000A50A0000}"/>
    <cellStyle name="Millares 3 12 3" xfId="10864" xr:uid="{00000000-0005-0000-0000-0000A60A0000}"/>
    <cellStyle name="Millares 3 13" xfId="1154" xr:uid="{00000000-0005-0000-0000-0000A70A0000}"/>
    <cellStyle name="Millares 3 13 2" xfId="7661" xr:uid="{00000000-0005-0000-0000-0000A80A0000}"/>
    <cellStyle name="Millares 3 13 2 2" xfId="11321" xr:uid="{00000000-0005-0000-0000-0000A90A0000}"/>
    <cellStyle name="Millares 3 13 3" xfId="10865" xr:uid="{00000000-0005-0000-0000-0000AA0A0000}"/>
    <cellStyle name="Millares 3 14" xfId="1155" xr:uid="{00000000-0005-0000-0000-0000AB0A0000}"/>
    <cellStyle name="Millares 3 14 2" xfId="7662" xr:uid="{00000000-0005-0000-0000-0000AC0A0000}"/>
    <cellStyle name="Millares 3 14 2 2" xfId="11322" xr:uid="{00000000-0005-0000-0000-0000AD0A0000}"/>
    <cellStyle name="Millares 3 14 3" xfId="10866" xr:uid="{00000000-0005-0000-0000-0000AE0A0000}"/>
    <cellStyle name="Millares 3 15" xfId="1156" xr:uid="{00000000-0005-0000-0000-0000AF0A0000}"/>
    <cellStyle name="Millares 3 15 2" xfId="7663" xr:uid="{00000000-0005-0000-0000-0000B00A0000}"/>
    <cellStyle name="Millares 3 15 2 2" xfId="11323" xr:uid="{00000000-0005-0000-0000-0000B10A0000}"/>
    <cellStyle name="Millares 3 15 3" xfId="10867" xr:uid="{00000000-0005-0000-0000-0000B20A0000}"/>
    <cellStyle name="Millares 3 16" xfId="1157" xr:uid="{00000000-0005-0000-0000-0000B30A0000}"/>
    <cellStyle name="Millares 3 16 2" xfId="7664" xr:uid="{00000000-0005-0000-0000-0000B40A0000}"/>
    <cellStyle name="Millares 3 16 2 2" xfId="11324" xr:uid="{00000000-0005-0000-0000-0000B50A0000}"/>
    <cellStyle name="Millares 3 16 3" xfId="10868" xr:uid="{00000000-0005-0000-0000-0000B60A0000}"/>
    <cellStyle name="Millares 3 17" xfId="1158" xr:uid="{00000000-0005-0000-0000-0000B70A0000}"/>
    <cellStyle name="Millares 3 17 2" xfId="7665" xr:uid="{00000000-0005-0000-0000-0000B80A0000}"/>
    <cellStyle name="Millares 3 17 2 2" xfId="11325" xr:uid="{00000000-0005-0000-0000-0000B90A0000}"/>
    <cellStyle name="Millares 3 17 3" xfId="10869" xr:uid="{00000000-0005-0000-0000-0000BA0A0000}"/>
    <cellStyle name="Millares 3 18" xfId="1159" xr:uid="{00000000-0005-0000-0000-0000BB0A0000}"/>
    <cellStyle name="Millares 3 18 2" xfId="7666" xr:uid="{00000000-0005-0000-0000-0000BC0A0000}"/>
    <cellStyle name="Millares 3 18 2 2" xfId="11326" xr:uid="{00000000-0005-0000-0000-0000BD0A0000}"/>
    <cellStyle name="Millares 3 18 3" xfId="10870" xr:uid="{00000000-0005-0000-0000-0000BE0A0000}"/>
    <cellStyle name="Millares 3 19" xfId="1160" xr:uid="{00000000-0005-0000-0000-0000BF0A0000}"/>
    <cellStyle name="Millares 3 19 2" xfId="7667" xr:uid="{00000000-0005-0000-0000-0000C00A0000}"/>
    <cellStyle name="Millares 3 19 2 2" xfId="11327" xr:uid="{00000000-0005-0000-0000-0000C10A0000}"/>
    <cellStyle name="Millares 3 19 3" xfId="10871" xr:uid="{00000000-0005-0000-0000-0000C20A0000}"/>
    <cellStyle name="Millares 3 2" xfId="97" xr:uid="{00000000-0005-0000-0000-0000C30A0000}"/>
    <cellStyle name="Millares 3 2 10" xfId="4228" xr:uid="{00000000-0005-0000-0000-0000C40A0000}"/>
    <cellStyle name="Millares 3 2 10 2" xfId="9663" xr:uid="{00000000-0005-0000-0000-0000C50A0000}"/>
    <cellStyle name="Millares 3 2 10 2 2" xfId="10364" xr:uid="{00000000-0005-0000-0000-0000C60A0000}"/>
    <cellStyle name="Millares 3 2 10 2 2 2" xfId="12099" xr:uid="{00000000-0005-0000-0000-0000C70A0000}"/>
    <cellStyle name="Millares 3 2 10 2 3" xfId="11452" xr:uid="{00000000-0005-0000-0000-0000C80A0000}"/>
    <cellStyle name="Millares 3 2 10 3" xfId="10067" xr:uid="{00000000-0005-0000-0000-0000C90A0000}"/>
    <cellStyle name="Millares 3 2 10 3 2" xfId="11803" xr:uid="{00000000-0005-0000-0000-0000CA0A0000}"/>
    <cellStyle name="Millares 3 2 10 4" xfId="11039" xr:uid="{00000000-0005-0000-0000-0000CB0A0000}"/>
    <cellStyle name="Millares 3 2 11" xfId="7668" xr:uid="{00000000-0005-0000-0000-0000CC0A0000}"/>
    <cellStyle name="Millares 3 2 11 2" xfId="11328" xr:uid="{00000000-0005-0000-0000-0000CD0A0000}"/>
    <cellStyle name="Millares 3 2 12" xfId="1161" xr:uid="{00000000-0005-0000-0000-0000CE0A0000}"/>
    <cellStyle name="Millares 3 2 12 2" xfId="10872" xr:uid="{00000000-0005-0000-0000-0000CF0A0000}"/>
    <cellStyle name="Millares 3 2 2" xfId="1162" xr:uid="{00000000-0005-0000-0000-0000D00A0000}"/>
    <cellStyle name="Millares 3 2 2 2" xfId="4279" xr:uid="{00000000-0005-0000-0000-0000D10A0000}"/>
    <cellStyle name="Millares 3 2 2 2 2" xfId="9714" xr:uid="{00000000-0005-0000-0000-0000D20A0000}"/>
    <cellStyle name="Millares 3 2 2 2 2 2" xfId="10415" xr:uid="{00000000-0005-0000-0000-0000D30A0000}"/>
    <cellStyle name="Millares 3 2 2 2 2 2 2" xfId="12150" xr:uid="{00000000-0005-0000-0000-0000D40A0000}"/>
    <cellStyle name="Millares 3 2 2 2 2 3" xfId="11503" xr:uid="{00000000-0005-0000-0000-0000D50A0000}"/>
    <cellStyle name="Millares 3 2 2 2 3" xfId="10118" xr:uid="{00000000-0005-0000-0000-0000D60A0000}"/>
    <cellStyle name="Millares 3 2 2 2 3 2" xfId="11854" xr:uid="{00000000-0005-0000-0000-0000D70A0000}"/>
    <cellStyle name="Millares 3 2 2 2 4" xfId="11090" xr:uid="{00000000-0005-0000-0000-0000D80A0000}"/>
    <cellStyle name="Millares 3 2 3" xfId="1163" xr:uid="{00000000-0005-0000-0000-0000D90A0000}"/>
    <cellStyle name="Millares 3 2 4" xfId="1164" xr:uid="{00000000-0005-0000-0000-0000DA0A0000}"/>
    <cellStyle name="Millares 3 2 5" xfId="1165" xr:uid="{00000000-0005-0000-0000-0000DB0A0000}"/>
    <cellStyle name="Millares 3 2 6" xfId="1166" xr:uid="{00000000-0005-0000-0000-0000DC0A0000}"/>
    <cellStyle name="Millares 3 2 7" xfId="1167" xr:uid="{00000000-0005-0000-0000-0000DD0A0000}"/>
    <cellStyle name="Millares 3 2 8" xfId="1168" xr:uid="{00000000-0005-0000-0000-0000DE0A0000}"/>
    <cellStyle name="Millares 3 2 9" xfId="4165" xr:uid="{00000000-0005-0000-0000-0000DF0A0000}"/>
    <cellStyle name="Millares 3 2 9 2" xfId="9611" xr:uid="{00000000-0005-0000-0000-0000E00A0000}"/>
    <cellStyle name="Millares 3 2 9 2 2" xfId="10313" xr:uid="{00000000-0005-0000-0000-0000E10A0000}"/>
    <cellStyle name="Millares 3 2 9 2 2 2" xfId="12048" xr:uid="{00000000-0005-0000-0000-0000E20A0000}"/>
    <cellStyle name="Millares 3 2 9 2 3" xfId="11401" xr:uid="{00000000-0005-0000-0000-0000E30A0000}"/>
    <cellStyle name="Millares 3 2 9 3" xfId="10016" xr:uid="{00000000-0005-0000-0000-0000E40A0000}"/>
    <cellStyle name="Millares 3 2 9 3 2" xfId="11752" xr:uid="{00000000-0005-0000-0000-0000E50A0000}"/>
    <cellStyle name="Millares 3 2 9 4" xfId="10979" xr:uid="{00000000-0005-0000-0000-0000E60A0000}"/>
    <cellStyle name="Millares 3 20" xfId="1169" xr:uid="{00000000-0005-0000-0000-0000E70A0000}"/>
    <cellStyle name="Millares 3 20 2" xfId="7669" xr:uid="{00000000-0005-0000-0000-0000E80A0000}"/>
    <cellStyle name="Millares 3 20 2 2" xfId="11329" xr:uid="{00000000-0005-0000-0000-0000E90A0000}"/>
    <cellStyle name="Millares 3 20 3" xfId="10873" xr:uid="{00000000-0005-0000-0000-0000EA0A0000}"/>
    <cellStyle name="Millares 3 21" xfId="1170" xr:uid="{00000000-0005-0000-0000-0000EB0A0000}"/>
    <cellStyle name="Millares 3 21 2" xfId="7670" xr:uid="{00000000-0005-0000-0000-0000EC0A0000}"/>
    <cellStyle name="Millares 3 21 2 2" xfId="11330" xr:uid="{00000000-0005-0000-0000-0000ED0A0000}"/>
    <cellStyle name="Millares 3 21 3" xfId="10874" xr:uid="{00000000-0005-0000-0000-0000EE0A0000}"/>
    <cellStyle name="Millares 3 22" xfId="1171" xr:uid="{00000000-0005-0000-0000-0000EF0A0000}"/>
    <cellStyle name="Millares 3 22 2" xfId="7671" xr:uid="{00000000-0005-0000-0000-0000F00A0000}"/>
    <cellStyle name="Millares 3 22 2 2" xfId="11331" xr:uid="{00000000-0005-0000-0000-0000F10A0000}"/>
    <cellStyle name="Millares 3 22 3" xfId="10875" xr:uid="{00000000-0005-0000-0000-0000F20A0000}"/>
    <cellStyle name="Millares 3 23" xfId="1172" xr:uid="{00000000-0005-0000-0000-0000F30A0000}"/>
    <cellStyle name="Millares 3 23 2" xfId="7672" xr:uid="{00000000-0005-0000-0000-0000F40A0000}"/>
    <cellStyle name="Millares 3 23 2 2" xfId="11332" xr:uid="{00000000-0005-0000-0000-0000F50A0000}"/>
    <cellStyle name="Millares 3 23 3" xfId="10876" xr:uid="{00000000-0005-0000-0000-0000F60A0000}"/>
    <cellStyle name="Millares 3 24" xfId="1173" xr:uid="{00000000-0005-0000-0000-0000F70A0000}"/>
    <cellStyle name="Millares 3 24 2" xfId="7673" xr:uid="{00000000-0005-0000-0000-0000F80A0000}"/>
    <cellStyle name="Millares 3 24 2 2" xfId="11333" xr:uid="{00000000-0005-0000-0000-0000F90A0000}"/>
    <cellStyle name="Millares 3 24 3" xfId="10877" xr:uid="{00000000-0005-0000-0000-0000FA0A0000}"/>
    <cellStyle name="Millares 3 25" xfId="1174" xr:uid="{00000000-0005-0000-0000-0000FB0A0000}"/>
    <cellStyle name="Millares 3 25 2" xfId="7674" xr:uid="{00000000-0005-0000-0000-0000FC0A0000}"/>
    <cellStyle name="Millares 3 25 2 2" xfId="11334" xr:uid="{00000000-0005-0000-0000-0000FD0A0000}"/>
    <cellStyle name="Millares 3 25 3" xfId="10878" xr:uid="{00000000-0005-0000-0000-0000FE0A0000}"/>
    <cellStyle name="Millares 3 26" xfId="1175" xr:uid="{00000000-0005-0000-0000-0000FF0A0000}"/>
    <cellStyle name="Millares 3 26 2" xfId="7675" xr:uid="{00000000-0005-0000-0000-0000000B0000}"/>
    <cellStyle name="Millares 3 26 2 2" xfId="11335" xr:uid="{00000000-0005-0000-0000-0000010B0000}"/>
    <cellStyle name="Millares 3 26 3" xfId="10879" xr:uid="{00000000-0005-0000-0000-0000020B0000}"/>
    <cellStyle name="Millares 3 27" xfId="1176" xr:uid="{00000000-0005-0000-0000-0000030B0000}"/>
    <cellStyle name="Millares 3 27 2" xfId="7676" xr:uid="{00000000-0005-0000-0000-0000040B0000}"/>
    <cellStyle name="Millares 3 27 2 2" xfId="11336" xr:uid="{00000000-0005-0000-0000-0000050B0000}"/>
    <cellStyle name="Millares 3 27 3" xfId="10880" xr:uid="{00000000-0005-0000-0000-0000060B0000}"/>
    <cellStyle name="Millares 3 28" xfId="1177" xr:uid="{00000000-0005-0000-0000-0000070B0000}"/>
    <cellStyle name="Millares 3 28 2" xfId="7677" xr:uid="{00000000-0005-0000-0000-0000080B0000}"/>
    <cellStyle name="Millares 3 28 2 2" xfId="11337" xr:uid="{00000000-0005-0000-0000-0000090B0000}"/>
    <cellStyle name="Millares 3 28 3" xfId="10881" xr:uid="{00000000-0005-0000-0000-00000A0B0000}"/>
    <cellStyle name="Millares 3 29" xfId="1178" xr:uid="{00000000-0005-0000-0000-00000B0B0000}"/>
    <cellStyle name="Millares 3 29 2" xfId="7678" xr:uid="{00000000-0005-0000-0000-00000C0B0000}"/>
    <cellStyle name="Millares 3 29 2 2" xfId="11338" xr:uid="{00000000-0005-0000-0000-00000D0B0000}"/>
    <cellStyle name="Millares 3 29 3" xfId="10882" xr:uid="{00000000-0005-0000-0000-00000E0B0000}"/>
    <cellStyle name="Millares 3 3" xfId="1179" xr:uid="{00000000-0005-0000-0000-00000F0B0000}"/>
    <cellStyle name="Millares 3 3 2" xfId="4125" xr:uid="{00000000-0005-0000-0000-0000100B0000}"/>
    <cellStyle name="Millares 3 3 2 2" xfId="4261" xr:uid="{00000000-0005-0000-0000-0000110B0000}"/>
    <cellStyle name="Millares 3 3 2 2 2" xfId="9696" xr:uid="{00000000-0005-0000-0000-0000120B0000}"/>
    <cellStyle name="Millares 3 3 2 2 2 2" xfId="10397" xr:uid="{00000000-0005-0000-0000-0000130B0000}"/>
    <cellStyle name="Millares 3 3 2 2 2 2 2" xfId="12132" xr:uid="{00000000-0005-0000-0000-0000140B0000}"/>
    <cellStyle name="Millares 3 3 2 2 2 3" xfId="11485" xr:uid="{00000000-0005-0000-0000-0000150B0000}"/>
    <cellStyle name="Millares 3 3 2 2 3" xfId="10100" xr:uid="{00000000-0005-0000-0000-0000160B0000}"/>
    <cellStyle name="Millares 3 3 2 2 3 2" xfId="11836" xr:uid="{00000000-0005-0000-0000-0000170B0000}"/>
    <cellStyle name="Millares 3 3 2 2 4" xfId="11072" xr:uid="{00000000-0005-0000-0000-0000180B0000}"/>
    <cellStyle name="Millares 3 3 2 3" xfId="9592" xr:uid="{00000000-0005-0000-0000-0000190B0000}"/>
    <cellStyle name="Millares 3 3 2 3 2" xfId="10295" xr:uid="{00000000-0005-0000-0000-00001A0B0000}"/>
    <cellStyle name="Millares 3 3 2 3 2 2" xfId="12030" xr:uid="{00000000-0005-0000-0000-00001B0B0000}"/>
    <cellStyle name="Millares 3 3 2 3 3" xfId="11383" xr:uid="{00000000-0005-0000-0000-00001C0B0000}"/>
    <cellStyle name="Millares 3 3 2 4" xfId="9998" xr:uid="{00000000-0005-0000-0000-00001D0B0000}"/>
    <cellStyle name="Millares 3 3 2 4 2" xfId="11734" xr:uid="{00000000-0005-0000-0000-00001E0B0000}"/>
    <cellStyle name="Millares 3 3 2 5" xfId="10958" xr:uid="{00000000-0005-0000-0000-00001F0B0000}"/>
    <cellStyle name="Millares 3 3 3" xfId="4210" xr:uid="{00000000-0005-0000-0000-0000200B0000}"/>
    <cellStyle name="Millares 3 3 3 2" xfId="9645" xr:uid="{00000000-0005-0000-0000-0000210B0000}"/>
    <cellStyle name="Millares 3 3 3 2 2" xfId="10346" xr:uid="{00000000-0005-0000-0000-0000220B0000}"/>
    <cellStyle name="Millares 3 3 3 2 2 2" xfId="12081" xr:uid="{00000000-0005-0000-0000-0000230B0000}"/>
    <cellStyle name="Millares 3 3 3 2 3" xfId="11434" xr:uid="{00000000-0005-0000-0000-0000240B0000}"/>
    <cellStyle name="Millares 3 3 3 3" xfId="10049" xr:uid="{00000000-0005-0000-0000-0000250B0000}"/>
    <cellStyle name="Millares 3 3 3 3 2" xfId="11785" xr:uid="{00000000-0005-0000-0000-0000260B0000}"/>
    <cellStyle name="Millares 3 3 3 4" xfId="11021" xr:uid="{00000000-0005-0000-0000-0000270B0000}"/>
    <cellStyle name="Millares 3 3 4" xfId="7679" xr:uid="{00000000-0005-0000-0000-0000280B0000}"/>
    <cellStyle name="Millares 3 3 4 2" xfId="11339" xr:uid="{00000000-0005-0000-0000-0000290B0000}"/>
    <cellStyle name="Millares 3 3 5" xfId="10883" xr:uid="{00000000-0005-0000-0000-00002A0B0000}"/>
    <cellStyle name="Millares 3 30" xfId="1180" xr:uid="{00000000-0005-0000-0000-00002B0B0000}"/>
    <cellStyle name="Millares 3 30 2" xfId="7680" xr:uid="{00000000-0005-0000-0000-00002C0B0000}"/>
    <cellStyle name="Millares 3 30 2 2" xfId="11340" xr:uid="{00000000-0005-0000-0000-00002D0B0000}"/>
    <cellStyle name="Millares 3 30 3" xfId="10884" xr:uid="{00000000-0005-0000-0000-00002E0B0000}"/>
    <cellStyle name="Millares 3 31" xfId="4092" xr:uid="{00000000-0005-0000-0000-00002F0B0000}"/>
    <cellStyle name="Millares 3 31 2" xfId="9576" xr:uid="{00000000-0005-0000-0000-0000300B0000}"/>
    <cellStyle name="Millares 3 31 2 2" xfId="10279" xr:uid="{00000000-0005-0000-0000-0000310B0000}"/>
    <cellStyle name="Millares 3 31 2 2 2" xfId="12014" xr:uid="{00000000-0005-0000-0000-0000320B0000}"/>
    <cellStyle name="Millares 3 31 2 3" xfId="11367" xr:uid="{00000000-0005-0000-0000-0000330B0000}"/>
    <cellStyle name="Millares 3 31 3" xfId="9982" xr:uid="{00000000-0005-0000-0000-0000340B0000}"/>
    <cellStyle name="Millares 3 31 3 2" xfId="11718" xr:uid="{00000000-0005-0000-0000-0000350B0000}"/>
    <cellStyle name="Millares 3 31 4" xfId="10941" xr:uid="{00000000-0005-0000-0000-0000360B0000}"/>
    <cellStyle name="Millares 3 32" xfId="4194" xr:uid="{00000000-0005-0000-0000-0000370B0000}"/>
    <cellStyle name="Millares 3 32 2" xfId="9629" xr:uid="{00000000-0005-0000-0000-0000380B0000}"/>
    <cellStyle name="Millares 3 32 2 2" xfId="10330" xr:uid="{00000000-0005-0000-0000-0000390B0000}"/>
    <cellStyle name="Millares 3 32 2 2 2" xfId="12065" xr:uid="{00000000-0005-0000-0000-00003A0B0000}"/>
    <cellStyle name="Millares 3 32 2 3" xfId="11418" xr:uid="{00000000-0005-0000-0000-00003B0B0000}"/>
    <cellStyle name="Millares 3 32 3" xfId="10033" xr:uid="{00000000-0005-0000-0000-00003C0B0000}"/>
    <cellStyle name="Millares 3 32 3 2" xfId="11769" xr:uid="{00000000-0005-0000-0000-00003D0B0000}"/>
    <cellStyle name="Millares 3 32 4" xfId="11005" xr:uid="{00000000-0005-0000-0000-00003E0B0000}"/>
    <cellStyle name="Millares 3 33" xfId="4285" xr:uid="{00000000-0005-0000-0000-00003F0B0000}"/>
    <cellStyle name="Millares 3 33 2" xfId="11095" xr:uid="{00000000-0005-0000-0000-0000400B0000}"/>
    <cellStyle name="Millares 3 34" xfId="7659" xr:uid="{00000000-0005-0000-0000-0000410B0000}"/>
    <cellStyle name="Millares 3 34 2" xfId="10248" xr:uid="{00000000-0005-0000-0000-0000420B0000}"/>
    <cellStyle name="Millares 3 34 2 2" xfId="11983" xr:uid="{00000000-0005-0000-0000-0000430B0000}"/>
    <cellStyle name="Millares 3 34 3" xfId="11319" xr:uid="{00000000-0005-0000-0000-0000440B0000}"/>
    <cellStyle name="Millares 3 35" xfId="1150" xr:uid="{00000000-0005-0000-0000-0000450B0000}"/>
    <cellStyle name="Millares 3 35 2" xfId="10863" xr:uid="{00000000-0005-0000-0000-0000460B0000}"/>
    <cellStyle name="Millares 3 36" xfId="9906" xr:uid="{00000000-0005-0000-0000-0000470B0000}"/>
    <cellStyle name="Millares 3 36 2" xfId="11656" xr:uid="{00000000-0005-0000-0000-0000480B0000}"/>
    <cellStyle name="Millares 3 37" xfId="9946" xr:uid="{00000000-0005-0000-0000-0000490B0000}"/>
    <cellStyle name="Millares 3 37 2" xfId="11682" xr:uid="{00000000-0005-0000-0000-00004A0B0000}"/>
    <cellStyle name="Millares 3 38" xfId="10642" xr:uid="{00000000-0005-0000-0000-00004B0B0000}"/>
    <cellStyle name="Millares 3 4" xfId="1181" xr:uid="{00000000-0005-0000-0000-00004C0B0000}"/>
    <cellStyle name="Millares 3 4 2" xfId="4245" xr:uid="{00000000-0005-0000-0000-00004D0B0000}"/>
    <cellStyle name="Millares 3 4 2 2" xfId="9680" xr:uid="{00000000-0005-0000-0000-00004E0B0000}"/>
    <cellStyle name="Millares 3 4 2 2 2" xfId="10381" xr:uid="{00000000-0005-0000-0000-00004F0B0000}"/>
    <cellStyle name="Millares 3 4 2 2 2 2" xfId="12116" xr:uid="{00000000-0005-0000-0000-0000500B0000}"/>
    <cellStyle name="Millares 3 4 2 2 3" xfId="11469" xr:uid="{00000000-0005-0000-0000-0000510B0000}"/>
    <cellStyle name="Millares 3 4 2 3" xfId="10084" xr:uid="{00000000-0005-0000-0000-0000520B0000}"/>
    <cellStyle name="Millares 3 4 2 3 2" xfId="11820" xr:uid="{00000000-0005-0000-0000-0000530B0000}"/>
    <cellStyle name="Millares 3 4 2 4" xfId="11056" xr:uid="{00000000-0005-0000-0000-0000540B0000}"/>
    <cellStyle name="Millares 3 4 3" xfId="7681" xr:uid="{00000000-0005-0000-0000-0000550B0000}"/>
    <cellStyle name="Millares 3 4 3 2" xfId="11341" xr:uid="{00000000-0005-0000-0000-0000560B0000}"/>
    <cellStyle name="Millares 3 4 4" xfId="10885" xr:uid="{00000000-0005-0000-0000-0000570B0000}"/>
    <cellStyle name="Millares 3 5" xfId="1182" xr:uid="{00000000-0005-0000-0000-0000580B0000}"/>
    <cellStyle name="Millares 3 6" xfId="1183" xr:uid="{00000000-0005-0000-0000-0000590B0000}"/>
    <cellStyle name="Millares 3 7" xfId="1184" xr:uid="{00000000-0005-0000-0000-00005A0B0000}"/>
    <cellStyle name="Millares 3 8" xfId="1185" xr:uid="{00000000-0005-0000-0000-00005B0B0000}"/>
    <cellStyle name="Millares 3 9" xfId="1186" xr:uid="{00000000-0005-0000-0000-00005C0B0000}"/>
    <cellStyle name="Millares 30" xfId="10565" xr:uid="{00000000-0005-0000-0000-00005D0B0000}"/>
    <cellStyle name="Millares 30 2" xfId="12300" xr:uid="{00000000-0005-0000-0000-00005E0B0000}"/>
    <cellStyle name="Millares 31" xfId="11674" xr:uid="{00000000-0005-0000-0000-00005F0B0000}"/>
    <cellStyle name="Millares 4" xfId="81" xr:uid="{00000000-0005-0000-0000-0000600B0000}"/>
    <cellStyle name="Millares 4 10" xfId="4353" xr:uid="{00000000-0005-0000-0000-0000610B0000}"/>
    <cellStyle name="Millares 4 10 2" xfId="10164" xr:uid="{00000000-0005-0000-0000-0000620B0000}"/>
    <cellStyle name="Millares 4 10 2 2" xfId="11900" xr:uid="{00000000-0005-0000-0000-0000630B0000}"/>
    <cellStyle name="Millares 4 10 3" xfId="11157" xr:uid="{00000000-0005-0000-0000-0000640B0000}"/>
    <cellStyle name="Millares 4 11" xfId="1187" xr:uid="{00000000-0005-0000-0000-0000650B0000}"/>
    <cellStyle name="Millares 4 11 2" xfId="10886" xr:uid="{00000000-0005-0000-0000-0000660B0000}"/>
    <cellStyle name="Millares 4 12" xfId="9947" xr:uid="{00000000-0005-0000-0000-0000670B0000}"/>
    <cellStyle name="Millares 4 12 2" xfId="11683" xr:uid="{00000000-0005-0000-0000-0000680B0000}"/>
    <cellStyle name="Millares 4 13" xfId="10653" xr:uid="{00000000-0005-0000-0000-0000690B0000}"/>
    <cellStyle name="Millares 4 2" xfId="98" xr:uid="{00000000-0005-0000-0000-00006A0B0000}"/>
    <cellStyle name="Millares 4 2 2" xfId="1188" xr:uid="{00000000-0005-0000-0000-00006B0B0000}"/>
    <cellStyle name="Millares 4 2 2 2" xfId="10887" xr:uid="{00000000-0005-0000-0000-00006C0B0000}"/>
    <cellStyle name="Millares 4 2 3" xfId="10655" xr:uid="{00000000-0005-0000-0000-00006D0B0000}"/>
    <cellStyle name="Millares 4 3" xfId="1189" xr:uid="{00000000-0005-0000-0000-00006E0B0000}"/>
    <cellStyle name="Millares 4 3 2" xfId="10888" xr:uid="{00000000-0005-0000-0000-00006F0B0000}"/>
    <cellStyle name="Millares 4 4" xfId="1190" xr:uid="{00000000-0005-0000-0000-0000700B0000}"/>
    <cellStyle name="Millares 4 4 2" xfId="10889" xr:uid="{00000000-0005-0000-0000-0000710B0000}"/>
    <cellStyle name="Millares 4 5" xfId="1191" xr:uid="{00000000-0005-0000-0000-0000720B0000}"/>
    <cellStyle name="Millares 4 5 2" xfId="10890" xr:uid="{00000000-0005-0000-0000-0000730B0000}"/>
    <cellStyle name="Millares 4 6" xfId="1192" xr:uid="{00000000-0005-0000-0000-0000740B0000}"/>
    <cellStyle name="Millares 4 6 2" xfId="10891" xr:uid="{00000000-0005-0000-0000-0000750B0000}"/>
    <cellStyle name="Millares 4 7" xfId="1193" xr:uid="{00000000-0005-0000-0000-0000760B0000}"/>
    <cellStyle name="Millares 4 7 2" xfId="10892" xr:uid="{00000000-0005-0000-0000-0000770B0000}"/>
    <cellStyle name="Millares 4 8" xfId="1194" xr:uid="{00000000-0005-0000-0000-0000780B0000}"/>
    <cellStyle name="Millares 4 8 2" xfId="10893" xr:uid="{00000000-0005-0000-0000-0000790B0000}"/>
    <cellStyle name="Millares 4 9" xfId="4130" xr:uid="{00000000-0005-0000-0000-00007A0B0000}"/>
    <cellStyle name="Millares 4 9 2" xfId="10962" xr:uid="{00000000-0005-0000-0000-00007B0B0000}"/>
    <cellStyle name="Millares 5" xfId="99" xr:uid="{00000000-0005-0000-0000-00007C0B0000}"/>
    <cellStyle name="Millares 5 10" xfId="7682" xr:uid="{00000000-0005-0000-0000-00007D0B0000}"/>
    <cellStyle name="Millares 5 10 2" xfId="10249" xr:uid="{00000000-0005-0000-0000-00007E0B0000}"/>
    <cellStyle name="Millares 5 10 2 2" xfId="11984" xr:uid="{00000000-0005-0000-0000-00007F0B0000}"/>
    <cellStyle name="Millares 5 10 3" xfId="11342" xr:uid="{00000000-0005-0000-0000-0000800B0000}"/>
    <cellStyle name="Millares 5 11" xfId="1195" xr:uid="{00000000-0005-0000-0000-0000810B0000}"/>
    <cellStyle name="Millares 5 11 2" xfId="10894" xr:uid="{00000000-0005-0000-0000-0000820B0000}"/>
    <cellStyle name="Millares 5 12" xfId="9948" xr:uid="{00000000-0005-0000-0000-0000830B0000}"/>
    <cellStyle name="Millares 5 12 2" xfId="11684" xr:uid="{00000000-0005-0000-0000-0000840B0000}"/>
    <cellStyle name="Millares 5 13" xfId="10556" xr:uid="{00000000-0005-0000-0000-0000850B0000}"/>
    <cellStyle name="Millares 5 13 2" xfId="12291" xr:uid="{00000000-0005-0000-0000-0000860B0000}"/>
    <cellStyle name="Millares 5 2" xfId="1196" xr:uid="{00000000-0005-0000-0000-0000870B0000}"/>
    <cellStyle name="Millares 5 2 2" xfId="10895" xr:uid="{00000000-0005-0000-0000-0000880B0000}"/>
    <cellStyle name="Millares 5 3" xfId="1197" xr:uid="{00000000-0005-0000-0000-0000890B0000}"/>
    <cellStyle name="Millares 5 3 2" xfId="10896" xr:uid="{00000000-0005-0000-0000-00008A0B0000}"/>
    <cellStyle name="Millares 5 4" xfId="1198" xr:uid="{00000000-0005-0000-0000-00008B0B0000}"/>
    <cellStyle name="Millares 5 4 2" xfId="10897" xr:uid="{00000000-0005-0000-0000-00008C0B0000}"/>
    <cellStyle name="Millares 5 5" xfId="1199" xr:uid="{00000000-0005-0000-0000-00008D0B0000}"/>
    <cellStyle name="Millares 5 5 2" xfId="10898" xr:uid="{00000000-0005-0000-0000-00008E0B0000}"/>
    <cellStyle name="Millares 5 6" xfId="1200" xr:uid="{00000000-0005-0000-0000-00008F0B0000}"/>
    <cellStyle name="Millares 5 6 2" xfId="10899" xr:uid="{00000000-0005-0000-0000-0000900B0000}"/>
    <cellStyle name="Millares 5 7" xfId="1201" xr:uid="{00000000-0005-0000-0000-0000910B0000}"/>
    <cellStyle name="Millares 5 7 2" xfId="10900" xr:uid="{00000000-0005-0000-0000-0000920B0000}"/>
    <cellStyle name="Millares 5 8" xfId="1202" xr:uid="{00000000-0005-0000-0000-0000930B0000}"/>
    <cellStyle name="Millares 5 8 2" xfId="10901" xr:uid="{00000000-0005-0000-0000-0000940B0000}"/>
    <cellStyle name="Millares 5 9" xfId="4167" xr:uid="{00000000-0005-0000-0000-0000950B0000}"/>
    <cellStyle name="Millares 5 9 2" xfId="10981" xr:uid="{00000000-0005-0000-0000-0000960B0000}"/>
    <cellStyle name="Millares 6" xfId="130" xr:uid="{00000000-0005-0000-0000-0000970B0000}"/>
    <cellStyle name="Millares 6 10" xfId="7573" xr:uid="{00000000-0005-0000-0000-0000980B0000}"/>
    <cellStyle name="Millares 6 10 2" xfId="10231" xr:uid="{00000000-0005-0000-0000-0000990B0000}"/>
    <cellStyle name="Millares 6 10 2 2" xfId="11967" xr:uid="{00000000-0005-0000-0000-00009A0B0000}"/>
    <cellStyle name="Millares 6 10 3" xfId="11241" xr:uid="{00000000-0005-0000-0000-00009B0B0000}"/>
    <cellStyle name="Millares 6 11" xfId="1203" xr:uid="{00000000-0005-0000-0000-00009C0B0000}"/>
    <cellStyle name="Millares 6 11 2" xfId="10902" xr:uid="{00000000-0005-0000-0000-00009D0B0000}"/>
    <cellStyle name="Millares 6 12" xfId="9949" xr:uid="{00000000-0005-0000-0000-00009E0B0000}"/>
    <cellStyle name="Millares 6 12 2" xfId="11685" xr:uid="{00000000-0005-0000-0000-00009F0B0000}"/>
    <cellStyle name="Millares 6 13" xfId="9955" xr:uid="{00000000-0005-0000-0000-0000A00B0000}"/>
    <cellStyle name="Millares 6 13 2" xfId="11691" xr:uid="{00000000-0005-0000-0000-0000A10B0000}"/>
    <cellStyle name="Millares 6 14" xfId="10564" xr:uid="{00000000-0005-0000-0000-0000A20B0000}"/>
    <cellStyle name="Millares 6 14 2" xfId="12299" xr:uid="{00000000-0005-0000-0000-0000A30B0000}"/>
    <cellStyle name="Millares 6 15" xfId="10666" xr:uid="{00000000-0005-0000-0000-0000A40B0000}"/>
    <cellStyle name="Millares 6 2" xfId="1204" xr:uid="{00000000-0005-0000-0000-0000A50B0000}"/>
    <cellStyle name="Millares 6 2 2" xfId="10535" xr:uid="{00000000-0005-0000-0000-0000A60B0000}"/>
    <cellStyle name="Millares 6 2 2 2" xfId="12270" xr:uid="{00000000-0005-0000-0000-0000A70B0000}"/>
    <cellStyle name="Millares 6 2 3" xfId="10577" xr:uid="{00000000-0005-0000-0000-0000A80B0000}"/>
    <cellStyle name="Millares 6 2 3 2" xfId="12312" xr:uid="{00000000-0005-0000-0000-0000A90B0000}"/>
    <cellStyle name="Millares 6 3" xfId="1205" xr:uid="{00000000-0005-0000-0000-0000AA0B0000}"/>
    <cellStyle name="Millares 6 4" xfId="1206" xr:uid="{00000000-0005-0000-0000-0000AB0B0000}"/>
    <cellStyle name="Millares 6 5" xfId="1207" xr:uid="{00000000-0005-0000-0000-0000AC0B0000}"/>
    <cellStyle name="Millares 6 6" xfId="1208" xr:uid="{00000000-0005-0000-0000-0000AD0B0000}"/>
    <cellStyle name="Millares 6 7" xfId="1209" xr:uid="{00000000-0005-0000-0000-0000AE0B0000}"/>
    <cellStyle name="Millares 6 8" xfId="1210" xr:uid="{00000000-0005-0000-0000-0000AF0B0000}"/>
    <cellStyle name="Millares 6 9" xfId="4171" xr:uid="{00000000-0005-0000-0000-0000B00B0000}"/>
    <cellStyle name="Millares 6 9 2" xfId="10985" xr:uid="{00000000-0005-0000-0000-0000B10B0000}"/>
    <cellStyle name="Millares 7" xfId="132" xr:uid="{00000000-0005-0000-0000-0000B20B0000}"/>
    <cellStyle name="Millares 7 10" xfId="7574" xr:uid="{00000000-0005-0000-0000-0000B30B0000}"/>
    <cellStyle name="Millares 7 10 2" xfId="10232" xr:uid="{00000000-0005-0000-0000-0000B40B0000}"/>
    <cellStyle name="Millares 7 10 2 2" xfId="11968" xr:uid="{00000000-0005-0000-0000-0000B50B0000}"/>
    <cellStyle name="Millares 7 10 3" xfId="11242" xr:uid="{00000000-0005-0000-0000-0000B60B0000}"/>
    <cellStyle name="Millares 7 11" xfId="1211" xr:uid="{00000000-0005-0000-0000-0000B70B0000}"/>
    <cellStyle name="Millares 7 11 2" xfId="10903" xr:uid="{00000000-0005-0000-0000-0000B80B0000}"/>
    <cellStyle name="Millares 7 12" xfId="9950" xr:uid="{00000000-0005-0000-0000-0000B90B0000}"/>
    <cellStyle name="Millares 7 12 2" xfId="11686" xr:uid="{00000000-0005-0000-0000-0000BA0B0000}"/>
    <cellStyle name="Millares 7 13" xfId="10667" xr:uid="{00000000-0005-0000-0000-0000BB0B0000}"/>
    <cellStyle name="Millares 7 2" xfId="1212" xr:uid="{00000000-0005-0000-0000-0000BC0B0000}"/>
    <cellStyle name="Millares 7 3" xfId="1213" xr:uid="{00000000-0005-0000-0000-0000BD0B0000}"/>
    <cellStyle name="Millares 7 4" xfId="1214" xr:uid="{00000000-0005-0000-0000-0000BE0B0000}"/>
    <cellStyle name="Millares 7 5" xfId="1215" xr:uid="{00000000-0005-0000-0000-0000BF0B0000}"/>
    <cellStyle name="Millares 7 6" xfId="1216" xr:uid="{00000000-0005-0000-0000-0000C00B0000}"/>
    <cellStyle name="Millares 7 7" xfId="1217" xr:uid="{00000000-0005-0000-0000-0000C10B0000}"/>
    <cellStyle name="Millares 7 8" xfId="1218" xr:uid="{00000000-0005-0000-0000-0000C20B0000}"/>
    <cellStyle name="Millares 7 9" xfId="4169" xr:uid="{00000000-0005-0000-0000-0000C30B0000}"/>
    <cellStyle name="Millares 7 9 2" xfId="10983" xr:uid="{00000000-0005-0000-0000-0000C40B0000}"/>
    <cellStyle name="Millares 8" xfId="194" xr:uid="{00000000-0005-0000-0000-0000C50B0000}"/>
    <cellStyle name="Millares 8 10" xfId="4355" xr:uid="{00000000-0005-0000-0000-0000C60B0000}"/>
    <cellStyle name="Millares 8 10 2" xfId="10166" xr:uid="{00000000-0005-0000-0000-0000C70B0000}"/>
    <cellStyle name="Millares 8 10 2 2" xfId="11902" xr:uid="{00000000-0005-0000-0000-0000C80B0000}"/>
    <cellStyle name="Millares 8 10 3" xfId="11159" xr:uid="{00000000-0005-0000-0000-0000C90B0000}"/>
    <cellStyle name="Millares 8 11" xfId="1219" xr:uid="{00000000-0005-0000-0000-0000CA0B0000}"/>
    <cellStyle name="Millares 8 11 2" xfId="10904" xr:uid="{00000000-0005-0000-0000-0000CB0B0000}"/>
    <cellStyle name="Millares 8 12" xfId="9951" xr:uid="{00000000-0005-0000-0000-0000CC0B0000}"/>
    <cellStyle name="Millares 8 12 2" xfId="11687" xr:uid="{00000000-0005-0000-0000-0000CD0B0000}"/>
    <cellStyle name="Millares 8 13" xfId="10714" xr:uid="{00000000-0005-0000-0000-0000CE0B0000}"/>
    <cellStyle name="Millares 8 2" xfId="1220" xr:uid="{00000000-0005-0000-0000-0000CF0B0000}"/>
    <cellStyle name="Millares 8 3" xfId="1221" xr:uid="{00000000-0005-0000-0000-0000D00B0000}"/>
    <cellStyle name="Millares 8 4" xfId="1222" xr:uid="{00000000-0005-0000-0000-0000D10B0000}"/>
    <cellStyle name="Millares 8 5" xfId="1223" xr:uid="{00000000-0005-0000-0000-0000D20B0000}"/>
    <cellStyle name="Millares 8 6" xfId="1224" xr:uid="{00000000-0005-0000-0000-0000D30B0000}"/>
    <cellStyle name="Millares 8 7" xfId="1225" xr:uid="{00000000-0005-0000-0000-0000D40B0000}"/>
    <cellStyle name="Millares 8 8" xfId="1226" xr:uid="{00000000-0005-0000-0000-0000D50B0000}"/>
    <cellStyle name="Millares 8 9" xfId="4173" xr:uid="{00000000-0005-0000-0000-0000D60B0000}"/>
    <cellStyle name="Millares 8 9 2" xfId="10987" xr:uid="{00000000-0005-0000-0000-0000D70B0000}"/>
    <cellStyle name="Millares 9" xfId="1227" xr:uid="{00000000-0005-0000-0000-0000D80B0000}"/>
    <cellStyle name="Millares 9 10" xfId="10905" xr:uid="{00000000-0005-0000-0000-0000D90B0000}"/>
    <cellStyle name="Millares 9 2" xfId="1228" xr:uid="{00000000-0005-0000-0000-0000DA0B0000}"/>
    <cellStyle name="Millares 9 2 2" xfId="10906" xr:uid="{00000000-0005-0000-0000-0000DB0B0000}"/>
    <cellStyle name="Millares 9 3" xfId="1229" xr:uid="{00000000-0005-0000-0000-0000DC0B0000}"/>
    <cellStyle name="Millares 9 3 2" xfId="10907" xr:uid="{00000000-0005-0000-0000-0000DD0B0000}"/>
    <cellStyle name="Millares 9 4" xfId="1230" xr:uid="{00000000-0005-0000-0000-0000DE0B0000}"/>
    <cellStyle name="Millares 9 4 2" xfId="10908" xr:uid="{00000000-0005-0000-0000-0000DF0B0000}"/>
    <cellStyle name="Millares 9 5" xfId="1231" xr:uid="{00000000-0005-0000-0000-0000E00B0000}"/>
    <cellStyle name="Millares 9 5 2" xfId="10909" xr:uid="{00000000-0005-0000-0000-0000E10B0000}"/>
    <cellStyle name="Millares 9 6" xfId="1232" xr:uid="{00000000-0005-0000-0000-0000E20B0000}"/>
    <cellStyle name="Millares 9 6 2" xfId="10910" xr:uid="{00000000-0005-0000-0000-0000E30B0000}"/>
    <cellStyle name="Millares 9 7" xfId="1233" xr:uid="{00000000-0005-0000-0000-0000E40B0000}"/>
    <cellStyle name="Millares 9 7 2" xfId="10911" xr:uid="{00000000-0005-0000-0000-0000E50B0000}"/>
    <cellStyle name="Millares 9 8" xfId="1234" xr:uid="{00000000-0005-0000-0000-0000E60B0000}"/>
    <cellStyle name="Millares 9 8 2" xfId="10912" xr:uid="{00000000-0005-0000-0000-0000E70B0000}"/>
    <cellStyle name="Millares 9 9" xfId="4057" xr:uid="{00000000-0005-0000-0000-0000E80B0000}"/>
    <cellStyle name="Millares 9 9 2" xfId="10924" xr:uid="{00000000-0005-0000-0000-0000E90B0000}"/>
    <cellStyle name="Moneda 10" xfId="4291" xr:uid="{00000000-0005-0000-0000-0000EA0B0000}"/>
    <cellStyle name="Moneda 10 2" xfId="11100" xr:uid="{00000000-0005-0000-0000-0000EB0B0000}"/>
    <cellStyle name="Moneda 11" xfId="4290" xr:uid="{00000000-0005-0000-0000-0000EC0B0000}"/>
    <cellStyle name="Moneda 11 2" xfId="11099" xr:uid="{00000000-0005-0000-0000-0000ED0B0000}"/>
    <cellStyle name="Moneda 12" xfId="4292" xr:uid="{00000000-0005-0000-0000-0000EE0B0000}"/>
    <cellStyle name="Moneda 12 2" xfId="11101" xr:uid="{00000000-0005-0000-0000-0000EF0B0000}"/>
    <cellStyle name="Moneda 2" xfId="100" xr:uid="{00000000-0005-0000-0000-0000F00B0000}"/>
    <cellStyle name="Moneda 2 10" xfId="1235" xr:uid="{00000000-0005-0000-0000-0000F10B0000}"/>
    <cellStyle name="Moneda 2 10 2" xfId="10913" xr:uid="{00000000-0005-0000-0000-0000F20B0000}"/>
    <cellStyle name="Moneda 2 11" xfId="10656" xr:uid="{00000000-0005-0000-0000-0000F30B0000}"/>
    <cellStyle name="Moneda 2 2" xfId="101" xr:uid="{00000000-0005-0000-0000-0000F40B0000}"/>
    <cellStyle name="Moneda 2 2 2" xfId="4141" xr:uid="{00000000-0005-0000-0000-0000F50B0000}"/>
    <cellStyle name="Moneda 2 2 2 2" xfId="10968" xr:uid="{00000000-0005-0000-0000-0000F60B0000}"/>
    <cellStyle name="Moneda 2 2 3" xfId="1236" xr:uid="{00000000-0005-0000-0000-0000F70B0000}"/>
    <cellStyle name="Moneda 2 2 4" xfId="10657" xr:uid="{00000000-0005-0000-0000-0000F80B0000}"/>
    <cellStyle name="Moneda 2 3" xfId="1237" xr:uid="{00000000-0005-0000-0000-0000F90B0000}"/>
    <cellStyle name="Moneda 2 3 2" xfId="4101" xr:uid="{00000000-0005-0000-0000-0000FA0B0000}"/>
    <cellStyle name="Moneda 2 3 2 2" xfId="10947" xr:uid="{00000000-0005-0000-0000-0000FB0B0000}"/>
    <cellStyle name="Moneda 2 4" xfId="1238" xr:uid="{00000000-0005-0000-0000-0000FC0B0000}"/>
    <cellStyle name="Moneda 2 5" xfId="1239" xr:uid="{00000000-0005-0000-0000-0000FD0B0000}"/>
    <cellStyle name="Moneda 2 6" xfId="1240" xr:uid="{00000000-0005-0000-0000-0000FE0B0000}"/>
    <cellStyle name="Moneda 2 7" xfId="1241" xr:uid="{00000000-0005-0000-0000-0000FF0B0000}"/>
    <cellStyle name="Moneda 2 8" xfId="1242" xr:uid="{00000000-0005-0000-0000-0000000C0000}"/>
    <cellStyle name="Moneda 2 9" xfId="4067" xr:uid="{00000000-0005-0000-0000-0000010C0000}"/>
    <cellStyle name="Moneda 2 9 2" xfId="10930" xr:uid="{00000000-0005-0000-0000-0000020C0000}"/>
    <cellStyle name="Moneda 3" xfId="102" xr:uid="{00000000-0005-0000-0000-0000030C0000}"/>
    <cellStyle name="Moneda 3 2" xfId="4132" xr:uid="{00000000-0005-0000-0000-0000040C0000}"/>
    <cellStyle name="Moneda 3 2 2" xfId="10964" xr:uid="{00000000-0005-0000-0000-0000050C0000}"/>
    <cellStyle name="Moneda 3 3" xfId="4046" xr:uid="{00000000-0005-0000-0000-0000060C0000}"/>
    <cellStyle name="Moneda 3 4" xfId="10658" xr:uid="{00000000-0005-0000-0000-0000070C0000}"/>
    <cellStyle name="Moneda 4" xfId="103" xr:uid="{00000000-0005-0000-0000-0000080C0000}"/>
    <cellStyle name="Moneda 4 2" xfId="10659" xr:uid="{00000000-0005-0000-0000-0000090C0000}"/>
    <cellStyle name="Moneda 5" xfId="4170" xr:uid="{00000000-0005-0000-0000-00000A0C0000}"/>
    <cellStyle name="Moneda 5 2" xfId="10984" xr:uid="{00000000-0005-0000-0000-00000B0C0000}"/>
    <cellStyle name="Moneda 6" xfId="4168" xr:uid="{00000000-0005-0000-0000-00000C0C0000}"/>
    <cellStyle name="Moneda 6 2" xfId="10982" xr:uid="{00000000-0005-0000-0000-00000D0C0000}"/>
    <cellStyle name="Moneda 7" xfId="4172" xr:uid="{00000000-0005-0000-0000-00000E0C0000}"/>
    <cellStyle name="Moneda 7 2" xfId="10986" xr:uid="{00000000-0005-0000-0000-00000F0C0000}"/>
    <cellStyle name="Moneda 8" xfId="4059" xr:uid="{00000000-0005-0000-0000-0000100C0000}"/>
    <cellStyle name="Moneda 8 2" xfId="10926" xr:uid="{00000000-0005-0000-0000-0000110C0000}"/>
    <cellStyle name="Moneda 9" xfId="4178" xr:uid="{00000000-0005-0000-0000-0000120C0000}"/>
    <cellStyle name="Moneda 9 2" xfId="10991" xr:uid="{00000000-0005-0000-0000-0000130C0000}"/>
    <cellStyle name="Monetario" xfId="77" xr:uid="{00000000-0005-0000-0000-0000140C0000}"/>
    <cellStyle name="Monetario 2" xfId="104" xr:uid="{00000000-0005-0000-0000-0000150C0000}"/>
    <cellStyle name="Monetario 3" xfId="1243" xr:uid="{00000000-0005-0000-0000-0000160C0000}"/>
    <cellStyle name="Monetario0" xfId="1244" xr:uid="{00000000-0005-0000-0000-0000170C0000}"/>
    <cellStyle name="Neutral" xfId="37" builtinId="28" customBuiltin="1"/>
    <cellStyle name="Neutral 2" xfId="9907" xr:uid="{00000000-0005-0000-0000-0000190C0000}"/>
    <cellStyle name="Neutral 3" xfId="10643" xr:uid="{00000000-0005-0000-0000-00001A0C0000}"/>
    <cellStyle name="Normal" xfId="0" builtinId="0"/>
    <cellStyle name="Normal 10" xfId="129" xr:uid="{00000000-0005-0000-0000-00001C0C0000}"/>
    <cellStyle name="Normal 10 2" xfId="133" xr:uid="{00000000-0005-0000-0000-00001D0C0000}"/>
    <cellStyle name="Normal 10 2 2" xfId="7571" xr:uid="{00000000-0005-0000-0000-00001E0C0000}"/>
    <cellStyle name="Normal 11" xfId="131" xr:uid="{00000000-0005-0000-0000-00001F0C0000}"/>
    <cellStyle name="Normal 11 2" xfId="4357" xr:uid="{00000000-0005-0000-0000-0000200C0000}"/>
    <cellStyle name="Normal 11 2 2" xfId="9765" xr:uid="{00000000-0005-0000-0000-0000210C0000}"/>
    <cellStyle name="Normal 11 2 2 2" xfId="10463" xr:uid="{00000000-0005-0000-0000-0000220C0000}"/>
    <cellStyle name="Normal 11 2 2 2 2" xfId="12198" xr:uid="{00000000-0005-0000-0000-0000230C0000}"/>
    <cellStyle name="Normal 11 2 2 3" xfId="11551" xr:uid="{00000000-0005-0000-0000-0000240C0000}"/>
    <cellStyle name="Normal 11 2 3" xfId="10168" xr:uid="{00000000-0005-0000-0000-0000250C0000}"/>
    <cellStyle name="Normal 11 2 3 2" xfId="11904" xr:uid="{00000000-0005-0000-0000-0000260C0000}"/>
    <cellStyle name="Normal 11 2 4" xfId="11161" xr:uid="{00000000-0005-0000-0000-0000270C0000}"/>
    <cellStyle name="Normal 11 3" xfId="4359" xr:uid="{00000000-0005-0000-0000-0000280C0000}"/>
    <cellStyle name="Normal 11 3 2" xfId="4365" xr:uid="{00000000-0005-0000-0000-0000290C0000}"/>
    <cellStyle name="Normal 11 3 2 2" xfId="9773" xr:uid="{00000000-0005-0000-0000-00002A0C0000}"/>
    <cellStyle name="Normal 11 3 2 2 2" xfId="10471" xr:uid="{00000000-0005-0000-0000-00002B0C0000}"/>
    <cellStyle name="Normal 11 3 2 2 2 2" xfId="12206" xr:uid="{00000000-0005-0000-0000-00002C0C0000}"/>
    <cellStyle name="Normal 11 3 2 2 3" xfId="11559" xr:uid="{00000000-0005-0000-0000-00002D0C0000}"/>
    <cellStyle name="Normal 11 3 2 3" xfId="10176" xr:uid="{00000000-0005-0000-0000-00002E0C0000}"/>
    <cellStyle name="Normal 11 3 2 3 2" xfId="11912" xr:uid="{00000000-0005-0000-0000-00002F0C0000}"/>
    <cellStyle name="Normal 11 3 2 4" xfId="11169" xr:uid="{00000000-0005-0000-0000-0000300C0000}"/>
    <cellStyle name="Normal 11 3 3" xfId="9767" xr:uid="{00000000-0005-0000-0000-0000310C0000}"/>
    <cellStyle name="Normal 11 3 3 2" xfId="10465" xr:uid="{00000000-0005-0000-0000-0000320C0000}"/>
    <cellStyle name="Normal 11 3 3 2 2" xfId="12200" xr:uid="{00000000-0005-0000-0000-0000330C0000}"/>
    <cellStyle name="Normal 11 3 3 3" xfId="11553" xr:uid="{00000000-0005-0000-0000-0000340C0000}"/>
    <cellStyle name="Normal 11 3 4" xfId="10170" xr:uid="{00000000-0005-0000-0000-0000350C0000}"/>
    <cellStyle name="Normal 11 3 4 2" xfId="11906" xr:uid="{00000000-0005-0000-0000-0000360C0000}"/>
    <cellStyle name="Normal 11 3 5" xfId="11163" xr:uid="{00000000-0005-0000-0000-0000370C0000}"/>
    <cellStyle name="Normal 11 4" xfId="7570" xr:uid="{00000000-0005-0000-0000-0000380C0000}"/>
    <cellStyle name="Normal 11 4 2" xfId="9818" xr:uid="{00000000-0005-0000-0000-0000390C0000}"/>
    <cellStyle name="Normal 11 4 2 2" xfId="10516" xr:uid="{00000000-0005-0000-0000-00003A0C0000}"/>
    <cellStyle name="Normal 11 4 2 2 2" xfId="12251" xr:uid="{00000000-0005-0000-0000-00003B0C0000}"/>
    <cellStyle name="Normal 11 4 2 3" xfId="11604" xr:uid="{00000000-0005-0000-0000-00003C0C0000}"/>
    <cellStyle name="Normal 11 4 3" xfId="10229" xr:uid="{00000000-0005-0000-0000-00003D0C0000}"/>
    <cellStyle name="Normal 11 4 3 2" xfId="11965" xr:uid="{00000000-0005-0000-0000-00003E0C0000}"/>
    <cellStyle name="Normal 11 4 4" xfId="11239" xr:uid="{00000000-0005-0000-0000-00003F0C0000}"/>
    <cellStyle name="Normal 11 5" xfId="9553" xr:uid="{00000000-0005-0000-0000-0000400C0000}"/>
    <cellStyle name="Normal 11 5 2" xfId="10257" xr:uid="{00000000-0005-0000-0000-0000410C0000}"/>
    <cellStyle name="Normal 11 5 2 2" xfId="11992" xr:uid="{00000000-0005-0000-0000-0000420C0000}"/>
    <cellStyle name="Normal 11 5 3" xfId="11345" xr:uid="{00000000-0005-0000-0000-0000430C0000}"/>
    <cellStyle name="Normal 11 6" xfId="4045" xr:uid="{00000000-0005-0000-0000-0000440C0000}"/>
    <cellStyle name="Normal 11 6 2" xfId="10916" xr:uid="{00000000-0005-0000-0000-0000450C0000}"/>
    <cellStyle name="Normal 11 7" xfId="9960" xr:uid="{00000000-0005-0000-0000-0000460C0000}"/>
    <cellStyle name="Normal 11 7 2" xfId="11696" xr:uid="{00000000-0005-0000-0000-0000470C0000}"/>
    <cellStyle name="Normal 12" xfId="138" xr:uid="{00000000-0005-0000-0000-0000480C0000}"/>
    <cellStyle name="Normal 12 2" xfId="7572" xr:uid="{00000000-0005-0000-0000-0000490C0000}"/>
    <cellStyle name="Normal 12 2 2" xfId="9819" xr:uid="{00000000-0005-0000-0000-00004A0C0000}"/>
    <cellStyle name="Normal 12 2 2 2" xfId="10517" xr:uid="{00000000-0005-0000-0000-00004B0C0000}"/>
    <cellStyle name="Normal 12 2 2 2 2" xfId="12252" xr:uid="{00000000-0005-0000-0000-00004C0C0000}"/>
    <cellStyle name="Normal 12 2 2 3" xfId="11605" xr:uid="{00000000-0005-0000-0000-00004D0C0000}"/>
    <cellStyle name="Normal 12 2 3" xfId="10230" xr:uid="{00000000-0005-0000-0000-00004E0C0000}"/>
    <cellStyle name="Normal 12 2 3 2" xfId="11966" xr:uid="{00000000-0005-0000-0000-00004F0C0000}"/>
    <cellStyle name="Normal 12 2 4" xfId="11240" xr:uid="{00000000-0005-0000-0000-0000500C0000}"/>
    <cellStyle name="Normal 12 3" xfId="9555" xr:uid="{00000000-0005-0000-0000-0000510C0000}"/>
    <cellStyle name="Normal 12 3 2" xfId="10259" xr:uid="{00000000-0005-0000-0000-0000520C0000}"/>
    <cellStyle name="Normal 12 3 2 2" xfId="11994" xr:uid="{00000000-0005-0000-0000-0000530C0000}"/>
    <cellStyle name="Normal 12 3 3" xfId="11347" xr:uid="{00000000-0005-0000-0000-0000540C0000}"/>
    <cellStyle name="Normal 12 4" xfId="4050" xr:uid="{00000000-0005-0000-0000-0000550C0000}"/>
    <cellStyle name="Normal 12 4 2" xfId="10918" xr:uid="{00000000-0005-0000-0000-0000560C0000}"/>
    <cellStyle name="Normal 12 5" xfId="9962" xr:uid="{00000000-0005-0000-0000-0000570C0000}"/>
    <cellStyle name="Normal 12 5 2" xfId="11698" xr:uid="{00000000-0005-0000-0000-0000580C0000}"/>
    <cellStyle name="Normal 12 6" xfId="10668" xr:uid="{00000000-0005-0000-0000-0000590C0000}"/>
    <cellStyle name="Normal 13" xfId="151" xr:uid="{00000000-0005-0000-0000-00005A0C0000}"/>
    <cellStyle name="Normal 13 2" xfId="7575" xr:uid="{00000000-0005-0000-0000-00005B0C0000}"/>
    <cellStyle name="Normal 13 2 2" xfId="9820" xr:uid="{00000000-0005-0000-0000-00005C0C0000}"/>
    <cellStyle name="Normal 13 2 2 2" xfId="10518" xr:uid="{00000000-0005-0000-0000-00005D0C0000}"/>
    <cellStyle name="Normal 13 2 2 2 2" xfId="12253" xr:uid="{00000000-0005-0000-0000-00005E0C0000}"/>
    <cellStyle name="Normal 13 2 2 3" xfId="11606" xr:uid="{00000000-0005-0000-0000-00005F0C0000}"/>
    <cellStyle name="Normal 13 2 3" xfId="10233" xr:uid="{00000000-0005-0000-0000-0000600C0000}"/>
    <cellStyle name="Normal 13 2 3 2" xfId="11969" xr:uid="{00000000-0005-0000-0000-0000610C0000}"/>
    <cellStyle name="Normal 13 2 4" xfId="11243" xr:uid="{00000000-0005-0000-0000-0000620C0000}"/>
    <cellStyle name="Normal 13 3" xfId="9556" xr:uid="{00000000-0005-0000-0000-0000630C0000}"/>
    <cellStyle name="Normal 13 3 2" xfId="10260" xr:uid="{00000000-0005-0000-0000-0000640C0000}"/>
    <cellStyle name="Normal 13 3 2 2" xfId="11995" xr:uid="{00000000-0005-0000-0000-0000650C0000}"/>
    <cellStyle name="Normal 13 3 3" xfId="11348" xr:uid="{00000000-0005-0000-0000-0000660C0000}"/>
    <cellStyle name="Normal 13 4" xfId="4051" xr:uid="{00000000-0005-0000-0000-0000670C0000}"/>
    <cellStyle name="Normal 13 4 2" xfId="10919" xr:uid="{00000000-0005-0000-0000-0000680C0000}"/>
    <cellStyle name="Normal 13 5" xfId="9963" xr:uid="{00000000-0005-0000-0000-0000690C0000}"/>
    <cellStyle name="Normal 13 5 2" xfId="11699" xr:uid="{00000000-0005-0000-0000-00006A0C0000}"/>
    <cellStyle name="Normal 13 6" xfId="10671" xr:uid="{00000000-0005-0000-0000-00006B0C0000}"/>
    <cellStyle name="Normal 14" xfId="165" xr:uid="{00000000-0005-0000-0000-00006C0C0000}"/>
    <cellStyle name="Normal 14 2" xfId="7576" xr:uid="{00000000-0005-0000-0000-00006D0C0000}"/>
    <cellStyle name="Normal 14 2 2" xfId="7582" xr:uid="{00000000-0005-0000-0000-00006E0C0000}"/>
    <cellStyle name="Normal 14 2 2 2" xfId="9827" xr:uid="{00000000-0005-0000-0000-00006F0C0000}"/>
    <cellStyle name="Normal 14 2 2 2 2" xfId="10525" xr:uid="{00000000-0005-0000-0000-0000700C0000}"/>
    <cellStyle name="Normal 14 2 2 2 2 2" xfId="12260" xr:uid="{00000000-0005-0000-0000-0000710C0000}"/>
    <cellStyle name="Normal 14 2 2 2 3" xfId="11613" xr:uid="{00000000-0005-0000-0000-0000720C0000}"/>
    <cellStyle name="Normal 14 2 2 3" xfId="10240" xr:uid="{00000000-0005-0000-0000-0000730C0000}"/>
    <cellStyle name="Normal 14 2 2 3 2" xfId="11976" xr:uid="{00000000-0005-0000-0000-0000740C0000}"/>
    <cellStyle name="Normal 14 2 2 4" xfId="11250" xr:uid="{00000000-0005-0000-0000-0000750C0000}"/>
    <cellStyle name="Normal 14 2 3" xfId="9821" xr:uid="{00000000-0005-0000-0000-0000760C0000}"/>
    <cellStyle name="Normal 14 2 3 2" xfId="10519" xr:uid="{00000000-0005-0000-0000-0000770C0000}"/>
    <cellStyle name="Normal 14 2 3 2 2" xfId="12254" xr:uid="{00000000-0005-0000-0000-0000780C0000}"/>
    <cellStyle name="Normal 14 2 3 3" xfId="11607" xr:uid="{00000000-0005-0000-0000-0000790C0000}"/>
    <cellStyle name="Normal 14 2 4" xfId="10234" xr:uid="{00000000-0005-0000-0000-00007A0C0000}"/>
    <cellStyle name="Normal 14 2 4 2" xfId="11970" xr:uid="{00000000-0005-0000-0000-00007B0C0000}"/>
    <cellStyle name="Normal 14 2 5" xfId="11244" xr:uid="{00000000-0005-0000-0000-00007C0C0000}"/>
    <cellStyle name="Normal 14 3" xfId="9557" xr:uid="{00000000-0005-0000-0000-00007D0C0000}"/>
    <cellStyle name="Normal 14 3 2" xfId="10261" xr:uid="{00000000-0005-0000-0000-00007E0C0000}"/>
    <cellStyle name="Normal 14 3 2 2" xfId="11996" xr:uid="{00000000-0005-0000-0000-00007F0C0000}"/>
    <cellStyle name="Normal 14 3 3" xfId="11349" xr:uid="{00000000-0005-0000-0000-0000800C0000}"/>
    <cellStyle name="Normal 14 4" xfId="4052" xr:uid="{00000000-0005-0000-0000-0000810C0000}"/>
    <cellStyle name="Normal 14 4 2" xfId="10920" xr:uid="{00000000-0005-0000-0000-0000820C0000}"/>
    <cellStyle name="Normal 14 5" xfId="9964" xr:uid="{00000000-0005-0000-0000-0000830C0000}"/>
    <cellStyle name="Normal 14 5 2" xfId="11700" xr:uid="{00000000-0005-0000-0000-0000840C0000}"/>
    <cellStyle name="Normal 14 6" xfId="10685" xr:uid="{00000000-0005-0000-0000-0000850C0000}"/>
    <cellStyle name="Normal 15" xfId="179" xr:uid="{00000000-0005-0000-0000-0000860C0000}"/>
    <cellStyle name="Normal 15 2" xfId="4356" xr:uid="{00000000-0005-0000-0000-0000870C0000}"/>
    <cellStyle name="Normal 15 2 2" xfId="7580" xr:uid="{00000000-0005-0000-0000-0000880C0000}"/>
    <cellStyle name="Normal 15 2 2 2" xfId="7581" xr:uid="{00000000-0005-0000-0000-0000890C0000}"/>
    <cellStyle name="Normal 15 2 2 2 2" xfId="7587" xr:uid="{00000000-0005-0000-0000-00008A0C0000}"/>
    <cellStyle name="Normal 15 2 2 2 2 2" xfId="9832" xr:uid="{00000000-0005-0000-0000-00008B0C0000}"/>
    <cellStyle name="Normal 15 2 2 2 2 2 2" xfId="10530" xr:uid="{00000000-0005-0000-0000-00008C0C0000}"/>
    <cellStyle name="Normal 15 2 2 2 2 2 2 2" xfId="12265" xr:uid="{00000000-0005-0000-0000-00008D0C0000}"/>
    <cellStyle name="Normal 15 2 2 2 2 2 3" xfId="11618" xr:uid="{00000000-0005-0000-0000-00008E0C0000}"/>
    <cellStyle name="Normal 15 2 2 2 2 3" xfId="10245" xr:uid="{00000000-0005-0000-0000-00008F0C0000}"/>
    <cellStyle name="Normal 15 2 2 2 2 3 2" xfId="11981" xr:uid="{00000000-0005-0000-0000-0000900C0000}"/>
    <cellStyle name="Normal 15 2 2 2 2 4" xfId="11255" xr:uid="{00000000-0005-0000-0000-0000910C0000}"/>
    <cellStyle name="Normal 15 2 2 2 3" xfId="9826" xr:uid="{00000000-0005-0000-0000-0000920C0000}"/>
    <cellStyle name="Normal 15 2 2 2 3 2" xfId="10524" xr:uid="{00000000-0005-0000-0000-0000930C0000}"/>
    <cellStyle name="Normal 15 2 2 2 3 2 2" xfId="12259" xr:uid="{00000000-0005-0000-0000-0000940C0000}"/>
    <cellStyle name="Normal 15 2 2 2 3 3" xfId="11612" xr:uid="{00000000-0005-0000-0000-0000950C0000}"/>
    <cellStyle name="Normal 15 2 2 2 4" xfId="10239" xr:uid="{00000000-0005-0000-0000-0000960C0000}"/>
    <cellStyle name="Normal 15 2 2 2 4 2" xfId="11975" xr:uid="{00000000-0005-0000-0000-0000970C0000}"/>
    <cellStyle name="Normal 15 2 2 2 5" xfId="11249" xr:uid="{00000000-0005-0000-0000-0000980C0000}"/>
    <cellStyle name="Normal 15 2 2 3" xfId="7586" xr:uid="{00000000-0005-0000-0000-0000990C0000}"/>
    <cellStyle name="Normal 15 2 2 3 2" xfId="9831" xr:uid="{00000000-0005-0000-0000-00009A0C0000}"/>
    <cellStyle name="Normal 15 2 2 3 2 2" xfId="10529" xr:uid="{00000000-0005-0000-0000-00009B0C0000}"/>
    <cellStyle name="Normal 15 2 2 3 2 2 2" xfId="12264" xr:uid="{00000000-0005-0000-0000-00009C0C0000}"/>
    <cellStyle name="Normal 15 2 2 3 2 3" xfId="11617" xr:uid="{00000000-0005-0000-0000-00009D0C0000}"/>
    <cellStyle name="Normal 15 2 2 3 3" xfId="10244" xr:uid="{00000000-0005-0000-0000-00009E0C0000}"/>
    <cellStyle name="Normal 15 2 2 3 3 2" xfId="11980" xr:uid="{00000000-0005-0000-0000-00009F0C0000}"/>
    <cellStyle name="Normal 15 2 2 3 4" xfId="11254" xr:uid="{00000000-0005-0000-0000-0000A00C0000}"/>
    <cellStyle name="Normal 15 2 2 4" xfId="9825" xr:uid="{00000000-0005-0000-0000-0000A10C0000}"/>
    <cellStyle name="Normal 15 2 2 4 2" xfId="10523" xr:uid="{00000000-0005-0000-0000-0000A20C0000}"/>
    <cellStyle name="Normal 15 2 2 4 2 2" xfId="12258" xr:uid="{00000000-0005-0000-0000-0000A30C0000}"/>
    <cellStyle name="Normal 15 2 2 4 3" xfId="11611" xr:uid="{00000000-0005-0000-0000-0000A40C0000}"/>
    <cellStyle name="Normal 15 2 2 5" xfId="10238" xr:uid="{00000000-0005-0000-0000-0000A50C0000}"/>
    <cellStyle name="Normal 15 2 2 5 2" xfId="11974" xr:uid="{00000000-0005-0000-0000-0000A60C0000}"/>
    <cellStyle name="Normal 15 2 2 6" xfId="11248" xr:uid="{00000000-0005-0000-0000-0000A70C0000}"/>
    <cellStyle name="Normal 15 2 3" xfId="9764" xr:uid="{00000000-0005-0000-0000-0000A80C0000}"/>
    <cellStyle name="Normal 15 2 3 2" xfId="10462" xr:uid="{00000000-0005-0000-0000-0000A90C0000}"/>
    <cellStyle name="Normal 15 2 3 2 2" xfId="12197" xr:uid="{00000000-0005-0000-0000-0000AA0C0000}"/>
    <cellStyle name="Normal 15 2 3 3" xfId="11550" xr:uid="{00000000-0005-0000-0000-0000AB0C0000}"/>
    <cellStyle name="Normal 15 2 4" xfId="10167" xr:uid="{00000000-0005-0000-0000-0000AC0C0000}"/>
    <cellStyle name="Normal 15 2 4 2" xfId="11903" xr:uid="{00000000-0005-0000-0000-0000AD0C0000}"/>
    <cellStyle name="Normal 15 2 5" xfId="11160" xr:uid="{00000000-0005-0000-0000-0000AE0C0000}"/>
    <cellStyle name="Normal 15 3" xfId="7577" xr:uid="{00000000-0005-0000-0000-0000AF0C0000}"/>
    <cellStyle name="Normal 15 3 2" xfId="7583" xr:uid="{00000000-0005-0000-0000-0000B00C0000}"/>
    <cellStyle name="Normal 15 3 2 2" xfId="9828" xr:uid="{00000000-0005-0000-0000-0000B10C0000}"/>
    <cellStyle name="Normal 15 3 2 2 2" xfId="10526" xr:uid="{00000000-0005-0000-0000-0000B20C0000}"/>
    <cellStyle name="Normal 15 3 2 2 2 2" xfId="12261" xr:uid="{00000000-0005-0000-0000-0000B30C0000}"/>
    <cellStyle name="Normal 15 3 2 2 3" xfId="11614" xr:uid="{00000000-0005-0000-0000-0000B40C0000}"/>
    <cellStyle name="Normal 15 3 2 3" xfId="10241" xr:uid="{00000000-0005-0000-0000-0000B50C0000}"/>
    <cellStyle name="Normal 15 3 2 3 2" xfId="11977" xr:uid="{00000000-0005-0000-0000-0000B60C0000}"/>
    <cellStyle name="Normal 15 3 2 4" xfId="11251" xr:uid="{00000000-0005-0000-0000-0000B70C0000}"/>
    <cellStyle name="Normal 15 3 3" xfId="9822" xr:uid="{00000000-0005-0000-0000-0000B80C0000}"/>
    <cellStyle name="Normal 15 3 3 2" xfId="10520" xr:uid="{00000000-0005-0000-0000-0000B90C0000}"/>
    <cellStyle name="Normal 15 3 3 2 2" xfId="12255" xr:uid="{00000000-0005-0000-0000-0000BA0C0000}"/>
    <cellStyle name="Normal 15 3 3 3" xfId="11608" xr:uid="{00000000-0005-0000-0000-0000BB0C0000}"/>
    <cellStyle name="Normal 15 3 4" xfId="10235" xr:uid="{00000000-0005-0000-0000-0000BC0C0000}"/>
    <cellStyle name="Normal 15 3 4 2" xfId="11971" xr:uid="{00000000-0005-0000-0000-0000BD0C0000}"/>
    <cellStyle name="Normal 15 3 5" xfId="11245" xr:uid="{00000000-0005-0000-0000-0000BE0C0000}"/>
    <cellStyle name="Normal 15 4" xfId="9558" xr:uid="{00000000-0005-0000-0000-0000BF0C0000}"/>
    <cellStyle name="Normal 15 4 2" xfId="10262" xr:uid="{00000000-0005-0000-0000-0000C00C0000}"/>
    <cellStyle name="Normal 15 4 2 2" xfId="11997" xr:uid="{00000000-0005-0000-0000-0000C10C0000}"/>
    <cellStyle name="Normal 15 4 3" xfId="11350" xr:uid="{00000000-0005-0000-0000-0000C20C0000}"/>
    <cellStyle name="Normal 15 5" xfId="4053" xr:uid="{00000000-0005-0000-0000-0000C30C0000}"/>
    <cellStyle name="Normal 15 5 2" xfId="10921" xr:uid="{00000000-0005-0000-0000-0000C40C0000}"/>
    <cellStyle name="Normal 15 6" xfId="9965" xr:uid="{00000000-0005-0000-0000-0000C50C0000}"/>
    <cellStyle name="Normal 15 6 2" xfId="11701" xr:uid="{00000000-0005-0000-0000-0000C60C0000}"/>
    <cellStyle name="Normal 15 7" xfId="10699" xr:uid="{00000000-0005-0000-0000-0000C70C0000}"/>
    <cellStyle name="Normal 16" xfId="193" xr:uid="{00000000-0005-0000-0000-0000C80C0000}"/>
    <cellStyle name="Normal 16 2" xfId="4354" xr:uid="{00000000-0005-0000-0000-0000C90C0000}"/>
    <cellStyle name="Normal 16 2 2" xfId="7579" xr:uid="{00000000-0005-0000-0000-0000CA0C0000}"/>
    <cellStyle name="Normal 16 2 2 2" xfId="7585" xr:uid="{00000000-0005-0000-0000-0000CB0C0000}"/>
    <cellStyle name="Normal 16 2 2 2 2" xfId="9830" xr:uid="{00000000-0005-0000-0000-0000CC0C0000}"/>
    <cellStyle name="Normal 16 2 2 2 2 2" xfId="10528" xr:uid="{00000000-0005-0000-0000-0000CD0C0000}"/>
    <cellStyle name="Normal 16 2 2 2 2 2 2" xfId="12263" xr:uid="{00000000-0005-0000-0000-0000CE0C0000}"/>
    <cellStyle name="Normal 16 2 2 2 2 3" xfId="11616" xr:uid="{00000000-0005-0000-0000-0000CF0C0000}"/>
    <cellStyle name="Normal 16 2 2 2 3" xfId="10243" xr:uid="{00000000-0005-0000-0000-0000D00C0000}"/>
    <cellStyle name="Normal 16 2 2 2 3 2" xfId="11979" xr:uid="{00000000-0005-0000-0000-0000D10C0000}"/>
    <cellStyle name="Normal 16 2 2 2 4" xfId="11253" xr:uid="{00000000-0005-0000-0000-0000D20C0000}"/>
    <cellStyle name="Normal 16 2 2 3" xfId="9824" xr:uid="{00000000-0005-0000-0000-0000D30C0000}"/>
    <cellStyle name="Normal 16 2 2 3 2" xfId="10522" xr:uid="{00000000-0005-0000-0000-0000D40C0000}"/>
    <cellStyle name="Normal 16 2 2 3 2 2" xfId="12257" xr:uid="{00000000-0005-0000-0000-0000D50C0000}"/>
    <cellStyle name="Normal 16 2 2 3 3" xfId="11610" xr:uid="{00000000-0005-0000-0000-0000D60C0000}"/>
    <cellStyle name="Normal 16 2 2 4" xfId="10237" xr:uid="{00000000-0005-0000-0000-0000D70C0000}"/>
    <cellStyle name="Normal 16 2 2 4 2" xfId="11973" xr:uid="{00000000-0005-0000-0000-0000D80C0000}"/>
    <cellStyle name="Normal 16 2 2 5" xfId="11247" xr:uid="{00000000-0005-0000-0000-0000D90C0000}"/>
    <cellStyle name="Normal 16 2 3" xfId="9763" xr:uid="{00000000-0005-0000-0000-0000DA0C0000}"/>
    <cellStyle name="Normal 16 2 3 2" xfId="10461" xr:uid="{00000000-0005-0000-0000-0000DB0C0000}"/>
    <cellStyle name="Normal 16 2 3 2 2" xfId="12196" xr:uid="{00000000-0005-0000-0000-0000DC0C0000}"/>
    <cellStyle name="Normal 16 2 3 3" xfId="11549" xr:uid="{00000000-0005-0000-0000-0000DD0C0000}"/>
    <cellStyle name="Normal 16 2 4" xfId="10165" xr:uid="{00000000-0005-0000-0000-0000DE0C0000}"/>
    <cellStyle name="Normal 16 2 4 2" xfId="11901" xr:uid="{00000000-0005-0000-0000-0000DF0C0000}"/>
    <cellStyle name="Normal 16 2 5" xfId="11158" xr:uid="{00000000-0005-0000-0000-0000E00C0000}"/>
    <cellStyle name="Normal 16 3" xfId="7578" xr:uid="{00000000-0005-0000-0000-0000E10C0000}"/>
    <cellStyle name="Normal 16 3 2" xfId="7584" xr:uid="{00000000-0005-0000-0000-0000E20C0000}"/>
    <cellStyle name="Normal 16 3 2 2" xfId="9829" xr:uid="{00000000-0005-0000-0000-0000E30C0000}"/>
    <cellStyle name="Normal 16 3 2 2 2" xfId="10527" xr:uid="{00000000-0005-0000-0000-0000E40C0000}"/>
    <cellStyle name="Normal 16 3 2 2 2 2" xfId="12262" xr:uid="{00000000-0005-0000-0000-0000E50C0000}"/>
    <cellStyle name="Normal 16 3 2 2 3" xfId="11615" xr:uid="{00000000-0005-0000-0000-0000E60C0000}"/>
    <cellStyle name="Normal 16 3 2 3" xfId="10242" xr:uid="{00000000-0005-0000-0000-0000E70C0000}"/>
    <cellStyle name="Normal 16 3 2 3 2" xfId="11978" xr:uid="{00000000-0005-0000-0000-0000E80C0000}"/>
    <cellStyle name="Normal 16 3 2 4" xfId="11252" xr:uid="{00000000-0005-0000-0000-0000E90C0000}"/>
    <cellStyle name="Normal 16 3 3" xfId="9823" xr:uid="{00000000-0005-0000-0000-0000EA0C0000}"/>
    <cellStyle name="Normal 16 3 3 2" xfId="10521" xr:uid="{00000000-0005-0000-0000-0000EB0C0000}"/>
    <cellStyle name="Normal 16 3 3 2 2" xfId="12256" xr:uid="{00000000-0005-0000-0000-0000EC0C0000}"/>
    <cellStyle name="Normal 16 3 3 3" xfId="11609" xr:uid="{00000000-0005-0000-0000-0000ED0C0000}"/>
    <cellStyle name="Normal 16 3 4" xfId="10236" xr:uid="{00000000-0005-0000-0000-0000EE0C0000}"/>
    <cellStyle name="Normal 16 3 4 2" xfId="11972" xr:uid="{00000000-0005-0000-0000-0000EF0C0000}"/>
    <cellStyle name="Normal 16 3 5" xfId="11246" xr:uid="{00000000-0005-0000-0000-0000F00C0000}"/>
    <cellStyle name="Normal 16 4" xfId="9559" xr:uid="{00000000-0005-0000-0000-0000F10C0000}"/>
    <cellStyle name="Normal 16 4 2" xfId="10263" xr:uid="{00000000-0005-0000-0000-0000F20C0000}"/>
    <cellStyle name="Normal 16 4 2 2" xfId="11998" xr:uid="{00000000-0005-0000-0000-0000F30C0000}"/>
    <cellStyle name="Normal 16 4 3" xfId="11351" xr:uid="{00000000-0005-0000-0000-0000F40C0000}"/>
    <cellStyle name="Normal 16 5" xfId="4054" xr:uid="{00000000-0005-0000-0000-0000F50C0000}"/>
    <cellStyle name="Normal 16 5 2" xfId="10922" xr:uid="{00000000-0005-0000-0000-0000F60C0000}"/>
    <cellStyle name="Normal 16 6" xfId="9966" xr:uid="{00000000-0005-0000-0000-0000F70C0000}"/>
    <cellStyle name="Normal 16 6 2" xfId="11702" xr:uid="{00000000-0005-0000-0000-0000F80C0000}"/>
    <cellStyle name="Normal 16 7" xfId="10713" xr:uid="{00000000-0005-0000-0000-0000F90C0000}"/>
    <cellStyle name="Normal 17" xfId="208" xr:uid="{00000000-0005-0000-0000-0000FA0C0000}"/>
    <cellStyle name="Normal 17 2" xfId="9560" xr:uid="{00000000-0005-0000-0000-0000FB0C0000}"/>
    <cellStyle name="Normal 17 2 2" xfId="10264" xr:uid="{00000000-0005-0000-0000-0000FC0C0000}"/>
    <cellStyle name="Normal 17 2 2 2" xfId="11999" xr:uid="{00000000-0005-0000-0000-0000FD0C0000}"/>
    <cellStyle name="Normal 17 2 3" xfId="11352" xr:uid="{00000000-0005-0000-0000-0000FE0C0000}"/>
    <cellStyle name="Normal 17 3" xfId="4055" xr:uid="{00000000-0005-0000-0000-0000FF0C0000}"/>
    <cellStyle name="Normal 17 3 2" xfId="10923" xr:uid="{00000000-0005-0000-0000-0000000D0000}"/>
    <cellStyle name="Normal 17 4" xfId="9967" xr:uid="{00000000-0005-0000-0000-0000010D0000}"/>
    <cellStyle name="Normal 17 4 2" xfId="11703" xr:uid="{00000000-0005-0000-0000-0000020D0000}"/>
    <cellStyle name="Normal 17 5" xfId="10728" xr:uid="{00000000-0005-0000-0000-0000030D0000}"/>
    <cellStyle name="Normal 18" xfId="222" xr:uid="{00000000-0005-0000-0000-0000040D0000}"/>
    <cellStyle name="Normal 18 2" xfId="9613" xr:uid="{00000000-0005-0000-0000-0000050D0000}"/>
    <cellStyle name="Normal 18 2 2" xfId="10315" xr:uid="{00000000-0005-0000-0000-0000060D0000}"/>
    <cellStyle name="Normal 18 2 2 2" xfId="12050" xr:uid="{00000000-0005-0000-0000-0000070D0000}"/>
    <cellStyle name="Normal 18 2 3" xfId="11403" xr:uid="{00000000-0005-0000-0000-0000080D0000}"/>
    <cellStyle name="Normal 18 3" xfId="4174" xr:uid="{00000000-0005-0000-0000-0000090D0000}"/>
    <cellStyle name="Normal 18 3 2" xfId="10988" xr:uid="{00000000-0005-0000-0000-00000A0D0000}"/>
    <cellStyle name="Normal 18 4" xfId="9938" xr:uid="{00000000-0005-0000-0000-00000B0D0000}"/>
    <cellStyle name="Normal 18 4 2" xfId="11675" xr:uid="{00000000-0005-0000-0000-00000C0D0000}"/>
    <cellStyle name="Normal 18 5" xfId="9939" xr:uid="{00000000-0005-0000-0000-00000D0D0000}"/>
    <cellStyle name="Normal 18 5 2" xfId="11676" xr:uid="{00000000-0005-0000-0000-00000E0D0000}"/>
    <cellStyle name="Normal 18 6" xfId="10018" xr:uid="{00000000-0005-0000-0000-00000F0D0000}"/>
    <cellStyle name="Normal 18 6 2" xfId="11754" xr:uid="{00000000-0005-0000-0000-0000100D0000}"/>
    <cellStyle name="Normal 18 7" xfId="10742" xr:uid="{00000000-0005-0000-0000-0000110D0000}"/>
    <cellStyle name="Normal 19" xfId="4282" xr:uid="{00000000-0005-0000-0000-0000120D0000}"/>
    <cellStyle name="Normal 19 2" xfId="9716" xr:uid="{00000000-0005-0000-0000-0000130D0000}"/>
    <cellStyle name="Normal 19 2 2" xfId="10417" xr:uid="{00000000-0005-0000-0000-0000140D0000}"/>
    <cellStyle name="Normal 19 2 2 2" xfId="12152" xr:uid="{00000000-0005-0000-0000-0000150D0000}"/>
    <cellStyle name="Normal 19 2 3" xfId="11505" xr:uid="{00000000-0005-0000-0000-0000160D0000}"/>
    <cellStyle name="Normal 19 3" xfId="10120" xr:uid="{00000000-0005-0000-0000-0000170D0000}"/>
    <cellStyle name="Normal 19 3 2" xfId="11856" xr:uid="{00000000-0005-0000-0000-0000180D0000}"/>
    <cellStyle name="Normal 19 4" xfId="11093" xr:uid="{00000000-0005-0000-0000-0000190D0000}"/>
    <cellStyle name="Normal 2" xfId="16" xr:uid="{00000000-0005-0000-0000-00001A0D0000}"/>
    <cellStyle name="Normal 2 10" xfId="1246" xr:uid="{00000000-0005-0000-0000-00001B0D0000}"/>
    <cellStyle name="Normal 2 10 10" xfId="4215" xr:uid="{00000000-0005-0000-0000-00001C0D0000}"/>
    <cellStyle name="Normal 2 10 10 2" xfId="9650" xr:uid="{00000000-0005-0000-0000-00001D0D0000}"/>
    <cellStyle name="Normal 2 10 10 2 2" xfId="10351" xr:uid="{00000000-0005-0000-0000-00001E0D0000}"/>
    <cellStyle name="Normal 2 10 10 2 2 2" xfId="12086" xr:uid="{00000000-0005-0000-0000-00001F0D0000}"/>
    <cellStyle name="Normal 2 10 10 2 3" xfId="11439" xr:uid="{00000000-0005-0000-0000-0000200D0000}"/>
    <cellStyle name="Normal 2 10 10 3" xfId="10054" xr:uid="{00000000-0005-0000-0000-0000210D0000}"/>
    <cellStyle name="Normal 2 10 10 3 2" xfId="11790" xr:uid="{00000000-0005-0000-0000-0000220D0000}"/>
    <cellStyle name="Normal 2 10 10 4" xfId="11026" xr:uid="{00000000-0005-0000-0000-0000230D0000}"/>
    <cellStyle name="Normal 2 10 11" xfId="4326" xr:uid="{00000000-0005-0000-0000-0000240D0000}"/>
    <cellStyle name="Normal 2 10 2" xfId="1247" xr:uid="{00000000-0005-0000-0000-0000250D0000}"/>
    <cellStyle name="Normal 2 10 2 2" xfId="4266" xr:uid="{00000000-0005-0000-0000-0000260D0000}"/>
    <cellStyle name="Normal 2 10 2 2 2" xfId="9701" xr:uid="{00000000-0005-0000-0000-0000270D0000}"/>
    <cellStyle name="Normal 2 10 2 2 2 2" xfId="10402" xr:uid="{00000000-0005-0000-0000-0000280D0000}"/>
    <cellStyle name="Normal 2 10 2 2 2 2 2" xfId="12137" xr:uid="{00000000-0005-0000-0000-0000290D0000}"/>
    <cellStyle name="Normal 2 10 2 2 2 3" xfId="11490" xr:uid="{00000000-0005-0000-0000-00002A0D0000}"/>
    <cellStyle name="Normal 2 10 2 2 3" xfId="10105" xr:uid="{00000000-0005-0000-0000-00002B0D0000}"/>
    <cellStyle name="Normal 2 10 2 2 3 2" xfId="11841" xr:uid="{00000000-0005-0000-0000-00002C0D0000}"/>
    <cellStyle name="Normal 2 10 2 2 4" xfId="11077" xr:uid="{00000000-0005-0000-0000-00002D0D0000}"/>
    <cellStyle name="Normal 2 10 3" xfId="1248" xr:uid="{00000000-0005-0000-0000-00002E0D0000}"/>
    <cellStyle name="Normal 2 10 4" xfId="1249" xr:uid="{00000000-0005-0000-0000-00002F0D0000}"/>
    <cellStyle name="Normal 2 10 5" xfId="1250" xr:uid="{00000000-0005-0000-0000-0000300D0000}"/>
    <cellStyle name="Normal 2 10 6" xfId="1251" xr:uid="{00000000-0005-0000-0000-0000310D0000}"/>
    <cellStyle name="Normal 2 10 7" xfId="1252" xr:uid="{00000000-0005-0000-0000-0000320D0000}"/>
    <cellStyle name="Normal 2 10 8" xfId="1253" xr:uid="{00000000-0005-0000-0000-0000330D0000}"/>
    <cellStyle name="Normal 2 10 9" xfId="4133" xr:uid="{00000000-0005-0000-0000-0000340D0000}"/>
    <cellStyle name="Normal 2 10 9 2" xfId="9598" xr:uid="{00000000-0005-0000-0000-0000350D0000}"/>
    <cellStyle name="Normal 2 10 9 2 2" xfId="10300" xr:uid="{00000000-0005-0000-0000-0000360D0000}"/>
    <cellStyle name="Normal 2 10 9 2 2 2" xfId="12035" xr:uid="{00000000-0005-0000-0000-0000370D0000}"/>
    <cellStyle name="Normal 2 10 9 2 3" xfId="11388" xr:uid="{00000000-0005-0000-0000-0000380D0000}"/>
    <cellStyle name="Normal 2 10 9 3" xfId="10003" xr:uid="{00000000-0005-0000-0000-0000390D0000}"/>
    <cellStyle name="Normal 2 10 9 3 2" xfId="11739" xr:uid="{00000000-0005-0000-0000-00003A0D0000}"/>
    <cellStyle name="Normal 2 10 9 4" xfId="10965" xr:uid="{00000000-0005-0000-0000-00003B0D0000}"/>
    <cellStyle name="Normal 2 100" xfId="1254" xr:uid="{00000000-0005-0000-0000-00003C0D0000}"/>
    <cellStyle name="Normal 2 100 2" xfId="7683" xr:uid="{00000000-0005-0000-0000-00003D0D0000}"/>
    <cellStyle name="Normal 2 101" xfId="1255" xr:uid="{00000000-0005-0000-0000-00003E0D0000}"/>
    <cellStyle name="Normal 2 101 2" xfId="7684" xr:uid="{00000000-0005-0000-0000-00003F0D0000}"/>
    <cellStyle name="Normal 2 102" xfId="1256" xr:uid="{00000000-0005-0000-0000-0000400D0000}"/>
    <cellStyle name="Normal 2 102 2" xfId="7685" xr:uid="{00000000-0005-0000-0000-0000410D0000}"/>
    <cellStyle name="Normal 2 103" xfId="1257" xr:uid="{00000000-0005-0000-0000-0000420D0000}"/>
    <cellStyle name="Normal 2 103 2" xfId="7686" xr:uid="{00000000-0005-0000-0000-0000430D0000}"/>
    <cellStyle name="Normal 2 104" xfId="1258" xr:uid="{00000000-0005-0000-0000-0000440D0000}"/>
    <cellStyle name="Normal 2 104 2" xfId="7687" xr:uid="{00000000-0005-0000-0000-0000450D0000}"/>
    <cellStyle name="Normal 2 105" xfId="1259" xr:uid="{00000000-0005-0000-0000-0000460D0000}"/>
    <cellStyle name="Normal 2 105 2" xfId="7688" xr:uid="{00000000-0005-0000-0000-0000470D0000}"/>
    <cellStyle name="Normal 2 106" xfId="1260" xr:uid="{00000000-0005-0000-0000-0000480D0000}"/>
    <cellStyle name="Normal 2 106 2" xfId="7689" xr:uid="{00000000-0005-0000-0000-0000490D0000}"/>
    <cellStyle name="Normal 2 107" xfId="4043" xr:uid="{00000000-0005-0000-0000-00004A0D0000}"/>
    <cellStyle name="Normal 2 107 2" xfId="4048" xr:uid="{00000000-0005-0000-0000-00004B0D0000}"/>
    <cellStyle name="Normal 2 107 2 2" xfId="9554" xr:uid="{00000000-0005-0000-0000-00004C0D0000}"/>
    <cellStyle name="Normal 2 107 2 2 2" xfId="10258" xr:uid="{00000000-0005-0000-0000-00004D0D0000}"/>
    <cellStyle name="Normal 2 107 2 2 2 2" xfId="11993" xr:uid="{00000000-0005-0000-0000-00004E0D0000}"/>
    <cellStyle name="Normal 2 107 2 2 3" xfId="11346" xr:uid="{00000000-0005-0000-0000-00004F0D0000}"/>
    <cellStyle name="Normal 2 107 2 3" xfId="9961" xr:uid="{00000000-0005-0000-0000-0000500D0000}"/>
    <cellStyle name="Normal 2 107 2 3 2" xfId="11697" xr:uid="{00000000-0005-0000-0000-0000510D0000}"/>
    <cellStyle name="Normal 2 107 2 4" xfId="10917" xr:uid="{00000000-0005-0000-0000-0000520D0000}"/>
    <cellStyle name="Normal 2 107 3" xfId="4358" xr:uid="{00000000-0005-0000-0000-0000530D0000}"/>
    <cellStyle name="Normal 2 107 3 2" xfId="9766" xr:uid="{00000000-0005-0000-0000-0000540D0000}"/>
    <cellStyle name="Normal 2 107 3 2 2" xfId="10464" xr:uid="{00000000-0005-0000-0000-0000550D0000}"/>
    <cellStyle name="Normal 2 107 3 2 2 2" xfId="12199" xr:uid="{00000000-0005-0000-0000-0000560D0000}"/>
    <cellStyle name="Normal 2 107 3 2 3" xfId="11552" xr:uid="{00000000-0005-0000-0000-0000570D0000}"/>
    <cellStyle name="Normal 2 107 3 3" xfId="10169" xr:uid="{00000000-0005-0000-0000-0000580D0000}"/>
    <cellStyle name="Normal 2 107 3 3 2" xfId="11905" xr:uid="{00000000-0005-0000-0000-0000590D0000}"/>
    <cellStyle name="Normal 2 107 3 4" xfId="11162" xr:uid="{00000000-0005-0000-0000-00005A0D0000}"/>
    <cellStyle name="Normal 2 107 4" xfId="4360" xr:uid="{00000000-0005-0000-0000-00005B0D0000}"/>
    <cellStyle name="Normal 2 107 4 2" xfId="9768" xr:uid="{00000000-0005-0000-0000-00005C0D0000}"/>
    <cellStyle name="Normal 2 107 4 2 2" xfId="10466" xr:uid="{00000000-0005-0000-0000-00005D0D0000}"/>
    <cellStyle name="Normal 2 107 4 2 2 2" xfId="12201" xr:uid="{00000000-0005-0000-0000-00005E0D0000}"/>
    <cellStyle name="Normal 2 107 4 2 3" xfId="11554" xr:uid="{00000000-0005-0000-0000-00005F0D0000}"/>
    <cellStyle name="Normal 2 107 4 3" xfId="10171" xr:uid="{00000000-0005-0000-0000-0000600D0000}"/>
    <cellStyle name="Normal 2 107 4 3 2" xfId="11907" xr:uid="{00000000-0005-0000-0000-0000610D0000}"/>
    <cellStyle name="Normal 2 107 4 4" xfId="11164" xr:uid="{00000000-0005-0000-0000-0000620D0000}"/>
    <cellStyle name="Normal 2 107 5" xfId="9551" xr:uid="{00000000-0005-0000-0000-0000630D0000}"/>
    <cellStyle name="Normal 2 107 5 2" xfId="10255" xr:uid="{00000000-0005-0000-0000-0000640D0000}"/>
    <cellStyle name="Normal 2 107 5 2 2" xfId="11990" xr:uid="{00000000-0005-0000-0000-0000650D0000}"/>
    <cellStyle name="Normal 2 107 5 3" xfId="11343" xr:uid="{00000000-0005-0000-0000-0000660D0000}"/>
    <cellStyle name="Normal 2 107 6" xfId="9958" xr:uid="{00000000-0005-0000-0000-0000670D0000}"/>
    <cellStyle name="Normal 2 107 6 2" xfId="11694" xr:uid="{00000000-0005-0000-0000-0000680D0000}"/>
    <cellStyle name="Normal 2 107 7" xfId="10914" xr:uid="{00000000-0005-0000-0000-0000690D0000}"/>
    <cellStyle name="Normal 2 108" xfId="4060" xr:uid="{00000000-0005-0000-0000-00006A0D0000}"/>
    <cellStyle name="Normal 2 108 2" xfId="9563" xr:uid="{00000000-0005-0000-0000-00006B0D0000}"/>
    <cellStyle name="Normal 2 108 2 2" xfId="10266" xr:uid="{00000000-0005-0000-0000-00006C0D0000}"/>
    <cellStyle name="Normal 2 108 2 2 2" xfId="12001" xr:uid="{00000000-0005-0000-0000-00006D0D0000}"/>
    <cellStyle name="Normal 2 108 2 3" xfId="11354" xr:uid="{00000000-0005-0000-0000-00006E0D0000}"/>
    <cellStyle name="Normal 2 108 3" xfId="9969" xr:uid="{00000000-0005-0000-0000-00006F0D0000}"/>
    <cellStyle name="Normal 2 108 3 2" xfId="11705" xr:uid="{00000000-0005-0000-0000-0000700D0000}"/>
    <cellStyle name="Normal 2 108 4" xfId="10927" xr:uid="{00000000-0005-0000-0000-0000710D0000}"/>
    <cellStyle name="Normal 2 109" xfId="4179" xr:uid="{00000000-0005-0000-0000-0000720D0000}"/>
    <cellStyle name="Normal 2 109 2" xfId="9616" xr:uid="{00000000-0005-0000-0000-0000730D0000}"/>
    <cellStyle name="Normal 2 109 2 2" xfId="10317" xr:uid="{00000000-0005-0000-0000-0000740D0000}"/>
    <cellStyle name="Normal 2 109 2 2 2" xfId="12052" xr:uid="{00000000-0005-0000-0000-0000750D0000}"/>
    <cellStyle name="Normal 2 109 2 3" xfId="11405" xr:uid="{00000000-0005-0000-0000-0000760D0000}"/>
    <cellStyle name="Normal 2 109 3" xfId="10020" xr:uid="{00000000-0005-0000-0000-0000770D0000}"/>
    <cellStyle name="Normal 2 109 3 2" xfId="11756" xr:uid="{00000000-0005-0000-0000-0000780D0000}"/>
    <cellStyle name="Normal 2 109 4" xfId="10992" xr:uid="{00000000-0005-0000-0000-0000790D0000}"/>
    <cellStyle name="Normal 2 11" xfId="1261" xr:uid="{00000000-0005-0000-0000-00007A0D0000}"/>
    <cellStyle name="Normal 2 11 10" xfId="4197" xr:uid="{00000000-0005-0000-0000-00007B0D0000}"/>
    <cellStyle name="Normal 2 11 10 2" xfId="9632" xr:uid="{00000000-0005-0000-0000-00007C0D0000}"/>
    <cellStyle name="Normal 2 11 10 2 2" xfId="10333" xr:uid="{00000000-0005-0000-0000-00007D0D0000}"/>
    <cellStyle name="Normal 2 11 10 2 2 2" xfId="12068" xr:uid="{00000000-0005-0000-0000-00007E0D0000}"/>
    <cellStyle name="Normal 2 11 10 2 3" xfId="11421" xr:uid="{00000000-0005-0000-0000-00007F0D0000}"/>
    <cellStyle name="Normal 2 11 10 3" xfId="10036" xr:uid="{00000000-0005-0000-0000-0000800D0000}"/>
    <cellStyle name="Normal 2 11 10 3 2" xfId="11772" xr:uid="{00000000-0005-0000-0000-0000810D0000}"/>
    <cellStyle name="Normal 2 11 10 4" xfId="11008" xr:uid="{00000000-0005-0000-0000-0000820D0000}"/>
    <cellStyle name="Normal 2 11 11" xfId="4339" xr:uid="{00000000-0005-0000-0000-0000830D0000}"/>
    <cellStyle name="Normal 2 11 11 2" xfId="9750" xr:uid="{00000000-0005-0000-0000-0000840D0000}"/>
    <cellStyle name="Normal 2 11 11 2 2" xfId="10448" xr:uid="{00000000-0005-0000-0000-0000850D0000}"/>
    <cellStyle name="Normal 2 11 11 2 2 2" xfId="12183" xr:uid="{00000000-0005-0000-0000-0000860D0000}"/>
    <cellStyle name="Normal 2 11 11 2 3" xfId="11536" xr:uid="{00000000-0005-0000-0000-0000870D0000}"/>
    <cellStyle name="Normal 2 11 11 3" xfId="10151" xr:uid="{00000000-0005-0000-0000-0000880D0000}"/>
    <cellStyle name="Normal 2 11 11 3 2" xfId="11887" xr:uid="{00000000-0005-0000-0000-0000890D0000}"/>
    <cellStyle name="Normal 2 11 11 4" xfId="11144" xr:uid="{00000000-0005-0000-0000-00008A0D0000}"/>
    <cellStyle name="Normal 2 11 12" xfId="7690" xr:uid="{00000000-0005-0000-0000-00008B0D0000}"/>
    <cellStyle name="Normal 2 11 2" xfId="1262" xr:uid="{00000000-0005-0000-0000-00008C0D0000}"/>
    <cellStyle name="Normal 2 11 2 2" xfId="4248" xr:uid="{00000000-0005-0000-0000-00008D0D0000}"/>
    <cellStyle name="Normal 2 11 2 2 2" xfId="9683" xr:uid="{00000000-0005-0000-0000-00008E0D0000}"/>
    <cellStyle name="Normal 2 11 2 2 2 2" xfId="10384" xr:uid="{00000000-0005-0000-0000-00008F0D0000}"/>
    <cellStyle name="Normal 2 11 2 2 2 2 2" xfId="12119" xr:uid="{00000000-0005-0000-0000-0000900D0000}"/>
    <cellStyle name="Normal 2 11 2 2 2 3" xfId="11472" xr:uid="{00000000-0005-0000-0000-0000910D0000}"/>
    <cellStyle name="Normal 2 11 2 2 3" xfId="10087" xr:uid="{00000000-0005-0000-0000-0000920D0000}"/>
    <cellStyle name="Normal 2 11 2 2 3 2" xfId="11823" xr:uid="{00000000-0005-0000-0000-0000930D0000}"/>
    <cellStyle name="Normal 2 11 2 2 4" xfId="11059" xr:uid="{00000000-0005-0000-0000-0000940D0000}"/>
    <cellStyle name="Normal 2 11 3" xfId="1263" xr:uid="{00000000-0005-0000-0000-0000950D0000}"/>
    <cellStyle name="Normal 2 11 4" xfId="1264" xr:uid="{00000000-0005-0000-0000-0000960D0000}"/>
    <cellStyle name="Normal 2 11 5" xfId="1265" xr:uid="{00000000-0005-0000-0000-0000970D0000}"/>
    <cellStyle name="Normal 2 11 6" xfId="1266" xr:uid="{00000000-0005-0000-0000-0000980D0000}"/>
    <cellStyle name="Normal 2 11 7" xfId="1267" xr:uid="{00000000-0005-0000-0000-0000990D0000}"/>
    <cellStyle name="Normal 2 11 8" xfId="1268" xr:uid="{00000000-0005-0000-0000-00009A0D0000}"/>
    <cellStyle name="Normal 2 11 9" xfId="4095" xr:uid="{00000000-0005-0000-0000-00009B0D0000}"/>
    <cellStyle name="Normal 2 11 9 2" xfId="9579" xr:uid="{00000000-0005-0000-0000-00009C0D0000}"/>
    <cellStyle name="Normal 2 11 9 2 2" xfId="10282" xr:uid="{00000000-0005-0000-0000-00009D0D0000}"/>
    <cellStyle name="Normal 2 11 9 2 2 2" xfId="12017" xr:uid="{00000000-0005-0000-0000-00009E0D0000}"/>
    <cellStyle name="Normal 2 11 9 2 3" xfId="11370" xr:uid="{00000000-0005-0000-0000-00009F0D0000}"/>
    <cellStyle name="Normal 2 11 9 3" xfId="9985" xr:uid="{00000000-0005-0000-0000-0000A00D0000}"/>
    <cellStyle name="Normal 2 11 9 3 2" xfId="11721" xr:uid="{00000000-0005-0000-0000-0000A10D0000}"/>
    <cellStyle name="Normal 2 11 9 4" xfId="10944" xr:uid="{00000000-0005-0000-0000-0000A20D0000}"/>
    <cellStyle name="Normal 2 110" xfId="4287" xr:uid="{00000000-0005-0000-0000-0000A30D0000}"/>
    <cellStyle name="Normal 2 110 2" xfId="9720" xr:uid="{00000000-0005-0000-0000-0000A40D0000}"/>
    <cellStyle name="Normal 2 110 2 2" xfId="10420" xr:uid="{00000000-0005-0000-0000-0000A50D0000}"/>
    <cellStyle name="Normal 2 110 2 2 2" xfId="12155" xr:uid="{00000000-0005-0000-0000-0000A60D0000}"/>
    <cellStyle name="Normal 2 110 2 3" xfId="11508" xr:uid="{00000000-0005-0000-0000-0000A70D0000}"/>
    <cellStyle name="Normal 2 110 3" xfId="10123" xr:uid="{00000000-0005-0000-0000-0000A80D0000}"/>
    <cellStyle name="Normal 2 110 3 2" xfId="11859" xr:uid="{00000000-0005-0000-0000-0000A90D0000}"/>
    <cellStyle name="Normal 2 110 4" xfId="11097" xr:uid="{00000000-0005-0000-0000-0000AA0D0000}"/>
    <cellStyle name="Normal 2 111" xfId="4298" xr:uid="{00000000-0005-0000-0000-0000AB0D0000}"/>
    <cellStyle name="Normal 2 111 2" xfId="9724" xr:uid="{00000000-0005-0000-0000-0000AC0D0000}"/>
    <cellStyle name="Normal 2 111 2 2" xfId="10424" xr:uid="{00000000-0005-0000-0000-0000AD0D0000}"/>
    <cellStyle name="Normal 2 111 2 2 2" xfId="12159" xr:uid="{00000000-0005-0000-0000-0000AE0D0000}"/>
    <cellStyle name="Normal 2 111 2 3" xfId="11512" xr:uid="{00000000-0005-0000-0000-0000AF0D0000}"/>
    <cellStyle name="Normal 2 111 3" xfId="10127" xr:uid="{00000000-0005-0000-0000-0000B00D0000}"/>
    <cellStyle name="Normal 2 111 3 2" xfId="11863" xr:uid="{00000000-0005-0000-0000-0000B10D0000}"/>
    <cellStyle name="Normal 2 111 4" xfId="11107" xr:uid="{00000000-0005-0000-0000-0000B20D0000}"/>
    <cellStyle name="Normal 2 112" xfId="4304" xr:uid="{00000000-0005-0000-0000-0000B30D0000}"/>
    <cellStyle name="Normal 2 112 2" xfId="9730" xr:uid="{00000000-0005-0000-0000-0000B40D0000}"/>
    <cellStyle name="Normal 2 112 2 2" xfId="10430" xr:uid="{00000000-0005-0000-0000-0000B50D0000}"/>
    <cellStyle name="Normal 2 112 2 2 2" xfId="12165" xr:uid="{00000000-0005-0000-0000-0000B60D0000}"/>
    <cellStyle name="Normal 2 112 2 3" xfId="11518" xr:uid="{00000000-0005-0000-0000-0000B70D0000}"/>
    <cellStyle name="Normal 2 112 3" xfId="10133" xr:uid="{00000000-0005-0000-0000-0000B80D0000}"/>
    <cellStyle name="Normal 2 112 3 2" xfId="11869" xr:uid="{00000000-0005-0000-0000-0000B90D0000}"/>
    <cellStyle name="Normal 2 112 4" xfId="11113" xr:uid="{00000000-0005-0000-0000-0000BA0D0000}"/>
    <cellStyle name="Normal 2 113" xfId="4362" xr:uid="{00000000-0005-0000-0000-0000BB0D0000}"/>
    <cellStyle name="Normal 2 113 2" xfId="9770" xr:uid="{00000000-0005-0000-0000-0000BC0D0000}"/>
    <cellStyle name="Normal 2 113 2 2" xfId="10468" xr:uid="{00000000-0005-0000-0000-0000BD0D0000}"/>
    <cellStyle name="Normal 2 113 2 2 2" xfId="12203" xr:uid="{00000000-0005-0000-0000-0000BE0D0000}"/>
    <cellStyle name="Normal 2 113 2 3" xfId="11556" xr:uid="{00000000-0005-0000-0000-0000BF0D0000}"/>
    <cellStyle name="Normal 2 113 3" xfId="10173" xr:uid="{00000000-0005-0000-0000-0000C00D0000}"/>
    <cellStyle name="Normal 2 113 3 2" xfId="11909" xr:uid="{00000000-0005-0000-0000-0000C10D0000}"/>
    <cellStyle name="Normal 2 113 4" xfId="11166" xr:uid="{00000000-0005-0000-0000-0000C20D0000}"/>
    <cellStyle name="Normal 2 114" xfId="1245" xr:uid="{00000000-0005-0000-0000-0000C30D0000}"/>
    <cellStyle name="Normal 2 115" xfId="9908" xr:uid="{00000000-0005-0000-0000-0000C40D0000}"/>
    <cellStyle name="Normal 2 115 2" xfId="11657" xr:uid="{00000000-0005-0000-0000-0000C50D0000}"/>
    <cellStyle name="Normal 2 116" xfId="9937" xr:uid="{00000000-0005-0000-0000-0000C60D0000}"/>
    <cellStyle name="Normal 2 117" xfId="10552" xr:uid="{00000000-0005-0000-0000-0000C70D0000}"/>
    <cellStyle name="Normal 2 117 2" xfId="12287" xr:uid="{00000000-0005-0000-0000-0000C80D0000}"/>
    <cellStyle name="Normal 2 12" xfId="1269" xr:uid="{00000000-0005-0000-0000-0000C90D0000}"/>
    <cellStyle name="Normal 2 12 10" xfId="7691" xr:uid="{00000000-0005-0000-0000-0000CA0D0000}"/>
    <cellStyle name="Normal 2 12 2" xfId="1270" xr:uid="{00000000-0005-0000-0000-0000CB0D0000}"/>
    <cellStyle name="Normal 2 12 3" xfId="1271" xr:uid="{00000000-0005-0000-0000-0000CC0D0000}"/>
    <cellStyle name="Normal 2 12 4" xfId="1272" xr:uid="{00000000-0005-0000-0000-0000CD0D0000}"/>
    <cellStyle name="Normal 2 12 5" xfId="1273" xr:uid="{00000000-0005-0000-0000-0000CE0D0000}"/>
    <cellStyle name="Normal 2 12 6" xfId="1274" xr:uid="{00000000-0005-0000-0000-0000CF0D0000}"/>
    <cellStyle name="Normal 2 12 7" xfId="1275" xr:uid="{00000000-0005-0000-0000-0000D00D0000}"/>
    <cellStyle name="Normal 2 12 8" xfId="1276" xr:uid="{00000000-0005-0000-0000-0000D10D0000}"/>
    <cellStyle name="Normal 2 12 9" xfId="4232" xr:uid="{00000000-0005-0000-0000-0000D20D0000}"/>
    <cellStyle name="Normal 2 12 9 2" xfId="9667" xr:uid="{00000000-0005-0000-0000-0000D30D0000}"/>
    <cellStyle name="Normal 2 12 9 2 2" xfId="10368" xr:uid="{00000000-0005-0000-0000-0000D40D0000}"/>
    <cellStyle name="Normal 2 12 9 2 2 2" xfId="12103" xr:uid="{00000000-0005-0000-0000-0000D50D0000}"/>
    <cellStyle name="Normal 2 12 9 2 3" xfId="11456" xr:uid="{00000000-0005-0000-0000-0000D60D0000}"/>
    <cellStyle name="Normal 2 12 9 3" xfId="10071" xr:uid="{00000000-0005-0000-0000-0000D70D0000}"/>
    <cellStyle name="Normal 2 12 9 3 2" xfId="11807" xr:uid="{00000000-0005-0000-0000-0000D80D0000}"/>
    <cellStyle name="Normal 2 12 9 4" xfId="11043" xr:uid="{00000000-0005-0000-0000-0000D90D0000}"/>
    <cellStyle name="Normal 2 13" xfId="1277" xr:uid="{00000000-0005-0000-0000-0000DA0D0000}"/>
    <cellStyle name="Normal 2 13 2" xfId="5152" xr:uid="{00000000-0005-0000-0000-0000DB0D0000}"/>
    <cellStyle name="Normal 2 14" xfId="1278" xr:uid="{00000000-0005-0000-0000-0000DC0D0000}"/>
    <cellStyle name="Normal 2 14 2" xfId="5153" xr:uid="{00000000-0005-0000-0000-0000DD0D0000}"/>
    <cellStyle name="Normal 2 15" xfId="1279" xr:uid="{00000000-0005-0000-0000-0000DE0D0000}"/>
    <cellStyle name="Normal 2 15 2" xfId="5154" xr:uid="{00000000-0005-0000-0000-0000DF0D0000}"/>
    <cellStyle name="Normal 2 16" xfId="1280" xr:uid="{00000000-0005-0000-0000-0000E00D0000}"/>
    <cellStyle name="Normal 2 16 2" xfId="5155" xr:uid="{00000000-0005-0000-0000-0000E10D0000}"/>
    <cellStyle name="Normal 2 17" xfId="1281" xr:uid="{00000000-0005-0000-0000-0000E20D0000}"/>
    <cellStyle name="Normal 2 17 2" xfId="5156" xr:uid="{00000000-0005-0000-0000-0000E30D0000}"/>
    <cellStyle name="Normal 2 18" xfId="1282" xr:uid="{00000000-0005-0000-0000-0000E40D0000}"/>
    <cellStyle name="Normal 2 18 2" xfId="5157" xr:uid="{00000000-0005-0000-0000-0000E50D0000}"/>
    <cellStyle name="Normal 2 19" xfId="1283" xr:uid="{00000000-0005-0000-0000-0000E60D0000}"/>
    <cellStyle name="Normal 2 19 2" xfId="5158" xr:uid="{00000000-0005-0000-0000-0000E70D0000}"/>
    <cellStyle name="Normal 2 2" xfId="105" xr:uid="{00000000-0005-0000-0000-0000E80D0000}"/>
    <cellStyle name="Normal 2 2 10" xfId="1285" xr:uid="{00000000-0005-0000-0000-0000E90D0000}"/>
    <cellStyle name="Normal 2 2 10 2" xfId="4137" xr:uid="{00000000-0005-0000-0000-0000EA0D0000}"/>
    <cellStyle name="Normal 2 2 10 3" xfId="4343" xr:uid="{00000000-0005-0000-0000-0000EB0D0000}"/>
    <cellStyle name="Normal 2 2 10 3 2" xfId="9754" xr:uid="{00000000-0005-0000-0000-0000EC0D0000}"/>
    <cellStyle name="Normal 2 2 10 3 2 2" xfId="10452" xr:uid="{00000000-0005-0000-0000-0000ED0D0000}"/>
    <cellStyle name="Normal 2 2 10 3 2 2 2" xfId="12187" xr:uid="{00000000-0005-0000-0000-0000EE0D0000}"/>
    <cellStyle name="Normal 2 2 10 3 2 3" xfId="11540" xr:uid="{00000000-0005-0000-0000-0000EF0D0000}"/>
    <cellStyle name="Normal 2 2 10 3 3" xfId="10155" xr:uid="{00000000-0005-0000-0000-0000F00D0000}"/>
    <cellStyle name="Normal 2 2 10 3 3 2" xfId="11891" xr:uid="{00000000-0005-0000-0000-0000F10D0000}"/>
    <cellStyle name="Normal 2 2 10 3 4" xfId="11148" xr:uid="{00000000-0005-0000-0000-0000F20D0000}"/>
    <cellStyle name="Normal 2 2 11" xfId="1286" xr:uid="{00000000-0005-0000-0000-0000F30D0000}"/>
    <cellStyle name="Normal 2 2 11 2" xfId="4097" xr:uid="{00000000-0005-0000-0000-0000F40D0000}"/>
    <cellStyle name="Normal 2 2 12" xfId="1287" xr:uid="{00000000-0005-0000-0000-0000F50D0000}"/>
    <cellStyle name="Normal 2 2 13" xfId="1288" xr:uid="{00000000-0005-0000-0000-0000F60D0000}"/>
    <cellStyle name="Normal 2 2 14" xfId="1289" xr:uid="{00000000-0005-0000-0000-0000F70D0000}"/>
    <cellStyle name="Normal 2 2 15" xfId="1290" xr:uid="{00000000-0005-0000-0000-0000F80D0000}"/>
    <cellStyle name="Normal 2 2 16" xfId="1291" xr:uid="{00000000-0005-0000-0000-0000F90D0000}"/>
    <cellStyle name="Normal 2 2 17" xfId="1292" xr:uid="{00000000-0005-0000-0000-0000FA0D0000}"/>
    <cellStyle name="Normal 2 2 18" xfId="1293" xr:uid="{00000000-0005-0000-0000-0000FB0D0000}"/>
    <cellStyle name="Normal 2 2 19" xfId="1294" xr:uid="{00000000-0005-0000-0000-0000FC0D0000}"/>
    <cellStyle name="Normal 2 2 2" xfId="1295" xr:uid="{00000000-0005-0000-0000-0000FD0D0000}"/>
    <cellStyle name="Normal 2 2 2 10" xfId="1296" xr:uid="{00000000-0005-0000-0000-0000FE0D0000}"/>
    <cellStyle name="Normal 2 2 2 10 2" xfId="7692" xr:uid="{00000000-0005-0000-0000-0000FF0D0000}"/>
    <cellStyle name="Normal 2 2 2 11" xfId="1297" xr:uid="{00000000-0005-0000-0000-0000000E0000}"/>
    <cellStyle name="Normal 2 2 2 11 2" xfId="7693" xr:uid="{00000000-0005-0000-0000-0000010E0000}"/>
    <cellStyle name="Normal 2 2 2 12" xfId="1298" xr:uid="{00000000-0005-0000-0000-0000020E0000}"/>
    <cellStyle name="Normal 2 2 2 12 2" xfId="7694" xr:uid="{00000000-0005-0000-0000-0000030E0000}"/>
    <cellStyle name="Normal 2 2 2 13" xfId="1299" xr:uid="{00000000-0005-0000-0000-0000040E0000}"/>
    <cellStyle name="Normal 2 2 2 13 2" xfId="7695" xr:uid="{00000000-0005-0000-0000-0000050E0000}"/>
    <cellStyle name="Normal 2 2 2 14" xfId="1300" xr:uid="{00000000-0005-0000-0000-0000060E0000}"/>
    <cellStyle name="Normal 2 2 2 14 2" xfId="7696" xr:uid="{00000000-0005-0000-0000-0000070E0000}"/>
    <cellStyle name="Normal 2 2 2 15" xfId="1301" xr:uid="{00000000-0005-0000-0000-0000080E0000}"/>
    <cellStyle name="Normal 2 2 2 15 2" xfId="7697" xr:uid="{00000000-0005-0000-0000-0000090E0000}"/>
    <cellStyle name="Normal 2 2 2 16" xfId="1302" xr:uid="{00000000-0005-0000-0000-00000A0E0000}"/>
    <cellStyle name="Normal 2 2 2 16 2" xfId="7698" xr:uid="{00000000-0005-0000-0000-00000B0E0000}"/>
    <cellStyle name="Normal 2 2 2 17" xfId="1303" xr:uid="{00000000-0005-0000-0000-00000C0E0000}"/>
    <cellStyle name="Normal 2 2 2 17 2" xfId="7699" xr:uid="{00000000-0005-0000-0000-00000D0E0000}"/>
    <cellStyle name="Normal 2 2 2 18" xfId="1304" xr:uid="{00000000-0005-0000-0000-00000E0E0000}"/>
    <cellStyle name="Normal 2 2 2 18 2" xfId="7700" xr:uid="{00000000-0005-0000-0000-00000F0E0000}"/>
    <cellStyle name="Normal 2 2 2 19" xfId="1305" xr:uid="{00000000-0005-0000-0000-0000100E0000}"/>
    <cellStyle name="Normal 2 2 2 19 2" xfId="7701" xr:uid="{00000000-0005-0000-0000-0000110E0000}"/>
    <cellStyle name="Normal 2 2 2 2" xfId="1306" xr:uid="{00000000-0005-0000-0000-0000120E0000}"/>
    <cellStyle name="Normal 2 2 2 2 2" xfId="4143" xr:uid="{00000000-0005-0000-0000-0000130E0000}"/>
    <cellStyle name="Normal 2 2 2 2 2 2" xfId="4269" xr:uid="{00000000-0005-0000-0000-0000140E0000}"/>
    <cellStyle name="Normal 2 2 2 2 2 2 2" xfId="9704" xr:uid="{00000000-0005-0000-0000-0000150E0000}"/>
    <cellStyle name="Normal 2 2 2 2 2 2 2 2" xfId="10405" xr:uid="{00000000-0005-0000-0000-0000160E0000}"/>
    <cellStyle name="Normal 2 2 2 2 2 2 2 2 2" xfId="12140" xr:uid="{00000000-0005-0000-0000-0000170E0000}"/>
    <cellStyle name="Normal 2 2 2 2 2 2 2 3" xfId="11493" xr:uid="{00000000-0005-0000-0000-0000180E0000}"/>
    <cellStyle name="Normal 2 2 2 2 2 2 3" xfId="10108" xr:uid="{00000000-0005-0000-0000-0000190E0000}"/>
    <cellStyle name="Normal 2 2 2 2 2 2 3 2" xfId="11844" xr:uid="{00000000-0005-0000-0000-00001A0E0000}"/>
    <cellStyle name="Normal 2 2 2 2 2 2 4" xfId="11080" xr:uid="{00000000-0005-0000-0000-00001B0E0000}"/>
    <cellStyle name="Normal 2 2 2 2 2 3" xfId="9601" xr:uid="{00000000-0005-0000-0000-00001C0E0000}"/>
    <cellStyle name="Normal 2 2 2 2 2 3 2" xfId="10303" xr:uid="{00000000-0005-0000-0000-00001D0E0000}"/>
    <cellStyle name="Normal 2 2 2 2 2 3 2 2" xfId="12038" xr:uid="{00000000-0005-0000-0000-00001E0E0000}"/>
    <cellStyle name="Normal 2 2 2 2 2 3 3" xfId="11391" xr:uid="{00000000-0005-0000-0000-00001F0E0000}"/>
    <cellStyle name="Normal 2 2 2 2 2 4" xfId="10006" xr:uid="{00000000-0005-0000-0000-0000200E0000}"/>
    <cellStyle name="Normal 2 2 2 2 2 4 2" xfId="11742" xr:uid="{00000000-0005-0000-0000-0000210E0000}"/>
    <cellStyle name="Normal 2 2 2 2 2 5" xfId="10969" xr:uid="{00000000-0005-0000-0000-0000220E0000}"/>
    <cellStyle name="Normal 2 2 2 2 3" xfId="4218" xr:uid="{00000000-0005-0000-0000-0000230E0000}"/>
    <cellStyle name="Normal 2 2 2 2 3 2" xfId="9653" xr:uid="{00000000-0005-0000-0000-0000240E0000}"/>
    <cellStyle name="Normal 2 2 2 2 3 2 2" xfId="10354" xr:uid="{00000000-0005-0000-0000-0000250E0000}"/>
    <cellStyle name="Normal 2 2 2 2 3 2 2 2" xfId="12089" xr:uid="{00000000-0005-0000-0000-0000260E0000}"/>
    <cellStyle name="Normal 2 2 2 2 3 2 3" xfId="11442" xr:uid="{00000000-0005-0000-0000-0000270E0000}"/>
    <cellStyle name="Normal 2 2 2 2 3 3" xfId="10057" xr:uid="{00000000-0005-0000-0000-0000280E0000}"/>
    <cellStyle name="Normal 2 2 2 2 3 3 2" xfId="11793" xr:uid="{00000000-0005-0000-0000-0000290E0000}"/>
    <cellStyle name="Normal 2 2 2 2 3 4" xfId="11029" xr:uid="{00000000-0005-0000-0000-00002A0E0000}"/>
    <cellStyle name="Normal 2 2 2 2 4" xfId="4348" xr:uid="{00000000-0005-0000-0000-00002B0E0000}"/>
    <cellStyle name="Normal 2 2 2 2 4 2" xfId="9759" xr:uid="{00000000-0005-0000-0000-00002C0E0000}"/>
    <cellStyle name="Normal 2 2 2 2 4 2 2" xfId="10457" xr:uid="{00000000-0005-0000-0000-00002D0E0000}"/>
    <cellStyle name="Normal 2 2 2 2 4 2 2 2" xfId="12192" xr:uid="{00000000-0005-0000-0000-00002E0E0000}"/>
    <cellStyle name="Normal 2 2 2 2 4 2 3" xfId="11545" xr:uid="{00000000-0005-0000-0000-00002F0E0000}"/>
    <cellStyle name="Normal 2 2 2 2 4 3" xfId="10160" xr:uid="{00000000-0005-0000-0000-0000300E0000}"/>
    <cellStyle name="Normal 2 2 2 2 4 3 2" xfId="11896" xr:uid="{00000000-0005-0000-0000-0000310E0000}"/>
    <cellStyle name="Normal 2 2 2 2 4 4" xfId="11153" xr:uid="{00000000-0005-0000-0000-0000320E0000}"/>
    <cellStyle name="Normal 2 2 2 2 5" xfId="7702" xr:uid="{00000000-0005-0000-0000-0000330E0000}"/>
    <cellStyle name="Normal 2 2 2 2 6" xfId="10575" xr:uid="{00000000-0005-0000-0000-0000340E0000}"/>
    <cellStyle name="Normal 2 2 2 2 6 2" xfId="12310" xr:uid="{00000000-0005-0000-0000-0000350E0000}"/>
    <cellStyle name="Normal 2 2 2 20" xfId="1307" xr:uid="{00000000-0005-0000-0000-0000360E0000}"/>
    <cellStyle name="Normal 2 2 2 20 2" xfId="7703" xr:uid="{00000000-0005-0000-0000-0000370E0000}"/>
    <cellStyle name="Normal 2 2 2 21" xfId="1308" xr:uid="{00000000-0005-0000-0000-0000380E0000}"/>
    <cellStyle name="Normal 2 2 2 21 2" xfId="7704" xr:uid="{00000000-0005-0000-0000-0000390E0000}"/>
    <cellStyle name="Normal 2 2 2 22" xfId="1309" xr:uid="{00000000-0005-0000-0000-00003A0E0000}"/>
    <cellStyle name="Normal 2 2 2 22 2" xfId="7705" xr:uid="{00000000-0005-0000-0000-00003B0E0000}"/>
    <cellStyle name="Normal 2 2 2 23" xfId="1310" xr:uid="{00000000-0005-0000-0000-00003C0E0000}"/>
    <cellStyle name="Normal 2 2 2 23 2" xfId="7706" xr:uid="{00000000-0005-0000-0000-00003D0E0000}"/>
    <cellStyle name="Normal 2 2 2 24" xfId="1311" xr:uid="{00000000-0005-0000-0000-00003E0E0000}"/>
    <cellStyle name="Normal 2 2 2 24 2" xfId="7707" xr:uid="{00000000-0005-0000-0000-00003F0E0000}"/>
    <cellStyle name="Normal 2 2 2 25" xfId="1312" xr:uid="{00000000-0005-0000-0000-0000400E0000}"/>
    <cellStyle name="Normal 2 2 2 25 2" xfId="7708" xr:uid="{00000000-0005-0000-0000-0000410E0000}"/>
    <cellStyle name="Normal 2 2 2 26" xfId="1313" xr:uid="{00000000-0005-0000-0000-0000420E0000}"/>
    <cellStyle name="Normal 2 2 2 26 2" xfId="7709" xr:uid="{00000000-0005-0000-0000-0000430E0000}"/>
    <cellStyle name="Normal 2 2 2 27" xfId="1314" xr:uid="{00000000-0005-0000-0000-0000440E0000}"/>
    <cellStyle name="Normal 2 2 2 27 2" xfId="7710" xr:uid="{00000000-0005-0000-0000-0000450E0000}"/>
    <cellStyle name="Normal 2 2 2 28" xfId="1315" xr:uid="{00000000-0005-0000-0000-0000460E0000}"/>
    <cellStyle name="Normal 2 2 2 28 2" xfId="7711" xr:uid="{00000000-0005-0000-0000-0000470E0000}"/>
    <cellStyle name="Normal 2 2 2 29" xfId="1316" xr:uid="{00000000-0005-0000-0000-0000480E0000}"/>
    <cellStyle name="Normal 2 2 2 29 2" xfId="7712" xr:uid="{00000000-0005-0000-0000-0000490E0000}"/>
    <cellStyle name="Normal 2 2 2 3" xfId="1317" xr:uid="{00000000-0005-0000-0000-00004A0E0000}"/>
    <cellStyle name="Normal 2 2 2 3 2" xfId="4103" xr:uid="{00000000-0005-0000-0000-00004B0E0000}"/>
    <cellStyle name="Normal 2 2 2 3 2 2" xfId="4251" xr:uid="{00000000-0005-0000-0000-00004C0E0000}"/>
    <cellStyle name="Normal 2 2 2 3 2 2 2" xfId="9686" xr:uid="{00000000-0005-0000-0000-00004D0E0000}"/>
    <cellStyle name="Normal 2 2 2 3 2 2 2 2" xfId="10387" xr:uid="{00000000-0005-0000-0000-00004E0E0000}"/>
    <cellStyle name="Normal 2 2 2 3 2 2 2 2 2" xfId="12122" xr:uid="{00000000-0005-0000-0000-00004F0E0000}"/>
    <cellStyle name="Normal 2 2 2 3 2 2 2 3" xfId="11475" xr:uid="{00000000-0005-0000-0000-0000500E0000}"/>
    <cellStyle name="Normal 2 2 2 3 2 2 3" xfId="10090" xr:uid="{00000000-0005-0000-0000-0000510E0000}"/>
    <cellStyle name="Normal 2 2 2 3 2 2 3 2" xfId="11826" xr:uid="{00000000-0005-0000-0000-0000520E0000}"/>
    <cellStyle name="Normal 2 2 2 3 2 2 4" xfId="11062" xr:uid="{00000000-0005-0000-0000-0000530E0000}"/>
    <cellStyle name="Normal 2 2 2 3 2 3" xfId="9582" xr:uid="{00000000-0005-0000-0000-0000540E0000}"/>
    <cellStyle name="Normal 2 2 2 3 2 3 2" xfId="10285" xr:uid="{00000000-0005-0000-0000-0000550E0000}"/>
    <cellStyle name="Normal 2 2 2 3 2 3 2 2" xfId="12020" xr:uid="{00000000-0005-0000-0000-0000560E0000}"/>
    <cellStyle name="Normal 2 2 2 3 2 3 3" xfId="11373" xr:uid="{00000000-0005-0000-0000-0000570E0000}"/>
    <cellStyle name="Normal 2 2 2 3 2 4" xfId="9988" xr:uid="{00000000-0005-0000-0000-0000580E0000}"/>
    <cellStyle name="Normal 2 2 2 3 2 4 2" xfId="11724" xr:uid="{00000000-0005-0000-0000-0000590E0000}"/>
    <cellStyle name="Normal 2 2 2 3 2 5" xfId="10948" xr:uid="{00000000-0005-0000-0000-00005A0E0000}"/>
    <cellStyle name="Normal 2 2 2 3 3" xfId="4200" xr:uid="{00000000-0005-0000-0000-00005B0E0000}"/>
    <cellStyle name="Normal 2 2 2 3 3 2" xfId="9635" xr:uid="{00000000-0005-0000-0000-00005C0E0000}"/>
    <cellStyle name="Normal 2 2 2 3 3 2 2" xfId="10336" xr:uid="{00000000-0005-0000-0000-00005D0E0000}"/>
    <cellStyle name="Normal 2 2 2 3 3 2 2 2" xfId="12071" xr:uid="{00000000-0005-0000-0000-00005E0E0000}"/>
    <cellStyle name="Normal 2 2 2 3 3 2 3" xfId="11424" xr:uid="{00000000-0005-0000-0000-00005F0E0000}"/>
    <cellStyle name="Normal 2 2 2 3 3 3" xfId="10039" xr:uid="{00000000-0005-0000-0000-0000600E0000}"/>
    <cellStyle name="Normal 2 2 2 3 3 3 2" xfId="11775" xr:uid="{00000000-0005-0000-0000-0000610E0000}"/>
    <cellStyle name="Normal 2 2 2 3 3 4" xfId="11011" xr:uid="{00000000-0005-0000-0000-0000620E0000}"/>
    <cellStyle name="Normal 2 2 2 3 4" xfId="7713" xr:uid="{00000000-0005-0000-0000-0000630E0000}"/>
    <cellStyle name="Normal 2 2 2 30" xfId="1318" xr:uid="{00000000-0005-0000-0000-0000640E0000}"/>
    <cellStyle name="Normal 2 2 2 30 2" xfId="7714" xr:uid="{00000000-0005-0000-0000-0000650E0000}"/>
    <cellStyle name="Normal 2 2 2 31" xfId="4069" xr:uid="{00000000-0005-0000-0000-0000660E0000}"/>
    <cellStyle name="Normal 2 2 2 31 2" xfId="9566" xr:uid="{00000000-0005-0000-0000-0000670E0000}"/>
    <cellStyle name="Normal 2 2 2 31 2 2" xfId="10269" xr:uid="{00000000-0005-0000-0000-0000680E0000}"/>
    <cellStyle name="Normal 2 2 2 31 2 2 2" xfId="12004" xr:uid="{00000000-0005-0000-0000-0000690E0000}"/>
    <cellStyle name="Normal 2 2 2 31 2 3" xfId="11357" xr:uid="{00000000-0005-0000-0000-00006A0E0000}"/>
    <cellStyle name="Normal 2 2 2 31 3" xfId="9972" xr:uid="{00000000-0005-0000-0000-00006B0E0000}"/>
    <cellStyle name="Normal 2 2 2 31 3 2" xfId="11708" xr:uid="{00000000-0005-0000-0000-00006C0E0000}"/>
    <cellStyle name="Normal 2 2 2 31 4" xfId="10931" xr:uid="{00000000-0005-0000-0000-00006D0E0000}"/>
    <cellStyle name="Normal 2 2 2 32" xfId="4184" xr:uid="{00000000-0005-0000-0000-00006E0E0000}"/>
    <cellStyle name="Normal 2 2 2 32 2" xfId="9619" xr:uid="{00000000-0005-0000-0000-00006F0E0000}"/>
    <cellStyle name="Normal 2 2 2 32 2 2" xfId="10320" xr:uid="{00000000-0005-0000-0000-0000700E0000}"/>
    <cellStyle name="Normal 2 2 2 32 2 2 2" xfId="12055" xr:uid="{00000000-0005-0000-0000-0000710E0000}"/>
    <cellStyle name="Normal 2 2 2 32 2 3" xfId="11408" xr:uid="{00000000-0005-0000-0000-0000720E0000}"/>
    <cellStyle name="Normal 2 2 2 32 3" xfId="10023" xr:uid="{00000000-0005-0000-0000-0000730E0000}"/>
    <cellStyle name="Normal 2 2 2 32 3 2" xfId="11759" xr:uid="{00000000-0005-0000-0000-0000740E0000}"/>
    <cellStyle name="Normal 2 2 2 32 4" xfId="10995" xr:uid="{00000000-0005-0000-0000-0000750E0000}"/>
    <cellStyle name="Normal 2 2 2 33" xfId="4330" xr:uid="{00000000-0005-0000-0000-0000760E0000}"/>
    <cellStyle name="Normal 2 2 2 33 2" xfId="9743" xr:uid="{00000000-0005-0000-0000-0000770E0000}"/>
    <cellStyle name="Normal 2 2 2 33 2 2" xfId="10442" xr:uid="{00000000-0005-0000-0000-0000780E0000}"/>
    <cellStyle name="Normal 2 2 2 33 2 2 2" xfId="12177" xr:uid="{00000000-0005-0000-0000-0000790E0000}"/>
    <cellStyle name="Normal 2 2 2 33 2 3" xfId="11530" xr:uid="{00000000-0005-0000-0000-00007A0E0000}"/>
    <cellStyle name="Normal 2 2 2 33 3" xfId="10145" xr:uid="{00000000-0005-0000-0000-00007B0E0000}"/>
    <cellStyle name="Normal 2 2 2 33 3 2" xfId="11881" xr:uid="{00000000-0005-0000-0000-00007C0E0000}"/>
    <cellStyle name="Normal 2 2 2 33 4" xfId="11136" xr:uid="{00000000-0005-0000-0000-00007D0E0000}"/>
    <cellStyle name="Normal 2 2 2 34" xfId="10563" xr:uid="{00000000-0005-0000-0000-00007E0E0000}"/>
    <cellStyle name="Normal 2 2 2 34 2" xfId="12298" xr:uid="{00000000-0005-0000-0000-00007F0E0000}"/>
    <cellStyle name="Normal 2 2 2 4" xfId="1319" xr:uid="{00000000-0005-0000-0000-0000800E0000}"/>
    <cellStyle name="Normal 2 2 2 4 2" xfId="4235" xr:uid="{00000000-0005-0000-0000-0000810E0000}"/>
    <cellStyle name="Normal 2 2 2 4 2 2" xfId="9670" xr:uid="{00000000-0005-0000-0000-0000820E0000}"/>
    <cellStyle name="Normal 2 2 2 4 2 2 2" xfId="10371" xr:uid="{00000000-0005-0000-0000-0000830E0000}"/>
    <cellStyle name="Normal 2 2 2 4 2 2 2 2" xfId="12106" xr:uid="{00000000-0005-0000-0000-0000840E0000}"/>
    <cellStyle name="Normal 2 2 2 4 2 2 3" xfId="11459" xr:uid="{00000000-0005-0000-0000-0000850E0000}"/>
    <cellStyle name="Normal 2 2 2 4 2 3" xfId="10074" xr:uid="{00000000-0005-0000-0000-0000860E0000}"/>
    <cellStyle name="Normal 2 2 2 4 2 3 2" xfId="11810" xr:uid="{00000000-0005-0000-0000-0000870E0000}"/>
    <cellStyle name="Normal 2 2 2 4 2 4" xfId="11046" xr:uid="{00000000-0005-0000-0000-0000880E0000}"/>
    <cellStyle name="Normal 2 2 2 4 3" xfId="7715" xr:uid="{00000000-0005-0000-0000-0000890E0000}"/>
    <cellStyle name="Normal 2 2 2 5" xfId="1320" xr:uid="{00000000-0005-0000-0000-00008A0E0000}"/>
    <cellStyle name="Normal 2 2 2 5 2" xfId="7716" xr:uid="{00000000-0005-0000-0000-00008B0E0000}"/>
    <cellStyle name="Normal 2 2 2 6" xfId="1321" xr:uid="{00000000-0005-0000-0000-00008C0E0000}"/>
    <cellStyle name="Normal 2 2 2 6 2" xfId="7717" xr:uid="{00000000-0005-0000-0000-00008D0E0000}"/>
    <cellStyle name="Normal 2 2 2 7" xfId="1322" xr:uid="{00000000-0005-0000-0000-00008E0E0000}"/>
    <cellStyle name="Normal 2 2 2 7 2" xfId="7718" xr:uid="{00000000-0005-0000-0000-00008F0E0000}"/>
    <cellStyle name="Normal 2 2 2 8" xfId="1323" xr:uid="{00000000-0005-0000-0000-0000900E0000}"/>
    <cellStyle name="Normal 2 2 2 8 2" xfId="7719" xr:uid="{00000000-0005-0000-0000-0000910E0000}"/>
    <cellStyle name="Normal 2 2 2 9" xfId="1324" xr:uid="{00000000-0005-0000-0000-0000920E0000}"/>
    <cellStyle name="Normal 2 2 2 9 2" xfId="7720" xr:uid="{00000000-0005-0000-0000-0000930E0000}"/>
    <cellStyle name="Normal 2 2 20" xfId="1325" xr:uid="{00000000-0005-0000-0000-0000940E0000}"/>
    <cellStyle name="Normal 2 2 21" xfId="1326" xr:uid="{00000000-0005-0000-0000-0000950E0000}"/>
    <cellStyle name="Normal 2 2 22" xfId="1327" xr:uid="{00000000-0005-0000-0000-0000960E0000}"/>
    <cellStyle name="Normal 2 2 23" xfId="1328" xr:uid="{00000000-0005-0000-0000-0000970E0000}"/>
    <cellStyle name="Normal 2 2 24" xfId="1329" xr:uid="{00000000-0005-0000-0000-0000980E0000}"/>
    <cellStyle name="Normal 2 2 25" xfId="1330" xr:uid="{00000000-0005-0000-0000-0000990E0000}"/>
    <cellStyle name="Normal 2 2 26" xfId="1331" xr:uid="{00000000-0005-0000-0000-00009A0E0000}"/>
    <cellStyle name="Normal 2 2 27" xfId="1332" xr:uid="{00000000-0005-0000-0000-00009B0E0000}"/>
    <cellStyle name="Normal 2 2 28" xfId="1333" xr:uid="{00000000-0005-0000-0000-00009C0E0000}"/>
    <cellStyle name="Normal 2 2 29" xfId="1334" xr:uid="{00000000-0005-0000-0000-00009D0E0000}"/>
    <cellStyle name="Normal 2 2 3" xfId="1335" xr:uid="{00000000-0005-0000-0000-00009E0E0000}"/>
    <cellStyle name="Normal 2 2 3 2" xfId="4145" xr:uid="{00000000-0005-0000-0000-00009F0E0000}"/>
    <cellStyle name="Normal 2 2 3 2 2" xfId="4271" xr:uid="{00000000-0005-0000-0000-0000A00E0000}"/>
    <cellStyle name="Normal 2 2 3 2 2 2" xfId="9706" xr:uid="{00000000-0005-0000-0000-0000A10E0000}"/>
    <cellStyle name="Normal 2 2 3 2 2 2 2" xfId="10407" xr:uid="{00000000-0005-0000-0000-0000A20E0000}"/>
    <cellStyle name="Normal 2 2 3 2 2 2 2 2" xfId="12142" xr:uid="{00000000-0005-0000-0000-0000A30E0000}"/>
    <cellStyle name="Normal 2 2 3 2 2 2 3" xfId="11495" xr:uid="{00000000-0005-0000-0000-0000A40E0000}"/>
    <cellStyle name="Normal 2 2 3 2 2 3" xfId="10110" xr:uid="{00000000-0005-0000-0000-0000A50E0000}"/>
    <cellStyle name="Normal 2 2 3 2 2 3 2" xfId="11846" xr:uid="{00000000-0005-0000-0000-0000A60E0000}"/>
    <cellStyle name="Normal 2 2 3 2 2 4" xfId="11082" xr:uid="{00000000-0005-0000-0000-0000A70E0000}"/>
    <cellStyle name="Normal 2 2 3 2 3" xfId="4220" xr:uid="{00000000-0005-0000-0000-0000A80E0000}"/>
    <cellStyle name="Normal 2 2 3 2 3 2" xfId="9655" xr:uid="{00000000-0005-0000-0000-0000A90E0000}"/>
    <cellStyle name="Normal 2 2 3 2 3 2 2" xfId="10356" xr:uid="{00000000-0005-0000-0000-0000AA0E0000}"/>
    <cellStyle name="Normal 2 2 3 2 3 2 2 2" xfId="12091" xr:uid="{00000000-0005-0000-0000-0000AB0E0000}"/>
    <cellStyle name="Normal 2 2 3 2 3 2 3" xfId="11444" xr:uid="{00000000-0005-0000-0000-0000AC0E0000}"/>
    <cellStyle name="Normal 2 2 3 2 3 3" xfId="10059" xr:uid="{00000000-0005-0000-0000-0000AD0E0000}"/>
    <cellStyle name="Normal 2 2 3 2 3 3 2" xfId="11795" xr:uid="{00000000-0005-0000-0000-0000AE0E0000}"/>
    <cellStyle name="Normal 2 2 3 2 3 4" xfId="11031" xr:uid="{00000000-0005-0000-0000-0000AF0E0000}"/>
    <cellStyle name="Normal 2 2 3 2 4" xfId="4347" xr:uid="{00000000-0005-0000-0000-0000B00E0000}"/>
    <cellStyle name="Normal 2 2 3 2 4 2" xfId="9758" xr:uid="{00000000-0005-0000-0000-0000B10E0000}"/>
    <cellStyle name="Normal 2 2 3 2 4 2 2" xfId="10456" xr:uid="{00000000-0005-0000-0000-0000B20E0000}"/>
    <cellStyle name="Normal 2 2 3 2 4 2 2 2" xfId="12191" xr:uid="{00000000-0005-0000-0000-0000B30E0000}"/>
    <cellStyle name="Normal 2 2 3 2 4 2 3" xfId="11544" xr:uid="{00000000-0005-0000-0000-0000B40E0000}"/>
    <cellStyle name="Normal 2 2 3 2 4 3" xfId="10159" xr:uid="{00000000-0005-0000-0000-0000B50E0000}"/>
    <cellStyle name="Normal 2 2 3 2 4 3 2" xfId="11895" xr:uid="{00000000-0005-0000-0000-0000B60E0000}"/>
    <cellStyle name="Normal 2 2 3 2 4 4" xfId="11152" xr:uid="{00000000-0005-0000-0000-0000B70E0000}"/>
    <cellStyle name="Normal 2 2 3 2 5" xfId="9603" xr:uid="{00000000-0005-0000-0000-0000B80E0000}"/>
    <cellStyle name="Normal 2 2 3 2 5 2" xfId="10305" xr:uid="{00000000-0005-0000-0000-0000B90E0000}"/>
    <cellStyle name="Normal 2 2 3 2 5 2 2" xfId="12040" xr:uid="{00000000-0005-0000-0000-0000BA0E0000}"/>
    <cellStyle name="Normal 2 2 3 2 5 3" xfId="11393" xr:uid="{00000000-0005-0000-0000-0000BB0E0000}"/>
    <cellStyle name="Normal 2 2 3 2 6" xfId="10008" xr:uid="{00000000-0005-0000-0000-0000BC0E0000}"/>
    <cellStyle name="Normal 2 2 3 2 6 2" xfId="11744" xr:uid="{00000000-0005-0000-0000-0000BD0E0000}"/>
    <cellStyle name="Normal 2 2 3 2 7" xfId="10971" xr:uid="{00000000-0005-0000-0000-0000BE0E0000}"/>
    <cellStyle name="Normal 2 2 3 3" xfId="4105" xr:uid="{00000000-0005-0000-0000-0000BF0E0000}"/>
    <cellStyle name="Normal 2 2 3 3 2" xfId="4253" xr:uid="{00000000-0005-0000-0000-0000C00E0000}"/>
    <cellStyle name="Normal 2 2 3 3 2 2" xfId="9688" xr:uid="{00000000-0005-0000-0000-0000C10E0000}"/>
    <cellStyle name="Normal 2 2 3 3 2 2 2" xfId="10389" xr:uid="{00000000-0005-0000-0000-0000C20E0000}"/>
    <cellStyle name="Normal 2 2 3 3 2 2 2 2" xfId="12124" xr:uid="{00000000-0005-0000-0000-0000C30E0000}"/>
    <cellStyle name="Normal 2 2 3 3 2 2 3" xfId="11477" xr:uid="{00000000-0005-0000-0000-0000C40E0000}"/>
    <cellStyle name="Normal 2 2 3 3 2 3" xfId="10092" xr:uid="{00000000-0005-0000-0000-0000C50E0000}"/>
    <cellStyle name="Normal 2 2 3 3 2 3 2" xfId="11828" xr:uid="{00000000-0005-0000-0000-0000C60E0000}"/>
    <cellStyle name="Normal 2 2 3 3 2 4" xfId="11064" xr:uid="{00000000-0005-0000-0000-0000C70E0000}"/>
    <cellStyle name="Normal 2 2 3 3 3" xfId="4202" xr:uid="{00000000-0005-0000-0000-0000C80E0000}"/>
    <cellStyle name="Normal 2 2 3 3 3 2" xfId="9637" xr:uid="{00000000-0005-0000-0000-0000C90E0000}"/>
    <cellStyle name="Normal 2 2 3 3 3 2 2" xfId="10338" xr:uid="{00000000-0005-0000-0000-0000CA0E0000}"/>
    <cellStyle name="Normal 2 2 3 3 3 2 2 2" xfId="12073" xr:uid="{00000000-0005-0000-0000-0000CB0E0000}"/>
    <cellStyle name="Normal 2 2 3 3 3 2 3" xfId="11426" xr:uid="{00000000-0005-0000-0000-0000CC0E0000}"/>
    <cellStyle name="Normal 2 2 3 3 3 3" xfId="10041" xr:uid="{00000000-0005-0000-0000-0000CD0E0000}"/>
    <cellStyle name="Normal 2 2 3 3 3 3 2" xfId="11777" xr:uid="{00000000-0005-0000-0000-0000CE0E0000}"/>
    <cellStyle name="Normal 2 2 3 3 3 4" xfId="11013" xr:uid="{00000000-0005-0000-0000-0000CF0E0000}"/>
    <cellStyle name="Normal 2 2 3 3 4" xfId="9584" xr:uid="{00000000-0005-0000-0000-0000D00E0000}"/>
    <cellStyle name="Normal 2 2 3 3 4 2" xfId="10287" xr:uid="{00000000-0005-0000-0000-0000D10E0000}"/>
    <cellStyle name="Normal 2 2 3 3 4 2 2" xfId="12022" xr:uid="{00000000-0005-0000-0000-0000D20E0000}"/>
    <cellStyle name="Normal 2 2 3 3 4 3" xfId="11375" xr:uid="{00000000-0005-0000-0000-0000D30E0000}"/>
    <cellStyle name="Normal 2 2 3 3 5" xfId="9990" xr:uid="{00000000-0005-0000-0000-0000D40E0000}"/>
    <cellStyle name="Normal 2 2 3 3 5 2" xfId="11726" xr:uid="{00000000-0005-0000-0000-0000D50E0000}"/>
    <cellStyle name="Normal 2 2 3 3 6" xfId="10950" xr:uid="{00000000-0005-0000-0000-0000D60E0000}"/>
    <cellStyle name="Normal 2 2 3 4" xfId="4072" xr:uid="{00000000-0005-0000-0000-0000D70E0000}"/>
    <cellStyle name="Normal 2 2 3 4 2" xfId="4237" xr:uid="{00000000-0005-0000-0000-0000D80E0000}"/>
    <cellStyle name="Normal 2 2 3 4 2 2" xfId="9672" xr:uid="{00000000-0005-0000-0000-0000D90E0000}"/>
    <cellStyle name="Normal 2 2 3 4 2 2 2" xfId="10373" xr:uid="{00000000-0005-0000-0000-0000DA0E0000}"/>
    <cellStyle name="Normal 2 2 3 4 2 2 2 2" xfId="12108" xr:uid="{00000000-0005-0000-0000-0000DB0E0000}"/>
    <cellStyle name="Normal 2 2 3 4 2 2 3" xfId="11461" xr:uid="{00000000-0005-0000-0000-0000DC0E0000}"/>
    <cellStyle name="Normal 2 2 3 4 2 3" xfId="10076" xr:uid="{00000000-0005-0000-0000-0000DD0E0000}"/>
    <cellStyle name="Normal 2 2 3 4 2 3 2" xfId="11812" xr:uid="{00000000-0005-0000-0000-0000DE0E0000}"/>
    <cellStyle name="Normal 2 2 3 4 2 4" xfId="11048" xr:uid="{00000000-0005-0000-0000-0000DF0E0000}"/>
    <cellStyle name="Normal 2 2 3 4 3" xfId="9568" xr:uid="{00000000-0005-0000-0000-0000E00E0000}"/>
    <cellStyle name="Normal 2 2 3 4 3 2" xfId="10271" xr:uid="{00000000-0005-0000-0000-0000E10E0000}"/>
    <cellStyle name="Normal 2 2 3 4 3 2 2" xfId="12006" xr:uid="{00000000-0005-0000-0000-0000E20E0000}"/>
    <cellStyle name="Normal 2 2 3 4 3 3" xfId="11359" xr:uid="{00000000-0005-0000-0000-0000E30E0000}"/>
    <cellStyle name="Normal 2 2 3 4 4" xfId="9974" xr:uid="{00000000-0005-0000-0000-0000E40E0000}"/>
    <cellStyle name="Normal 2 2 3 4 4 2" xfId="11710" xr:uid="{00000000-0005-0000-0000-0000E50E0000}"/>
    <cellStyle name="Normal 2 2 3 4 5" xfId="10933" xr:uid="{00000000-0005-0000-0000-0000E60E0000}"/>
    <cellStyle name="Normal 2 2 3 5" xfId="4186" xr:uid="{00000000-0005-0000-0000-0000E70E0000}"/>
    <cellStyle name="Normal 2 2 3 5 2" xfId="9621" xr:uid="{00000000-0005-0000-0000-0000E80E0000}"/>
    <cellStyle name="Normal 2 2 3 5 2 2" xfId="10322" xr:uid="{00000000-0005-0000-0000-0000E90E0000}"/>
    <cellStyle name="Normal 2 2 3 5 2 2 2" xfId="12057" xr:uid="{00000000-0005-0000-0000-0000EA0E0000}"/>
    <cellStyle name="Normal 2 2 3 5 2 3" xfId="11410" xr:uid="{00000000-0005-0000-0000-0000EB0E0000}"/>
    <cellStyle name="Normal 2 2 3 5 3" xfId="10025" xr:uid="{00000000-0005-0000-0000-0000EC0E0000}"/>
    <cellStyle name="Normal 2 2 3 5 3 2" xfId="11761" xr:uid="{00000000-0005-0000-0000-0000ED0E0000}"/>
    <cellStyle name="Normal 2 2 3 5 4" xfId="10997" xr:uid="{00000000-0005-0000-0000-0000EE0E0000}"/>
    <cellStyle name="Normal 2 2 3 6" xfId="4329" xr:uid="{00000000-0005-0000-0000-0000EF0E0000}"/>
    <cellStyle name="Normal 2 2 3 6 2" xfId="9742" xr:uid="{00000000-0005-0000-0000-0000F00E0000}"/>
    <cellStyle name="Normal 2 2 3 6 2 2" xfId="10441" xr:uid="{00000000-0005-0000-0000-0000F10E0000}"/>
    <cellStyle name="Normal 2 2 3 6 2 2 2" xfId="12176" xr:uid="{00000000-0005-0000-0000-0000F20E0000}"/>
    <cellStyle name="Normal 2 2 3 6 2 3" xfId="11529" xr:uid="{00000000-0005-0000-0000-0000F30E0000}"/>
    <cellStyle name="Normal 2 2 3 6 3" xfId="10144" xr:uid="{00000000-0005-0000-0000-0000F40E0000}"/>
    <cellStyle name="Normal 2 2 3 6 3 2" xfId="11880" xr:uid="{00000000-0005-0000-0000-0000F50E0000}"/>
    <cellStyle name="Normal 2 2 3 6 4" xfId="11135" xr:uid="{00000000-0005-0000-0000-0000F60E0000}"/>
    <cellStyle name="Normal 2 2 3 7" xfId="7721" xr:uid="{00000000-0005-0000-0000-0000F70E0000}"/>
    <cellStyle name="Normal 2 2 30" xfId="1336" xr:uid="{00000000-0005-0000-0000-0000F80E0000}"/>
    <cellStyle name="Normal 2 2 31" xfId="4044" xr:uid="{00000000-0005-0000-0000-0000F90E0000}"/>
    <cellStyle name="Normal 2 2 31 2" xfId="9552" xr:uid="{00000000-0005-0000-0000-0000FA0E0000}"/>
    <cellStyle name="Normal 2 2 31 2 2" xfId="10256" xr:uid="{00000000-0005-0000-0000-0000FB0E0000}"/>
    <cellStyle name="Normal 2 2 31 2 2 2" xfId="11991" xr:uid="{00000000-0005-0000-0000-0000FC0E0000}"/>
    <cellStyle name="Normal 2 2 31 2 3" xfId="11344" xr:uid="{00000000-0005-0000-0000-0000FD0E0000}"/>
    <cellStyle name="Normal 2 2 31 3" xfId="9959" xr:uid="{00000000-0005-0000-0000-0000FE0E0000}"/>
    <cellStyle name="Normal 2 2 31 3 2" xfId="11695" xr:uid="{00000000-0005-0000-0000-0000FF0E0000}"/>
    <cellStyle name="Normal 2 2 31 4" xfId="10915" xr:uid="{00000000-0005-0000-0000-0000000F0000}"/>
    <cellStyle name="Normal 2 2 32" xfId="4047" xr:uid="{00000000-0005-0000-0000-0000010F0000}"/>
    <cellStyle name="Normal 2 2 33" xfId="4322" xr:uid="{00000000-0005-0000-0000-0000020F0000}"/>
    <cellStyle name="Normal 2 2 33 2" xfId="9738" xr:uid="{00000000-0005-0000-0000-0000030F0000}"/>
    <cellStyle name="Normal 2 2 33 2 2" xfId="10437" xr:uid="{00000000-0005-0000-0000-0000040F0000}"/>
    <cellStyle name="Normal 2 2 33 2 2 2" xfId="12172" xr:uid="{00000000-0005-0000-0000-0000050F0000}"/>
    <cellStyle name="Normal 2 2 33 2 3" xfId="11525" xr:uid="{00000000-0005-0000-0000-0000060F0000}"/>
    <cellStyle name="Normal 2 2 33 3" xfId="10140" xr:uid="{00000000-0005-0000-0000-0000070F0000}"/>
    <cellStyle name="Normal 2 2 33 3 2" xfId="11876" xr:uid="{00000000-0005-0000-0000-0000080F0000}"/>
    <cellStyle name="Normal 2 2 33 4" xfId="11129" xr:uid="{00000000-0005-0000-0000-0000090F0000}"/>
    <cellStyle name="Normal 2 2 34" xfId="1284" xr:uid="{00000000-0005-0000-0000-00000A0F0000}"/>
    <cellStyle name="Normal 2 2 4" xfId="1337" xr:uid="{00000000-0005-0000-0000-00000B0F0000}"/>
    <cellStyle name="Normal 2 2 4 2" xfId="4153" xr:uid="{00000000-0005-0000-0000-00000C0F0000}"/>
    <cellStyle name="Normal 2 2 4 2 2" xfId="4272" xr:uid="{00000000-0005-0000-0000-00000D0F0000}"/>
    <cellStyle name="Normal 2 2 4 2 2 2" xfId="9707" xr:uid="{00000000-0005-0000-0000-00000E0F0000}"/>
    <cellStyle name="Normal 2 2 4 2 2 2 2" xfId="10408" xr:uid="{00000000-0005-0000-0000-00000F0F0000}"/>
    <cellStyle name="Normal 2 2 4 2 2 2 2 2" xfId="12143" xr:uid="{00000000-0005-0000-0000-0000100F0000}"/>
    <cellStyle name="Normal 2 2 4 2 2 2 3" xfId="11496" xr:uid="{00000000-0005-0000-0000-0000110F0000}"/>
    <cellStyle name="Normal 2 2 4 2 2 3" xfId="10111" xr:uid="{00000000-0005-0000-0000-0000120F0000}"/>
    <cellStyle name="Normal 2 2 4 2 2 3 2" xfId="11847" xr:uid="{00000000-0005-0000-0000-0000130F0000}"/>
    <cellStyle name="Normal 2 2 4 2 2 4" xfId="11083" xr:uid="{00000000-0005-0000-0000-0000140F0000}"/>
    <cellStyle name="Normal 2 2 4 2 3" xfId="4221" xr:uid="{00000000-0005-0000-0000-0000150F0000}"/>
    <cellStyle name="Normal 2 2 4 2 3 2" xfId="9656" xr:uid="{00000000-0005-0000-0000-0000160F0000}"/>
    <cellStyle name="Normal 2 2 4 2 3 2 2" xfId="10357" xr:uid="{00000000-0005-0000-0000-0000170F0000}"/>
    <cellStyle name="Normal 2 2 4 2 3 2 2 2" xfId="12092" xr:uid="{00000000-0005-0000-0000-0000180F0000}"/>
    <cellStyle name="Normal 2 2 4 2 3 2 3" xfId="11445" xr:uid="{00000000-0005-0000-0000-0000190F0000}"/>
    <cellStyle name="Normal 2 2 4 2 3 3" xfId="10060" xr:uid="{00000000-0005-0000-0000-00001A0F0000}"/>
    <cellStyle name="Normal 2 2 4 2 3 3 2" xfId="11796" xr:uid="{00000000-0005-0000-0000-00001B0F0000}"/>
    <cellStyle name="Normal 2 2 4 2 3 4" xfId="11032" xr:uid="{00000000-0005-0000-0000-00001C0F0000}"/>
    <cellStyle name="Normal 2 2 4 2 4" xfId="4346" xr:uid="{00000000-0005-0000-0000-00001D0F0000}"/>
    <cellStyle name="Normal 2 2 4 2 4 2" xfId="9757" xr:uid="{00000000-0005-0000-0000-00001E0F0000}"/>
    <cellStyle name="Normal 2 2 4 2 4 2 2" xfId="10455" xr:uid="{00000000-0005-0000-0000-00001F0F0000}"/>
    <cellStyle name="Normal 2 2 4 2 4 2 2 2" xfId="12190" xr:uid="{00000000-0005-0000-0000-0000200F0000}"/>
    <cellStyle name="Normal 2 2 4 2 4 2 3" xfId="11543" xr:uid="{00000000-0005-0000-0000-0000210F0000}"/>
    <cellStyle name="Normal 2 2 4 2 4 3" xfId="10158" xr:uid="{00000000-0005-0000-0000-0000220F0000}"/>
    <cellStyle name="Normal 2 2 4 2 4 3 2" xfId="11894" xr:uid="{00000000-0005-0000-0000-0000230F0000}"/>
    <cellStyle name="Normal 2 2 4 2 4 4" xfId="11151" xr:uid="{00000000-0005-0000-0000-0000240F0000}"/>
    <cellStyle name="Normal 2 2 4 2 5" xfId="9604" xr:uid="{00000000-0005-0000-0000-0000250F0000}"/>
    <cellStyle name="Normal 2 2 4 2 5 2" xfId="10306" xr:uid="{00000000-0005-0000-0000-0000260F0000}"/>
    <cellStyle name="Normal 2 2 4 2 5 2 2" xfId="12041" xr:uid="{00000000-0005-0000-0000-0000270F0000}"/>
    <cellStyle name="Normal 2 2 4 2 5 3" xfId="11394" xr:uid="{00000000-0005-0000-0000-0000280F0000}"/>
    <cellStyle name="Normal 2 2 4 2 6" xfId="10009" xr:uid="{00000000-0005-0000-0000-0000290F0000}"/>
    <cellStyle name="Normal 2 2 4 2 6 2" xfId="11745" xr:uid="{00000000-0005-0000-0000-00002A0F0000}"/>
    <cellStyle name="Normal 2 2 4 2 7" xfId="10972" xr:uid="{00000000-0005-0000-0000-00002B0F0000}"/>
    <cellStyle name="Normal 2 2 4 3" xfId="4113" xr:uid="{00000000-0005-0000-0000-00002C0F0000}"/>
    <cellStyle name="Normal 2 2 4 3 2" xfId="4254" xr:uid="{00000000-0005-0000-0000-00002D0F0000}"/>
    <cellStyle name="Normal 2 2 4 3 2 2" xfId="9689" xr:uid="{00000000-0005-0000-0000-00002E0F0000}"/>
    <cellStyle name="Normal 2 2 4 3 2 2 2" xfId="10390" xr:uid="{00000000-0005-0000-0000-00002F0F0000}"/>
    <cellStyle name="Normal 2 2 4 3 2 2 2 2" xfId="12125" xr:uid="{00000000-0005-0000-0000-0000300F0000}"/>
    <cellStyle name="Normal 2 2 4 3 2 2 3" xfId="11478" xr:uid="{00000000-0005-0000-0000-0000310F0000}"/>
    <cellStyle name="Normal 2 2 4 3 2 3" xfId="10093" xr:uid="{00000000-0005-0000-0000-0000320F0000}"/>
    <cellStyle name="Normal 2 2 4 3 2 3 2" xfId="11829" xr:uid="{00000000-0005-0000-0000-0000330F0000}"/>
    <cellStyle name="Normal 2 2 4 3 2 4" xfId="11065" xr:uid="{00000000-0005-0000-0000-0000340F0000}"/>
    <cellStyle name="Normal 2 2 4 3 3" xfId="4203" xr:uid="{00000000-0005-0000-0000-0000350F0000}"/>
    <cellStyle name="Normal 2 2 4 3 3 2" xfId="9638" xr:uid="{00000000-0005-0000-0000-0000360F0000}"/>
    <cellStyle name="Normal 2 2 4 3 3 2 2" xfId="10339" xr:uid="{00000000-0005-0000-0000-0000370F0000}"/>
    <cellStyle name="Normal 2 2 4 3 3 2 2 2" xfId="12074" xr:uid="{00000000-0005-0000-0000-0000380F0000}"/>
    <cellStyle name="Normal 2 2 4 3 3 2 3" xfId="11427" xr:uid="{00000000-0005-0000-0000-0000390F0000}"/>
    <cellStyle name="Normal 2 2 4 3 3 3" xfId="10042" xr:uid="{00000000-0005-0000-0000-00003A0F0000}"/>
    <cellStyle name="Normal 2 2 4 3 3 3 2" xfId="11778" xr:uid="{00000000-0005-0000-0000-00003B0F0000}"/>
    <cellStyle name="Normal 2 2 4 3 3 4" xfId="11014" xr:uid="{00000000-0005-0000-0000-00003C0F0000}"/>
    <cellStyle name="Normal 2 2 4 3 4" xfId="9585" xr:uid="{00000000-0005-0000-0000-00003D0F0000}"/>
    <cellStyle name="Normal 2 2 4 3 4 2" xfId="10288" xr:uid="{00000000-0005-0000-0000-00003E0F0000}"/>
    <cellStyle name="Normal 2 2 4 3 4 2 2" xfId="12023" xr:uid="{00000000-0005-0000-0000-00003F0F0000}"/>
    <cellStyle name="Normal 2 2 4 3 4 3" xfId="11376" xr:uid="{00000000-0005-0000-0000-0000400F0000}"/>
    <cellStyle name="Normal 2 2 4 3 5" xfId="9991" xr:uid="{00000000-0005-0000-0000-0000410F0000}"/>
    <cellStyle name="Normal 2 2 4 3 5 2" xfId="11727" xr:uid="{00000000-0005-0000-0000-0000420F0000}"/>
    <cellStyle name="Normal 2 2 4 3 6" xfId="10951" xr:uid="{00000000-0005-0000-0000-0000430F0000}"/>
    <cellStyle name="Normal 2 2 4 4" xfId="4080" xr:uid="{00000000-0005-0000-0000-0000440F0000}"/>
    <cellStyle name="Normal 2 2 4 4 2" xfId="4238" xr:uid="{00000000-0005-0000-0000-0000450F0000}"/>
    <cellStyle name="Normal 2 2 4 4 2 2" xfId="9673" xr:uid="{00000000-0005-0000-0000-0000460F0000}"/>
    <cellStyle name="Normal 2 2 4 4 2 2 2" xfId="10374" xr:uid="{00000000-0005-0000-0000-0000470F0000}"/>
    <cellStyle name="Normal 2 2 4 4 2 2 2 2" xfId="12109" xr:uid="{00000000-0005-0000-0000-0000480F0000}"/>
    <cellStyle name="Normal 2 2 4 4 2 2 3" xfId="11462" xr:uid="{00000000-0005-0000-0000-0000490F0000}"/>
    <cellStyle name="Normal 2 2 4 4 2 3" xfId="10077" xr:uid="{00000000-0005-0000-0000-00004A0F0000}"/>
    <cellStyle name="Normal 2 2 4 4 2 3 2" xfId="11813" xr:uid="{00000000-0005-0000-0000-00004B0F0000}"/>
    <cellStyle name="Normal 2 2 4 4 2 4" xfId="11049" xr:uid="{00000000-0005-0000-0000-00004C0F0000}"/>
    <cellStyle name="Normal 2 2 4 4 3" xfId="9569" xr:uid="{00000000-0005-0000-0000-00004D0F0000}"/>
    <cellStyle name="Normal 2 2 4 4 3 2" xfId="10272" xr:uid="{00000000-0005-0000-0000-00004E0F0000}"/>
    <cellStyle name="Normal 2 2 4 4 3 2 2" xfId="12007" xr:uid="{00000000-0005-0000-0000-00004F0F0000}"/>
    <cellStyle name="Normal 2 2 4 4 3 3" xfId="11360" xr:uid="{00000000-0005-0000-0000-0000500F0000}"/>
    <cellStyle name="Normal 2 2 4 4 4" xfId="9975" xr:uid="{00000000-0005-0000-0000-0000510F0000}"/>
    <cellStyle name="Normal 2 2 4 4 4 2" xfId="11711" xr:uid="{00000000-0005-0000-0000-0000520F0000}"/>
    <cellStyle name="Normal 2 2 4 4 5" xfId="10934" xr:uid="{00000000-0005-0000-0000-0000530F0000}"/>
    <cellStyle name="Normal 2 2 4 5" xfId="4187" xr:uid="{00000000-0005-0000-0000-0000540F0000}"/>
    <cellStyle name="Normal 2 2 4 5 2" xfId="9622" xr:uid="{00000000-0005-0000-0000-0000550F0000}"/>
    <cellStyle name="Normal 2 2 4 5 2 2" xfId="10323" xr:uid="{00000000-0005-0000-0000-0000560F0000}"/>
    <cellStyle name="Normal 2 2 4 5 2 2 2" xfId="12058" xr:uid="{00000000-0005-0000-0000-0000570F0000}"/>
    <cellStyle name="Normal 2 2 4 5 2 3" xfId="11411" xr:uid="{00000000-0005-0000-0000-0000580F0000}"/>
    <cellStyle name="Normal 2 2 4 5 3" xfId="10026" xr:uid="{00000000-0005-0000-0000-0000590F0000}"/>
    <cellStyle name="Normal 2 2 4 5 3 2" xfId="11762" xr:uid="{00000000-0005-0000-0000-00005A0F0000}"/>
    <cellStyle name="Normal 2 2 4 5 4" xfId="10998" xr:uid="{00000000-0005-0000-0000-00005B0F0000}"/>
    <cellStyle name="Normal 2 2 4 6" xfId="4328" xr:uid="{00000000-0005-0000-0000-00005C0F0000}"/>
    <cellStyle name="Normal 2 2 4 6 2" xfId="9741" xr:uid="{00000000-0005-0000-0000-00005D0F0000}"/>
    <cellStyle name="Normal 2 2 4 6 2 2" xfId="10440" xr:uid="{00000000-0005-0000-0000-00005E0F0000}"/>
    <cellStyle name="Normal 2 2 4 6 2 2 2" xfId="12175" xr:uid="{00000000-0005-0000-0000-00005F0F0000}"/>
    <cellStyle name="Normal 2 2 4 6 2 3" xfId="11528" xr:uid="{00000000-0005-0000-0000-0000600F0000}"/>
    <cellStyle name="Normal 2 2 4 6 3" xfId="10143" xr:uid="{00000000-0005-0000-0000-0000610F0000}"/>
    <cellStyle name="Normal 2 2 4 6 3 2" xfId="11879" xr:uid="{00000000-0005-0000-0000-0000620F0000}"/>
    <cellStyle name="Normal 2 2 4 6 4" xfId="11134" xr:uid="{00000000-0005-0000-0000-0000630F0000}"/>
    <cellStyle name="Normal 2 2 4 7" xfId="7722" xr:uid="{00000000-0005-0000-0000-0000640F0000}"/>
    <cellStyle name="Normal 2 2 5" xfId="1338" xr:uid="{00000000-0005-0000-0000-0000650F0000}"/>
    <cellStyle name="Normal 2 2 5 2" xfId="4155" xr:uid="{00000000-0005-0000-0000-0000660F0000}"/>
    <cellStyle name="Normal 2 2 5 2 2" xfId="4273" xr:uid="{00000000-0005-0000-0000-0000670F0000}"/>
    <cellStyle name="Normal 2 2 5 2 2 2" xfId="9708" xr:uid="{00000000-0005-0000-0000-0000680F0000}"/>
    <cellStyle name="Normal 2 2 5 2 2 2 2" xfId="10409" xr:uid="{00000000-0005-0000-0000-0000690F0000}"/>
    <cellStyle name="Normal 2 2 5 2 2 2 2 2" xfId="12144" xr:uid="{00000000-0005-0000-0000-00006A0F0000}"/>
    <cellStyle name="Normal 2 2 5 2 2 2 3" xfId="11497" xr:uid="{00000000-0005-0000-0000-00006B0F0000}"/>
    <cellStyle name="Normal 2 2 5 2 2 3" xfId="10112" xr:uid="{00000000-0005-0000-0000-00006C0F0000}"/>
    <cellStyle name="Normal 2 2 5 2 2 3 2" xfId="11848" xr:uid="{00000000-0005-0000-0000-00006D0F0000}"/>
    <cellStyle name="Normal 2 2 5 2 2 4" xfId="11084" xr:uid="{00000000-0005-0000-0000-00006E0F0000}"/>
    <cellStyle name="Normal 2 2 5 2 3" xfId="4222" xr:uid="{00000000-0005-0000-0000-00006F0F0000}"/>
    <cellStyle name="Normal 2 2 5 2 3 2" xfId="9657" xr:uid="{00000000-0005-0000-0000-0000700F0000}"/>
    <cellStyle name="Normal 2 2 5 2 3 2 2" xfId="10358" xr:uid="{00000000-0005-0000-0000-0000710F0000}"/>
    <cellStyle name="Normal 2 2 5 2 3 2 2 2" xfId="12093" xr:uid="{00000000-0005-0000-0000-0000720F0000}"/>
    <cellStyle name="Normal 2 2 5 2 3 2 3" xfId="11446" xr:uid="{00000000-0005-0000-0000-0000730F0000}"/>
    <cellStyle name="Normal 2 2 5 2 3 3" xfId="10061" xr:uid="{00000000-0005-0000-0000-0000740F0000}"/>
    <cellStyle name="Normal 2 2 5 2 3 3 2" xfId="11797" xr:uid="{00000000-0005-0000-0000-0000750F0000}"/>
    <cellStyle name="Normal 2 2 5 2 3 4" xfId="11033" xr:uid="{00000000-0005-0000-0000-0000760F0000}"/>
    <cellStyle name="Normal 2 2 5 2 4" xfId="4341" xr:uid="{00000000-0005-0000-0000-0000770F0000}"/>
    <cellStyle name="Normal 2 2 5 2 4 2" xfId="9752" xr:uid="{00000000-0005-0000-0000-0000780F0000}"/>
    <cellStyle name="Normal 2 2 5 2 4 2 2" xfId="10450" xr:uid="{00000000-0005-0000-0000-0000790F0000}"/>
    <cellStyle name="Normal 2 2 5 2 4 2 2 2" xfId="12185" xr:uid="{00000000-0005-0000-0000-00007A0F0000}"/>
    <cellStyle name="Normal 2 2 5 2 4 2 3" xfId="11538" xr:uid="{00000000-0005-0000-0000-00007B0F0000}"/>
    <cellStyle name="Normal 2 2 5 2 4 3" xfId="10153" xr:uid="{00000000-0005-0000-0000-00007C0F0000}"/>
    <cellStyle name="Normal 2 2 5 2 4 3 2" xfId="11889" xr:uid="{00000000-0005-0000-0000-00007D0F0000}"/>
    <cellStyle name="Normal 2 2 5 2 4 4" xfId="11146" xr:uid="{00000000-0005-0000-0000-00007E0F0000}"/>
    <cellStyle name="Normal 2 2 5 2 5" xfId="9605" xr:uid="{00000000-0005-0000-0000-00007F0F0000}"/>
    <cellStyle name="Normal 2 2 5 2 5 2" xfId="10307" xr:uid="{00000000-0005-0000-0000-0000800F0000}"/>
    <cellStyle name="Normal 2 2 5 2 5 2 2" xfId="12042" xr:uid="{00000000-0005-0000-0000-0000810F0000}"/>
    <cellStyle name="Normal 2 2 5 2 5 3" xfId="11395" xr:uid="{00000000-0005-0000-0000-0000820F0000}"/>
    <cellStyle name="Normal 2 2 5 2 6" xfId="10010" xr:uid="{00000000-0005-0000-0000-0000830F0000}"/>
    <cellStyle name="Normal 2 2 5 2 6 2" xfId="11746" xr:uid="{00000000-0005-0000-0000-0000840F0000}"/>
    <cellStyle name="Normal 2 2 5 2 7" xfId="10973" xr:uid="{00000000-0005-0000-0000-0000850F0000}"/>
    <cellStyle name="Normal 2 2 5 3" xfId="4115" xr:uid="{00000000-0005-0000-0000-0000860F0000}"/>
    <cellStyle name="Normal 2 2 5 3 2" xfId="4255" xr:uid="{00000000-0005-0000-0000-0000870F0000}"/>
    <cellStyle name="Normal 2 2 5 3 2 2" xfId="9690" xr:uid="{00000000-0005-0000-0000-0000880F0000}"/>
    <cellStyle name="Normal 2 2 5 3 2 2 2" xfId="10391" xr:uid="{00000000-0005-0000-0000-0000890F0000}"/>
    <cellStyle name="Normal 2 2 5 3 2 2 2 2" xfId="12126" xr:uid="{00000000-0005-0000-0000-00008A0F0000}"/>
    <cellStyle name="Normal 2 2 5 3 2 2 3" xfId="11479" xr:uid="{00000000-0005-0000-0000-00008B0F0000}"/>
    <cellStyle name="Normal 2 2 5 3 2 3" xfId="10094" xr:uid="{00000000-0005-0000-0000-00008C0F0000}"/>
    <cellStyle name="Normal 2 2 5 3 2 3 2" xfId="11830" xr:uid="{00000000-0005-0000-0000-00008D0F0000}"/>
    <cellStyle name="Normal 2 2 5 3 2 4" xfId="11066" xr:uid="{00000000-0005-0000-0000-00008E0F0000}"/>
    <cellStyle name="Normal 2 2 5 3 3" xfId="4204" xr:uid="{00000000-0005-0000-0000-00008F0F0000}"/>
    <cellStyle name="Normal 2 2 5 3 3 2" xfId="9639" xr:uid="{00000000-0005-0000-0000-0000900F0000}"/>
    <cellStyle name="Normal 2 2 5 3 3 2 2" xfId="10340" xr:uid="{00000000-0005-0000-0000-0000910F0000}"/>
    <cellStyle name="Normal 2 2 5 3 3 2 2 2" xfId="12075" xr:uid="{00000000-0005-0000-0000-0000920F0000}"/>
    <cellStyle name="Normal 2 2 5 3 3 2 3" xfId="11428" xr:uid="{00000000-0005-0000-0000-0000930F0000}"/>
    <cellStyle name="Normal 2 2 5 3 3 3" xfId="10043" xr:uid="{00000000-0005-0000-0000-0000940F0000}"/>
    <cellStyle name="Normal 2 2 5 3 3 3 2" xfId="11779" xr:uid="{00000000-0005-0000-0000-0000950F0000}"/>
    <cellStyle name="Normal 2 2 5 3 3 4" xfId="11015" xr:uid="{00000000-0005-0000-0000-0000960F0000}"/>
    <cellStyle name="Normal 2 2 5 3 4" xfId="9586" xr:uid="{00000000-0005-0000-0000-0000970F0000}"/>
    <cellStyle name="Normal 2 2 5 3 4 2" xfId="10289" xr:uid="{00000000-0005-0000-0000-0000980F0000}"/>
    <cellStyle name="Normal 2 2 5 3 4 2 2" xfId="12024" xr:uid="{00000000-0005-0000-0000-0000990F0000}"/>
    <cellStyle name="Normal 2 2 5 3 4 3" xfId="11377" xr:uid="{00000000-0005-0000-0000-00009A0F0000}"/>
    <cellStyle name="Normal 2 2 5 3 5" xfId="9992" xr:uid="{00000000-0005-0000-0000-00009B0F0000}"/>
    <cellStyle name="Normal 2 2 5 3 5 2" xfId="11728" xr:uid="{00000000-0005-0000-0000-00009C0F0000}"/>
    <cellStyle name="Normal 2 2 5 3 6" xfId="10952" xr:uid="{00000000-0005-0000-0000-00009D0F0000}"/>
    <cellStyle name="Normal 2 2 5 4" xfId="4082" xr:uid="{00000000-0005-0000-0000-00009E0F0000}"/>
    <cellStyle name="Normal 2 2 5 4 2" xfId="4239" xr:uid="{00000000-0005-0000-0000-00009F0F0000}"/>
    <cellStyle name="Normal 2 2 5 4 2 2" xfId="9674" xr:uid="{00000000-0005-0000-0000-0000A00F0000}"/>
    <cellStyle name="Normal 2 2 5 4 2 2 2" xfId="10375" xr:uid="{00000000-0005-0000-0000-0000A10F0000}"/>
    <cellStyle name="Normal 2 2 5 4 2 2 2 2" xfId="12110" xr:uid="{00000000-0005-0000-0000-0000A20F0000}"/>
    <cellStyle name="Normal 2 2 5 4 2 2 3" xfId="11463" xr:uid="{00000000-0005-0000-0000-0000A30F0000}"/>
    <cellStyle name="Normal 2 2 5 4 2 3" xfId="10078" xr:uid="{00000000-0005-0000-0000-0000A40F0000}"/>
    <cellStyle name="Normal 2 2 5 4 2 3 2" xfId="11814" xr:uid="{00000000-0005-0000-0000-0000A50F0000}"/>
    <cellStyle name="Normal 2 2 5 4 2 4" xfId="11050" xr:uid="{00000000-0005-0000-0000-0000A60F0000}"/>
    <cellStyle name="Normal 2 2 5 4 3" xfId="9570" xr:uid="{00000000-0005-0000-0000-0000A70F0000}"/>
    <cellStyle name="Normal 2 2 5 4 3 2" xfId="10273" xr:uid="{00000000-0005-0000-0000-0000A80F0000}"/>
    <cellStyle name="Normal 2 2 5 4 3 2 2" xfId="12008" xr:uid="{00000000-0005-0000-0000-0000A90F0000}"/>
    <cellStyle name="Normal 2 2 5 4 3 3" xfId="11361" xr:uid="{00000000-0005-0000-0000-0000AA0F0000}"/>
    <cellStyle name="Normal 2 2 5 4 4" xfId="9976" xr:uid="{00000000-0005-0000-0000-0000AB0F0000}"/>
    <cellStyle name="Normal 2 2 5 4 4 2" xfId="11712" xr:uid="{00000000-0005-0000-0000-0000AC0F0000}"/>
    <cellStyle name="Normal 2 2 5 4 5" xfId="10935" xr:uid="{00000000-0005-0000-0000-0000AD0F0000}"/>
    <cellStyle name="Normal 2 2 5 5" xfId="4188" xr:uid="{00000000-0005-0000-0000-0000AE0F0000}"/>
    <cellStyle name="Normal 2 2 5 5 2" xfId="9623" xr:uid="{00000000-0005-0000-0000-0000AF0F0000}"/>
    <cellStyle name="Normal 2 2 5 5 2 2" xfId="10324" xr:uid="{00000000-0005-0000-0000-0000B00F0000}"/>
    <cellStyle name="Normal 2 2 5 5 2 2 2" xfId="12059" xr:uid="{00000000-0005-0000-0000-0000B10F0000}"/>
    <cellStyle name="Normal 2 2 5 5 2 3" xfId="11412" xr:uid="{00000000-0005-0000-0000-0000B20F0000}"/>
    <cellStyle name="Normal 2 2 5 5 3" xfId="10027" xr:uid="{00000000-0005-0000-0000-0000B30F0000}"/>
    <cellStyle name="Normal 2 2 5 5 3 2" xfId="11763" xr:uid="{00000000-0005-0000-0000-0000B40F0000}"/>
    <cellStyle name="Normal 2 2 5 5 4" xfId="10999" xr:uid="{00000000-0005-0000-0000-0000B50F0000}"/>
    <cellStyle name="Normal 2 2 5 6" xfId="4302" xr:uid="{00000000-0005-0000-0000-0000B60F0000}"/>
    <cellStyle name="Normal 2 2 5 6 2" xfId="9728" xr:uid="{00000000-0005-0000-0000-0000B70F0000}"/>
    <cellStyle name="Normal 2 2 5 6 2 2" xfId="10428" xr:uid="{00000000-0005-0000-0000-0000B80F0000}"/>
    <cellStyle name="Normal 2 2 5 6 2 2 2" xfId="12163" xr:uid="{00000000-0005-0000-0000-0000B90F0000}"/>
    <cellStyle name="Normal 2 2 5 6 2 3" xfId="11516" xr:uid="{00000000-0005-0000-0000-0000BA0F0000}"/>
    <cellStyle name="Normal 2 2 5 6 3" xfId="10131" xr:uid="{00000000-0005-0000-0000-0000BB0F0000}"/>
    <cellStyle name="Normal 2 2 5 6 3 2" xfId="11867" xr:uid="{00000000-0005-0000-0000-0000BC0F0000}"/>
    <cellStyle name="Normal 2 2 5 6 4" xfId="11111" xr:uid="{00000000-0005-0000-0000-0000BD0F0000}"/>
    <cellStyle name="Normal 2 2 5 7" xfId="7723" xr:uid="{00000000-0005-0000-0000-0000BE0F0000}"/>
    <cellStyle name="Normal 2 2 6" xfId="1339" xr:uid="{00000000-0005-0000-0000-0000BF0F0000}"/>
    <cellStyle name="Normal 2 2 6 2" xfId="4157" xr:uid="{00000000-0005-0000-0000-0000C00F0000}"/>
    <cellStyle name="Normal 2 2 6 2 2" xfId="4274" xr:uid="{00000000-0005-0000-0000-0000C10F0000}"/>
    <cellStyle name="Normal 2 2 6 2 2 2" xfId="9709" xr:uid="{00000000-0005-0000-0000-0000C20F0000}"/>
    <cellStyle name="Normal 2 2 6 2 2 2 2" xfId="10410" xr:uid="{00000000-0005-0000-0000-0000C30F0000}"/>
    <cellStyle name="Normal 2 2 6 2 2 2 2 2" xfId="12145" xr:uid="{00000000-0005-0000-0000-0000C40F0000}"/>
    <cellStyle name="Normal 2 2 6 2 2 2 3" xfId="11498" xr:uid="{00000000-0005-0000-0000-0000C50F0000}"/>
    <cellStyle name="Normal 2 2 6 2 2 3" xfId="10113" xr:uid="{00000000-0005-0000-0000-0000C60F0000}"/>
    <cellStyle name="Normal 2 2 6 2 2 3 2" xfId="11849" xr:uid="{00000000-0005-0000-0000-0000C70F0000}"/>
    <cellStyle name="Normal 2 2 6 2 2 4" xfId="11085" xr:uid="{00000000-0005-0000-0000-0000C80F0000}"/>
    <cellStyle name="Normal 2 2 6 2 3" xfId="4223" xr:uid="{00000000-0005-0000-0000-0000C90F0000}"/>
    <cellStyle name="Normal 2 2 6 2 3 2" xfId="9658" xr:uid="{00000000-0005-0000-0000-0000CA0F0000}"/>
    <cellStyle name="Normal 2 2 6 2 3 2 2" xfId="10359" xr:uid="{00000000-0005-0000-0000-0000CB0F0000}"/>
    <cellStyle name="Normal 2 2 6 2 3 2 2 2" xfId="12094" xr:uid="{00000000-0005-0000-0000-0000CC0F0000}"/>
    <cellStyle name="Normal 2 2 6 2 3 2 3" xfId="11447" xr:uid="{00000000-0005-0000-0000-0000CD0F0000}"/>
    <cellStyle name="Normal 2 2 6 2 3 3" xfId="10062" xr:uid="{00000000-0005-0000-0000-0000CE0F0000}"/>
    <cellStyle name="Normal 2 2 6 2 3 3 2" xfId="11798" xr:uid="{00000000-0005-0000-0000-0000CF0F0000}"/>
    <cellStyle name="Normal 2 2 6 2 3 4" xfId="11034" xr:uid="{00000000-0005-0000-0000-0000D00F0000}"/>
    <cellStyle name="Normal 2 2 6 2 4" xfId="4350" xr:uid="{00000000-0005-0000-0000-0000D10F0000}"/>
    <cellStyle name="Normal 2 2 6 2 4 2" xfId="9761" xr:uid="{00000000-0005-0000-0000-0000D20F0000}"/>
    <cellStyle name="Normal 2 2 6 2 4 2 2" xfId="10459" xr:uid="{00000000-0005-0000-0000-0000D30F0000}"/>
    <cellStyle name="Normal 2 2 6 2 4 2 2 2" xfId="12194" xr:uid="{00000000-0005-0000-0000-0000D40F0000}"/>
    <cellStyle name="Normal 2 2 6 2 4 2 3" xfId="11547" xr:uid="{00000000-0005-0000-0000-0000D50F0000}"/>
    <cellStyle name="Normal 2 2 6 2 4 3" xfId="10162" xr:uid="{00000000-0005-0000-0000-0000D60F0000}"/>
    <cellStyle name="Normal 2 2 6 2 4 3 2" xfId="11898" xr:uid="{00000000-0005-0000-0000-0000D70F0000}"/>
    <cellStyle name="Normal 2 2 6 2 4 4" xfId="11155" xr:uid="{00000000-0005-0000-0000-0000D80F0000}"/>
    <cellStyle name="Normal 2 2 6 2 5" xfId="9606" xr:uid="{00000000-0005-0000-0000-0000D90F0000}"/>
    <cellStyle name="Normal 2 2 6 2 5 2" xfId="10308" xr:uid="{00000000-0005-0000-0000-0000DA0F0000}"/>
    <cellStyle name="Normal 2 2 6 2 5 2 2" xfId="12043" xr:uid="{00000000-0005-0000-0000-0000DB0F0000}"/>
    <cellStyle name="Normal 2 2 6 2 5 3" xfId="11396" xr:uid="{00000000-0005-0000-0000-0000DC0F0000}"/>
    <cellStyle name="Normal 2 2 6 2 6" xfId="10011" xr:uid="{00000000-0005-0000-0000-0000DD0F0000}"/>
    <cellStyle name="Normal 2 2 6 2 6 2" xfId="11747" xr:uid="{00000000-0005-0000-0000-0000DE0F0000}"/>
    <cellStyle name="Normal 2 2 6 2 7" xfId="10974" xr:uid="{00000000-0005-0000-0000-0000DF0F0000}"/>
    <cellStyle name="Normal 2 2 6 3" xfId="4117" xr:uid="{00000000-0005-0000-0000-0000E00F0000}"/>
    <cellStyle name="Normal 2 2 6 3 2" xfId="4256" xr:uid="{00000000-0005-0000-0000-0000E10F0000}"/>
    <cellStyle name="Normal 2 2 6 3 2 2" xfId="9691" xr:uid="{00000000-0005-0000-0000-0000E20F0000}"/>
    <cellStyle name="Normal 2 2 6 3 2 2 2" xfId="10392" xr:uid="{00000000-0005-0000-0000-0000E30F0000}"/>
    <cellStyle name="Normal 2 2 6 3 2 2 2 2" xfId="12127" xr:uid="{00000000-0005-0000-0000-0000E40F0000}"/>
    <cellStyle name="Normal 2 2 6 3 2 2 3" xfId="11480" xr:uid="{00000000-0005-0000-0000-0000E50F0000}"/>
    <cellStyle name="Normal 2 2 6 3 2 3" xfId="10095" xr:uid="{00000000-0005-0000-0000-0000E60F0000}"/>
    <cellStyle name="Normal 2 2 6 3 2 3 2" xfId="11831" xr:uid="{00000000-0005-0000-0000-0000E70F0000}"/>
    <cellStyle name="Normal 2 2 6 3 2 4" xfId="11067" xr:uid="{00000000-0005-0000-0000-0000E80F0000}"/>
    <cellStyle name="Normal 2 2 6 3 3" xfId="4205" xr:uid="{00000000-0005-0000-0000-0000E90F0000}"/>
    <cellStyle name="Normal 2 2 6 3 3 2" xfId="9640" xr:uid="{00000000-0005-0000-0000-0000EA0F0000}"/>
    <cellStyle name="Normal 2 2 6 3 3 2 2" xfId="10341" xr:uid="{00000000-0005-0000-0000-0000EB0F0000}"/>
    <cellStyle name="Normal 2 2 6 3 3 2 2 2" xfId="12076" xr:uid="{00000000-0005-0000-0000-0000EC0F0000}"/>
    <cellStyle name="Normal 2 2 6 3 3 2 3" xfId="11429" xr:uid="{00000000-0005-0000-0000-0000ED0F0000}"/>
    <cellStyle name="Normal 2 2 6 3 3 3" xfId="10044" xr:uid="{00000000-0005-0000-0000-0000EE0F0000}"/>
    <cellStyle name="Normal 2 2 6 3 3 3 2" xfId="11780" xr:uid="{00000000-0005-0000-0000-0000EF0F0000}"/>
    <cellStyle name="Normal 2 2 6 3 3 4" xfId="11016" xr:uid="{00000000-0005-0000-0000-0000F00F0000}"/>
    <cellStyle name="Normal 2 2 6 3 4" xfId="9587" xr:uid="{00000000-0005-0000-0000-0000F10F0000}"/>
    <cellStyle name="Normal 2 2 6 3 4 2" xfId="10290" xr:uid="{00000000-0005-0000-0000-0000F20F0000}"/>
    <cellStyle name="Normal 2 2 6 3 4 2 2" xfId="12025" xr:uid="{00000000-0005-0000-0000-0000F30F0000}"/>
    <cellStyle name="Normal 2 2 6 3 4 3" xfId="11378" xr:uid="{00000000-0005-0000-0000-0000F40F0000}"/>
    <cellStyle name="Normal 2 2 6 3 5" xfId="9993" xr:uid="{00000000-0005-0000-0000-0000F50F0000}"/>
    <cellStyle name="Normal 2 2 6 3 5 2" xfId="11729" xr:uid="{00000000-0005-0000-0000-0000F60F0000}"/>
    <cellStyle name="Normal 2 2 6 3 6" xfId="10953" xr:uid="{00000000-0005-0000-0000-0000F70F0000}"/>
    <cellStyle name="Normal 2 2 6 4" xfId="4084" xr:uid="{00000000-0005-0000-0000-0000F80F0000}"/>
    <cellStyle name="Normal 2 2 6 4 2" xfId="4240" xr:uid="{00000000-0005-0000-0000-0000F90F0000}"/>
    <cellStyle name="Normal 2 2 6 4 2 2" xfId="9675" xr:uid="{00000000-0005-0000-0000-0000FA0F0000}"/>
    <cellStyle name="Normal 2 2 6 4 2 2 2" xfId="10376" xr:uid="{00000000-0005-0000-0000-0000FB0F0000}"/>
    <cellStyle name="Normal 2 2 6 4 2 2 2 2" xfId="12111" xr:uid="{00000000-0005-0000-0000-0000FC0F0000}"/>
    <cellStyle name="Normal 2 2 6 4 2 2 3" xfId="11464" xr:uid="{00000000-0005-0000-0000-0000FD0F0000}"/>
    <cellStyle name="Normal 2 2 6 4 2 3" xfId="10079" xr:uid="{00000000-0005-0000-0000-0000FE0F0000}"/>
    <cellStyle name="Normal 2 2 6 4 2 3 2" xfId="11815" xr:uid="{00000000-0005-0000-0000-0000FF0F0000}"/>
    <cellStyle name="Normal 2 2 6 4 2 4" xfId="11051" xr:uid="{00000000-0005-0000-0000-000000100000}"/>
    <cellStyle name="Normal 2 2 6 4 3" xfId="9571" xr:uid="{00000000-0005-0000-0000-000001100000}"/>
    <cellStyle name="Normal 2 2 6 4 3 2" xfId="10274" xr:uid="{00000000-0005-0000-0000-000002100000}"/>
    <cellStyle name="Normal 2 2 6 4 3 2 2" xfId="12009" xr:uid="{00000000-0005-0000-0000-000003100000}"/>
    <cellStyle name="Normal 2 2 6 4 3 3" xfId="11362" xr:uid="{00000000-0005-0000-0000-000004100000}"/>
    <cellStyle name="Normal 2 2 6 4 4" xfId="9977" xr:uid="{00000000-0005-0000-0000-000005100000}"/>
    <cellStyle name="Normal 2 2 6 4 4 2" xfId="11713" xr:uid="{00000000-0005-0000-0000-000006100000}"/>
    <cellStyle name="Normal 2 2 6 4 5" xfId="10936" xr:uid="{00000000-0005-0000-0000-000007100000}"/>
    <cellStyle name="Normal 2 2 6 5" xfId="4189" xr:uid="{00000000-0005-0000-0000-000008100000}"/>
    <cellStyle name="Normal 2 2 6 5 2" xfId="9624" xr:uid="{00000000-0005-0000-0000-000009100000}"/>
    <cellStyle name="Normal 2 2 6 5 2 2" xfId="10325" xr:uid="{00000000-0005-0000-0000-00000A100000}"/>
    <cellStyle name="Normal 2 2 6 5 2 2 2" xfId="12060" xr:uid="{00000000-0005-0000-0000-00000B100000}"/>
    <cellStyle name="Normal 2 2 6 5 2 3" xfId="11413" xr:uid="{00000000-0005-0000-0000-00000C100000}"/>
    <cellStyle name="Normal 2 2 6 5 3" xfId="10028" xr:uid="{00000000-0005-0000-0000-00000D100000}"/>
    <cellStyle name="Normal 2 2 6 5 3 2" xfId="11764" xr:uid="{00000000-0005-0000-0000-00000E100000}"/>
    <cellStyle name="Normal 2 2 6 5 4" xfId="11000" xr:uid="{00000000-0005-0000-0000-00000F100000}"/>
    <cellStyle name="Normal 2 2 6 6" xfId="4332" xr:uid="{00000000-0005-0000-0000-000010100000}"/>
    <cellStyle name="Normal 2 2 6 6 2" xfId="9745" xr:uid="{00000000-0005-0000-0000-000011100000}"/>
    <cellStyle name="Normal 2 2 6 6 2 2" xfId="10444" xr:uid="{00000000-0005-0000-0000-000012100000}"/>
    <cellStyle name="Normal 2 2 6 6 2 2 2" xfId="12179" xr:uid="{00000000-0005-0000-0000-000013100000}"/>
    <cellStyle name="Normal 2 2 6 6 2 3" xfId="11532" xr:uid="{00000000-0005-0000-0000-000014100000}"/>
    <cellStyle name="Normal 2 2 6 6 3" xfId="10147" xr:uid="{00000000-0005-0000-0000-000015100000}"/>
    <cellStyle name="Normal 2 2 6 6 3 2" xfId="11883" xr:uid="{00000000-0005-0000-0000-000016100000}"/>
    <cellStyle name="Normal 2 2 6 6 4" xfId="11138" xr:uid="{00000000-0005-0000-0000-000017100000}"/>
    <cellStyle name="Normal 2 2 6 7" xfId="7724" xr:uid="{00000000-0005-0000-0000-000018100000}"/>
    <cellStyle name="Normal 2 2 7" xfId="1340" xr:uid="{00000000-0005-0000-0000-000019100000}"/>
    <cellStyle name="Normal 2 2 7 2" xfId="4159" xr:uid="{00000000-0005-0000-0000-00001A100000}"/>
    <cellStyle name="Normal 2 2 7 2 2" xfId="4275" xr:uid="{00000000-0005-0000-0000-00001B100000}"/>
    <cellStyle name="Normal 2 2 7 2 2 2" xfId="9710" xr:uid="{00000000-0005-0000-0000-00001C100000}"/>
    <cellStyle name="Normal 2 2 7 2 2 2 2" xfId="10411" xr:uid="{00000000-0005-0000-0000-00001D100000}"/>
    <cellStyle name="Normal 2 2 7 2 2 2 2 2" xfId="12146" xr:uid="{00000000-0005-0000-0000-00001E100000}"/>
    <cellStyle name="Normal 2 2 7 2 2 2 3" xfId="11499" xr:uid="{00000000-0005-0000-0000-00001F100000}"/>
    <cellStyle name="Normal 2 2 7 2 2 3" xfId="10114" xr:uid="{00000000-0005-0000-0000-000020100000}"/>
    <cellStyle name="Normal 2 2 7 2 2 3 2" xfId="11850" xr:uid="{00000000-0005-0000-0000-000021100000}"/>
    <cellStyle name="Normal 2 2 7 2 2 4" xfId="11086" xr:uid="{00000000-0005-0000-0000-000022100000}"/>
    <cellStyle name="Normal 2 2 7 2 3" xfId="4224" xr:uid="{00000000-0005-0000-0000-000023100000}"/>
    <cellStyle name="Normal 2 2 7 2 3 2" xfId="9659" xr:uid="{00000000-0005-0000-0000-000024100000}"/>
    <cellStyle name="Normal 2 2 7 2 3 2 2" xfId="10360" xr:uid="{00000000-0005-0000-0000-000025100000}"/>
    <cellStyle name="Normal 2 2 7 2 3 2 2 2" xfId="12095" xr:uid="{00000000-0005-0000-0000-000026100000}"/>
    <cellStyle name="Normal 2 2 7 2 3 2 3" xfId="11448" xr:uid="{00000000-0005-0000-0000-000027100000}"/>
    <cellStyle name="Normal 2 2 7 2 3 3" xfId="10063" xr:uid="{00000000-0005-0000-0000-000028100000}"/>
    <cellStyle name="Normal 2 2 7 2 3 3 2" xfId="11799" xr:uid="{00000000-0005-0000-0000-000029100000}"/>
    <cellStyle name="Normal 2 2 7 2 3 4" xfId="11035" xr:uid="{00000000-0005-0000-0000-00002A100000}"/>
    <cellStyle name="Normal 2 2 7 2 4" xfId="4349" xr:uid="{00000000-0005-0000-0000-00002B100000}"/>
    <cellStyle name="Normal 2 2 7 2 4 2" xfId="9760" xr:uid="{00000000-0005-0000-0000-00002C100000}"/>
    <cellStyle name="Normal 2 2 7 2 4 2 2" xfId="10458" xr:uid="{00000000-0005-0000-0000-00002D100000}"/>
    <cellStyle name="Normal 2 2 7 2 4 2 2 2" xfId="12193" xr:uid="{00000000-0005-0000-0000-00002E100000}"/>
    <cellStyle name="Normal 2 2 7 2 4 2 3" xfId="11546" xr:uid="{00000000-0005-0000-0000-00002F100000}"/>
    <cellStyle name="Normal 2 2 7 2 4 3" xfId="10161" xr:uid="{00000000-0005-0000-0000-000030100000}"/>
    <cellStyle name="Normal 2 2 7 2 4 3 2" xfId="11897" xr:uid="{00000000-0005-0000-0000-000031100000}"/>
    <cellStyle name="Normal 2 2 7 2 4 4" xfId="11154" xr:uid="{00000000-0005-0000-0000-000032100000}"/>
    <cellStyle name="Normal 2 2 7 2 5" xfId="9607" xr:uid="{00000000-0005-0000-0000-000033100000}"/>
    <cellStyle name="Normal 2 2 7 2 5 2" xfId="10309" xr:uid="{00000000-0005-0000-0000-000034100000}"/>
    <cellStyle name="Normal 2 2 7 2 5 2 2" xfId="12044" xr:uid="{00000000-0005-0000-0000-000035100000}"/>
    <cellStyle name="Normal 2 2 7 2 5 3" xfId="11397" xr:uid="{00000000-0005-0000-0000-000036100000}"/>
    <cellStyle name="Normal 2 2 7 2 6" xfId="10012" xr:uid="{00000000-0005-0000-0000-000037100000}"/>
    <cellStyle name="Normal 2 2 7 2 6 2" xfId="11748" xr:uid="{00000000-0005-0000-0000-000038100000}"/>
    <cellStyle name="Normal 2 2 7 2 7" xfId="10975" xr:uid="{00000000-0005-0000-0000-000039100000}"/>
    <cellStyle name="Normal 2 2 7 3" xfId="4119" xr:uid="{00000000-0005-0000-0000-00003A100000}"/>
    <cellStyle name="Normal 2 2 7 3 2" xfId="4257" xr:uid="{00000000-0005-0000-0000-00003B100000}"/>
    <cellStyle name="Normal 2 2 7 3 2 2" xfId="9692" xr:uid="{00000000-0005-0000-0000-00003C100000}"/>
    <cellStyle name="Normal 2 2 7 3 2 2 2" xfId="10393" xr:uid="{00000000-0005-0000-0000-00003D100000}"/>
    <cellStyle name="Normal 2 2 7 3 2 2 2 2" xfId="12128" xr:uid="{00000000-0005-0000-0000-00003E100000}"/>
    <cellStyle name="Normal 2 2 7 3 2 2 3" xfId="11481" xr:uid="{00000000-0005-0000-0000-00003F100000}"/>
    <cellStyle name="Normal 2 2 7 3 2 3" xfId="10096" xr:uid="{00000000-0005-0000-0000-000040100000}"/>
    <cellStyle name="Normal 2 2 7 3 2 3 2" xfId="11832" xr:uid="{00000000-0005-0000-0000-000041100000}"/>
    <cellStyle name="Normal 2 2 7 3 2 4" xfId="11068" xr:uid="{00000000-0005-0000-0000-000042100000}"/>
    <cellStyle name="Normal 2 2 7 3 3" xfId="4206" xr:uid="{00000000-0005-0000-0000-000043100000}"/>
    <cellStyle name="Normal 2 2 7 3 3 2" xfId="9641" xr:uid="{00000000-0005-0000-0000-000044100000}"/>
    <cellStyle name="Normal 2 2 7 3 3 2 2" xfId="10342" xr:uid="{00000000-0005-0000-0000-000045100000}"/>
    <cellStyle name="Normal 2 2 7 3 3 2 2 2" xfId="12077" xr:uid="{00000000-0005-0000-0000-000046100000}"/>
    <cellStyle name="Normal 2 2 7 3 3 2 3" xfId="11430" xr:uid="{00000000-0005-0000-0000-000047100000}"/>
    <cellStyle name="Normal 2 2 7 3 3 3" xfId="10045" xr:uid="{00000000-0005-0000-0000-000048100000}"/>
    <cellStyle name="Normal 2 2 7 3 3 3 2" xfId="11781" xr:uid="{00000000-0005-0000-0000-000049100000}"/>
    <cellStyle name="Normal 2 2 7 3 3 4" xfId="11017" xr:uid="{00000000-0005-0000-0000-00004A100000}"/>
    <cellStyle name="Normal 2 2 7 3 4" xfId="9588" xr:uid="{00000000-0005-0000-0000-00004B100000}"/>
    <cellStyle name="Normal 2 2 7 3 4 2" xfId="10291" xr:uid="{00000000-0005-0000-0000-00004C100000}"/>
    <cellStyle name="Normal 2 2 7 3 4 2 2" xfId="12026" xr:uid="{00000000-0005-0000-0000-00004D100000}"/>
    <cellStyle name="Normal 2 2 7 3 4 3" xfId="11379" xr:uid="{00000000-0005-0000-0000-00004E100000}"/>
    <cellStyle name="Normal 2 2 7 3 5" xfId="9994" xr:uid="{00000000-0005-0000-0000-00004F100000}"/>
    <cellStyle name="Normal 2 2 7 3 5 2" xfId="11730" xr:uid="{00000000-0005-0000-0000-000050100000}"/>
    <cellStyle name="Normal 2 2 7 3 6" xfId="10954" xr:uid="{00000000-0005-0000-0000-000051100000}"/>
    <cellStyle name="Normal 2 2 7 4" xfId="4086" xr:uid="{00000000-0005-0000-0000-000052100000}"/>
    <cellStyle name="Normal 2 2 7 4 2" xfId="4241" xr:uid="{00000000-0005-0000-0000-000053100000}"/>
    <cellStyle name="Normal 2 2 7 4 2 2" xfId="9676" xr:uid="{00000000-0005-0000-0000-000054100000}"/>
    <cellStyle name="Normal 2 2 7 4 2 2 2" xfId="10377" xr:uid="{00000000-0005-0000-0000-000055100000}"/>
    <cellStyle name="Normal 2 2 7 4 2 2 2 2" xfId="12112" xr:uid="{00000000-0005-0000-0000-000056100000}"/>
    <cellStyle name="Normal 2 2 7 4 2 2 3" xfId="11465" xr:uid="{00000000-0005-0000-0000-000057100000}"/>
    <cellStyle name="Normal 2 2 7 4 2 3" xfId="10080" xr:uid="{00000000-0005-0000-0000-000058100000}"/>
    <cellStyle name="Normal 2 2 7 4 2 3 2" xfId="11816" xr:uid="{00000000-0005-0000-0000-000059100000}"/>
    <cellStyle name="Normal 2 2 7 4 2 4" xfId="11052" xr:uid="{00000000-0005-0000-0000-00005A100000}"/>
    <cellStyle name="Normal 2 2 7 4 3" xfId="9572" xr:uid="{00000000-0005-0000-0000-00005B100000}"/>
    <cellStyle name="Normal 2 2 7 4 3 2" xfId="10275" xr:uid="{00000000-0005-0000-0000-00005C100000}"/>
    <cellStyle name="Normal 2 2 7 4 3 2 2" xfId="12010" xr:uid="{00000000-0005-0000-0000-00005D100000}"/>
    <cellStyle name="Normal 2 2 7 4 3 3" xfId="11363" xr:uid="{00000000-0005-0000-0000-00005E100000}"/>
    <cellStyle name="Normal 2 2 7 4 4" xfId="9978" xr:uid="{00000000-0005-0000-0000-00005F100000}"/>
    <cellStyle name="Normal 2 2 7 4 4 2" xfId="11714" xr:uid="{00000000-0005-0000-0000-000060100000}"/>
    <cellStyle name="Normal 2 2 7 4 5" xfId="10937" xr:uid="{00000000-0005-0000-0000-000061100000}"/>
    <cellStyle name="Normal 2 2 7 5" xfId="4190" xr:uid="{00000000-0005-0000-0000-000062100000}"/>
    <cellStyle name="Normal 2 2 7 5 2" xfId="9625" xr:uid="{00000000-0005-0000-0000-000063100000}"/>
    <cellStyle name="Normal 2 2 7 5 2 2" xfId="10326" xr:uid="{00000000-0005-0000-0000-000064100000}"/>
    <cellStyle name="Normal 2 2 7 5 2 2 2" xfId="12061" xr:uid="{00000000-0005-0000-0000-000065100000}"/>
    <cellStyle name="Normal 2 2 7 5 2 3" xfId="11414" xr:uid="{00000000-0005-0000-0000-000066100000}"/>
    <cellStyle name="Normal 2 2 7 5 3" xfId="10029" xr:uid="{00000000-0005-0000-0000-000067100000}"/>
    <cellStyle name="Normal 2 2 7 5 3 2" xfId="11765" xr:uid="{00000000-0005-0000-0000-000068100000}"/>
    <cellStyle name="Normal 2 2 7 5 4" xfId="11001" xr:uid="{00000000-0005-0000-0000-000069100000}"/>
    <cellStyle name="Normal 2 2 7 6" xfId="4331" xr:uid="{00000000-0005-0000-0000-00006A100000}"/>
    <cellStyle name="Normal 2 2 7 6 2" xfId="9744" xr:uid="{00000000-0005-0000-0000-00006B100000}"/>
    <cellStyle name="Normal 2 2 7 6 2 2" xfId="10443" xr:uid="{00000000-0005-0000-0000-00006C100000}"/>
    <cellStyle name="Normal 2 2 7 6 2 2 2" xfId="12178" xr:uid="{00000000-0005-0000-0000-00006D100000}"/>
    <cellStyle name="Normal 2 2 7 6 2 3" xfId="11531" xr:uid="{00000000-0005-0000-0000-00006E100000}"/>
    <cellStyle name="Normal 2 2 7 6 3" xfId="10146" xr:uid="{00000000-0005-0000-0000-00006F100000}"/>
    <cellStyle name="Normal 2 2 7 6 3 2" xfId="11882" xr:uid="{00000000-0005-0000-0000-000070100000}"/>
    <cellStyle name="Normal 2 2 7 6 4" xfId="11137" xr:uid="{00000000-0005-0000-0000-000071100000}"/>
    <cellStyle name="Normal 2 2 7 7" xfId="7725" xr:uid="{00000000-0005-0000-0000-000072100000}"/>
    <cellStyle name="Normal 2 2 8" xfId="1341" xr:uid="{00000000-0005-0000-0000-000073100000}"/>
    <cellStyle name="Normal 2 2 8 2" xfId="4161" xr:uid="{00000000-0005-0000-0000-000074100000}"/>
    <cellStyle name="Normal 2 2 8 2 2" xfId="4276" xr:uid="{00000000-0005-0000-0000-000075100000}"/>
    <cellStyle name="Normal 2 2 8 2 2 2" xfId="9711" xr:uid="{00000000-0005-0000-0000-000076100000}"/>
    <cellStyle name="Normal 2 2 8 2 2 2 2" xfId="10412" xr:uid="{00000000-0005-0000-0000-000077100000}"/>
    <cellStyle name="Normal 2 2 8 2 2 2 2 2" xfId="12147" xr:uid="{00000000-0005-0000-0000-000078100000}"/>
    <cellStyle name="Normal 2 2 8 2 2 2 3" xfId="11500" xr:uid="{00000000-0005-0000-0000-000079100000}"/>
    <cellStyle name="Normal 2 2 8 2 2 3" xfId="10115" xr:uid="{00000000-0005-0000-0000-00007A100000}"/>
    <cellStyle name="Normal 2 2 8 2 2 3 2" xfId="11851" xr:uid="{00000000-0005-0000-0000-00007B100000}"/>
    <cellStyle name="Normal 2 2 8 2 2 4" xfId="11087" xr:uid="{00000000-0005-0000-0000-00007C100000}"/>
    <cellStyle name="Normal 2 2 8 2 3" xfId="4225" xr:uid="{00000000-0005-0000-0000-00007D100000}"/>
    <cellStyle name="Normal 2 2 8 2 3 2" xfId="9660" xr:uid="{00000000-0005-0000-0000-00007E100000}"/>
    <cellStyle name="Normal 2 2 8 2 3 2 2" xfId="10361" xr:uid="{00000000-0005-0000-0000-00007F100000}"/>
    <cellStyle name="Normal 2 2 8 2 3 2 2 2" xfId="12096" xr:uid="{00000000-0005-0000-0000-000080100000}"/>
    <cellStyle name="Normal 2 2 8 2 3 2 3" xfId="11449" xr:uid="{00000000-0005-0000-0000-000081100000}"/>
    <cellStyle name="Normal 2 2 8 2 3 3" xfId="10064" xr:uid="{00000000-0005-0000-0000-000082100000}"/>
    <cellStyle name="Normal 2 2 8 2 3 3 2" xfId="11800" xr:uid="{00000000-0005-0000-0000-000083100000}"/>
    <cellStyle name="Normal 2 2 8 2 3 4" xfId="11036" xr:uid="{00000000-0005-0000-0000-000084100000}"/>
    <cellStyle name="Normal 2 2 8 2 4" xfId="4342" xr:uid="{00000000-0005-0000-0000-000085100000}"/>
    <cellStyle name="Normal 2 2 8 2 4 2" xfId="9753" xr:uid="{00000000-0005-0000-0000-000086100000}"/>
    <cellStyle name="Normal 2 2 8 2 4 2 2" xfId="10451" xr:uid="{00000000-0005-0000-0000-000087100000}"/>
    <cellStyle name="Normal 2 2 8 2 4 2 2 2" xfId="12186" xr:uid="{00000000-0005-0000-0000-000088100000}"/>
    <cellStyle name="Normal 2 2 8 2 4 2 3" xfId="11539" xr:uid="{00000000-0005-0000-0000-000089100000}"/>
    <cellStyle name="Normal 2 2 8 2 4 3" xfId="10154" xr:uid="{00000000-0005-0000-0000-00008A100000}"/>
    <cellStyle name="Normal 2 2 8 2 4 3 2" xfId="11890" xr:uid="{00000000-0005-0000-0000-00008B100000}"/>
    <cellStyle name="Normal 2 2 8 2 4 4" xfId="11147" xr:uid="{00000000-0005-0000-0000-00008C100000}"/>
    <cellStyle name="Normal 2 2 8 2 5" xfId="9608" xr:uid="{00000000-0005-0000-0000-00008D100000}"/>
    <cellStyle name="Normal 2 2 8 2 5 2" xfId="10310" xr:uid="{00000000-0005-0000-0000-00008E100000}"/>
    <cellStyle name="Normal 2 2 8 2 5 2 2" xfId="12045" xr:uid="{00000000-0005-0000-0000-00008F100000}"/>
    <cellStyle name="Normal 2 2 8 2 5 3" xfId="11398" xr:uid="{00000000-0005-0000-0000-000090100000}"/>
    <cellStyle name="Normal 2 2 8 2 6" xfId="10013" xr:uid="{00000000-0005-0000-0000-000091100000}"/>
    <cellStyle name="Normal 2 2 8 2 6 2" xfId="11749" xr:uid="{00000000-0005-0000-0000-000092100000}"/>
    <cellStyle name="Normal 2 2 8 2 7" xfId="10976" xr:uid="{00000000-0005-0000-0000-000093100000}"/>
    <cellStyle name="Normal 2 2 8 3" xfId="4121" xr:uid="{00000000-0005-0000-0000-000094100000}"/>
    <cellStyle name="Normal 2 2 8 3 2" xfId="4258" xr:uid="{00000000-0005-0000-0000-000095100000}"/>
    <cellStyle name="Normal 2 2 8 3 2 2" xfId="9693" xr:uid="{00000000-0005-0000-0000-000096100000}"/>
    <cellStyle name="Normal 2 2 8 3 2 2 2" xfId="10394" xr:uid="{00000000-0005-0000-0000-000097100000}"/>
    <cellStyle name="Normal 2 2 8 3 2 2 2 2" xfId="12129" xr:uid="{00000000-0005-0000-0000-000098100000}"/>
    <cellStyle name="Normal 2 2 8 3 2 2 3" xfId="11482" xr:uid="{00000000-0005-0000-0000-000099100000}"/>
    <cellStyle name="Normal 2 2 8 3 2 3" xfId="10097" xr:uid="{00000000-0005-0000-0000-00009A100000}"/>
    <cellStyle name="Normal 2 2 8 3 2 3 2" xfId="11833" xr:uid="{00000000-0005-0000-0000-00009B100000}"/>
    <cellStyle name="Normal 2 2 8 3 2 4" xfId="11069" xr:uid="{00000000-0005-0000-0000-00009C100000}"/>
    <cellStyle name="Normal 2 2 8 3 3" xfId="4207" xr:uid="{00000000-0005-0000-0000-00009D100000}"/>
    <cellStyle name="Normal 2 2 8 3 3 2" xfId="9642" xr:uid="{00000000-0005-0000-0000-00009E100000}"/>
    <cellStyle name="Normal 2 2 8 3 3 2 2" xfId="10343" xr:uid="{00000000-0005-0000-0000-00009F100000}"/>
    <cellStyle name="Normal 2 2 8 3 3 2 2 2" xfId="12078" xr:uid="{00000000-0005-0000-0000-0000A0100000}"/>
    <cellStyle name="Normal 2 2 8 3 3 2 3" xfId="11431" xr:uid="{00000000-0005-0000-0000-0000A1100000}"/>
    <cellStyle name="Normal 2 2 8 3 3 3" xfId="10046" xr:uid="{00000000-0005-0000-0000-0000A2100000}"/>
    <cellStyle name="Normal 2 2 8 3 3 3 2" xfId="11782" xr:uid="{00000000-0005-0000-0000-0000A3100000}"/>
    <cellStyle name="Normal 2 2 8 3 3 4" xfId="11018" xr:uid="{00000000-0005-0000-0000-0000A4100000}"/>
    <cellStyle name="Normal 2 2 8 3 4" xfId="9589" xr:uid="{00000000-0005-0000-0000-0000A5100000}"/>
    <cellStyle name="Normal 2 2 8 3 4 2" xfId="10292" xr:uid="{00000000-0005-0000-0000-0000A6100000}"/>
    <cellStyle name="Normal 2 2 8 3 4 2 2" xfId="12027" xr:uid="{00000000-0005-0000-0000-0000A7100000}"/>
    <cellStyle name="Normal 2 2 8 3 4 3" xfId="11380" xr:uid="{00000000-0005-0000-0000-0000A8100000}"/>
    <cellStyle name="Normal 2 2 8 3 5" xfId="9995" xr:uid="{00000000-0005-0000-0000-0000A9100000}"/>
    <cellStyle name="Normal 2 2 8 3 5 2" xfId="11731" xr:uid="{00000000-0005-0000-0000-0000AA100000}"/>
    <cellStyle name="Normal 2 2 8 3 6" xfId="10955" xr:uid="{00000000-0005-0000-0000-0000AB100000}"/>
    <cellStyle name="Normal 2 2 8 4" xfId="4088" xr:uid="{00000000-0005-0000-0000-0000AC100000}"/>
    <cellStyle name="Normal 2 2 8 4 2" xfId="4242" xr:uid="{00000000-0005-0000-0000-0000AD100000}"/>
    <cellStyle name="Normal 2 2 8 4 2 2" xfId="9677" xr:uid="{00000000-0005-0000-0000-0000AE100000}"/>
    <cellStyle name="Normal 2 2 8 4 2 2 2" xfId="10378" xr:uid="{00000000-0005-0000-0000-0000AF100000}"/>
    <cellStyle name="Normal 2 2 8 4 2 2 2 2" xfId="12113" xr:uid="{00000000-0005-0000-0000-0000B0100000}"/>
    <cellStyle name="Normal 2 2 8 4 2 2 3" xfId="11466" xr:uid="{00000000-0005-0000-0000-0000B1100000}"/>
    <cellStyle name="Normal 2 2 8 4 2 3" xfId="10081" xr:uid="{00000000-0005-0000-0000-0000B2100000}"/>
    <cellStyle name="Normal 2 2 8 4 2 3 2" xfId="11817" xr:uid="{00000000-0005-0000-0000-0000B3100000}"/>
    <cellStyle name="Normal 2 2 8 4 2 4" xfId="11053" xr:uid="{00000000-0005-0000-0000-0000B4100000}"/>
    <cellStyle name="Normal 2 2 8 4 3" xfId="9573" xr:uid="{00000000-0005-0000-0000-0000B5100000}"/>
    <cellStyle name="Normal 2 2 8 4 3 2" xfId="10276" xr:uid="{00000000-0005-0000-0000-0000B6100000}"/>
    <cellStyle name="Normal 2 2 8 4 3 2 2" xfId="12011" xr:uid="{00000000-0005-0000-0000-0000B7100000}"/>
    <cellStyle name="Normal 2 2 8 4 3 3" xfId="11364" xr:uid="{00000000-0005-0000-0000-0000B8100000}"/>
    <cellStyle name="Normal 2 2 8 4 4" xfId="9979" xr:uid="{00000000-0005-0000-0000-0000B9100000}"/>
    <cellStyle name="Normal 2 2 8 4 4 2" xfId="11715" xr:uid="{00000000-0005-0000-0000-0000BA100000}"/>
    <cellStyle name="Normal 2 2 8 4 5" xfId="10938" xr:uid="{00000000-0005-0000-0000-0000BB100000}"/>
    <cellStyle name="Normal 2 2 8 5" xfId="4191" xr:uid="{00000000-0005-0000-0000-0000BC100000}"/>
    <cellStyle name="Normal 2 2 8 5 2" xfId="9626" xr:uid="{00000000-0005-0000-0000-0000BD100000}"/>
    <cellStyle name="Normal 2 2 8 5 2 2" xfId="10327" xr:uid="{00000000-0005-0000-0000-0000BE100000}"/>
    <cellStyle name="Normal 2 2 8 5 2 2 2" xfId="12062" xr:uid="{00000000-0005-0000-0000-0000BF100000}"/>
    <cellStyle name="Normal 2 2 8 5 2 3" xfId="11415" xr:uid="{00000000-0005-0000-0000-0000C0100000}"/>
    <cellStyle name="Normal 2 2 8 5 3" xfId="10030" xr:uid="{00000000-0005-0000-0000-0000C1100000}"/>
    <cellStyle name="Normal 2 2 8 5 3 2" xfId="11766" xr:uid="{00000000-0005-0000-0000-0000C2100000}"/>
    <cellStyle name="Normal 2 2 8 5 4" xfId="11002" xr:uid="{00000000-0005-0000-0000-0000C3100000}"/>
    <cellStyle name="Normal 2 2 8 6" xfId="4306" xr:uid="{00000000-0005-0000-0000-0000C4100000}"/>
    <cellStyle name="Normal 2 2 8 6 2" xfId="9732" xr:uid="{00000000-0005-0000-0000-0000C5100000}"/>
    <cellStyle name="Normal 2 2 8 6 2 2" xfId="10432" xr:uid="{00000000-0005-0000-0000-0000C6100000}"/>
    <cellStyle name="Normal 2 2 8 6 2 2 2" xfId="12167" xr:uid="{00000000-0005-0000-0000-0000C7100000}"/>
    <cellStyle name="Normal 2 2 8 6 2 3" xfId="11520" xr:uid="{00000000-0005-0000-0000-0000C8100000}"/>
    <cellStyle name="Normal 2 2 8 6 3" xfId="10135" xr:uid="{00000000-0005-0000-0000-0000C9100000}"/>
    <cellStyle name="Normal 2 2 8 6 3 2" xfId="11871" xr:uid="{00000000-0005-0000-0000-0000CA100000}"/>
    <cellStyle name="Normal 2 2 8 6 4" xfId="11115" xr:uid="{00000000-0005-0000-0000-0000CB100000}"/>
    <cellStyle name="Normal 2 2 8 7" xfId="7726" xr:uid="{00000000-0005-0000-0000-0000CC100000}"/>
    <cellStyle name="Normal 2 2 9" xfId="1342" xr:uid="{00000000-0005-0000-0000-0000CD100000}"/>
    <cellStyle name="Normal 2 2 9 2" xfId="4163" xr:uid="{00000000-0005-0000-0000-0000CE100000}"/>
    <cellStyle name="Normal 2 2 9 2 2" xfId="4277" xr:uid="{00000000-0005-0000-0000-0000CF100000}"/>
    <cellStyle name="Normal 2 2 9 2 2 2" xfId="9712" xr:uid="{00000000-0005-0000-0000-0000D0100000}"/>
    <cellStyle name="Normal 2 2 9 2 2 2 2" xfId="10413" xr:uid="{00000000-0005-0000-0000-0000D1100000}"/>
    <cellStyle name="Normal 2 2 9 2 2 2 2 2" xfId="12148" xr:uid="{00000000-0005-0000-0000-0000D2100000}"/>
    <cellStyle name="Normal 2 2 9 2 2 2 3" xfId="11501" xr:uid="{00000000-0005-0000-0000-0000D3100000}"/>
    <cellStyle name="Normal 2 2 9 2 2 3" xfId="10116" xr:uid="{00000000-0005-0000-0000-0000D4100000}"/>
    <cellStyle name="Normal 2 2 9 2 2 3 2" xfId="11852" xr:uid="{00000000-0005-0000-0000-0000D5100000}"/>
    <cellStyle name="Normal 2 2 9 2 2 4" xfId="11088" xr:uid="{00000000-0005-0000-0000-0000D6100000}"/>
    <cellStyle name="Normal 2 2 9 2 3" xfId="4226" xr:uid="{00000000-0005-0000-0000-0000D7100000}"/>
    <cellStyle name="Normal 2 2 9 2 3 2" xfId="9661" xr:uid="{00000000-0005-0000-0000-0000D8100000}"/>
    <cellStyle name="Normal 2 2 9 2 3 2 2" xfId="10362" xr:uid="{00000000-0005-0000-0000-0000D9100000}"/>
    <cellStyle name="Normal 2 2 9 2 3 2 2 2" xfId="12097" xr:uid="{00000000-0005-0000-0000-0000DA100000}"/>
    <cellStyle name="Normal 2 2 9 2 3 2 3" xfId="11450" xr:uid="{00000000-0005-0000-0000-0000DB100000}"/>
    <cellStyle name="Normal 2 2 9 2 3 3" xfId="10065" xr:uid="{00000000-0005-0000-0000-0000DC100000}"/>
    <cellStyle name="Normal 2 2 9 2 3 3 2" xfId="11801" xr:uid="{00000000-0005-0000-0000-0000DD100000}"/>
    <cellStyle name="Normal 2 2 9 2 3 4" xfId="11037" xr:uid="{00000000-0005-0000-0000-0000DE100000}"/>
    <cellStyle name="Normal 2 2 9 2 4" xfId="4345" xr:uid="{00000000-0005-0000-0000-0000DF100000}"/>
    <cellStyle name="Normal 2 2 9 2 4 2" xfId="9756" xr:uid="{00000000-0005-0000-0000-0000E0100000}"/>
    <cellStyle name="Normal 2 2 9 2 4 2 2" xfId="10454" xr:uid="{00000000-0005-0000-0000-0000E1100000}"/>
    <cellStyle name="Normal 2 2 9 2 4 2 2 2" xfId="12189" xr:uid="{00000000-0005-0000-0000-0000E2100000}"/>
    <cellStyle name="Normal 2 2 9 2 4 2 3" xfId="11542" xr:uid="{00000000-0005-0000-0000-0000E3100000}"/>
    <cellStyle name="Normal 2 2 9 2 4 3" xfId="10157" xr:uid="{00000000-0005-0000-0000-0000E4100000}"/>
    <cellStyle name="Normal 2 2 9 2 4 3 2" xfId="11893" xr:uid="{00000000-0005-0000-0000-0000E5100000}"/>
    <cellStyle name="Normal 2 2 9 2 4 4" xfId="11150" xr:uid="{00000000-0005-0000-0000-0000E6100000}"/>
    <cellStyle name="Normal 2 2 9 2 5" xfId="9609" xr:uid="{00000000-0005-0000-0000-0000E7100000}"/>
    <cellStyle name="Normal 2 2 9 2 5 2" xfId="10311" xr:uid="{00000000-0005-0000-0000-0000E8100000}"/>
    <cellStyle name="Normal 2 2 9 2 5 2 2" xfId="12046" xr:uid="{00000000-0005-0000-0000-0000E9100000}"/>
    <cellStyle name="Normal 2 2 9 2 5 3" xfId="11399" xr:uid="{00000000-0005-0000-0000-0000EA100000}"/>
    <cellStyle name="Normal 2 2 9 2 6" xfId="10014" xr:uid="{00000000-0005-0000-0000-0000EB100000}"/>
    <cellStyle name="Normal 2 2 9 2 6 2" xfId="11750" xr:uid="{00000000-0005-0000-0000-0000EC100000}"/>
    <cellStyle name="Normal 2 2 9 2 7" xfId="10977" xr:uid="{00000000-0005-0000-0000-0000ED100000}"/>
    <cellStyle name="Normal 2 2 9 3" xfId="4123" xr:uid="{00000000-0005-0000-0000-0000EE100000}"/>
    <cellStyle name="Normal 2 2 9 3 2" xfId="4259" xr:uid="{00000000-0005-0000-0000-0000EF100000}"/>
    <cellStyle name="Normal 2 2 9 3 2 2" xfId="9694" xr:uid="{00000000-0005-0000-0000-0000F0100000}"/>
    <cellStyle name="Normal 2 2 9 3 2 2 2" xfId="10395" xr:uid="{00000000-0005-0000-0000-0000F1100000}"/>
    <cellStyle name="Normal 2 2 9 3 2 2 2 2" xfId="12130" xr:uid="{00000000-0005-0000-0000-0000F2100000}"/>
    <cellStyle name="Normal 2 2 9 3 2 2 3" xfId="11483" xr:uid="{00000000-0005-0000-0000-0000F3100000}"/>
    <cellStyle name="Normal 2 2 9 3 2 3" xfId="10098" xr:uid="{00000000-0005-0000-0000-0000F4100000}"/>
    <cellStyle name="Normal 2 2 9 3 2 3 2" xfId="11834" xr:uid="{00000000-0005-0000-0000-0000F5100000}"/>
    <cellStyle name="Normal 2 2 9 3 2 4" xfId="11070" xr:uid="{00000000-0005-0000-0000-0000F6100000}"/>
    <cellStyle name="Normal 2 2 9 3 3" xfId="4208" xr:uid="{00000000-0005-0000-0000-0000F7100000}"/>
    <cellStyle name="Normal 2 2 9 3 3 2" xfId="9643" xr:uid="{00000000-0005-0000-0000-0000F8100000}"/>
    <cellStyle name="Normal 2 2 9 3 3 2 2" xfId="10344" xr:uid="{00000000-0005-0000-0000-0000F9100000}"/>
    <cellStyle name="Normal 2 2 9 3 3 2 2 2" xfId="12079" xr:uid="{00000000-0005-0000-0000-0000FA100000}"/>
    <cellStyle name="Normal 2 2 9 3 3 2 3" xfId="11432" xr:uid="{00000000-0005-0000-0000-0000FB100000}"/>
    <cellStyle name="Normal 2 2 9 3 3 3" xfId="10047" xr:uid="{00000000-0005-0000-0000-0000FC100000}"/>
    <cellStyle name="Normal 2 2 9 3 3 3 2" xfId="11783" xr:uid="{00000000-0005-0000-0000-0000FD100000}"/>
    <cellStyle name="Normal 2 2 9 3 3 4" xfId="11019" xr:uid="{00000000-0005-0000-0000-0000FE100000}"/>
    <cellStyle name="Normal 2 2 9 3 4" xfId="9590" xr:uid="{00000000-0005-0000-0000-0000FF100000}"/>
    <cellStyle name="Normal 2 2 9 3 4 2" xfId="10293" xr:uid="{00000000-0005-0000-0000-000000110000}"/>
    <cellStyle name="Normal 2 2 9 3 4 2 2" xfId="12028" xr:uid="{00000000-0005-0000-0000-000001110000}"/>
    <cellStyle name="Normal 2 2 9 3 4 3" xfId="11381" xr:uid="{00000000-0005-0000-0000-000002110000}"/>
    <cellStyle name="Normal 2 2 9 3 5" xfId="9996" xr:uid="{00000000-0005-0000-0000-000003110000}"/>
    <cellStyle name="Normal 2 2 9 3 5 2" xfId="11732" xr:uid="{00000000-0005-0000-0000-000004110000}"/>
    <cellStyle name="Normal 2 2 9 3 6" xfId="10956" xr:uid="{00000000-0005-0000-0000-000005110000}"/>
    <cellStyle name="Normal 2 2 9 4" xfId="4090" xr:uid="{00000000-0005-0000-0000-000006110000}"/>
    <cellStyle name="Normal 2 2 9 4 2" xfId="4243" xr:uid="{00000000-0005-0000-0000-000007110000}"/>
    <cellStyle name="Normal 2 2 9 4 2 2" xfId="9678" xr:uid="{00000000-0005-0000-0000-000008110000}"/>
    <cellStyle name="Normal 2 2 9 4 2 2 2" xfId="10379" xr:uid="{00000000-0005-0000-0000-000009110000}"/>
    <cellStyle name="Normal 2 2 9 4 2 2 2 2" xfId="12114" xr:uid="{00000000-0005-0000-0000-00000A110000}"/>
    <cellStyle name="Normal 2 2 9 4 2 2 3" xfId="11467" xr:uid="{00000000-0005-0000-0000-00000B110000}"/>
    <cellStyle name="Normal 2 2 9 4 2 3" xfId="10082" xr:uid="{00000000-0005-0000-0000-00000C110000}"/>
    <cellStyle name="Normal 2 2 9 4 2 3 2" xfId="11818" xr:uid="{00000000-0005-0000-0000-00000D110000}"/>
    <cellStyle name="Normal 2 2 9 4 2 4" xfId="11054" xr:uid="{00000000-0005-0000-0000-00000E110000}"/>
    <cellStyle name="Normal 2 2 9 4 3" xfId="9574" xr:uid="{00000000-0005-0000-0000-00000F110000}"/>
    <cellStyle name="Normal 2 2 9 4 3 2" xfId="10277" xr:uid="{00000000-0005-0000-0000-000010110000}"/>
    <cellStyle name="Normal 2 2 9 4 3 2 2" xfId="12012" xr:uid="{00000000-0005-0000-0000-000011110000}"/>
    <cellStyle name="Normal 2 2 9 4 3 3" xfId="11365" xr:uid="{00000000-0005-0000-0000-000012110000}"/>
    <cellStyle name="Normal 2 2 9 4 4" xfId="9980" xr:uid="{00000000-0005-0000-0000-000013110000}"/>
    <cellStyle name="Normal 2 2 9 4 4 2" xfId="11716" xr:uid="{00000000-0005-0000-0000-000014110000}"/>
    <cellStyle name="Normal 2 2 9 4 5" xfId="10939" xr:uid="{00000000-0005-0000-0000-000015110000}"/>
    <cellStyle name="Normal 2 2 9 5" xfId="4192" xr:uid="{00000000-0005-0000-0000-000016110000}"/>
    <cellStyle name="Normal 2 2 9 5 2" xfId="9627" xr:uid="{00000000-0005-0000-0000-000017110000}"/>
    <cellStyle name="Normal 2 2 9 5 2 2" xfId="10328" xr:uid="{00000000-0005-0000-0000-000018110000}"/>
    <cellStyle name="Normal 2 2 9 5 2 2 2" xfId="12063" xr:uid="{00000000-0005-0000-0000-000019110000}"/>
    <cellStyle name="Normal 2 2 9 5 2 3" xfId="11416" xr:uid="{00000000-0005-0000-0000-00001A110000}"/>
    <cellStyle name="Normal 2 2 9 5 3" xfId="10031" xr:uid="{00000000-0005-0000-0000-00001B110000}"/>
    <cellStyle name="Normal 2 2 9 5 3 2" xfId="11767" xr:uid="{00000000-0005-0000-0000-00001C110000}"/>
    <cellStyle name="Normal 2 2 9 5 4" xfId="11003" xr:uid="{00000000-0005-0000-0000-00001D110000}"/>
    <cellStyle name="Normal 2 2 9 6" xfId="4327" xr:uid="{00000000-0005-0000-0000-00001E110000}"/>
    <cellStyle name="Normal 2 2 9 6 2" xfId="9740" xr:uid="{00000000-0005-0000-0000-00001F110000}"/>
    <cellStyle name="Normal 2 2 9 6 2 2" xfId="10439" xr:uid="{00000000-0005-0000-0000-000020110000}"/>
    <cellStyle name="Normal 2 2 9 6 2 2 2" xfId="12174" xr:uid="{00000000-0005-0000-0000-000021110000}"/>
    <cellStyle name="Normal 2 2 9 6 2 3" xfId="11527" xr:uid="{00000000-0005-0000-0000-000022110000}"/>
    <cellStyle name="Normal 2 2 9 6 3" xfId="10142" xr:uid="{00000000-0005-0000-0000-000023110000}"/>
    <cellStyle name="Normal 2 2 9 6 3 2" xfId="11878" xr:uid="{00000000-0005-0000-0000-000024110000}"/>
    <cellStyle name="Normal 2 2 9 6 4" xfId="11133" xr:uid="{00000000-0005-0000-0000-000025110000}"/>
    <cellStyle name="Normal 2 2 9 7" xfId="7727" xr:uid="{00000000-0005-0000-0000-000026110000}"/>
    <cellStyle name="Normal 2 20" xfId="1343" xr:uid="{00000000-0005-0000-0000-000027110000}"/>
    <cellStyle name="Normal 2 20 2" xfId="5159" xr:uid="{00000000-0005-0000-0000-000028110000}"/>
    <cellStyle name="Normal 2 21" xfId="1344" xr:uid="{00000000-0005-0000-0000-000029110000}"/>
    <cellStyle name="Normal 2 21 2" xfId="5160" xr:uid="{00000000-0005-0000-0000-00002A110000}"/>
    <cellStyle name="Normal 2 22" xfId="1345" xr:uid="{00000000-0005-0000-0000-00002B110000}"/>
    <cellStyle name="Normal 2 22 2" xfId="5161" xr:uid="{00000000-0005-0000-0000-00002C110000}"/>
    <cellStyle name="Normal 2 23" xfId="1346" xr:uid="{00000000-0005-0000-0000-00002D110000}"/>
    <cellStyle name="Normal 2 23 2" xfId="5162" xr:uid="{00000000-0005-0000-0000-00002E110000}"/>
    <cellStyle name="Normal 2 24" xfId="1347" xr:uid="{00000000-0005-0000-0000-00002F110000}"/>
    <cellStyle name="Normal 2 24 2" xfId="5163" xr:uid="{00000000-0005-0000-0000-000030110000}"/>
    <cellStyle name="Normal 2 25" xfId="1348" xr:uid="{00000000-0005-0000-0000-000031110000}"/>
    <cellStyle name="Normal 2 25 2" xfId="5164" xr:uid="{00000000-0005-0000-0000-000032110000}"/>
    <cellStyle name="Normal 2 26" xfId="1349" xr:uid="{00000000-0005-0000-0000-000033110000}"/>
    <cellStyle name="Normal 2 26 2" xfId="5165" xr:uid="{00000000-0005-0000-0000-000034110000}"/>
    <cellStyle name="Normal 2 27" xfId="1350" xr:uid="{00000000-0005-0000-0000-000035110000}"/>
    <cellStyle name="Normal 2 27 2" xfId="5166" xr:uid="{00000000-0005-0000-0000-000036110000}"/>
    <cellStyle name="Normal 2 28" xfId="1351" xr:uid="{00000000-0005-0000-0000-000037110000}"/>
    <cellStyle name="Normal 2 28 2" xfId="5167" xr:uid="{00000000-0005-0000-0000-000038110000}"/>
    <cellStyle name="Normal 2 29" xfId="1352" xr:uid="{00000000-0005-0000-0000-000039110000}"/>
    <cellStyle name="Normal 2 29 2" xfId="5168" xr:uid="{00000000-0005-0000-0000-00003A110000}"/>
    <cellStyle name="Normal 2 3" xfId="106" xr:uid="{00000000-0005-0000-0000-00003B110000}"/>
    <cellStyle name="Normal 2 3 2" xfId="4142" xr:uid="{00000000-0005-0000-0000-00003C110000}"/>
    <cellStyle name="Normal 2 3 2 2" xfId="9954" xr:uid="{00000000-0005-0000-0000-00003D110000}"/>
    <cellStyle name="Normal 2 3 2 2 2" xfId="10574" xr:uid="{00000000-0005-0000-0000-00003E110000}"/>
    <cellStyle name="Normal 2 3 2 2 2 2" xfId="12309" xr:uid="{00000000-0005-0000-0000-00003F110000}"/>
    <cellStyle name="Normal 2 3 2 2 3" xfId="11690" xr:uid="{00000000-0005-0000-0000-000040110000}"/>
    <cellStyle name="Normal 2 3 2 3" xfId="10178" xr:uid="{00000000-0005-0000-0000-000041110000}"/>
    <cellStyle name="Normal 2 3 2 3 2" xfId="11914" xr:uid="{00000000-0005-0000-0000-000042110000}"/>
    <cellStyle name="Normal 2 3 2 4" xfId="10559" xr:uid="{00000000-0005-0000-0000-000043110000}"/>
    <cellStyle name="Normal 2 3 2 4 2" xfId="12294" xr:uid="{00000000-0005-0000-0000-000044110000}"/>
    <cellStyle name="Normal 2 3 3" xfId="4102" xr:uid="{00000000-0005-0000-0000-000045110000}"/>
    <cellStyle name="Normal 2 3 3 2" xfId="10195" xr:uid="{00000000-0005-0000-0000-000046110000}"/>
    <cellStyle name="Normal 2 3 3 2 2" xfId="11931" xr:uid="{00000000-0005-0000-0000-000047110000}"/>
    <cellStyle name="Normal 2 3 3 3" xfId="10567" xr:uid="{00000000-0005-0000-0000-000048110000}"/>
    <cellStyle name="Normal 2 3 3 3 2" xfId="12302" xr:uid="{00000000-0005-0000-0000-000049110000}"/>
    <cellStyle name="Normal 2 3 4" xfId="4068" xr:uid="{00000000-0005-0000-0000-00004A110000}"/>
    <cellStyle name="Normal 2 3 5" xfId="1353" xr:uid="{00000000-0005-0000-0000-00004B110000}"/>
    <cellStyle name="Normal 2 3 6" xfId="9957" xr:uid="{00000000-0005-0000-0000-00004C110000}"/>
    <cellStyle name="Normal 2 3 6 2" xfId="11693" xr:uid="{00000000-0005-0000-0000-00004D110000}"/>
    <cellStyle name="Normal 2 3 7" xfId="10555" xr:uid="{00000000-0005-0000-0000-00004E110000}"/>
    <cellStyle name="Normal 2 3 7 2" xfId="12290" xr:uid="{00000000-0005-0000-0000-00004F110000}"/>
    <cellStyle name="Normal 2 3 8" xfId="10660" xr:uid="{00000000-0005-0000-0000-000050110000}"/>
    <cellStyle name="Normal 2 30" xfId="1354" xr:uid="{00000000-0005-0000-0000-000051110000}"/>
    <cellStyle name="Normal 2 30 2" xfId="7728" xr:uid="{00000000-0005-0000-0000-000052110000}"/>
    <cellStyle name="Normal 2 31" xfId="1355" xr:uid="{00000000-0005-0000-0000-000053110000}"/>
    <cellStyle name="Normal 2 31 2" xfId="7729" xr:uid="{00000000-0005-0000-0000-000054110000}"/>
    <cellStyle name="Normal 2 32" xfId="1356" xr:uid="{00000000-0005-0000-0000-000055110000}"/>
    <cellStyle name="Normal 2 32 2" xfId="7730" xr:uid="{00000000-0005-0000-0000-000056110000}"/>
    <cellStyle name="Normal 2 33" xfId="1357" xr:uid="{00000000-0005-0000-0000-000057110000}"/>
    <cellStyle name="Normal 2 33 2" xfId="7731" xr:uid="{00000000-0005-0000-0000-000058110000}"/>
    <cellStyle name="Normal 2 34" xfId="137" xr:uid="{00000000-0005-0000-0000-000059110000}"/>
    <cellStyle name="Normal 2 34 2" xfId="7732" xr:uid="{00000000-0005-0000-0000-00005A110000}"/>
    <cellStyle name="Normal 2 34 3" xfId="1358" xr:uid="{00000000-0005-0000-0000-00005B110000}"/>
    <cellStyle name="Normal 2 35" xfId="1359" xr:uid="{00000000-0005-0000-0000-00005C110000}"/>
    <cellStyle name="Normal 2 35 2" xfId="7733" xr:uid="{00000000-0005-0000-0000-00005D110000}"/>
    <cellStyle name="Normal 2 36" xfId="1360" xr:uid="{00000000-0005-0000-0000-00005E110000}"/>
    <cellStyle name="Normal 2 36 2" xfId="7734" xr:uid="{00000000-0005-0000-0000-00005F110000}"/>
    <cellStyle name="Normal 2 37" xfId="1361" xr:uid="{00000000-0005-0000-0000-000060110000}"/>
    <cellStyle name="Normal 2 37 2" xfId="7735" xr:uid="{00000000-0005-0000-0000-000061110000}"/>
    <cellStyle name="Normal 2 38" xfId="1362" xr:uid="{00000000-0005-0000-0000-000062110000}"/>
    <cellStyle name="Normal 2 38 2" xfId="7736" xr:uid="{00000000-0005-0000-0000-000063110000}"/>
    <cellStyle name="Normal 2 39" xfId="1363" xr:uid="{00000000-0005-0000-0000-000064110000}"/>
    <cellStyle name="Normal 2 39 2" xfId="7737" xr:uid="{00000000-0005-0000-0000-000065110000}"/>
    <cellStyle name="Normal 2 4" xfId="107" xr:uid="{00000000-0005-0000-0000-000066110000}"/>
    <cellStyle name="Normal 2 4 2" xfId="4146" xr:uid="{00000000-0005-0000-0000-000067110000}"/>
    <cellStyle name="Normal 2 4 2 2" xfId="10250" xr:uid="{00000000-0005-0000-0000-000068110000}"/>
    <cellStyle name="Normal 2 4 2 2 2" xfId="11985" xr:uid="{00000000-0005-0000-0000-000069110000}"/>
    <cellStyle name="Normal 2 4 2 3" xfId="10568" xr:uid="{00000000-0005-0000-0000-00006A110000}"/>
    <cellStyle name="Normal 2 4 2 3 2" xfId="12303" xr:uid="{00000000-0005-0000-0000-00006B110000}"/>
    <cellStyle name="Normal 2 4 3" xfId="4106" xr:uid="{00000000-0005-0000-0000-00006C110000}"/>
    <cellStyle name="Normal 2 4 4" xfId="4073" xr:uid="{00000000-0005-0000-0000-00006D110000}"/>
    <cellStyle name="Normal 2 4 5" xfId="1364" xr:uid="{00000000-0005-0000-0000-00006E110000}"/>
    <cellStyle name="Normal 2 4 6" xfId="10251" xr:uid="{00000000-0005-0000-0000-00006F110000}"/>
    <cellStyle name="Normal 2 4 6 2" xfId="11986" xr:uid="{00000000-0005-0000-0000-000070110000}"/>
    <cellStyle name="Normal 2 4 7" xfId="10553" xr:uid="{00000000-0005-0000-0000-000071110000}"/>
    <cellStyle name="Normal 2 4 7 2" xfId="12288" xr:uid="{00000000-0005-0000-0000-000072110000}"/>
    <cellStyle name="Normal 2 4 8" xfId="10661" xr:uid="{00000000-0005-0000-0000-000073110000}"/>
    <cellStyle name="Normal 2 40" xfId="1365" xr:uid="{00000000-0005-0000-0000-000074110000}"/>
    <cellStyle name="Normal 2 40 2" xfId="7738" xr:uid="{00000000-0005-0000-0000-000075110000}"/>
    <cellStyle name="Normal 2 41" xfId="1366" xr:uid="{00000000-0005-0000-0000-000076110000}"/>
    <cellStyle name="Normal 2 41 2" xfId="7739" xr:uid="{00000000-0005-0000-0000-000077110000}"/>
    <cellStyle name="Normal 2 42" xfId="1367" xr:uid="{00000000-0005-0000-0000-000078110000}"/>
    <cellStyle name="Normal 2 42 2" xfId="7740" xr:uid="{00000000-0005-0000-0000-000079110000}"/>
    <cellStyle name="Normal 2 43" xfId="1368" xr:uid="{00000000-0005-0000-0000-00007A110000}"/>
    <cellStyle name="Normal 2 43 2" xfId="7741" xr:uid="{00000000-0005-0000-0000-00007B110000}"/>
    <cellStyle name="Normal 2 44" xfId="1369" xr:uid="{00000000-0005-0000-0000-00007C110000}"/>
    <cellStyle name="Normal 2 44 2" xfId="7742" xr:uid="{00000000-0005-0000-0000-00007D110000}"/>
    <cellStyle name="Normal 2 45" xfId="1370" xr:uid="{00000000-0005-0000-0000-00007E110000}"/>
    <cellStyle name="Normal 2 45 2" xfId="7743" xr:uid="{00000000-0005-0000-0000-00007F110000}"/>
    <cellStyle name="Normal 2 46" xfId="1371" xr:uid="{00000000-0005-0000-0000-000080110000}"/>
    <cellStyle name="Normal 2 46 2" xfId="7744" xr:uid="{00000000-0005-0000-0000-000081110000}"/>
    <cellStyle name="Normal 2 47" xfId="1372" xr:uid="{00000000-0005-0000-0000-000082110000}"/>
    <cellStyle name="Normal 2 47 2" xfId="7745" xr:uid="{00000000-0005-0000-0000-000083110000}"/>
    <cellStyle name="Normal 2 48" xfId="1373" xr:uid="{00000000-0005-0000-0000-000084110000}"/>
    <cellStyle name="Normal 2 48 2" xfId="7746" xr:uid="{00000000-0005-0000-0000-000085110000}"/>
    <cellStyle name="Normal 2 49" xfId="1374" xr:uid="{00000000-0005-0000-0000-000086110000}"/>
    <cellStyle name="Normal 2 49 2" xfId="7747" xr:uid="{00000000-0005-0000-0000-000087110000}"/>
    <cellStyle name="Normal 2 5" xfId="140" xr:uid="{00000000-0005-0000-0000-000088110000}"/>
    <cellStyle name="Normal 2 5 2" xfId="4154" xr:uid="{00000000-0005-0000-0000-000089110000}"/>
    <cellStyle name="Normal 2 5 2 2" xfId="10180" xr:uid="{00000000-0005-0000-0000-00008A110000}"/>
    <cellStyle name="Normal 2 5 2 2 2" xfId="11916" xr:uid="{00000000-0005-0000-0000-00008B110000}"/>
    <cellStyle name="Normal 2 5 2 3" xfId="10573" xr:uid="{00000000-0005-0000-0000-00008C110000}"/>
    <cellStyle name="Normal 2 5 2 3 2" xfId="12308" xr:uid="{00000000-0005-0000-0000-00008D110000}"/>
    <cellStyle name="Normal 2 5 3" xfId="4114" xr:uid="{00000000-0005-0000-0000-00008E110000}"/>
    <cellStyle name="Normal 2 5 4" xfId="4081" xr:uid="{00000000-0005-0000-0000-00008F110000}"/>
    <cellStyle name="Normal 2 5 5" xfId="1375" xr:uid="{00000000-0005-0000-0000-000090110000}"/>
    <cellStyle name="Normal 2 5 6" xfId="10252" xr:uid="{00000000-0005-0000-0000-000091110000}"/>
    <cellStyle name="Normal 2 5 6 2" xfId="11987" xr:uid="{00000000-0005-0000-0000-000092110000}"/>
    <cellStyle name="Normal 2 5 7" xfId="10560" xr:uid="{00000000-0005-0000-0000-000093110000}"/>
    <cellStyle name="Normal 2 5 7 2" xfId="12295" xr:uid="{00000000-0005-0000-0000-000094110000}"/>
    <cellStyle name="Normal 2 50" xfId="1376" xr:uid="{00000000-0005-0000-0000-000095110000}"/>
    <cellStyle name="Normal 2 50 2" xfId="7748" xr:uid="{00000000-0005-0000-0000-000096110000}"/>
    <cellStyle name="Normal 2 51" xfId="1377" xr:uid="{00000000-0005-0000-0000-000097110000}"/>
    <cellStyle name="Normal 2 51 2" xfId="7749" xr:uid="{00000000-0005-0000-0000-000098110000}"/>
    <cellStyle name="Normal 2 52" xfId="1378" xr:uid="{00000000-0005-0000-0000-000099110000}"/>
    <cellStyle name="Normal 2 52 2" xfId="7750" xr:uid="{00000000-0005-0000-0000-00009A110000}"/>
    <cellStyle name="Normal 2 53" xfId="1379" xr:uid="{00000000-0005-0000-0000-00009B110000}"/>
    <cellStyle name="Normal 2 53 2" xfId="7751" xr:uid="{00000000-0005-0000-0000-00009C110000}"/>
    <cellStyle name="Normal 2 54" xfId="1380" xr:uid="{00000000-0005-0000-0000-00009D110000}"/>
    <cellStyle name="Normal 2 54 2" xfId="7752" xr:uid="{00000000-0005-0000-0000-00009E110000}"/>
    <cellStyle name="Normal 2 55" xfId="1381" xr:uid="{00000000-0005-0000-0000-00009F110000}"/>
    <cellStyle name="Normal 2 55 2" xfId="7753" xr:uid="{00000000-0005-0000-0000-0000A0110000}"/>
    <cellStyle name="Normal 2 56" xfId="1382" xr:uid="{00000000-0005-0000-0000-0000A1110000}"/>
    <cellStyle name="Normal 2 56 2" xfId="7754" xr:uid="{00000000-0005-0000-0000-0000A2110000}"/>
    <cellStyle name="Normal 2 57" xfId="1383" xr:uid="{00000000-0005-0000-0000-0000A3110000}"/>
    <cellStyle name="Normal 2 57 2" xfId="7755" xr:uid="{00000000-0005-0000-0000-0000A4110000}"/>
    <cellStyle name="Normal 2 58" xfId="1384" xr:uid="{00000000-0005-0000-0000-0000A5110000}"/>
    <cellStyle name="Normal 2 58 2" xfId="7756" xr:uid="{00000000-0005-0000-0000-0000A6110000}"/>
    <cellStyle name="Normal 2 59" xfId="1385" xr:uid="{00000000-0005-0000-0000-0000A7110000}"/>
    <cellStyle name="Normal 2 59 2" xfId="7757" xr:uid="{00000000-0005-0000-0000-0000A8110000}"/>
    <cellStyle name="Normal 2 6" xfId="1386" xr:uid="{00000000-0005-0000-0000-0000A9110000}"/>
    <cellStyle name="Normal 2 6 2" xfId="4156" xr:uid="{00000000-0005-0000-0000-0000AA110000}"/>
    <cellStyle name="Normal 2 6 3" xfId="4116" xr:uid="{00000000-0005-0000-0000-0000AB110000}"/>
    <cellStyle name="Normal 2 6 4" xfId="4083" xr:uid="{00000000-0005-0000-0000-0000AC110000}"/>
    <cellStyle name="Normal 2 60" xfId="1387" xr:uid="{00000000-0005-0000-0000-0000AD110000}"/>
    <cellStyle name="Normal 2 60 2" xfId="7758" xr:uid="{00000000-0005-0000-0000-0000AE110000}"/>
    <cellStyle name="Normal 2 61" xfId="1388" xr:uid="{00000000-0005-0000-0000-0000AF110000}"/>
    <cellStyle name="Normal 2 61 2" xfId="7759" xr:uid="{00000000-0005-0000-0000-0000B0110000}"/>
    <cellStyle name="Normal 2 62" xfId="1389" xr:uid="{00000000-0005-0000-0000-0000B1110000}"/>
    <cellStyle name="Normal 2 62 2" xfId="7760" xr:uid="{00000000-0005-0000-0000-0000B2110000}"/>
    <cellStyle name="Normal 2 63" xfId="1390" xr:uid="{00000000-0005-0000-0000-0000B3110000}"/>
    <cellStyle name="Normal 2 63 2" xfId="7761" xr:uid="{00000000-0005-0000-0000-0000B4110000}"/>
    <cellStyle name="Normal 2 64" xfId="1391" xr:uid="{00000000-0005-0000-0000-0000B5110000}"/>
    <cellStyle name="Normal 2 64 2" xfId="7762" xr:uid="{00000000-0005-0000-0000-0000B6110000}"/>
    <cellStyle name="Normal 2 65" xfId="1392" xr:uid="{00000000-0005-0000-0000-0000B7110000}"/>
    <cellStyle name="Normal 2 65 2" xfId="7763" xr:uid="{00000000-0005-0000-0000-0000B8110000}"/>
    <cellStyle name="Normal 2 66" xfId="1393" xr:uid="{00000000-0005-0000-0000-0000B9110000}"/>
    <cellStyle name="Normal 2 66 2" xfId="7764" xr:uid="{00000000-0005-0000-0000-0000BA110000}"/>
    <cellStyle name="Normal 2 67" xfId="1394" xr:uid="{00000000-0005-0000-0000-0000BB110000}"/>
    <cellStyle name="Normal 2 67 2" xfId="7765" xr:uid="{00000000-0005-0000-0000-0000BC110000}"/>
    <cellStyle name="Normal 2 68" xfId="1395" xr:uid="{00000000-0005-0000-0000-0000BD110000}"/>
    <cellStyle name="Normal 2 68 2" xfId="7766" xr:uid="{00000000-0005-0000-0000-0000BE110000}"/>
    <cellStyle name="Normal 2 69" xfId="1396" xr:uid="{00000000-0005-0000-0000-0000BF110000}"/>
    <cellStyle name="Normal 2 69 2" xfId="7767" xr:uid="{00000000-0005-0000-0000-0000C0110000}"/>
    <cellStyle name="Normal 2 7" xfId="1397" xr:uid="{00000000-0005-0000-0000-0000C1110000}"/>
    <cellStyle name="Normal 2 7 2" xfId="4152" xr:uid="{00000000-0005-0000-0000-0000C2110000}"/>
    <cellStyle name="Normal 2 7 3" xfId="4112" xr:uid="{00000000-0005-0000-0000-0000C3110000}"/>
    <cellStyle name="Normal 2 7 4" xfId="4079" xr:uid="{00000000-0005-0000-0000-0000C4110000}"/>
    <cellStyle name="Normal 2 70" xfId="1398" xr:uid="{00000000-0005-0000-0000-0000C5110000}"/>
    <cellStyle name="Normal 2 70 2" xfId="7768" xr:uid="{00000000-0005-0000-0000-0000C6110000}"/>
    <cellStyle name="Normal 2 71" xfId="1399" xr:uid="{00000000-0005-0000-0000-0000C7110000}"/>
    <cellStyle name="Normal 2 71 2" xfId="7769" xr:uid="{00000000-0005-0000-0000-0000C8110000}"/>
    <cellStyle name="Normal 2 72" xfId="1400" xr:uid="{00000000-0005-0000-0000-0000C9110000}"/>
    <cellStyle name="Normal 2 72 2" xfId="7770" xr:uid="{00000000-0005-0000-0000-0000CA110000}"/>
    <cellStyle name="Normal 2 73" xfId="1401" xr:uid="{00000000-0005-0000-0000-0000CB110000}"/>
    <cellStyle name="Normal 2 73 2" xfId="7771" xr:uid="{00000000-0005-0000-0000-0000CC110000}"/>
    <cellStyle name="Normal 2 74" xfId="1402" xr:uid="{00000000-0005-0000-0000-0000CD110000}"/>
    <cellStyle name="Normal 2 74 2" xfId="7772" xr:uid="{00000000-0005-0000-0000-0000CE110000}"/>
    <cellStyle name="Normal 2 75" xfId="1403" xr:uid="{00000000-0005-0000-0000-0000CF110000}"/>
    <cellStyle name="Normal 2 75 2" xfId="7773" xr:uid="{00000000-0005-0000-0000-0000D0110000}"/>
    <cellStyle name="Normal 2 76" xfId="1404" xr:uid="{00000000-0005-0000-0000-0000D1110000}"/>
    <cellStyle name="Normal 2 76 2" xfId="7774" xr:uid="{00000000-0005-0000-0000-0000D2110000}"/>
    <cellStyle name="Normal 2 77" xfId="1405" xr:uid="{00000000-0005-0000-0000-0000D3110000}"/>
    <cellStyle name="Normal 2 77 2" xfId="7775" xr:uid="{00000000-0005-0000-0000-0000D4110000}"/>
    <cellStyle name="Normal 2 78" xfId="1406" xr:uid="{00000000-0005-0000-0000-0000D5110000}"/>
    <cellStyle name="Normal 2 78 2" xfId="7776" xr:uid="{00000000-0005-0000-0000-0000D6110000}"/>
    <cellStyle name="Normal 2 79" xfId="1407" xr:uid="{00000000-0005-0000-0000-0000D7110000}"/>
    <cellStyle name="Normal 2 79 2" xfId="7777" xr:uid="{00000000-0005-0000-0000-0000D8110000}"/>
    <cellStyle name="Normal 2 8" xfId="1408" xr:uid="{00000000-0005-0000-0000-0000D9110000}"/>
    <cellStyle name="Normal 2 8 2" xfId="4160" xr:uid="{00000000-0005-0000-0000-0000DA110000}"/>
    <cellStyle name="Normal 2 8 3" xfId="4120" xr:uid="{00000000-0005-0000-0000-0000DB110000}"/>
    <cellStyle name="Normal 2 8 4" xfId="4087" xr:uid="{00000000-0005-0000-0000-0000DC110000}"/>
    <cellStyle name="Normal 2 80" xfId="1409" xr:uid="{00000000-0005-0000-0000-0000DD110000}"/>
    <cellStyle name="Normal 2 80 2" xfId="7778" xr:uid="{00000000-0005-0000-0000-0000DE110000}"/>
    <cellStyle name="Normal 2 81" xfId="1410" xr:uid="{00000000-0005-0000-0000-0000DF110000}"/>
    <cellStyle name="Normal 2 81 2" xfId="7779" xr:uid="{00000000-0005-0000-0000-0000E0110000}"/>
    <cellStyle name="Normal 2 82" xfId="1411" xr:uid="{00000000-0005-0000-0000-0000E1110000}"/>
    <cellStyle name="Normal 2 82 2" xfId="7780" xr:uid="{00000000-0005-0000-0000-0000E2110000}"/>
    <cellStyle name="Normal 2 83" xfId="1412" xr:uid="{00000000-0005-0000-0000-0000E3110000}"/>
    <cellStyle name="Normal 2 83 2" xfId="7781" xr:uid="{00000000-0005-0000-0000-0000E4110000}"/>
    <cellStyle name="Normal 2 84" xfId="1413" xr:uid="{00000000-0005-0000-0000-0000E5110000}"/>
    <cellStyle name="Normal 2 84 2" xfId="7782" xr:uid="{00000000-0005-0000-0000-0000E6110000}"/>
    <cellStyle name="Normal 2 85" xfId="1414" xr:uid="{00000000-0005-0000-0000-0000E7110000}"/>
    <cellStyle name="Normal 2 85 2" xfId="7783" xr:uid="{00000000-0005-0000-0000-0000E8110000}"/>
    <cellStyle name="Normal 2 86" xfId="1415" xr:uid="{00000000-0005-0000-0000-0000E9110000}"/>
    <cellStyle name="Normal 2 86 2" xfId="7784" xr:uid="{00000000-0005-0000-0000-0000EA110000}"/>
    <cellStyle name="Normal 2 87" xfId="1416" xr:uid="{00000000-0005-0000-0000-0000EB110000}"/>
    <cellStyle name="Normal 2 87 2" xfId="7785" xr:uid="{00000000-0005-0000-0000-0000EC110000}"/>
    <cellStyle name="Normal 2 88" xfId="1417" xr:uid="{00000000-0005-0000-0000-0000ED110000}"/>
    <cellStyle name="Normal 2 88 2" xfId="7786" xr:uid="{00000000-0005-0000-0000-0000EE110000}"/>
    <cellStyle name="Normal 2 89" xfId="1418" xr:uid="{00000000-0005-0000-0000-0000EF110000}"/>
    <cellStyle name="Normal 2 89 2" xfId="7787" xr:uid="{00000000-0005-0000-0000-0000F0110000}"/>
    <cellStyle name="Normal 2 9" xfId="1419" xr:uid="{00000000-0005-0000-0000-0000F1110000}"/>
    <cellStyle name="Normal 2 9 2" xfId="4162" xr:uid="{00000000-0005-0000-0000-0000F2110000}"/>
    <cellStyle name="Normal 2 9 3" xfId="4122" xr:uid="{00000000-0005-0000-0000-0000F3110000}"/>
    <cellStyle name="Normal 2 9 4" xfId="4089" xr:uid="{00000000-0005-0000-0000-0000F4110000}"/>
    <cellStyle name="Normal 2 90" xfId="1420" xr:uid="{00000000-0005-0000-0000-0000F5110000}"/>
    <cellStyle name="Normal 2 90 2" xfId="7788" xr:uid="{00000000-0005-0000-0000-0000F6110000}"/>
    <cellStyle name="Normal 2 91" xfId="1421" xr:uid="{00000000-0005-0000-0000-0000F7110000}"/>
    <cellStyle name="Normal 2 91 2" xfId="7789" xr:uid="{00000000-0005-0000-0000-0000F8110000}"/>
    <cellStyle name="Normal 2 92" xfId="1422" xr:uid="{00000000-0005-0000-0000-0000F9110000}"/>
    <cellStyle name="Normal 2 92 2" xfId="7790" xr:uid="{00000000-0005-0000-0000-0000FA110000}"/>
    <cellStyle name="Normal 2 93" xfId="1423" xr:uid="{00000000-0005-0000-0000-0000FB110000}"/>
    <cellStyle name="Normal 2 93 2" xfId="7791" xr:uid="{00000000-0005-0000-0000-0000FC110000}"/>
    <cellStyle name="Normal 2 94" xfId="1424" xr:uid="{00000000-0005-0000-0000-0000FD110000}"/>
    <cellStyle name="Normal 2 94 2" xfId="7792" xr:uid="{00000000-0005-0000-0000-0000FE110000}"/>
    <cellStyle name="Normal 2 95" xfId="1425" xr:uid="{00000000-0005-0000-0000-0000FF110000}"/>
    <cellStyle name="Normal 2 95 2" xfId="7793" xr:uid="{00000000-0005-0000-0000-000000120000}"/>
    <cellStyle name="Normal 2 96" xfId="1426" xr:uid="{00000000-0005-0000-0000-000001120000}"/>
    <cellStyle name="Normal 2 96 2" xfId="7794" xr:uid="{00000000-0005-0000-0000-000002120000}"/>
    <cellStyle name="Normal 2 97" xfId="1427" xr:uid="{00000000-0005-0000-0000-000003120000}"/>
    <cellStyle name="Normal 2 97 2" xfId="7795" xr:uid="{00000000-0005-0000-0000-000004120000}"/>
    <cellStyle name="Normal 2 98" xfId="1428" xr:uid="{00000000-0005-0000-0000-000005120000}"/>
    <cellStyle name="Normal 2 98 2" xfId="7796" xr:uid="{00000000-0005-0000-0000-000006120000}"/>
    <cellStyle name="Normal 2 99" xfId="1429" xr:uid="{00000000-0005-0000-0000-000007120000}"/>
    <cellStyle name="Normal 2 99 2" xfId="7797" xr:uid="{00000000-0005-0000-0000-000008120000}"/>
    <cellStyle name="Normal 20" xfId="4296" xr:uid="{00000000-0005-0000-0000-000009120000}"/>
    <cellStyle name="Normal 20 2" xfId="9722" xr:uid="{00000000-0005-0000-0000-00000A120000}"/>
    <cellStyle name="Normal 20 2 2" xfId="10422" xr:uid="{00000000-0005-0000-0000-00000B120000}"/>
    <cellStyle name="Normal 20 2 2 2" xfId="12157" xr:uid="{00000000-0005-0000-0000-00000C120000}"/>
    <cellStyle name="Normal 20 2 3" xfId="11510" xr:uid="{00000000-0005-0000-0000-00000D120000}"/>
    <cellStyle name="Normal 20 3" xfId="10125" xr:uid="{00000000-0005-0000-0000-00000E120000}"/>
    <cellStyle name="Normal 20 3 2" xfId="11861" xr:uid="{00000000-0005-0000-0000-00000F120000}"/>
    <cellStyle name="Normal 20 4" xfId="11105" xr:uid="{00000000-0005-0000-0000-000010120000}"/>
    <cellStyle name="Normal 21" xfId="4300" xr:uid="{00000000-0005-0000-0000-000011120000}"/>
    <cellStyle name="Normal 21 2" xfId="9726" xr:uid="{00000000-0005-0000-0000-000012120000}"/>
    <cellStyle name="Normal 21 2 2" xfId="10426" xr:uid="{00000000-0005-0000-0000-000013120000}"/>
    <cellStyle name="Normal 21 2 2 2" xfId="12161" xr:uid="{00000000-0005-0000-0000-000014120000}"/>
    <cellStyle name="Normal 21 2 3" xfId="11514" xr:uid="{00000000-0005-0000-0000-000015120000}"/>
    <cellStyle name="Normal 21 3" xfId="10129" xr:uid="{00000000-0005-0000-0000-000016120000}"/>
    <cellStyle name="Normal 21 3 2" xfId="11865" xr:uid="{00000000-0005-0000-0000-000017120000}"/>
    <cellStyle name="Normal 21 4" xfId="11109" xr:uid="{00000000-0005-0000-0000-000018120000}"/>
    <cellStyle name="Normal 22" xfId="4351" xr:uid="{00000000-0005-0000-0000-000019120000}"/>
    <cellStyle name="Normal 22 2" xfId="9762" xr:uid="{00000000-0005-0000-0000-00001A120000}"/>
    <cellStyle name="Normal 22 2 2" xfId="10460" xr:uid="{00000000-0005-0000-0000-00001B120000}"/>
    <cellStyle name="Normal 22 2 2 2" xfId="12195" xr:uid="{00000000-0005-0000-0000-00001C120000}"/>
    <cellStyle name="Normal 22 2 3" xfId="11548" xr:uid="{00000000-0005-0000-0000-00001D120000}"/>
    <cellStyle name="Normal 22 3" xfId="10163" xr:uid="{00000000-0005-0000-0000-00001E120000}"/>
    <cellStyle name="Normal 22 3 2" xfId="11899" xr:uid="{00000000-0005-0000-0000-00001F120000}"/>
    <cellStyle name="Normal 22 4" xfId="11156" xr:uid="{00000000-0005-0000-0000-000020120000}"/>
    <cellStyle name="Normal 23" xfId="4366" xr:uid="{00000000-0005-0000-0000-000021120000}"/>
    <cellStyle name="Normal 23 2" xfId="9774" xr:uid="{00000000-0005-0000-0000-000022120000}"/>
    <cellStyle name="Normal 23 2 2" xfId="10472" xr:uid="{00000000-0005-0000-0000-000023120000}"/>
    <cellStyle name="Normal 23 2 2 2" xfId="12207" xr:uid="{00000000-0005-0000-0000-000024120000}"/>
    <cellStyle name="Normal 23 2 3" xfId="11560" xr:uid="{00000000-0005-0000-0000-000025120000}"/>
    <cellStyle name="Normal 23 3" xfId="10177" xr:uid="{00000000-0005-0000-0000-000026120000}"/>
    <cellStyle name="Normal 23 3 2" xfId="11913" xr:uid="{00000000-0005-0000-0000-000027120000}"/>
    <cellStyle name="Normal 23 4" xfId="11170" xr:uid="{00000000-0005-0000-0000-000028120000}"/>
    <cellStyle name="Normal 24" xfId="7589" xr:uid="{00000000-0005-0000-0000-000029120000}"/>
    <cellStyle name="Normal 24 2" xfId="10247" xr:uid="{00000000-0005-0000-0000-00002A120000}"/>
    <cellStyle name="Normal 25" xfId="7588" xr:uid="{00000000-0005-0000-0000-00002B120000}"/>
    <cellStyle name="Normal 25 2" xfId="10246" xr:uid="{00000000-0005-0000-0000-00002C120000}"/>
    <cellStyle name="Normal 25 2 2" xfId="11982" xr:uid="{00000000-0005-0000-0000-00002D120000}"/>
    <cellStyle name="Normal 25 3" xfId="11256" xr:uid="{00000000-0005-0000-0000-00002E120000}"/>
    <cellStyle name="Normal 26" xfId="9849" xr:uid="{00000000-0005-0000-0000-00002F120000}"/>
    <cellStyle name="Normal 26 2" xfId="11634" xr:uid="{00000000-0005-0000-0000-000030120000}"/>
    <cellStyle name="Normal 27" xfId="9851" xr:uid="{00000000-0005-0000-0000-000031120000}"/>
    <cellStyle name="Normal 27 2" xfId="11636" xr:uid="{00000000-0005-0000-0000-000032120000}"/>
    <cellStyle name="Normal 28" xfId="9865" xr:uid="{00000000-0005-0000-0000-000033120000}"/>
    <cellStyle name="Normal 28 2" xfId="11650" xr:uid="{00000000-0005-0000-0000-000034120000}"/>
    <cellStyle name="Normal 29" xfId="9867" xr:uid="{00000000-0005-0000-0000-000035120000}"/>
    <cellStyle name="Normal 29 2" xfId="11652" xr:uid="{00000000-0005-0000-0000-000036120000}"/>
    <cellStyle name="Normal 3" xfId="17" xr:uid="{00000000-0005-0000-0000-000037120000}"/>
    <cellStyle name="Normal 3 10" xfId="1430" xr:uid="{00000000-0005-0000-0000-000038120000}"/>
    <cellStyle name="Normal 3 11" xfId="1431" xr:uid="{00000000-0005-0000-0000-000039120000}"/>
    <cellStyle name="Normal 3 12" xfId="1432" xr:uid="{00000000-0005-0000-0000-00003A120000}"/>
    <cellStyle name="Normal 3 12 2" xfId="7798" xr:uid="{00000000-0005-0000-0000-00003B120000}"/>
    <cellStyle name="Normal 3 13" xfId="1433" xr:uid="{00000000-0005-0000-0000-00003C120000}"/>
    <cellStyle name="Normal 3 13 2" xfId="7799" xr:uid="{00000000-0005-0000-0000-00003D120000}"/>
    <cellStyle name="Normal 3 14" xfId="1434" xr:uid="{00000000-0005-0000-0000-00003E120000}"/>
    <cellStyle name="Normal 3 14 2" xfId="7800" xr:uid="{00000000-0005-0000-0000-00003F120000}"/>
    <cellStyle name="Normal 3 15" xfId="1435" xr:uid="{00000000-0005-0000-0000-000040120000}"/>
    <cellStyle name="Normal 3 15 2" xfId="7801" xr:uid="{00000000-0005-0000-0000-000041120000}"/>
    <cellStyle name="Normal 3 16" xfId="1436" xr:uid="{00000000-0005-0000-0000-000042120000}"/>
    <cellStyle name="Normal 3 16 2" xfId="7802" xr:uid="{00000000-0005-0000-0000-000043120000}"/>
    <cellStyle name="Normal 3 17" xfId="1437" xr:uid="{00000000-0005-0000-0000-000044120000}"/>
    <cellStyle name="Normal 3 17 2" xfId="7803" xr:uid="{00000000-0005-0000-0000-000045120000}"/>
    <cellStyle name="Normal 3 18" xfId="1438" xr:uid="{00000000-0005-0000-0000-000046120000}"/>
    <cellStyle name="Normal 3 18 2" xfId="7804" xr:uid="{00000000-0005-0000-0000-000047120000}"/>
    <cellStyle name="Normal 3 19" xfId="1439" xr:uid="{00000000-0005-0000-0000-000048120000}"/>
    <cellStyle name="Normal 3 19 2" xfId="7805" xr:uid="{00000000-0005-0000-0000-000049120000}"/>
    <cellStyle name="Normal 3 2" xfId="78" xr:uid="{00000000-0005-0000-0000-00004A120000}"/>
    <cellStyle name="Normal 3 2 10" xfId="4227" xr:uid="{00000000-0005-0000-0000-00004B120000}"/>
    <cellStyle name="Normal 3 2 10 2" xfId="9662" xr:uid="{00000000-0005-0000-0000-00004C120000}"/>
    <cellStyle name="Normal 3 2 10 2 2" xfId="10363" xr:uid="{00000000-0005-0000-0000-00004D120000}"/>
    <cellStyle name="Normal 3 2 10 2 2 2" xfId="12098" xr:uid="{00000000-0005-0000-0000-00004E120000}"/>
    <cellStyle name="Normal 3 2 10 2 3" xfId="11451" xr:uid="{00000000-0005-0000-0000-00004F120000}"/>
    <cellStyle name="Normal 3 2 10 3" xfId="10066" xr:uid="{00000000-0005-0000-0000-000050120000}"/>
    <cellStyle name="Normal 3 2 10 3 2" xfId="11802" xr:uid="{00000000-0005-0000-0000-000051120000}"/>
    <cellStyle name="Normal 3 2 10 4" xfId="11038" xr:uid="{00000000-0005-0000-0000-000052120000}"/>
    <cellStyle name="Normal 3 2 11" xfId="4310" xr:uid="{00000000-0005-0000-0000-000053120000}"/>
    <cellStyle name="Normal 3 2 11 2" xfId="9733" xr:uid="{00000000-0005-0000-0000-000054120000}"/>
    <cellStyle name="Normal 3 2 11 2 2" xfId="10433" xr:uid="{00000000-0005-0000-0000-000055120000}"/>
    <cellStyle name="Normal 3 2 11 2 2 2" xfId="12168" xr:uid="{00000000-0005-0000-0000-000056120000}"/>
    <cellStyle name="Normal 3 2 11 2 3" xfId="11521" xr:uid="{00000000-0005-0000-0000-000057120000}"/>
    <cellStyle name="Normal 3 2 11 3" xfId="10136" xr:uid="{00000000-0005-0000-0000-000058120000}"/>
    <cellStyle name="Normal 3 2 11 3 2" xfId="11872" xr:uid="{00000000-0005-0000-0000-000059120000}"/>
    <cellStyle name="Normal 3 2 11 4" xfId="11119" xr:uid="{00000000-0005-0000-0000-00005A120000}"/>
    <cellStyle name="Normal 3 2 12" xfId="7806" xr:uid="{00000000-0005-0000-0000-00005B120000}"/>
    <cellStyle name="Normal 3 2 13" xfId="10551" xr:uid="{00000000-0005-0000-0000-00005C120000}"/>
    <cellStyle name="Normal 3 2 13 2" xfId="12286" xr:uid="{00000000-0005-0000-0000-00005D120000}"/>
    <cellStyle name="Normal 3 2 2" xfId="109" xr:uid="{00000000-0005-0000-0000-00005E120000}"/>
    <cellStyle name="Normal 3 2 2 2" xfId="4278" xr:uid="{00000000-0005-0000-0000-00005F120000}"/>
    <cellStyle name="Normal 3 2 2 2 2" xfId="9713" xr:uid="{00000000-0005-0000-0000-000060120000}"/>
    <cellStyle name="Normal 3 2 2 2 2 2" xfId="10414" xr:uid="{00000000-0005-0000-0000-000061120000}"/>
    <cellStyle name="Normal 3 2 2 2 2 2 2" xfId="12149" xr:uid="{00000000-0005-0000-0000-000062120000}"/>
    <cellStyle name="Normal 3 2 2 2 2 3" xfId="11502" xr:uid="{00000000-0005-0000-0000-000063120000}"/>
    <cellStyle name="Normal 3 2 2 2 3" xfId="10117" xr:uid="{00000000-0005-0000-0000-000064120000}"/>
    <cellStyle name="Normal 3 2 2 2 3 2" xfId="11853" xr:uid="{00000000-0005-0000-0000-000065120000}"/>
    <cellStyle name="Normal 3 2 2 2 4" xfId="10572" xr:uid="{00000000-0005-0000-0000-000066120000}"/>
    <cellStyle name="Normal 3 2 2 2 4 2" xfId="12307" xr:uid="{00000000-0005-0000-0000-000067120000}"/>
    <cellStyle name="Normal 3 2 2 2 5" xfId="11089" xr:uid="{00000000-0005-0000-0000-000068120000}"/>
    <cellStyle name="Normal 3 2 2 3" xfId="1440" xr:uid="{00000000-0005-0000-0000-000069120000}"/>
    <cellStyle name="Normal 3 2 2 4" xfId="10561" xr:uid="{00000000-0005-0000-0000-00006A120000}"/>
    <cellStyle name="Normal 3 2 2 4 2" xfId="12296" xr:uid="{00000000-0005-0000-0000-00006B120000}"/>
    <cellStyle name="Normal 3 2 3" xfId="1441" xr:uid="{00000000-0005-0000-0000-00006C120000}"/>
    <cellStyle name="Normal 3 2 3 2" xfId="10179" xr:uid="{00000000-0005-0000-0000-00006D120000}"/>
    <cellStyle name="Normal 3 2 3 2 2" xfId="11915" xr:uid="{00000000-0005-0000-0000-00006E120000}"/>
    <cellStyle name="Normal 3 2 3 3" xfId="10566" xr:uid="{00000000-0005-0000-0000-00006F120000}"/>
    <cellStyle name="Normal 3 2 3 3 2" xfId="12301" xr:uid="{00000000-0005-0000-0000-000070120000}"/>
    <cellStyle name="Normal 3 2 4" xfId="1442" xr:uid="{00000000-0005-0000-0000-000071120000}"/>
    <cellStyle name="Normal 3 2 5" xfId="1443" xr:uid="{00000000-0005-0000-0000-000072120000}"/>
    <cellStyle name="Normal 3 2 6" xfId="1444" xr:uid="{00000000-0005-0000-0000-000073120000}"/>
    <cellStyle name="Normal 3 2 7" xfId="1445" xr:uid="{00000000-0005-0000-0000-000074120000}"/>
    <cellStyle name="Normal 3 2 8" xfId="1446" xr:uid="{00000000-0005-0000-0000-000075120000}"/>
    <cellStyle name="Normal 3 2 9" xfId="4164" xr:uid="{00000000-0005-0000-0000-000076120000}"/>
    <cellStyle name="Normal 3 2 9 2" xfId="9610" xr:uid="{00000000-0005-0000-0000-000077120000}"/>
    <cellStyle name="Normal 3 2 9 2 2" xfId="10312" xr:uid="{00000000-0005-0000-0000-000078120000}"/>
    <cellStyle name="Normal 3 2 9 2 2 2" xfId="12047" xr:uid="{00000000-0005-0000-0000-000079120000}"/>
    <cellStyle name="Normal 3 2 9 2 3" xfId="11400" xr:uid="{00000000-0005-0000-0000-00007A120000}"/>
    <cellStyle name="Normal 3 2 9 3" xfId="10015" xr:uid="{00000000-0005-0000-0000-00007B120000}"/>
    <cellStyle name="Normal 3 2 9 3 2" xfId="11751" xr:uid="{00000000-0005-0000-0000-00007C120000}"/>
    <cellStyle name="Normal 3 2 9 4" xfId="10978" xr:uid="{00000000-0005-0000-0000-00007D120000}"/>
    <cellStyle name="Normal 3 20" xfId="1447" xr:uid="{00000000-0005-0000-0000-00007E120000}"/>
    <cellStyle name="Normal 3 20 2" xfId="7807" xr:uid="{00000000-0005-0000-0000-00007F120000}"/>
    <cellStyle name="Normal 3 21" xfId="1448" xr:uid="{00000000-0005-0000-0000-000080120000}"/>
    <cellStyle name="Normal 3 21 2" xfId="7808" xr:uid="{00000000-0005-0000-0000-000081120000}"/>
    <cellStyle name="Normal 3 22" xfId="1449" xr:uid="{00000000-0005-0000-0000-000082120000}"/>
    <cellStyle name="Normal 3 22 2" xfId="7809" xr:uid="{00000000-0005-0000-0000-000083120000}"/>
    <cellStyle name="Normal 3 23" xfId="1450" xr:uid="{00000000-0005-0000-0000-000084120000}"/>
    <cellStyle name="Normal 3 23 2" xfId="7810" xr:uid="{00000000-0005-0000-0000-000085120000}"/>
    <cellStyle name="Normal 3 24" xfId="1451" xr:uid="{00000000-0005-0000-0000-000086120000}"/>
    <cellStyle name="Normal 3 24 2" xfId="7811" xr:uid="{00000000-0005-0000-0000-000087120000}"/>
    <cellStyle name="Normal 3 25" xfId="1452" xr:uid="{00000000-0005-0000-0000-000088120000}"/>
    <cellStyle name="Normal 3 25 2" xfId="7812" xr:uid="{00000000-0005-0000-0000-000089120000}"/>
    <cellStyle name="Normal 3 26" xfId="1453" xr:uid="{00000000-0005-0000-0000-00008A120000}"/>
    <cellStyle name="Normal 3 26 2" xfId="7813" xr:uid="{00000000-0005-0000-0000-00008B120000}"/>
    <cellStyle name="Normal 3 27" xfId="1454" xr:uid="{00000000-0005-0000-0000-00008C120000}"/>
    <cellStyle name="Normal 3 27 2" xfId="7814" xr:uid="{00000000-0005-0000-0000-00008D120000}"/>
    <cellStyle name="Normal 3 28" xfId="1455" xr:uid="{00000000-0005-0000-0000-00008E120000}"/>
    <cellStyle name="Normal 3 28 2" xfId="7815" xr:uid="{00000000-0005-0000-0000-00008F120000}"/>
    <cellStyle name="Normal 3 29" xfId="1456" xr:uid="{00000000-0005-0000-0000-000090120000}"/>
    <cellStyle name="Normal 3 29 2" xfId="7816" xr:uid="{00000000-0005-0000-0000-000091120000}"/>
    <cellStyle name="Normal 3 3" xfId="108" xr:uid="{00000000-0005-0000-0000-000092120000}"/>
    <cellStyle name="Normal 3 3 2" xfId="4124" xr:uid="{00000000-0005-0000-0000-000093120000}"/>
    <cellStyle name="Normal 3 3 2 2" xfId="4260" xr:uid="{00000000-0005-0000-0000-000094120000}"/>
    <cellStyle name="Normal 3 3 2 2 2" xfId="9695" xr:uid="{00000000-0005-0000-0000-000095120000}"/>
    <cellStyle name="Normal 3 3 2 2 2 2" xfId="10396" xr:uid="{00000000-0005-0000-0000-000096120000}"/>
    <cellStyle name="Normal 3 3 2 2 2 2 2" xfId="12131" xr:uid="{00000000-0005-0000-0000-000097120000}"/>
    <cellStyle name="Normal 3 3 2 2 2 3" xfId="11484" xr:uid="{00000000-0005-0000-0000-000098120000}"/>
    <cellStyle name="Normal 3 3 2 2 3" xfId="10099" xr:uid="{00000000-0005-0000-0000-000099120000}"/>
    <cellStyle name="Normal 3 3 2 2 3 2" xfId="11835" xr:uid="{00000000-0005-0000-0000-00009A120000}"/>
    <cellStyle name="Normal 3 3 2 2 4" xfId="11071" xr:uid="{00000000-0005-0000-0000-00009B120000}"/>
    <cellStyle name="Normal 3 3 2 3" xfId="9591" xr:uid="{00000000-0005-0000-0000-00009C120000}"/>
    <cellStyle name="Normal 3 3 2 3 2" xfId="10294" xr:uid="{00000000-0005-0000-0000-00009D120000}"/>
    <cellStyle name="Normal 3 3 2 3 2 2" xfId="12029" xr:uid="{00000000-0005-0000-0000-00009E120000}"/>
    <cellStyle name="Normal 3 3 2 3 3" xfId="11382" xr:uid="{00000000-0005-0000-0000-00009F120000}"/>
    <cellStyle name="Normal 3 3 2 4" xfId="9997" xr:uid="{00000000-0005-0000-0000-0000A0120000}"/>
    <cellStyle name="Normal 3 3 2 4 2" xfId="11733" xr:uid="{00000000-0005-0000-0000-0000A1120000}"/>
    <cellStyle name="Normal 3 3 2 5" xfId="10957" xr:uid="{00000000-0005-0000-0000-0000A2120000}"/>
    <cellStyle name="Normal 3 3 3" xfId="4209" xr:uid="{00000000-0005-0000-0000-0000A3120000}"/>
    <cellStyle name="Normal 3 3 3 2" xfId="9644" xr:uid="{00000000-0005-0000-0000-0000A4120000}"/>
    <cellStyle name="Normal 3 3 3 2 2" xfId="10345" xr:uid="{00000000-0005-0000-0000-0000A5120000}"/>
    <cellStyle name="Normal 3 3 3 2 2 2" xfId="12080" xr:uid="{00000000-0005-0000-0000-0000A6120000}"/>
    <cellStyle name="Normal 3 3 3 2 3" xfId="11433" xr:uid="{00000000-0005-0000-0000-0000A7120000}"/>
    <cellStyle name="Normal 3 3 3 3" xfId="10048" xr:uid="{00000000-0005-0000-0000-0000A8120000}"/>
    <cellStyle name="Normal 3 3 3 3 2" xfId="11784" xr:uid="{00000000-0005-0000-0000-0000A9120000}"/>
    <cellStyle name="Normal 3 3 3 4" xfId="11020" xr:uid="{00000000-0005-0000-0000-0000AA120000}"/>
    <cellStyle name="Normal 3 3 4" xfId="4319" xr:uid="{00000000-0005-0000-0000-0000AB120000}"/>
    <cellStyle name="Normal 3 3 4 2" xfId="9736" xr:uid="{00000000-0005-0000-0000-0000AC120000}"/>
    <cellStyle name="Normal 3 3 5" xfId="7817" xr:uid="{00000000-0005-0000-0000-0000AD120000}"/>
    <cellStyle name="Normal 3 30" xfId="1457" xr:uid="{00000000-0005-0000-0000-0000AE120000}"/>
    <cellStyle name="Normal 3 30 2" xfId="7818" xr:uid="{00000000-0005-0000-0000-0000AF120000}"/>
    <cellStyle name="Normal 3 31" xfId="4049" xr:uid="{00000000-0005-0000-0000-0000B0120000}"/>
    <cellStyle name="Normal 3 32" xfId="4091" xr:uid="{00000000-0005-0000-0000-0000B1120000}"/>
    <cellStyle name="Normal 3 32 2" xfId="9575" xr:uid="{00000000-0005-0000-0000-0000B2120000}"/>
    <cellStyle name="Normal 3 32 2 2" xfId="10278" xr:uid="{00000000-0005-0000-0000-0000B3120000}"/>
    <cellStyle name="Normal 3 32 2 2 2" xfId="12013" xr:uid="{00000000-0005-0000-0000-0000B4120000}"/>
    <cellStyle name="Normal 3 32 2 3" xfId="11366" xr:uid="{00000000-0005-0000-0000-0000B5120000}"/>
    <cellStyle name="Normal 3 32 3" xfId="9981" xr:uid="{00000000-0005-0000-0000-0000B6120000}"/>
    <cellStyle name="Normal 3 32 3 2" xfId="11717" xr:uid="{00000000-0005-0000-0000-0000B7120000}"/>
    <cellStyle name="Normal 3 32 4" xfId="10940" xr:uid="{00000000-0005-0000-0000-0000B8120000}"/>
    <cellStyle name="Normal 3 33" xfId="4193" xr:uid="{00000000-0005-0000-0000-0000B9120000}"/>
    <cellStyle name="Normal 3 33 2" xfId="9628" xr:uid="{00000000-0005-0000-0000-0000BA120000}"/>
    <cellStyle name="Normal 3 33 2 2" xfId="10329" xr:uid="{00000000-0005-0000-0000-0000BB120000}"/>
    <cellStyle name="Normal 3 33 2 2 2" xfId="12064" xr:uid="{00000000-0005-0000-0000-0000BC120000}"/>
    <cellStyle name="Normal 3 33 2 3" xfId="11417" xr:uid="{00000000-0005-0000-0000-0000BD120000}"/>
    <cellStyle name="Normal 3 33 3" xfId="10032" xr:uid="{00000000-0005-0000-0000-0000BE120000}"/>
    <cellStyle name="Normal 3 33 3 2" xfId="11768" xr:uid="{00000000-0005-0000-0000-0000BF120000}"/>
    <cellStyle name="Normal 3 33 4" xfId="11004" xr:uid="{00000000-0005-0000-0000-0000C0120000}"/>
    <cellStyle name="Normal 3 34" xfId="4284" xr:uid="{00000000-0005-0000-0000-0000C1120000}"/>
    <cellStyle name="Normal 3 34 2" xfId="9718" xr:uid="{00000000-0005-0000-0000-0000C2120000}"/>
    <cellStyle name="Normal 3 35" xfId="4363" xr:uid="{00000000-0005-0000-0000-0000C3120000}"/>
    <cellStyle name="Normal 3 35 2" xfId="9771" xr:uid="{00000000-0005-0000-0000-0000C4120000}"/>
    <cellStyle name="Normal 3 35 2 2" xfId="10469" xr:uid="{00000000-0005-0000-0000-0000C5120000}"/>
    <cellStyle name="Normal 3 35 2 2 2" xfId="12204" xr:uid="{00000000-0005-0000-0000-0000C6120000}"/>
    <cellStyle name="Normal 3 35 2 3" xfId="11557" xr:uid="{00000000-0005-0000-0000-0000C7120000}"/>
    <cellStyle name="Normal 3 35 3" xfId="10174" xr:uid="{00000000-0005-0000-0000-0000C8120000}"/>
    <cellStyle name="Normal 3 35 3 2" xfId="11910" xr:uid="{00000000-0005-0000-0000-0000C9120000}"/>
    <cellStyle name="Normal 3 35 4" xfId="11167" xr:uid="{00000000-0005-0000-0000-0000CA120000}"/>
    <cellStyle name="Normal 3 36" xfId="9909" xr:uid="{00000000-0005-0000-0000-0000CB120000}"/>
    <cellStyle name="Normal 3 37" xfId="10550" xr:uid="{00000000-0005-0000-0000-0000CC120000}"/>
    <cellStyle name="Normal 3 37 2" xfId="12285" xr:uid="{00000000-0005-0000-0000-0000CD120000}"/>
    <cellStyle name="Normal 3 4" xfId="1458" xr:uid="{00000000-0005-0000-0000-0000CE120000}"/>
    <cellStyle name="Normal 3 4 2" xfId="4244" xr:uid="{00000000-0005-0000-0000-0000CF120000}"/>
    <cellStyle name="Normal 3 4 2 2" xfId="9679" xr:uid="{00000000-0005-0000-0000-0000D0120000}"/>
    <cellStyle name="Normal 3 4 2 2 2" xfId="10380" xr:uid="{00000000-0005-0000-0000-0000D1120000}"/>
    <cellStyle name="Normal 3 4 2 2 2 2" xfId="12115" xr:uid="{00000000-0005-0000-0000-0000D2120000}"/>
    <cellStyle name="Normal 3 4 2 2 3" xfId="11468" xr:uid="{00000000-0005-0000-0000-0000D3120000}"/>
    <cellStyle name="Normal 3 4 2 3" xfId="10083" xr:uid="{00000000-0005-0000-0000-0000D4120000}"/>
    <cellStyle name="Normal 3 4 2 3 2" xfId="11819" xr:uid="{00000000-0005-0000-0000-0000D5120000}"/>
    <cellStyle name="Normal 3 4 2 4" xfId="11055" xr:uid="{00000000-0005-0000-0000-0000D6120000}"/>
    <cellStyle name="Normal 3 4 3" xfId="4314" xr:uid="{00000000-0005-0000-0000-0000D7120000}"/>
    <cellStyle name="Normal 3 5" xfId="1459" xr:uid="{00000000-0005-0000-0000-0000D8120000}"/>
    <cellStyle name="Normal 3 5 2" xfId="4337" xr:uid="{00000000-0005-0000-0000-0000D9120000}"/>
    <cellStyle name="Normal 3 5 2 2" xfId="9748" xr:uid="{00000000-0005-0000-0000-0000DA120000}"/>
    <cellStyle name="Normal 3 6" xfId="1460" xr:uid="{00000000-0005-0000-0000-0000DB120000}"/>
    <cellStyle name="Normal 3 7" xfId="1461" xr:uid="{00000000-0005-0000-0000-0000DC120000}"/>
    <cellStyle name="Normal 3 8" xfId="1462" xr:uid="{00000000-0005-0000-0000-0000DD120000}"/>
    <cellStyle name="Normal 3 9" xfId="1463" xr:uid="{00000000-0005-0000-0000-0000DE120000}"/>
    <cellStyle name="Normal 30" xfId="9869" xr:uid="{00000000-0005-0000-0000-0000DF120000}"/>
    <cellStyle name="Normal 30 2" xfId="11654" xr:uid="{00000000-0005-0000-0000-0000E0120000}"/>
    <cellStyle name="Normal 31" xfId="9921" xr:uid="{00000000-0005-0000-0000-0000E1120000}"/>
    <cellStyle name="Normal 31 2" xfId="11658" xr:uid="{00000000-0005-0000-0000-0000E2120000}"/>
    <cellStyle name="Normal 32" xfId="9935" xr:uid="{00000000-0005-0000-0000-0000E3120000}"/>
    <cellStyle name="Normal 32 2" xfId="11672" xr:uid="{00000000-0005-0000-0000-0000E4120000}"/>
    <cellStyle name="Normal 33" xfId="9936" xr:uid="{00000000-0005-0000-0000-0000E5120000}"/>
    <cellStyle name="Normal 33 2" xfId="11673" xr:uid="{00000000-0005-0000-0000-0000E6120000}"/>
    <cellStyle name="Normal 34" xfId="10536" xr:uid="{00000000-0005-0000-0000-0000E7120000}"/>
    <cellStyle name="Normal 34 2" xfId="12271" xr:uid="{00000000-0005-0000-0000-0000E8120000}"/>
    <cellStyle name="Normal 35" xfId="10578" xr:uid="{00000000-0005-0000-0000-0000E9120000}"/>
    <cellStyle name="Normal 35 2" xfId="12313" xr:uid="{00000000-0005-0000-0000-0000EA120000}"/>
    <cellStyle name="Normal 36" xfId="10579" xr:uid="{00000000-0005-0000-0000-0000EB120000}"/>
    <cellStyle name="Normal 37" xfId="10581" xr:uid="{00000000-0005-0000-0000-0000EC120000}"/>
    <cellStyle name="Normal 37 2" xfId="12314" xr:uid="{00000000-0005-0000-0000-0000ED120000}"/>
    <cellStyle name="Normal 38" xfId="10582" xr:uid="{00000000-0005-0000-0000-0000EE120000}"/>
    <cellStyle name="Normal 38 2" xfId="12315" xr:uid="{00000000-0005-0000-0000-0000EF120000}"/>
    <cellStyle name="Normal 39" xfId="10583" xr:uid="{00000000-0005-0000-0000-0000F0120000}"/>
    <cellStyle name="Normal 39 2" xfId="12316" xr:uid="{00000000-0005-0000-0000-0000F1120000}"/>
    <cellStyle name="Normal 4" xfId="29" xr:uid="{00000000-0005-0000-0000-0000F2120000}"/>
    <cellStyle name="Normal 4 2" xfId="79" xr:uid="{00000000-0005-0000-0000-0000F3120000}"/>
    <cellStyle name="Normal 4 2 2" xfId="4263" xr:uid="{00000000-0005-0000-0000-0000F4120000}"/>
    <cellStyle name="Normal 4 2 2 2" xfId="9698" xr:uid="{00000000-0005-0000-0000-0000F5120000}"/>
    <cellStyle name="Normal 4 2 2 2 2" xfId="10399" xr:uid="{00000000-0005-0000-0000-0000F6120000}"/>
    <cellStyle name="Normal 4 2 2 2 2 2" xfId="12134" xr:uid="{00000000-0005-0000-0000-0000F7120000}"/>
    <cellStyle name="Normal 4 2 2 2 3" xfId="11487" xr:uid="{00000000-0005-0000-0000-0000F8120000}"/>
    <cellStyle name="Normal 4 2 2 3" xfId="10102" xr:uid="{00000000-0005-0000-0000-0000F9120000}"/>
    <cellStyle name="Normal 4 2 2 3 2" xfId="11838" xr:uid="{00000000-0005-0000-0000-0000FA120000}"/>
    <cellStyle name="Normal 4 2 2 4" xfId="11074" xr:uid="{00000000-0005-0000-0000-0000FB120000}"/>
    <cellStyle name="Normal 4 2 3" xfId="9594" xr:uid="{00000000-0005-0000-0000-0000FC120000}"/>
    <cellStyle name="Normal 4 2 3 2" xfId="10297" xr:uid="{00000000-0005-0000-0000-0000FD120000}"/>
    <cellStyle name="Normal 4 2 3 2 2" xfId="12032" xr:uid="{00000000-0005-0000-0000-0000FE120000}"/>
    <cellStyle name="Normal 4 2 3 3" xfId="11385" xr:uid="{00000000-0005-0000-0000-0000FF120000}"/>
    <cellStyle name="Normal 4 2 4" xfId="4127" xr:uid="{00000000-0005-0000-0000-000000130000}"/>
    <cellStyle name="Normal 4 2 4 2" xfId="10960" xr:uid="{00000000-0005-0000-0000-000001130000}"/>
    <cellStyle name="Normal 4 2 5" xfId="10000" xr:uid="{00000000-0005-0000-0000-000002130000}"/>
    <cellStyle name="Normal 4 2 5 2" xfId="11736" xr:uid="{00000000-0005-0000-0000-000003130000}"/>
    <cellStyle name="Normal 4 2 6" xfId="10652" xr:uid="{00000000-0005-0000-0000-000004130000}"/>
    <cellStyle name="Normal 4 3" xfId="110" xr:uid="{00000000-0005-0000-0000-000005130000}"/>
    <cellStyle name="Normal 4 3 2" xfId="9647" xr:uid="{00000000-0005-0000-0000-000006130000}"/>
    <cellStyle name="Normal 4 3 2 2" xfId="10348" xr:uid="{00000000-0005-0000-0000-000007130000}"/>
    <cellStyle name="Normal 4 3 2 2 2" xfId="12083" xr:uid="{00000000-0005-0000-0000-000008130000}"/>
    <cellStyle name="Normal 4 3 2 3" xfId="11436" xr:uid="{00000000-0005-0000-0000-000009130000}"/>
    <cellStyle name="Normal 4 3 3" xfId="4212" xr:uid="{00000000-0005-0000-0000-00000A130000}"/>
    <cellStyle name="Normal 4 3 3 2" xfId="11023" xr:uid="{00000000-0005-0000-0000-00000B130000}"/>
    <cellStyle name="Normal 4 3 4" xfId="10051" xr:uid="{00000000-0005-0000-0000-00000C130000}"/>
    <cellStyle name="Normal 4 3 4 2" xfId="11787" xr:uid="{00000000-0005-0000-0000-00000D130000}"/>
    <cellStyle name="Normal 4 4" xfId="143" xr:uid="{00000000-0005-0000-0000-00000E130000}"/>
    <cellStyle name="Normal 4 4 2" xfId="9734" xr:uid="{00000000-0005-0000-0000-00000F130000}"/>
    <cellStyle name="Normal 4 4 2 2" xfId="10434" xr:uid="{00000000-0005-0000-0000-000010130000}"/>
    <cellStyle name="Normal 4 4 2 2 2" xfId="12169" xr:uid="{00000000-0005-0000-0000-000011130000}"/>
    <cellStyle name="Normal 4 4 2 3" xfId="11522" xr:uid="{00000000-0005-0000-0000-000012130000}"/>
    <cellStyle name="Normal 4 4 3" xfId="4317" xr:uid="{00000000-0005-0000-0000-000013130000}"/>
    <cellStyle name="Normal 4 4 3 2" xfId="11125" xr:uid="{00000000-0005-0000-0000-000014130000}"/>
    <cellStyle name="Normal 4 4 4" xfId="10137" xr:uid="{00000000-0005-0000-0000-000015130000}"/>
    <cellStyle name="Normal 4 4 4 2" xfId="11873" xr:uid="{00000000-0005-0000-0000-000016130000}"/>
    <cellStyle name="Normal 4 4 5" xfId="10670" xr:uid="{00000000-0005-0000-0000-000017130000}"/>
    <cellStyle name="Normal 4 5" xfId="1464" xr:uid="{00000000-0005-0000-0000-000018130000}"/>
    <cellStyle name="Normal 4 6" xfId="9910" xr:uid="{00000000-0005-0000-0000-000019130000}"/>
    <cellStyle name="Normal 40" xfId="10597" xr:uid="{00000000-0005-0000-0000-00001A130000}"/>
    <cellStyle name="Normal 40 2" xfId="12330" xr:uid="{00000000-0005-0000-0000-00001B130000}"/>
    <cellStyle name="Normal 41" xfId="10598" xr:uid="{00000000-0005-0000-0000-00001C130000}"/>
    <cellStyle name="Normal 42" xfId="10601" xr:uid="{00000000-0005-0000-0000-00001D130000}"/>
    <cellStyle name="Normal 43" xfId="10602" xr:uid="{00000000-0005-0000-0000-00001E130000}"/>
    <cellStyle name="Normal 43 2" xfId="12331" xr:uid="{00000000-0005-0000-0000-00001F130000}"/>
    <cellStyle name="Normal 44" xfId="10603" xr:uid="{00000000-0005-0000-0000-000020130000}"/>
    <cellStyle name="Normal 44 2" xfId="12332" xr:uid="{00000000-0005-0000-0000-000021130000}"/>
    <cellStyle name="Normal 45" xfId="10617" xr:uid="{00000000-0005-0000-0000-000022130000}"/>
    <cellStyle name="Normal 45 2" xfId="12346" xr:uid="{00000000-0005-0000-0000-000023130000}"/>
    <cellStyle name="Normal 46" xfId="10618" xr:uid="{00000000-0005-0000-0000-000024130000}"/>
    <cellStyle name="Normal 46 2" xfId="12347" xr:uid="{00000000-0005-0000-0000-000025130000}"/>
    <cellStyle name="Normal 47" xfId="10622" xr:uid="{00000000-0005-0000-0000-000026130000}"/>
    <cellStyle name="Normal 47 2" xfId="12349" xr:uid="{00000000-0005-0000-0000-000027130000}"/>
    <cellStyle name="Normal 48" xfId="10623" xr:uid="{00000000-0005-0000-0000-000028130000}"/>
    <cellStyle name="Normal 49" xfId="10638" xr:uid="{00000000-0005-0000-0000-000029130000}"/>
    <cellStyle name="Normal 5" xfId="69" xr:uid="{00000000-0005-0000-0000-00002A130000}"/>
    <cellStyle name="Normal 5 2" xfId="111" xr:uid="{00000000-0005-0000-0000-00002B130000}"/>
    <cellStyle name="Normal 5 2 2" xfId="9596" xr:uid="{00000000-0005-0000-0000-00002C130000}"/>
    <cellStyle name="Normal 5 3" xfId="4335" xr:uid="{00000000-0005-0000-0000-00002D130000}"/>
    <cellStyle name="Normal 5 3 2" xfId="9746" xr:uid="{00000000-0005-0000-0000-00002E130000}"/>
    <cellStyle name="Normal 5 3 2 2" xfId="10445" xr:uid="{00000000-0005-0000-0000-00002F130000}"/>
    <cellStyle name="Normal 5 3 2 2 2" xfId="12180" xr:uid="{00000000-0005-0000-0000-000030130000}"/>
    <cellStyle name="Normal 5 3 2 3" xfId="10570" xr:uid="{00000000-0005-0000-0000-000031130000}"/>
    <cellStyle name="Normal 5 3 2 3 2" xfId="12305" xr:uid="{00000000-0005-0000-0000-000032130000}"/>
    <cellStyle name="Normal 5 3 2 4" xfId="11533" xr:uid="{00000000-0005-0000-0000-000033130000}"/>
    <cellStyle name="Normal 5 3 3" xfId="10148" xr:uid="{00000000-0005-0000-0000-000034130000}"/>
    <cellStyle name="Normal 5 3 3 2" xfId="11884" xr:uid="{00000000-0005-0000-0000-000035130000}"/>
    <cellStyle name="Normal 5 3 4" xfId="10557" xr:uid="{00000000-0005-0000-0000-000036130000}"/>
    <cellStyle name="Normal 5 3 4 2" xfId="12292" xr:uid="{00000000-0005-0000-0000-000037130000}"/>
    <cellStyle name="Normal 5 3 5" xfId="11141" xr:uid="{00000000-0005-0000-0000-000038130000}"/>
    <cellStyle name="Normal 5 4" xfId="7819" xr:uid="{00000000-0005-0000-0000-000039130000}"/>
    <cellStyle name="Normal 5 5" xfId="10650" xr:uid="{00000000-0005-0000-0000-00003A130000}"/>
    <cellStyle name="Normal 50" xfId="10624" xr:uid="{00000000-0005-0000-0000-00003B130000}"/>
    <cellStyle name="Normal 51" xfId="12360" xr:uid="{00000000-0005-0000-0000-00003C130000}"/>
    <cellStyle name="Normal 52" xfId="12363" xr:uid="{00000000-0005-0000-0000-00003D130000}"/>
    <cellStyle name="Normal 53" xfId="12365" xr:uid="{00000000-0005-0000-0000-00003E130000}"/>
    <cellStyle name="Normal 54" xfId="12380" xr:uid="{00000000-0005-0000-0000-00003F130000}"/>
    <cellStyle name="Normal 6" xfId="112" xr:uid="{00000000-0005-0000-0000-000040130000}"/>
    <cellStyle name="Normal 6 2" xfId="4056" xr:uid="{00000000-0005-0000-0000-000041130000}"/>
    <cellStyle name="Normal 6 2 2" xfId="9561" xr:uid="{00000000-0005-0000-0000-000042130000}"/>
    <cellStyle name="Normal 6 3" xfId="7820" xr:uid="{00000000-0005-0000-0000-000043130000}"/>
    <cellStyle name="Normal 7" xfId="113" xr:uid="{00000000-0005-0000-0000-000044130000}"/>
    <cellStyle name="Normal 7 2" xfId="4230" xr:uid="{00000000-0005-0000-0000-000045130000}"/>
    <cellStyle name="Normal 7 2 2" xfId="9665" xr:uid="{00000000-0005-0000-0000-000046130000}"/>
    <cellStyle name="Normal 7 2 2 2" xfId="10366" xr:uid="{00000000-0005-0000-0000-000047130000}"/>
    <cellStyle name="Normal 7 2 2 2 2" xfId="12101" xr:uid="{00000000-0005-0000-0000-000048130000}"/>
    <cellStyle name="Normal 7 2 2 3" xfId="11454" xr:uid="{00000000-0005-0000-0000-000049130000}"/>
    <cellStyle name="Normal 7 2 3" xfId="10069" xr:uid="{00000000-0005-0000-0000-00004A130000}"/>
    <cellStyle name="Normal 7 2 3 2" xfId="11805" xr:uid="{00000000-0005-0000-0000-00004B130000}"/>
    <cellStyle name="Normal 7 2 4" xfId="11041" xr:uid="{00000000-0005-0000-0000-00004C130000}"/>
    <cellStyle name="Normal 7 3" xfId="1465" xr:uid="{00000000-0005-0000-0000-00004D130000}"/>
    <cellStyle name="Normal 7 4" xfId="9911" xr:uid="{00000000-0005-0000-0000-00004E130000}"/>
    <cellStyle name="Normal 7 5" xfId="10662" xr:uid="{00000000-0005-0000-0000-00004F130000}"/>
    <cellStyle name="Normal 8" xfId="82" xr:uid="{00000000-0005-0000-0000-000050130000}"/>
    <cellStyle name="Normal 8 2" xfId="4175" xr:uid="{00000000-0005-0000-0000-000051130000}"/>
    <cellStyle name="Normal 8 2 2" xfId="9614" xr:uid="{00000000-0005-0000-0000-000052130000}"/>
    <cellStyle name="Normal 8 3" xfId="7821" xr:uid="{00000000-0005-0000-0000-000053130000}"/>
    <cellStyle name="Normal 8 4" xfId="1466" xr:uid="{00000000-0005-0000-0000-000054130000}"/>
    <cellStyle name="Normal 9" xfId="114" xr:uid="{00000000-0005-0000-0000-000055130000}"/>
    <cellStyle name="Normal 9 2" xfId="4042" xr:uid="{00000000-0005-0000-0000-000056130000}"/>
    <cellStyle name="Normal 9 3" xfId="10663" xr:uid="{00000000-0005-0000-0000-000057130000}"/>
    <cellStyle name="Normal_Ipc_s" xfId="13" xr:uid="{00000000-0005-0000-0000-000058130000}"/>
    <cellStyle name="Notas 10" xfId="9912" xr:uid="{00000000-0005-0000-0000-000059130000}"/>
    <cellStyle name="Notas 10 2" xfId="12357" xr:uid="{00000000-0005-0000-0000-00005A130000}"/>
    <cellStyle name="Notas 10 3" xfId="12354" xr:uid="{00000000-0005-0000-0000-00005B130000}"/>
    <cellStyle name="Notas 11" xfId="9922" xr:uid="{00000000-0005-0000-0000-00005C130000}"/>
    <cellStyle name="Notas 11 2" xfId="11659" xr:uid="{00000000-0005-0000-0000-00005D130000}"/>
    <cellStyle name="Notas 12" xfId="10181" xr:uid="{00000000-0005-0000-0000-00005E130000}"/>
    <cellStyle name="Notas 12 2" xfId="11917" xr:uid="{00000000-0005-0000-0000-00005F130000}"/>
    <cellStyle name="Notas 13" xfId="10537" xr:uid="{00000000-0005-0000-0000-000060130000}"/>
    <cellStyle name="Notas 13 2" xfId="12272" xr:uid="{00000000-0005-0000-0000-000061130000}"/>
    <cellStyle name="Notas 14" xfId="10584" xr:uid="{00000000-0005-0000-0000-000062130000}"/>
    <cellStyle name="Notas 14 2" xfId="12317" xr:uid="{00000000-0005-0000-0000-000063130000}"/>
    <cellStyle name="Notas 15" xfId="10604" xr:uid="{00000000-0005-0000-0000-000064130000}"/>
    <cellStyle name="Notas 15 2" xfId="12333" xr:uid="{00000000-0005-0000-0000-000065130000}"/>
    <cellStyle name="Notas 16" xfId="12366" xr:uid="{00000000-0005-0000-0000-000066130000}"/>
    <cellStyle name="Notas 17" xfId="12381" xr:uid="{00000000-0005-0000-0000-000067130000}"/>
    <cellStyle name="Notas 2" xfId="70" xr:uid="{00000000-0005-0000-0000-000068130000}"/>
    <cellStyle name="Notas 2 2" xfId="10651" xr:uid="{00000000-0005-0000-0000-000069130000}"/>
    <cellStyle name="Notas 3" xfId="152" xr:uid="{00000000-0005-0000-0000-00006A130000}"/>
    <cellStyle name="Notas 3 2" xfId="10672" xr:uid="{00000000-0005-0000-0000-00006B130000}"/>
    <cellStyle name="Notas 4" xfId="166" xr:uid="{00000000-0005-0000-0000-00006C130000}"/>
    <cellStyle name="Notas 4 2" xfId="10686" xr:uid="{00000000-0005-0000-0000-00006D130000}"/>
    <cellStyle name="Notas 5" xfId="180" xr:uid="{00000000-0005-0000-0000-00006E130000}"/>
    <cellStyle name="Notas 5 2" xfId="10700" xr:uid="{00000000-0005-0000-0000-00006F130000}"/>
    <cellStyle name="Notas 6" xfId="195" xr:uid="{00000000-0005-0000-0000-000070130000}"/>
    <cellStyle name="Notas 6 2" xfId="10715" xr:uid="{00000000-0005-0000-0000-000071130000}"/>
    <cellStyle name="Notas 7" xfId="209" xr:uid="{00000000-0005-0000-0000-000072130000}"/>
    <cellStyle name="Notas 7 2" xfId="10729" xr:uid="{00000000-0005-0000-0000-000073130000}"/>
    <cellStyle name="Notas 8" xfId="9833" xr:uid="{00000000-0005-0000-0000-000074130000}"/>
    <cellStyle name="Notas 8 2" xfId="11619" xr:uid="{00000000-0005-0000-0000-000075130000}"/>
    <cellStyle name="Notas 9" xfId="9852" xr:uid="{00000000-0005-0000-0000-000076130000}"/>
    <cellStyle name="Notas 9 2" xfId="11637" xr:uid="{00000000-0005-0000-0000-000077130000}"/>
    <cellStyle name="Output Column Headings" xfId="115" xr:uid="{00000000-0005-0000-0000-000078130000}"/>
    <cellStyle name="Output Line Items" xfId="116" xr:uid="{00000000-0005-0000-0000-000079130000}"/>
    <cellStyle name="Output Report Heading" xfId="117" xr:uid="{00000000-0005-0000-0000-00007A130000}"/>
    <cellStyle name="Output Report Title" xfId="118" xr:uid="{00000000-0005-0000-0000-00007B130000}"/>
    <cellStyle name="Porcentaje" xfId="14" builtinId="5"/>
    <cellStyle name="Porcentaje 10" xfId="1467" xr:uid="{00000000-0005-0000-0000-00007E130000}"/>
    <cellStyle name="Porcentaje 11" xfId="1468" xr:uid="{00000000-0005-0000-0000-00007F130000}"/>
    <cellStyle name="Porcentaje 12" xfId="1469" xr:uid="{00000000-0005-0000-0000-000080130000}"/>
    <cellStyle name="Porcentaje 13" xfId="1470" xr:uid="{00000000-0005-0000-0000-000081130000}"/>
    <cellStyle name="Porcentaje 14" xfId="1471" xr:uid="{00000000-0005-0000-0000-000082130000}"/>
    <cellStyle name="Porcentaje 15" xfId="1472" xr:uid="{00000000-0005-0000-0000-000083130000}"/>
    <cellStyle name="Porcentaje 16" xfId="1473" xr:uid="{00000000-0005-0000-0000-000084130000}"/>
    <cellStyle name="Porcentaje 17" xfId="1474" xr:uid="{00000000-0005-0000-0000-000085130000}"/>
    <cellStyle name="Porcentaje 18" xfId="1475" xr:uid="{00000000-0005-0000-0000-000086130000}"/>
    <cellStyle name="Porcentaje 19" xfId="1476" xr:uid="{00000000-0005-0000-0000-000087130000}"/>
    <cellStyle name="Porcentaje 2" xfId="119" xr:uid="{00000000-0005-0000-0000-000088130000}"/>
    <cellStyle name="Porcentaje 2 10" xfId="1478" xr:uid="{00000000-0005-0000-0000-000089130000}"/>
    <cellStyle name="Porcentaje 2 10 2" xfId="7822" xr:uid="{00000000-0005-0000-0000-00008A130000}"/>
    <cellStyle name="Porcentaje 2 11" xfId="1479" xr:uid="{00000000-0005-0000-0000-00008B130000}"/>
    <cellStyle name="Porcentaje 2 11 2" xfId="7823" xr:uid="{00000000-0005-0000-0000-00008C130000}"/>
    <cellStyle name="Porcentaje 2 12" xfId="1480" xr:uid="{00000000-0005-0000-0000-00008D130000}"/>
    <cellStyle name="Porcentaje 2 12 2" xfId="7824" xr:uid="{00000000-0005-0000-0000-00008E130000}"/>
    <cellStyle name="Porcentaje 2 13" xfId="1481" xr:uid="{00000000-0005-0000-0000-00008F130000}"/>
    <cellStyle name="Porcentaje 2 13 2" xfId="7825" xr:uid="{00000000-0005-0000-0000-000090130000}"/>
    <cellStyle name="Porcentaje 2 14" xfId="1482" xr:uid="{00000000-0005-0000-0000-000091130000}"/>
    <cellStyle name="Porcentaje 2 14 2" xfId="7826" xr:uid="{00000000-0005-0000-0000-000092130000}"/>
    <cellStyle name="Porcentaje 2 15" xfId="1483" xr:uid="{00000000-0005-0000-0000-000093130000}"/>
    <cellStyle name="Porcentaje 2 15 2" xfId="7827" xr:uid="{00000000-0005-0000-0000-000094130000}"/>
    <cellStyle name="Porcentaje 2 16" xfId="1484" xr:uid="{00000000-0005-0000-0000-000095130000}"/>
    <cellStyle name="Porcentaje 2 16 2" xfId="7828" xr:uid="{00000000-0005-0000-0000-000096130000}"/>
    <cellStyle name="Porcentaje 2 17" xfId="1485" xr:uid="{00000000-0005-0000-0000-000097130000}"/>
    <cellStyle name="Porcentaje 2 17 2" xfId="7829" xr:uid="{00000000-0005-0000-0000-000098130000}"/>
    <cellStyle name="Porcentaje 2 18" xfId="1486" xr:uid="{00000000-0005-0000-0000-000099130000}"/>
    <cellStyle name="Porcentaje 2 18 2" xfId="7830" xr:uid="{00000000-0005-0000-0000-00009A130000}"/>
    <cellStyle name="Porcentaje 2 19" xfId="1487" xr:uid="{00000000-0005-0000-0000-00009B130000}"/>
    <cellStyle name="Porcentaje 2 19 2" xfId="7831" xr:uid="{00000000-0005-0000-0000-00009C130000}"/>
    <cellStyle name="Porcentaje 2 2" xfId="142" xr:uid="{00000000-0005-0000-0000-00009D130000}"/>
    <cellStyle name="Porcentaje 2 2 2" xfId="4166" xr:uid="{00000000-0005-0000-0000-00009E130000}"/>
    <cellStyle name="Porcentaje 2 2 2 2" xfId="4280" xr:uid="{00000000-0005-0000-0000-00009F130000}"/>
    <cellStyle name="Porcentaje 2 2 2 2 2" xfId="9715" xr:uid="{00000000-0005-0000-0000-0000A0130000}"/>
    <cellStyle name="Porcentaje 2 2 2 2 2 2" xfId="10416" xr:uid="{00000000-0005-0000-0000-0000A1130000}"/>
    <cellStyle name="Porcentaje 2 2 2 2 2 2 2" xfId="12151" xr:uid="{00000000-0005-0000-0000-0000A2130000}"/>
    <cellStyle name="Porcentaje 2 2 2 2 2 3" xfId="11504" xr:uid="{00000000-0005-0000-0000-0000A3130000}"/>
    <cellStyle name="Porcentaje 2 2 2 2 3" xfId="10119" xr:uid="{00000000-0005-0000-0000-0000A4130000}"/>
    <cellStyle name="Porcentaje 2 2 2 2 3 2" xfId="11855" xr:uid="{00000000-0005-0000-0000-0000A5130000}"/>
    <cellStyle name="Porcentaje 2 2 2 2 4" xfId="11091" xr:uid="{00000000-0005-0000-0000-0000A6130000}"/>
    <cellStyle name="Porcentaje 2 2 2 3" xfId="9612" xr:uid="{00000000-0005-0000-0000-0000A7130000}"/>
    <cellStyle name="Porcentaje 2 2 2 3 2" xfId="10314" xr:uid="{00000000-0005-0000-0000-0000A8130000}"/>
    <cellStyle name="Porcentaje 2 2 2 3 2 2" xfId="12049" xr:uid="{00000000-0005-0000-0000-0000A9130000}"/>
    <cellStyle name="Porcentaje 2 2 2 3 3" xfId="11402" xr:uid="{00000000-0005-0000-0000-0000AA130000}"/>
    <cellStyle name="Porcentaje 2 2 2 4" xfId="10017" xr:uid="{00000000-0005-0000-0000-0000AB130000}"/>
    <cellStyle name="Porcentaje 2 2 2 4 2" xfId="11753" xr:uid="{00000000-0005-0000-0000-0000AC130000}"/>
    <cellStyle name="Porcentaje 2 2 2 5" xfId="10571" xr:uid="{00000000-0005-0000-0000-0000AD130000}"/>
    <cellStyle name="Porcentaje 2 2 2 5 2" xfId="12306" xr:uid="{00000000-0005-0000-0000-0000AE130000}"/>
    <cellStyle name="Porcentaje 2 2 2 6" xfId="10980" xr:uid="{00000000-0005-0000-0000-0000AF130000}"/>
    <cellStyle name="Porcentaje 2 2 3" xfId="4229" xr:uid="{00000000-0005-0000-0000-0000B0130000}"/>
    <cellStyle name="Porcentaje 2 2 3 2" xfId="9664" xr:uid="{00000000-0005-0000-0000-0000B1130000}"/>
    <cellStyle name="Porcentaje 2 2 3 2 2" xfId="10365" xr:uid="{00000000-0005-0000-0000-0000B2130000}"/>
    <cellStyle name="Porcentaje 2 2 3 2 2 2" xfId="12100" xr:uid="{00000000-0005-0000-0000-0000B3130000}"/>
    <cellStyle name="Porcentaje 2 2 3 2 3" xfId="11453" xr:uid="{00000000-0005-0000-0000-0000B4130000}"/>
    <cellStyle name="Porcentaje 2 2 3 3" xfId="10068" xr:uid="{00000000-0005-0000-0000-0000B5130000}"/>
    <cellStyle name="Porcentaje 2 2 3 3 2" xfId="11804" xr:uid="{00000000-0005-0000-0000-0000B6130000}"/>
    <cellStyle name="Porcentaje 2 2 3 4" xfId="11040" xr:uid="{00000000-0005-0000-0000-0000B7130000}"/>
    <cellStyle name="Porcentaje 2 2 4" xfId="7832" xr:uid="{00000000-0005-0000-0000-0000B8130000}"/>
    <cellStyle name="Porcentaje 2 2 5" xfId="10558" xr:uid="{00000000-0005-0000-0000-0000B9130000}"/>
    <cellStyle name="Porcentaje 2 2 5 2" xfId="12293" xr:uid="{00000000-0005-0000-0000-0000BA130000}"/>
    <cellStyle name="Porcentaje 2 20" xfId="1488" xr:uid="{00000000-0005-0000-0000-0000BB130000}"/>
    <cellStyle name="Porcentaje 2 20 2" xfId="7833" xr:uid="{00000000-0005-0000-0000-0000BC130000}"/>
    <cellStyle name="Porcentaje 2 21" xfId="1489" xr:uid="{00000000-0005-0000-0000-0000BD130000}"/>
    <cellStyle name="Porcentaje 2 21 2" xfId="7834" xr:uid="{00000000-0005-0000-0000-0000BE130000}"/>
    <cellStyle name="Porcentaje 2 22" xfId="1490" xr:uid="{00000000-0005-0000-0000-0000BF130000}"/>
    <cellStyle name="Porcentaje 2 22 2" xfId="7835" xr:uid="{00000000-0005-0000-0000-0000C0130000}"/>
    <cellStyle name="Porcentaje 2 23" xfId="1491" xr:uid="{00000000-0005-0000-0000-0000C1130000}"/>
    <cellStyle name="Porcentaje 2 23 2" xfId="7836" xr:uid="{00000000-0005-0000-0000-0000C2130000}"/>
    <cellStyle name="Porcentaje 2 24" xfId="4093" xr:uid="{00000000-0005-0000-0000-0000C3130000}"/>
    <cellStyle name="Porcentaje 2 24 2" xfId="9577" xr:uid="{00000000-0005-0000-0000-0000C4130000}"/>
    <cellStyle name="Porcentaje 2 24 2 2" xfId="10280" xr:uid="{00000000-0005-0000-0000-0000C5130000}"/>
    <cellStyle name="Porcentaje 2 24 2 2 2" xfId="12015" xr:uid="{00000000-0005-0000-0000-0000C6130000}"/>
    <cellStyle name="Porcentaje 2 24 2 3" xfId="11368" xr:uid="{00000000-0005-0000-0000-0000C7130000}"/>
    <cellStyle name="Porcentaje 2 24 3" xfId="9983" xr:uid="{00000000-0005-0000-0000-0000C8130000}"/>
    <cellStyle name="Porcentaje 2 24 3 2" xfId="11719" xr:uid="{00000000-0005-0000-0000-0000C9130000}"/>
    <cellStyle name="Porcentaje 2 24 4" xfId="10942" xr:uid="{00000000-0005-0000-0000-0000CA130000}"/>
    <cellStyle name="Porcentaje 2 25" xfId="4195" xr:uid="{00000000-0005-0000-0000-0000CB130000}"/>
    <cellStyle name="Porcentaje 2 25 2" xfId="9630" xr:uid="{00000000-0005-0000-0000-0000CC130000}"/>
    <cellStyle name="Porcentaje 2 25 2 2" xfId="10331" xr:uid="{00000000-0005-0000-0000-0000CD130000}"/>
    <cellStyle name="Porcentaje 2 25 2 2 2" xfId="12066" xr:uid="{00000000-0005-0000-0000-0000CE130000}"/>
    <cellStyle name="Porcentaje 2 25 2 3" xfId="11419" xr:uid="{00000000-0005-0000-0000-0000CF130000}"/>
    <cellStyle name="Porcentaje 2 25 3" xfId="10034" xr:uid="{00000000-0005-0000-0000-0000D0130000}"/>
    <cellStyle name="Porcentaje 2 25 3 2" xfId="11770" xr:uid="{00000000-0005-0000-0000-0000D1130000}"/>
    <cellStyle name="Porcentaje 2 25 4" xfId="11006" xr:uid="{00000000-0005-0000-0000-0000D2130000}"/>
    <cellStyle name="Porcentaje 2 26" xfId="4288" xr:uid="{00000000-0005-0000-0000-0000D3130000}"/>
    <cellStyle name="Porcentaje 2 27" xfId="1477" xr:uid="{00000000-0005-0000-0000-0000D4130000}"/>
    <cellStyle name="Porcentaje 2 28" xfId="10664" xr:uid="{00000000-0005-0000-0000-0000D5130000}"/>
    <cellStyle name="Porcentaje 2 3" xfId="1492" xr:uid="{00000000-0005-0000-0000-0000D6130000}"/>
    <cellStyle name="Porcentaje 2 3 2" xfId="4126" xr:uid="{00000000-0005-0000-0000-0000D7130000}"/>
    <cellStyle name="Porcentaje 2 3 2 2" xfId="4262" xr:uid="{00000000-0005-0000-0000-0000D8130000}"/>
    <cellStyle name="Porcentaje 2 3 2 2 2" xfId="9697" xr:uid="{00000000-0005-0000-0000-0000D9130000}"/>
    <cellStyle name="Porcentaje 2 3 2 2 2 2" xfId="10398" xr:uid="{00000000-0005-0000-0000-0000DA130000}"/>
    <cellStyle name="Porcentaje 2 3 2 2 2 2 2" xfId="12133" xr:uid="{00000000-0005-0000-0000-0000DB130000}"/>
    <cellStyle name="Porcentaje 2 3 2 2 2 3" xfId="11486" xr:uid="{00000000-0005-0000-0000-0000DC130000}"/>
    <cellStyle name="Porcentaje 2 3 2 2 3" xfId="10101" xr:uid="{00000000-0005-0000-0000-0000DD130000}"/>
    <cellStyle name="Porcentaje 2 3 2 2 3 2" xfId="11837" xr:uid="{00000000-0005-0000-0000-0000DE130000}"/>
    <cellStyle name="Porcentaje 2 3 2 2 4" xfId="11073" xr:uid="{00000000-0005-0000-0000-0000DF130000}"/>
    <cellStyle name="Porcentaje 2 3 2 3" xfId="9593" xr:uid="{00000000-0005-0000-0000-0000E0130000}"/>
    <cellStyle name="Porcentaje 2 3 2 3 2" xfId="10296" xr:uid="{00000000-0005-0000-0000-0000E1130000}"/>
    <cellStyle name="Porcentaje 2 3 2 3 2 2" xfId="12031" xr:uid="{00000000-0005-0000-0000-0000E2130000}"/>
    <cellStyle name="Porcentaje 2 3 2 3 3" xfId="11384" xr:uid="{00000000-0005-0000-0000-0000E3130000}"/>
    <cellStyle name="Porcentaje 2 3 2 4" xfId="9999" xr:uid="{00000000-0005-0000-0000-0000E4130000}"/>
    <cellStyle name="Porcentaje 2 3 2 4 2" xfId="11735" xr:uid="{00000000-0005-0000-0000-0000E5130000}"/>
    <cellStyle name="Porcentaje 2 3 2 5" xfId="10959" xr:uid="{00000000-0005-0000-0000-0000E6130000}"/>
    <cellStyle name="Porcentaje 2 3 3" xfId="4211" xr:uid="{00000000-0005-0000-0000-0000E7130000}"/>
    <cellStyle name="Porcentaje 2 3 3 2" xfId="9646" xr:uid="{00000000-0005-0000-0000-0000E8130000}"/>
    <cellStyle name="Porcentaje 2 3 3 2 2" xfId="10347" xr:uid="{00000000-0005-0000-0000-0000E9130000}"/>
    <cellStyle name="Porcentaje 2 3 3 2 2 2" xfId="12082" xr:uid="{00000000-0005-0000-0000-0000EA130000}"/>
    <cellStyle name="Porcentaje 2 3 3 2 3" xfId="11435" xr:uid="{00000000-0005-0000-0000-0000EB130000}"/>
    <cellStyle name="Porcentaje 2 3 3 3" xfId="10050" xr:uid="{00000000-0005-0000-0000-0000EC130000}"/>
    <cellStyle name="Porcentaje 2 3 3 3 2" xfId="11786" xr:uid="{00000000-0005-0000-0000-0000ED130000}"/>
    <cellStyle name="Porcentaje 2 3 3 4" xfId="11022" xr:uid="{00000000-0005-0000-0000-0000EE130000}"/>
    <cellStyle name="Porcentaje 2 3 4" xfId="7837" xr:uid="{00000000-0005-0000-0000-0000EF130000}"/>
    <cellStyle name="Porcentaje 2 3 5" xfId="10569" xr:uid="{00000000-0005-0000-0000-0000F0130000}"/>
    <cellStyle name="Porcentaje 2 3 5 2" xfId="12304" xr:uid="{00000000-0005-0000-0000-0000F1130000}"/>
    <cellStyle name="Porcentaje 2 4" xfId="1493" xr:uid="{00000000-0005-0000-0000-0000F2130000}"/>
    <cellStyle name="Porcentaje 2 4 2" xfId="4246" xr:uid="{00000000-0005-0000-0000-0000F3130000}"/>
    <cellStyle name="Porcentaje 2 4 2 2" xfId="9681" xr:uid="{00000000-0005-0000-0000-0000F4130000}"/>
    <cellStyle name="Porcentaje 2 4 2 2 2" xfId="10382" xr:uid="{00000000-0005-0000-0000-0000F5130000}"/>
    <cellStyle name="Porcentaje 2 4 2 2 2 2" xfId="12117" xr:uid="{00000000-0005-0000-0000-0000F6130000}"/>
    <cellStyle name="Porcentaje 2 4 2 2 3" xfId="11470" xr:uid="{00000000-0005-0000-0000-0000F7130000}"/>
    <cellStyle name="Porcentaje 2 4 2 3" xfId="10085" xr:uid="{00000000-0005-0000-0000-0000F8130000}"/>
    <cellStyle name="Porcentaje 2 4 2 3 2" xfId="11821" xr:uid="{00000000-0005-0000-0000-0000F9130000}"/>
    <cellStyle name="Porcentaje 2 4 2 4" xfId="11057" xr:uid="{00000000-0005-0000-0000-0000FA130000}"/>
    <cellStyle name="Porcentaje 2 4 3" xfId="7838" xr:uid="{00000000-0005-0000-0000-0000FB130000}"/>
    <cellStyle name="Porcentaje 2 5" xfId="1494" xr:uid="{00000000-0005-0000-0000-0000FC130000}"/>
    <cellStyle name="Porcentaje 2 5 2" xfId="7839" xr:uid="{00000000-0005-0000-0000-0000FD130000}"/>
    <cellStyle name="Porcentaje 2 6" xfId="1495" xr:uid="{00000000-0005-0000-0000-0000FE130000}"/>
    <cellStyle name="Porcentaje 2 6 2" xfId="7840" xr:uid="{00000000-0005-0000-0000-0000FF130000}"/>
    <cellStyle name="Porcentaje 2 7" xfId="1496" xr:uid="{00000000-0005-0000-0000-000000140000}"/>
    <cellStyle name="Porcentaje 2 7 2" xfId="7841" xr:uid="{00000000-0005-0000-0000-000001140000}"/>
    <cellStyle name="Porcentaje 2 8" xfId="1497" xr:uid="{00000000-0005-0000-0000-000002140000}"/>
    <cellStyle name="Porcentaje 2 8 2" xfId="7842" xr:uid="{00000000-0005-0000-0000-000003140000}"/>
    <cellStyle name="Porcentaje 2 9" xfId="1498" xr:uid="{00000000-0005-0000-0000-000004140000}"/>
    <cellStyle name="Porcentaje 2 9 2" xfId="7843" xr:uid="{00000000-0005-0000-0000-000005140000}"/>
    <cellStyle name="Porcentaje 20" xfId="1499" xr:uid="{00000000-0005-0000-0000-000006140000}"/>
    <cellStyle name="Porcentaje 21" xfId="1500" xr:uid="{00000000-0005-0000-0000-000007140000}"/>
    <cellStyle name="Porcentaje 22" xfId="1501" xr:uid="{00000000-0005-0000-0000-000008140000}"/>
    <cellStyle name="Porcentaje 23" xfId="1502" xr:uid="{00000000-0005-0000-0000-000009140000}"/>
    <cellStyle name="Porcentaje 24" xfId="4283" xr:uid="{00000000-0005-0000-0000-00000A140000}"/>
    <cellStyle name="Porcentaje 24 2" xfId="9717" xr:uid="{00000000-0005-0000-0000-00000B140000}"/>
    <cellStyle name="Porcentaje 24 2 2" xfId="10418" xr:uid="{00000000-0005-0000-0000-00000C140000}"/>
    <cellStyle name="Porcentaje 24 2 2 2" xfId="12153" xr:uid="{00000000-0005-0000-0000-00000D140000}"/>
    <cellStyle name="Porcentaje 24 2 3" xfId="11506" xr:uid="{00000000-0005-0000-0000-00000E140000}"/>
    <cellStyle name="Porcentaje 24 3" xfId="10121" xr:uid="{00000000-0005-0000-0000-00000F140000}"/>
    <cellStyle name="Porcentaje 24 3 2" xfId="11857" xr:uid="{00000000-0005-0000-0000-000010140000}"/>
    <cellStyle name="Porcentaje 24 4" xfId="11094" xr:uid="{00000000-0005-0000-0000-000011140000}"/>
    <cellStyle name="Porcentaje 25" xfId="4301" xr:uid="{00000000-0005-0000-0000-000012140000}"/>
    <cellStyle name="Porcentaje 25 2" xfId="9727" xr:uid="{00000000-0005-0000-0000-000013140000}"/>
    <cellStyle name="Porcentaje 25 2 2" xfId="10427" xr:uid="{00000000-0005-0000-0000-000014140000}"/>
    <cellStyle name="Porcentaje 25 2 2 2" xfId="12162" xr:uid="{00000000-0005-0000-0000-000015140000}"/>
    <cellStyle name="Porcentaje 25 2 3" xfId="11515" xr:uid="{00000000-0005-0000-0000-000016140000}"/>
    <cellStyle name="Porcentaje 25 3" xfId="10130" xr:uid="{00000000-0005-0000-0000-000017140000}"/>
    <cellStyle name="Porcentaje 25 3 2" xfId="11866" xr:uid="{00000000-0005-0000-0000-000018140000}"/>
    <cellStyle name="Porcentaje 25 4" xfId="11110" xr:uid="{00000000-0005-0000-0000-000019140000}"/>
    <cellStyle name="Porcentaje 26" xfId="7844" xr:uid="{00000000-0005-0000-0000-00001A140000}"/>
    <cellStyle name="Porcentaje 27" xfId="9847" xr:uid="{00000000-0005-0000-0000-00001B140000}"/>
    <cellStyle name="Porcentaje 27 2" xfId="11633" xr:uid="{00000000-0005-0000-0000-00001C140000}"/>
    <cellStyle name="Porcentaje 28" xfId="9850" xr:uid="{00000000-0005-0000-0000-00001D140000}"/>
    <cellStyle name="Porcentaje 28 2" xfId="11635" xr:uid="{00000000-0005-0000-0000-00001E140000}"/>
    <cellStyle name="Porcentaje 29" xfId="9868" xr:uid="{00000000-0005-0000-0000-00001F140000}"/>
    <cellStyle name="Porcentaje 29 2" xfId="11653" xr:uid="{00000000-0005-0000-0000-000020140000}"/>
    <cellStyle name="Porcentaje 3" xfId="120" xr:uid="{00000000-0005-0000-0000-000021140000}"/>
    <cellStyle name="Porcentaje 3 2" xfId="4128" xr:uid="{00000000-0005-0000-0000-000022140000}"/>
    <cellStyle name="Porcentaje 3 2 2" xfId="4264" xr:uid="{00000000-0005-0000-0000-000023140000}"/>
    <cellStyle name="Porcentaje 3 2 2 2" xfId="9699" xr:uid="{00000000-0005-0000-0000-000024140000}"/>
    <cellStyle name="Porcentaje 3 2 2 2 2" xfId="10400" xr:uid="{00000000-0005-0000-0000-000025140000}"/>
    <cellStyle name="Porcentaje 3 2 2 2 2 2" xfId="12135" xr:uid="{00000000-0005-0000-0000-000026140000}"/>
    <cellStyle name="Porcentaje 3 2 2 2 3" xfId="11488" xr:uid="{00000000-0005-0000-0000-000027140000}"/>
    <cellStyle name="Porcentaje 3 2 2 3" xfId="10103" xr:uid="{00000000-0005-0000-0000-000028140000}"/>
    <cellStyle name="Porcentaje 3 2 2 3 2" xfId="11839" xr:uid="{00000000-0005-0000-0000-000029140000}"/>
    <cellStyle name="Porcentaje 3 2 2 4" xfId="11075" xr:uid="{00000000-0005-0000-0000-00002A140000}"/>
    <cellStyle name="Porcentaje 3 2 3" xfId="9595" xr:uid="{00000000-0005-0000-0000-00002B140000}"/>
    <cellStyle name="Porcentaje 3 2 3 2" xfId="10298" xr:uid="{00000000-0005-0000-0000-00002C140000}"/>
    <cellStyle name="Porcentaje 3 2 3 2 2" xfId="12033" xr:uid="{00000000-0005-0000-0000-00002D140000}"/>
    <cellStyle name="Porcentaje 3 2 3 3" xfId="11386" xr:uid="{00000000-0005-0000-0000-00002E140000}"/>
    <cellStyle name="Porcentaje 3 2 4" xfId="10001" xr:uid="{00000000-0005-0000-0000-00002F140000}"/>
    <cellStyle name="Porcentaje 3 2 4 2" xfId="11737" xr:uid="{00000000-0005-0000-0000-000030140000}"/>
    <cellStyle name="Porcentaje 3 2 5" xfId="10961" xr:uid="{00000000-0005-0000-0000-000031140000}"/>
    <cellStyle name="Porcentaje 3 3" xfId="4213" xr:uid="{00000000-0005-0000-0000-000032140000}"/>
    <cellStyle name="Porcentaje 3 3 2" xfId="9648" xr:uid="{00000000-0005-0000-0000-000033140000}"/>
    <cellStyle name="Porcentaje 3 3 2 2" xfId="10349" xr:uid="{00000000-0005-0000-0000-000034140000}"/>
    <cellStyle name="Porcentaje 3 3 2 2 2" xfId="12084" xr:uid="{00000000-0005-0000-0000-000035140000}"/>
    <cellStyle name="Porcentaje 3 3 2 3" xfId="11437" xr:uid="{00000000-0005-0000-0000-000036140000}"/>
    <cellStyle name="Porcentaje 3 3 3" xfId="10052" xr:uid="{00000000-0005-0000-0000-000037140000}"/>
    <cellStyle name="Porcentaje 3 3 3 2" xfId="11788" xr:uid="{00000000-0005-0000-0000-000038140000}"/>
    <cellStyle name="Porcentaje 3 3 4" xfId="11024" xr:uid="{00000000-0005-0000-0000-000039140000}"/>
    <cellStyle name="Porcentaje 3 4" xfId="4318" xr:uid="{00000000-0005-0000-0000-00003A140000}"/>
    <cellStyle name="Porcentaje 3 4 2" xfId="9735" xr:uid="{00000000-0005-0000-0000-00003B140000}"/>
    <cellStyle name="Porcentaje 3 4 2 2" xfId="10435" xr:uid="{00000000-0005-0000-0000-00003C140000}"/>
    <cellStyle name="Porcentaje 3 4 2 2 2" xfId="12170" xr:uid="{00000000-0005-0000-0000-00003D140000}"/>
    <cellStyle name="Porcentaje 3 4 2 3" xfId="11523" xr:uid="{00000000-0005-0000-0000-00003E140000}"/>
    <cellStyle name="Porcentaje 3 4 3" xfId="10138" xr:uid="{00000000-0005-0000-0000-00003F140000}"/>
    <cellStyle name="Porcentaje 3 4 3 2" xfId="11874" xr:uid="{00000000-0005-0000-0000-000040140000}"/>
    <cellStyle name="Porcentaje 3 4 4" xfId="11126" xr:uid="{00000000-0005-0000-0000-000041140000}"/>
    <cellStyle name="Porcentaje 3 5" xfId="1503" xr:uid="{00000000-0005-0000-0000-000042140000}"/>
    <cellStyle name="Porcentaje 3 6" xfId="9941" xr:uid="{00000000-0005-0000-0000-000043140000}"/>
    <cellStyle name="Porcentaje 3 7" xfId="10665" xr:uid="{00000000-0005-0000-0000-000044140000}"/>
    <cellStyle name="Porcentaje 30" xfId="9871" xr:uid="{00000000-0005-0000-0000-000045140000}"/>
    <cellStyle name="Porcentaje 30 2" xfId="11655" xr:uid="{00000000-0005-0000-0000-000046140000}"/>
    <cellStyle name="Porcentaje 31" xfId="10639" xr:uid="{00000000-0005-0000-0000-000047140000}"/>
    <cellStyle name="Porcentaje 32" xfId="10625" xr:uid="{00000000-0005-0000-0000-000048140000}"/>
    <cellStyle name="Porcentaje 4" xfId="134" xr:uid="{00000000-0005-0000-0000-000049140000}"/>
    <cellStyle name="Porcentaje 4 2" xfId="4134" xr:uid="{00000000-0005-0000-0000-00004A140000}"/>
    <cellStyle name="Porcentaje 4 2 2" xfId="9945" xr:uid="{00000000-0005-0000-0000-00004B140000}"/>
    <cellStyle name="Porcentaje 4 2 2 2" xfId="11681" xr:uid="{00000000-0005-0000-0000-00004C140000}"/>
    <cellStyle name="Porcentaje 4 2 3" xfId="10576" xr:uid="{00000000-0005-0000-0000-00004D140000}"/>
    <cellStyle name="Porcentaje 4 2 3 2" xfId="12311" xr:uid="{00000000-0005-0000-0000-00004E140000}"/>
    <cellStyle name="Porcentaje 4 3" xfId="4336" xr:uid="{00000000-0005-0000-0000-00004F140000}"/>
    <cellStyle name="Porcentaje 4 3 2" xfId="9747" xr:uid="{00000000-0005-0000-0000-000050140000}"/>
    <cellStyle name="Porcentaje 4 3 2 2" xfId="10446" xr:uid="{00000000-0005-0000-0000-000051140000}"/>
    <cellStyle name="Porcentaje 4 3 2 2 2" xfId="12181" xr:uid="{00000000-0005-0000-0000-000052140000}"/>
    <cellStyle name="Porcentaje 4 3 2 3" xfId="11534" xr:uid="{00000000-0005-0000-0000-000053140000}"/>
    <cellStyle name="Porcentaje 4 3 3" xfId="10149" xr:uid="{00000000-0005-0000-0000-000054140000}"/>
    <cellStyle name="Porcentaje 4 3 3 2" xfId="11885" xr:uid="{00000000-0005-0000-0000-000055140000}"/>
    <cellStyle name="Porcentaje 4 3 4" xfId="11142" xr:uid="{00000000-0005-0000-0000-000056140000}"/>
    <cellStyle name="Porcentaje 4 4" xfId="1504" xr:uid="{00000000-0005-0000-0000-000057140000}"/>
    <cellStyle name="Porcentaje 4 5" xfId="10562" xr:uid="{00000000-0005-0000-0000-000058140000}"/>
    <cellStyle name="Porcentaje 4 5 2" xfId="12297" xr:uid="{00000000-0005-0000-0000-000059140000}"/>
    <cellStyle name="Porcentaje 5" xfId="1505" xr:uid="{00000000-0005-0000-0000-00005A140000}"/>
    <cellStyle name="Porcentaje 5 2" xfId="4061" xr:uid="{00000000-0005-0000-0000-00005B140000}"/>
    <cellStyle name="Porcentaje 6" xfId="1506" xr:uid="{00000000-0005-0000-0000-00005C140000}"/>
    <cellStyle name="Porcentaje 6 2" xfId="4180" xr:uid="{00000000-0005-0000-0000-00005D140000}"/>
    <cellStyle name="Porcentaje 7" xfId="1507" xr:uid="{00000000-0005-0000-0000-00005E140000}"/>
    <cellStyle name="Porcentaje 8" xfId="1508" xr:uid="{00000000-0005-0000-0000-00005F140000}"/>
    <cellStyle name="Porcentaje 9" xfId="1509" xr:uid="{00000000-0005-0000-0000-000060140000}"/>
    <cellStyle name="Porcentual 10" xfId="1510" xr:uid="{00000000-0005-0000-0000-000061140000}"/>
    <cellStyle name="Porcentual 10 10" xfId="1511" xr:uid="{00000000-0005-0000-0000-000062140000}"/>
    <cellStyle name="Porcentual 10 10 2" xfId="1512" xr:uid="{00000000-0005-0000-0000-000063140000}"/>
    <cellStyle name="Porcentual 10 10 2 2" xfId="7847" xr:uid="{00000000-0005-0000-0000-000064140000}"/>
    <cellStyle name="Porcentual 10 10 3" xfId="7846" xr:uid="{00000000-0005-0000-0000-000065140000}"/>
    <cellStyle name="Porcentual 10 11" xfId="1513" xr:uid="{00000000-0005-0000-0000-000066140000}"/>
    <cellStyle name="Porcentual 10 11 2" xfId="5169" xr:uid="{00000000-0005-0000-0000-000067140000}"/>
    <cellStyle name="Porcentual 10 11 3" xfId="7848" xr:uid="{00000000-0005-0000-0000-000068140000}"/>
    <cellStyle name="Porcentual 10 12" xfId="1514" xr:uid="{00000000-0005-0000-0000-000069140000}"/>
    <cellStyle name="Porcentual 10 12 2" xfId="5170" xr:uid="{00000000-0005-0000-0000-00006A140000}"/>
    <cellStyle name="Porcentual 10 12 3" xfId="7849" xr:uid="{00000000-0005-0000-0000-00006B140000}"/>
    <cellStyle name="Porcentual 10 13" xfId="1515" xr:uid="{00000000-0005-0000-0000-00006C140000}"/>
    <cellStyle name="Porcentual 10 13 2" xfId="5171" xr:uid="{00000000-0005-0000-0000-00006D140000}"/>
    <cellStyle name="Porcentual 10 13 3" xfId="7850" xr:uid="{00000000-0005-0000-0000-00006E140000}"/>
    <cellStyle name="Porcentual 10 14" xfId="1516" xr:uid="{00000000-0005-0000-0000-00006F140000}"/>
    <cellStyle name="Porcentual 10 14 2" xfId="5172" xr:uid="{00000000-0005-0000-0000-000070140000}"/>
    <cellStyle name="Porcentual 10 14 3" xfId="7851" xr:uid="{00000000-0005-0000-0000-000071140000}"/>
    <cellStyle name="Porcentual 10 15" xfId="1517" xr:uid="{00000000-0005-0000-0000-000072140000}"/>
    <cellStyle name="Porcentual 10 15 2" xfId="5173" xr:uid="{00000000-0005-0000-0000-000073140000}"/>
    <cellStyle name="Porcentual 10 15 3" xfId="7852" xr:uid="{00000000-0005-0000-0000-000074140000}"/>
    <cellStyle name="Porcentual 10 16" xfId="1518" xr:uid="{00000000-0005-0000-0000-000075140000}"/>
    <cellStyle name="Porcentual 10 16 2" xfId="5174" xr:uid="{00000000-0005-0000-0000-000076140000}"/>
    <cellStyle name="Porcentual 10 16 3" xfId="7853" xr:uid="{00000000-0005-0000-0000-000077140000}"/>
    <cellStyle name="Porcentual 10 17" xfId="1519" xr:uid="{00000000-0005-0000-0000-000078140000}"/>
    <cellStyle name="Porcentual 10 17 2" xfId="5175" xr:uid="{00000000-0005-0000-0000-000079140000}"/>
    <cellStyle name="Porcentual 10 17 3" xfId="7854" xr:uid="{00000000-0005-0000-0000-00007A140000}"/>
    <cellStyle name="Porcentual 10 18" xfId="1520" xr:uid="{00000000-0005-0000-0000-00007B140000}"/>
    <cellStyle name="Porcentual 10 18 2" xfId="5176" xr:uid="{00000000-0005-0000-0000-00007C140000}"/>
    <cellStyle name="Porcentual 10 18 3" xfId="7855" xr:uid="{00000000-0005-0000-0000-00007D140000}"/>
    <cellStyle name="Porcentual 10 19" xfId="1521" xr:uid="{00000000-0005-0000-0000-00007E140000}"/>
    <cellStyle name="Porcentual 10 19 2" xfId="5177" xr:uid="{00000000-0005-0000-0000-00007F140000}"/>
    <cellStyle name="Porcentual 10 19 3" xfId="7856" xr:uid="{00000000-0005-0000-0000-000080140000}"/>
    <cellStyle name="Porcentual 10 2" xfId="1522" xr:uid="{00000000-0005-0000-0000-000081140000}"/>
    <cellStyle name="Porcentual 10 2 2" xfId="5178" xr:uid="{00000000-0005-0000-0000-000082140000}"/>
    <cellStyle name="Porcentual 10 2 3" xfId="7857" xr:uid="{00000000-0005-0000-0000-000083140000}"/>
    <cellStyle name="Porcentual 10 20" xfId="1523" xr:uid="{00000000-0005-0000-0000-000084140000}"/>
    <cellStyle name="Porcentual 10 20 2" xfId="5179" xr:uid="{00000000-0005-0000-0000-000085140000}"/>
    <cellStyle name="Porcentual 10 20 3" xfId="7858" xr:uid="{00000000-0005-0000-0000-000086140000}"/>
    <cellStyle name="Porcentual 10 21" xfId="1524" xr:uid="{00000000-0005-0000-0000-000087140000}"/>
    <cellStyle name="Porcentual 10 21 2" xfId="5180" xr:uid="{00000000-0005-0000-0000-000088140000}"/>
    <cellStyle name="Porcentual 10 21 3" xfId="7859" xr:uid="{00000000-0005-0000-0000-000089140000}"/>
    <cellStyle name="Porcentual 10 22" xfId="1525" xr:uid="{00000000-0005-0000-0000-00008A140000}"/>
    <cellStyle name="Porcentual 10 22 2" xfId="5181" xr:uid="{00000000-0005-0000-0000-00008B140000}"/>
    <cellStyle name="Porcentual 10 22 3" xfId="7860" xr:uid="{00000000-0005-0000-0000-00008C140000}"/>
    <cellStyle name="Porcentual 10 23" xfId="1526" xr:uid="{00000000-0005-0000-0000-00008D140000}"/>
    <cellStyle name="Porcentual 10 23 2" xfId="5182" xr:uid="{00000000-0005-0000-0000-00008E140000}"/>
    <cellStyle name="Porcentual 10 23 3" xfId="7861" xr:uid="{00000000-0005-0000-0000-00008F140000}"/>
    <cellStyle name="Porcentual 10 24" xfId="1527" xr:uid="{00000000-0005-0000-0000-000090140000}"/>
    <cellStyle name="Porcentual 10 24 2" xfId="5183" xr:uid="{00000000-0005-0000-0000-000091140000}"/>
    <cellStyle name="Porcentual 10 24 3" xfId="7862" xr:uid="{00000000-0005-0000-0000-000092140000}"/>
    <cellStyle name="Porcentual 10 25" xfId="1528" xr:uid="{00000000-0005-0000-0000-000093140000}"/>
    <cellStyle name="Porcentual 10 25 2" xfId="5184" xr:uid="{00000000-0005-0000-0000-000094140000}"/>
    <cellStyle name="Porcentual 10 25 3" xfId="7863" xr:uid="{00000000-0005-0000-0000-000095140000}"/>
    <cellStyle name="Porcentual 10 26" xfId="1529" xr:uid="{00000000-0005-0000-0000-000096140000}"/>
    <cellStyle name="Porcentual 10 26 2" xfId="5185" xr:uid="{00000000-0005-0000-0000-000097140000}"/>
    <cellStyle name="Porcentual 10 26 3" xfId="7864" xr:uid="{00000000-0005-0000-0000-000098140000}"/>
    <cellStyle name="Porcentual 10 27" xfId="1530" xr:uid="{00000000-0005-0000-0000-000099140000}"/>
    <cellStyle name="Porcentual 10 27 2" xfId="5186" xr:uid="{00000000-0005-0000-0000-00009A140000}"/>
    <cellStyle name="Porcentual 10 27 3" xfId="7865" xr:uid="{00000000-0005-0000-0000-00009B140000}"/>
    <cellStyle name="Porcentual 10 28" xfId="1531" xr:uid="{00000000-0005-0000-0000-00009C140000}"/>
    <cellStyle name="Porcentual 10 28 2" xfId="5187" xr:uid="{00000000-0005-0000-0000-00009D140000}"/>
    <cellStyle name="Porcentual 10 28 3" xfId="7866" xr:uid="{00000000-0005-0000-0000-00009E140000}"/>
    <cellStyle name="Porcentual 10 29" xfId="5188" xr:uid="{00000000-0005-0000-0000-00009F140000}"/>
    <cellStyle name="Porcentual 10 29 2" xfId="9775" xr:uid="{00000000-0005-0000-0000-0000A0140000}"/>
    <cellStyle name="Porcentual 10 29 2 2" xfId="10473" xr:uid="{00000000-0005-0000-0000-0000A1140000}"/>
    <cellStyle name="Porcentual 10 29 2 2 2" xfId="12208" xr:uid="{00000000-0005-0000-0000-0000A2140000}"/>
    <cellStyle name="Porcentual 10 29 2 3" xfId="11561" xr:uid="{00000000-0005-0000-0000-0000A3140000}"/>
    <cellStyle name="Porcentual 10 29 3" xfId="10182" xr:uid="{00000000-0005-0000-0000-0000A4140000}"/>
    <cellStyle name="Porcentual 10 29 3 2" xfId="11918" xr:uid="{00000000-0005-0000-0000-0000A5140000}"/>
    <cellStyle name="Porcentual 10 29 4" xfId="11196" xr:uid="{00000000-0005-0000-0000-0000A6140000}"/>
    <cellStyle name="Porcentual 10 3" xfId="1532" xr:uid="{00000000-0005-0000-0000-0000A7140000}"/>
    <cellStyle name="Porcentual 10 3 2" xfId="5189" xr:uid="{00000000-0005-0000-0000-0000A8140000}"/>
    <cellStyle name="Porcentual 10 3 3" xfId="7867" xr:uid="{00000000-0005-0000-0000-0000A9140000}"/>
    <cellStyle name="Porcentual 10 30" xfId="5190" xr:uid="{00000000-0005-0000-0000-0000AA140000}"/>
    <cellStyle name="Porcentual 10 30 2" xfId="9776" xr:uid="{00000000-0005-0000-0000-0000AB140000}"/>
    <cellStyle name="Porcentual 10 30 2 2" xfId="10474" xr:uid="{00000000-0005-0000-0000-0000AC140000}"/>
    <cellStyle name="Porcentual 10 30 2 2 2" xfId="12209" xr:uid="{00000000-0005-0000-0000-0000AD140000}"/>
    <cellStyle name="Porcentual 10 30 2 3" xfId="11562" xr:uid="{00000000-0005-0000-0000-0000AE140000}"/>
    <cellStyle name="Porcentual 10 30 3" xfId="10183" xr:uid="{00000000-0005-0000-0000-0000AF140000}"/>
    <cellStyle name="Porcentual 10 30 3 2" xfId="11919" xr:uid="{00000000-0005-0000-0000-0000B0140000}"/>
    <cellStyle name="Porcentual 10 30 4" xfId="11197" xr:uid="{00000000-0005-0000-0000-0000B1140000}"/>
    <cellStyle name="Porcentual 10 31" xfId="7845" xr:uid="{00000000-0005-0000-0000-0000B2140000}"/>
    <cellStyle name="Porcentual 10 4" xfId="1533" xr:uid="{00000000-0005-0000-0000-0000B3140000}"/>
    <cellStyle name="Porcentual 10 4 2" xfId="5191" xr:uid="{00000000-0005-0000-0000-0000B4140000}"/>
    <cellStyle name="Porcentual 10 4 3" xfId="7868" xr:uid="{00000000-0005-0000-0000-0000B5140000}"/>
    <cellStyle name="Porcentual 10 5" xfId="1534" xr:uid="{00000000-0005-0000-0000-0000B6140000}"/>
    <cellStyle name="Porcentual 10 5 2" xfId="5192" xr:uid="{00000000-0005-0000-0000-0000B7140000}"/>
    <cellStyle name="Porcentual 10 5 3" xfId="7869" xr:uid="{00000000-0005-0000-0000-0000B8140000}"/>
    <cellStyle name="Porcentual 10 6" xfId="1535" xr:uid="{00000000-0005-0000-0000-0000B9140000}"/>
    <cellStyle name="Porcentual 10 6 2" xfId="5193" xr:uid="{00000000-0005-0000-0000-0000BA140000}"/>
    <cellStyle name="Porcentual 10 6 3" xfId="7870" xr:uid="{00000000-0005-0000-0000-0000BB140000}"/>
    <cellStyle name="Porcentual 10 7" xfId="1536" xr:uid="{00000000-0005-0000-0000-0000BC140000}"/>
    <cellStyle name="Porcentual 10 7 2" xfId="5194" xr:uid="{00000000-0005-0000-0000-0000BD140000}"/>
    <cellStyle name="Porcentual 10 7 3" xfId="7871" xr:uid="{00000000-0005-0000-0000-0000BE140000}"/>
    <cellStyle name="Porcentual 10 8" xfId="1537" xr:uid="{00000000-0005-0000-0000-0000BF140000}"/>
    <cellStyle name="Porcentual 10 8 2" xfId="5195" xr:uid="{00000000-0005-0000-0000-0000C0140000}"/>
    <cellStyle name="Porcentual 10 8 3" xfId="7872" xr:uid="{00000000-0005-0000-0000-0000C1140000}"/>
    <cellStyle name="Porcentual 10 9" xfId="1538" xr:uid="{00000000-0005-0000-0000-0000C2140000}"/>
    <cellStyle name="Porcentual 10 9 2" xfId="5196" xr:uid="{00000000-0005-0000-0000-0000C3140000}"/>
    <cellStyle name="Porcentual 10 9 3" xfId="7873" xr:uid="{00000000-0005-0000-0000-0000C4140000}"/>
    <cellStyle name="Porcentual 104 10" xfId="1539" xr:uid="{00000000-0005-0000-0000-0000C5140000}"/>
    <cellStyle name="Porcentual 104 10 2" xfId="5197" xr:uid="{00000000-0005-0000-0000-0000C6140000}"/>
    <cellStyle name="Porcentual 104 10 3" xfId="7874" xr:uid="{00000000-0005-0000-0000-0000C7140000}"/>
    <cellStyle name="Porcentual 104 11" xfId="1540" xr:uid="{00000000-0005-0000-0000-0000C8140000}"/>
    <cellStyle name="Porcentual 104 11 2" xfId="5198" xr:uid="{00000000-0005-0000-0000-0000C9140000}"/>
    <cellStyle name="Porcentual 104 11 3" xfId="7875" xr:uid="{00000000-0005-0000-0000-0000CA140000}"/>
    <cellStyle name="Porcentual 104 12" xfId="1541" xr:uid="{00000000-0005-0000-0000-0000CB140000}"/>
    <cellStyle name="Porcentual 104 12 2" xfId="5199" xr:uid="{00000000-0005-0000-0000-0000CC140000}"/>
    <cellStyle name="Porcentual 104 12 3" xfId="7876" xr:uid="{00000000-0005-0000-0000-0000CD140000}"/>
    <cellStyle name="Porcentual 104 13" xfId="1542" xr:uid="{00000000-0005-0000-0000-0000CE140000}"/>
    <cellStyle name="Porcentual 104 13 2" xfId="5200" xr:uid="{00000000-0005-0000-0000-0000CF140000}"/>
    <cellStyle name="Porcentual 104 13 3" xfId="7877" xr:uid="{00000000-0005-0000-0000-0000D0140000}"/>
    <cellStyle name="Porcentual 104 14" xfId="1543" xr:uid="{00000000-0005-0000-0000-0000D1140000}"/>
    <cellStyle name="Porcentual 104 14 2" xfId="5201" xr:uid="{00000000-0005-0000-0000-0000D2140000}"/>
    <cellStyle name="Porcentual 104 14 3" xfId="7878" xr:uid="{00000000-0005-0000-0000-0000D3140000}"/>
    <cellStyle name="Porcentual 104 15" xfId="1544" xr:uid="{00000000-0005-0000-0000-0000D4140000}"/>
    <cellStyle name="Porcentual 104 15 2" xfId="5202" xr:uid="{00000000-0005-0000-0000-0000D5140000}"/>
    <cellStyle name="Porcentual 104 15 3" xfId="7879" xr:uid="{00000000-0005-0000-0000-0000D6140000}"/>
    <cellStyle name="Porcentual 104 16" xfId="1545" xr:uid="{00000000-0005-0000-0000-0000D7140000}"/>
    <cellStyle name="Porcentual 104 16 2" xfId="5203" xr:uid="{00000000-0005-0000-0000-0000D8140000}"/>
    <cellStyle name="Porcentual 104 16 3" xfId="7880" xr:uid="{00000000-0005-0000-0000-0000D9140000}"/>
    <cellStyle name="Porcentual 104 17" xfId="1546" xr:uid="{00000000-0005-0000-0000-0000DA140000}"/>
    <cellStyle name="Porcentual 104 17 2" xfId="5204" xr:uid="{00000000-0005-0000-0000-0000DB140000}"/>
    <cellStyle name="Porcentual 104 17 3" xfId="7881" xr:uid="{00000000-0005-0000-0000-0000DC140000}"/>
    <cellStyle name="Porcentual 104 18" xfId="1547" xr:uid="{00000000-0005-0000-0000-0000DD140000}"/>
    <cellStyle name="Porcentual 104 18 2" xfId="5205" xr:uid="{00000000-0005-0000-0000-0000DE140000}"/>
    <cellStyle name="Porcentual 104 18 3" xfId="7882" xr:uid="{00000000-0005-0000-0000-0000DF140000}"/>
    <cellStyle name="Porcentual 104 19" xfId="1548" xr:uid="{00000000-0005-0000-0000-0000E0140000}"/>
    <cellStyle name="Porcentual 104 19 2" xfId="5206" xr:uid="{00000000-0005-0000-0000-0000E1140000}"/>
    <cellStyle name="Porcentual 104 19 3" xfId="7883" xr:uid="{00000000-0005-0000-0000-0000E2140000}"/>
    <cellStyle name="Porcentual 104 2" xfId="1549" xr:uid="{00000000-0005-0000-0000-0000E3140000}"/>
    <cellStyle name="Porcentual 104 2 2" xfId="5207" xr:uid="{00000000-0005-0000-0000-0000E4140000}"/>
    <cellStyle name="Porcentual 104 2 3" xfId="7884" xr:uid="{00000000-0005-0000-0000-0000E5140000}"/>
    <cellStyle name="Porcentual 104 20" xfId="1550" xr:uid="{00000000-0005-0000-0000-0000E6140000}"/>
    <cellStyle name="Porcentual 104 20 2" xfId="5208" xr:uid="{00000000-0005-0000-0000-0000E7140000}"/>
    <cellStyle name="Porcentual 104 20 3" xfId="7885" xr:uid="{00000000-0005-0000-0000-0000E8140000}"/>
    <cellStyle name="Porcentual 104 21" xfId="1551" xr:uid="{00000000-0005-0000-0000-0000E9140000}"/>
    <cellStyle name="Porcentual 104 21 2" xfId="5209" xr:uid="{00000000-0005-0000-0000-0000EA140000}"/>
    <cellStyle name="Porcentual 104 21 3" xfId="7886" xr:uid="{00000000-0005-0000-0000-0000EB140000}"/>
    <cellStyle name="Porcentual 104 22" xfId="1552" xr:uid="{00000000-0005-0000-0000-0000EC140000}"/>
    <cellStyle name="Porcentual 104 22 2" xfId="5210" xr:uid="{00000000-0005-0000-0000-0000ED140000}"/>
    <cellStyle name="Porcentual 104 22 3" xfId="7887" xr:uid="{00000000-0005-0000-0000-0000EE140000}"/>
    <cellStyle name="Porcentual 104 23" xfId="1553" xr:uid="{00000000-0005-0000-0000-0000EF140000}"/>
    <cellStyle name="Porcentual 104 23 2" xfId="5211" xr:uid="{00000000-0005-0000-0000-0000F0140000}"/>
    <cellStyle name="Porcentual 104 23 3" xfId="7888" xr:uid="{00000000-0005-0000-0000-0000F1140000}"/>
    <cellStyle name="Porcentual 104 24" xfId="1554" xr:uid="{00000000-0005-0000-0000-0000F2140000}"/>
    <cellStyle name="Porcentual 104 24 2" xfId="5212" xr:uid="{00000000-0005-0000-0000-0000F3140000}"/>
    <cellStyle name="Porcentual 104 24 3" xfId="7889" xr:uid="{00000000-0005-0000-0000-0000F4140000}"/>
    <cellStyle name="Porcentual 104 25" xfId="1555" xr:uid="{00000000-0005-0000-0000-0000F5140000}"/>
    <cellStyle name="Porcentual 104 25 2" xfId="5213" xr:uid="{00000000-0005-0000-0000-0000F6140000}"/>
    <cellStyle name="Porcentual 104 25 3" xfId="7890" xr:uid="{00000000-0005-0000-0000-0000F7140000}"/>
    <cellStyle name="Porcentual 104 26" xfId="1556" xr:uid="{00000000-0005-0000-0000-0000F8140000}"/>
    <cellStyle name="Porcentual 104 26 2" xfId="5214" xr:uid="{00000000-0005-0000-0000-0000F9140000}"/>
    <cellStyle name="Porcentual 104 26 3" xfId="7891" xr:uid="{00000000-0005-0000-0000-0000FA140000}"/>
    <cellStyle name="Porcentual 104 27" xfId="1557" xr:uid="{00000000-0005-0000-0000-0000FB140000}"/>
    <cellStyle name="Porcentual 104 27 2" xfId="5215" xr:uid="{00000000-0005-0000-0000-0000FC140000}"/>
    <cellStyle name="Porcentual 104 27 3" xfId="7892" xr:uid="{00000000-0005-0000-0000-0000FD140000}"/>
    <cellStyle name="Porcentual 104 28" xfId="1558" xr:uid="{00000000-0005-0000-0000-0000FE140000}"/>
    <cellStyle name="Porcentual 104 28 2" xfId="5216" xr:uid="{00000000-0005-0000-0000-0000FF140000}"/>
    <cellStyle name="Porcentual 104 28 3" xfId="7893" xr:uid="{00000000-0005-0000-0000-000000150000}"/>
    <cellStyle name="Porcentual 104 3" xfId="1559" xr:uid="{00000000-0005-0000-0000-000001150000}"/>
    <cellStyle name="Porcentual 104 3 2" xfId="5217" xr:uid="{00000000-0005-0000-0000-000002150000}"/>
    <cellStyle name="Porcentual 104 3 3" xfId="7894" xr:uid="{00000000-0005-0000-0000-000003150000}"/>
    <cellStyle name="Porcentual 104 4" xfId="1560" xr:uid="{00000000-0005-0000-0000-000004150000}"/>
    <cellStyle name="Porcentual 104 4 2" xfId="5218" xr:uid="{00000000-0005-0000-0000-000005150000}"/>
    <cellStyle name="Porcentual 104 4 3" xfId="7895" xr:uid="{00000000-0005-0000-0000-000006150000}"/>
    <cellStyle name="Porcentual 104 5" xfId="1561" xr:uid="{00000000-0005-0000-0000-000007150000}"/>
    <cellStyle name="Porcentual 104 5 2" xfId="5219" xr:uid="{00000000-0005-0000-0000-000008150000}"/>
    <cellStyle name="Porcentual 104 5 3" xfId="7896" xr:uid="{00000000-0005-0000-0000-000009150000}"/>
    <cellStyle name="Porcentual 104 6" xfId="1562" xr:uid="{00000000-0005-0000-0000-00000A150000}"/>
    <cellStyle name="Porcentual 104 6 2" xfId="5220" xr:uid="{00000000-0005-0000-0000-00000B150000}"/>
    <cellStyle name="Porcentual 104 6 3" xfId="7897" xr:uid="{00000000-0005-0000-0000-00000C150000}"/>
    <cellStyle name="Porcentual 104 7" xfId="1563" xr:uid="{00000000-0005-0000-0000-00000D150000}"/>
    <cellStyle name="Porcentual 104 7 2" xfId="5221" xr:uid="{00000000-0005-0000-0000-00000E150000}"/>
    <cellStyle name="Porcentual 104 7 3" xfId="7898" xr:uid="{00000000-0005-0000-0000-00000F150000}"/>
    <cellStyle name="Porcentual 104 8" xfId="1564" xr:uid="{00000000-0005-0000-0000-000010150000}"/>
    <cellStyle name="Porcentual 104 8 2" xfId="5222" xr:uid="{00000000-0005-0000-0000-000011150000}"/>
    <cellStyle name="Porcentual 104 8 3" xfId="7899" xr:uid="{00000000-0005-0000-0000-000012150000}"/>
    <cellStyle name="Porcentual 104 9" xfId="1565" xr:uid="{00000000-0005-0000-0000-000013150000}"/>
    <cellStyle name="Porcentual 104 9 2" xfId="5223" xr:uid="{00000000-0005-0000-0000-000014150000}"/>
    <cellStyle name="Porcentual 104 9 3" xfId="7900" xr:uid="{00000000-0005-0000-0000-000015150000}"/>
    <cellStyle name="Porcentual 11" xfId="1566" xr:uid="{00000000-0005-0000-0000-000016150000}"/>
    <cellStyle name="Porcentual 11 2" xfId="5224" xr:uid="{00000000-0005-0000-0000-000017150000}"/>
    <cellStyle name="Porcentual 11 2 2" xfId="9777" xr:uid="{00000000-0005-0000-0000-000018150000}"/>
    <cellStyle name="Porcentual 11 2 2 2" xfId="10475" xr:uid="{00000000-0005-0000-0000-000019150000}"/>
    <cellStyle name="Porcentual 11 2 2 2 2" xfId="12210" xr:uid="{00000000-0005-0000-0000-00001A150000}"/>
    <cellStyle name="Porcentual 11 2 2 3" xfId="11563" xr:uid="{00000000-0005-0000-0000-00001B150000}"/>
    <cellStyle name="Porcentual 11 2 3" xfId="10184" xr:uid="{00000000-0005-0000-0000-00001C150000}"/>
    <cellStyle name="Porcentual 11 2 3 2" xfId="11920" xr:uid="{00000000-0005-0000-0000-00001D150000}"/>
    <cellStyle name="Porcentual 11 2 4" xfId="11198" xr:uid="{00000000-0005-0000-0000-00001E150000}"/>
    <cellStyle name="Porcentual 11 3" xfId="5225" xr:uid="{00000000-0005-0000-0000-00001F150000}"/>
    <cellStyle name="Porcentual 11 3 2" xfId="9778" xr:uid="{00000000-0005-0000-0000-000020150000}"/>
    <cellStyle name="Porcentual 11 3 2 2" xfId="10476" xr:uid="{00000000-0005-0000-0000-000021150000}"/>
    <cellStyle name="Porcentual 11 3 2 2 2" xfId="12211" xr:uid="{00000000-0005-0000-0000-000022150000}"/>
    <cellStyle name="Porcentual 11 3 2 3" xfId="11564" xr:uid="{00000000-0005-0000-0000-000023150000}"/>
    <cellStyle name="Porcentual 11 3 3" xfId="10185" xr:uid="{00000000-0005-0000-0000-000024150000}"/>
    <cellStyle name="Porcentual 11 3 3 2" xfId="11921" xr:uid="{00000000-0005-0000-0000-000025150000}"/>
    <cellStyle name="Porcentual 11 3 4" xfId="11199" xr:uid="{00000000-0005-0000-0000-000026150000}"/>
    <cellStyle name="Porcentual 11 4" xfId="7901" xr:uid="{00000000-0005-0000-0000-000027150000}"/>
    <cellStyle name="Porcentual 112 10" xfId="1567" xr:uid="{00000000-0005-0000-0000-000028150000}"/>
    <cellStyle name="Porcentual 112 10 2" xfId="5226" xr:uid="{00000000-0005-0000-0000-000029150000}"/>
    <cellStyle name="Porcentual 112 10 3" xfId="7902" xr:uid="{00000000-0005-0000-0000-00002A150000}"/>
    <cellStyle name="Porcentual 112 11" xfId="1568" xr:uid="{00000000-0005-0000-0000-00002B150000}"/>
    <cellStyle name="Porcentual 112 11 2" xfId="5227" xr:uid="{00000000-0005-0000-0000-00002C150000}"/>
    <cellStyle name="Porcentual 112 11 3" xfId="7903" xr:uid="{00000000-0005-0000-0000-00002D150000}"/>
    <cellStyle name="Porcentual 112 12" xfId="1569" xr:uid="{00000000-0005-0000-0000-00002E150000}"/>
    <cellStyle name="Porcentual 112 12 2" xfId="5228" xr:uid="{00000000-0005-0000-0000-00002F150000}"/>
    <cellStyle name="Porcentual 112 12 3" xfId="7904" xr:uid="{00000000-0005-0000-0000-000030150000}"/>
    <cellStyle name="Porcentual 112 13" xfId="1570" xr:uid="{00000000-0005-0000-0000-000031150000}"/>
    <cellStyle name="Porcentual 112 13 2" xfId="5229" xr:uid="{00000000-0005-0000-0000-000032150000}"/>
    <cellStyle name="Porcentual 112 13 3" xfId="7905" xr:uid="{00000000-0005-0000-0000-000033150000}"/>
    <cellStyle name="Porcentual 112 14" xfId="1571" xr:uid="{00000000-0005-0000-0000-000034150000}"/>
    <cellStyle name="Porcentual 112 14 2" xfId="5230" xr:uid="{00000000-0005-0000-0000-000035150000}"/>
    <cellStyle name="Porcentual 112 14 3" xfId="7906" xr:uid="{00000000-0005-0000-0000-000036150000}"/>
    <cellStyle name="Porcentual 112 15" xfId="1572" xr:uid="{00000000-0005-0000-0000-000037150000}"/>
    <cellStyle name="Porcentual 112 15 2" xfId="5231" xr:uid="{00000000-0005-0000-0000-000038150000}"/>
    <cellStyle name="Porcentual 112 15 3" xfId="7907" xr:uid="{00000000-0005-0000-0000-000039150000}"/>
    <cellStyle name="Porcentual 112 16" xfId="1573" xr:uid="{00000000-0005-0000-0000-00003A150000}"/>
    <cellStyle name="Porcentual 112 16 2" xfId="5232" xr:uid="{00000000-0005-0000-0000-00003B150000}"/>
    <cellStyle name="Porcentual 112 16 3" xfId="7908" xr:uid="{00000000-0005-0000-0000-00003C150000}"/>
    <cellStyle name="Porcentual 112 17" xfId="1574" xr:uid="{00000000-0005-0000-0000-00003D150000}"/>
    <cellStyle name="Porcentual 112 17 2" xfId="5233" xr:uid="{00000000-0005-0000-0000-00003E150000}"/>
    <cellStyle name="Porcentual 112 17 3" xfId="7909" xr:uid="{00000000-0005-0000-0000-00003F150000}"/>
    <cellStyle name="Porcentual 112 18" xfId="1575" xr:uid="{00000000-0005-0000-0000-000040150000}"/>
    <cellStyle name="Porcentual 112 18 2" xfId="5234" xr:uid="{00000000-0005-0000-0000-000041150000}"/>
    <cellStyle name="Porcentual 112 18 3" xfId="7910" xr:uid="{00000000-0005-0000-0000-000042150000}"/>
    <cellStyle name="Porcentual 112 19" xfId="1576" xr:uid="{00000000-0005-0000-0000-000043150000}"/>
    <cellStyle name="Porcentual 112 19 2" xfId="5235" xr:uid="{00000000-0005-0000-0000-000044150000}"/>
    <cellStyle name="Porcentual 112 19 3" xfId="7911" xr:uid="{00000000-0005-0000-0000-000045150000}"/>
    <cellStyle name="Porcentual 112 2" xfId="1577" xr:uid="{00000000-0005-0000-0000-000046150000}"/>
    <cellStyle name="Porcentual 112 2 2" xfId="5236" xr:uid="{00000000-0005-0000-0000-000047150000}"/>
    <cellStyle name="Porcentual 112 2 3" xfId="7912" xr:uid="{00000000-0005-0000-0000-000048150000}"/>
    <cellStyle name="Porcentual 112 20" xfId="1578" xr:uid="{00000000-0005-0000-0000-000049150000}"/>
    <cellStyle name="Porcentual 112 20 2" xfId="5237" xr:uid="{00000000-0005-0000-0000-00004A150000}"/>
    <cellStyle name="Porcentual 112 20 3" xfId="7913" xr:uid="{00000000-0005-0000-0000-00004B150000}"/>
    <cellStyle name="Porcentual 112 21" xfId="1579" xr:uid="{00000000-0005-0000-0000-00004C150000}"/>
    <cellStyle name="Porcentual 112 21 2" xfId="5238" xr:uid="{00000000-0005-0000-0000-00004D150000}"/>
    <cellStyle name="Porcentual 112 21 3" xfId="7914" xr:uid="{00000000-0005-0000-0000-00004E150000}"/>
    <cellStyle name="Porcentual 112 22" xfId="1580" xr:uid="{00000000-0005-0000-0000-00004F150000}"/>
    <cellStyle name="Porcentual 112 22 2" xfId="5239" xr:uid="{00000000-0005-0000-0000-000050150000}"/>
    <cellStyle name="Porcentual 112 22 3" xfId="7915" xr:uid="{00000000-0005-0000-0000-000051150000}"/>
    <cellStyle name="Porcentual 112 23" xfId="1581" xr:uid="{00000000-0005-0000-0000-000052150000}"/>
    <cellStyle name="Porcentual 112 23 2" xfId="5240" xr:uid="{00000000-0005-0000-0000-000053150000}"/>
    <cellStyle name="Porcentual 112 23 3" xfId="7916" xr:uid="{00000000-0005-0000-0000-000054150000}"/>
    <cellStyle name="Porcentual 112 24" xfId="1582" xr:uid="{00000000-0005-0000-0000-000055150000}"/>
    <cellStyle name="Porcentual 112 24 2" xfId="5241" xr:uid="{00000000-0005-0000-0000-000056150000}"/>
    <cellStyle name="Porcentual 112 24 3" xfId="7917" xr:uid="{00000000-0005-0000-0000-000057150000}"/>
    <cellStyle name="Porcentual 112 25" xfId="1583" xr:uid="{00000000-0005-0000-0000-000058150000}"/>
    <cellStyle name="Porcentual 112 25 2" xfId="5242" xr:uid="{00000000-0005-0000-0000-000059150000}"/>
    <cellStyle name="Porcentual 112 25 3" xfId="7918" xr:uid="{00000000-0005-0000-0000-00005A150000}"/>
    <cellStyle name="Porcentual 112 26" xfId="1584" xr:uid="{00000000-0005-0000-0000-00005B150000}"/>
    <cellStyle name="Porcentual 112 26 2" xfId="5243" xr:uid="{00000000-0005-0000-0000-00005C150000}"/>
    <cellStyle name="Porcentual 112 26 3" xfId="7919" xr:uid="{00000000-0005-0000-0000-00005D150000}"/>
    <cellStyle name="Porcentual 112 27" xfId="1585" xr:uid="{00000000-0005-0000-0000-00005E150000}"/>
    <cellStyle name="Porcentual 112 27 2" xfId="5244" xr:uid="{00000000-0005-0000-0000-00005F150000}"/>
    <cellStyle name="Porcentual 112 27 3" xfId="7920" xr:uid="{00000000-0005-0000-0000-000060150000}"/>
    <cellStyle name="Porcentual 112 28" xfId="1586" xr:uid="{00000000-0005-0000-0000-000061150000}"/>
    <cellStyle name="Porcentual 112 28 2" xfId="5245" xr:uid="{00000000-0005-0000-0000-000062150000}"/>
    <cellStyle name="Porcentual 112 28 3" xfId="7921" xr:uid="{00000000-0005-0000-0000-000063150000}"/>
    <cellStyle name="Porcentual 112 3" xfId="1587" xr:uid="{00000000-0005-0000-0000-000064150000}"/>
    <cellStyle name="Porcentual 112 3 2" xfId="5246" xr:uid="{00000000-0005-0000-0000-000065150000}"/>
    <cellStyle name="Porcentual 112 3 3" xfId="7922" xr:uid="{00000000-0005-0000-0000-000066150000}"/>
    <cellStyle name="Porcentual 112 4" xfId="1588" xr:uid="{00000000-0005-0000-0000-000067150000}"/>
    <cellStyle name="Porcentual 112 4 2" xfId="5247" xr:uid="{00000000-0005-0000-0000-000068150000}"/>
    <cellStyle name="Porcentual 112 4 3" xfId="7923" xr:uid="{00000000-0005-0000-0000-000069150000}"/>
    <cellStyle name="Porcentual 112 5" xfId="1589" xr:uid="{00000000-0005-0000-0000-00006A150000}"/>
    <cellStyle name="Porcentual 112 5 2" xfId="5248" xr:uid="{00000000-0005-0000-0000-00006B150000}"/>
    <cellStyle name="Porcentual 112 5 3" xfId="7924" xr:uid="{00000000-0005-0000-0000-00006C150000}"/>
    <cellStyle name="Porcentual 112 6" xfId="1590" xr:uid="{00000000-0005-0000-0000-00006D150000}"/>
    <cellStyle name="Porcentual 112 6 2" xfId="5249" xr:uid="{00000000-0005-0000-0000-00006E150000}"/>
    <cellStyle name="Porcentual 112 6 3" xfId="7925" xr:uid="{00000000-0005-0000-0000-00006F150000}"/>
    <cellStyle name="Porcentual 112 7" xfId="1591" xr:uid="{00000000-0005-0000-0000-000070150000}"/>
    <cellStyle name="Porcentual 112 7 2" xfId="5250" xr:uid="{00000000-0005-0000-0000-000071150000}"/>
    <cellStyle name="Porcentual 112 7 3" xfId="7926" xr:uid="{00000000-0005-0000-0000-000072150000}"/>
    <cellStyle name="Porcentual 112 8" xfId="1592" xr:uid="{00000000-0005-0000-0000-000073150000}"/>
    <cellStyle name="Porcentual 112 8 2" xfId="5251" xr:uid="{00000000-0005-0000-0000-000074150000}"/>
    <cellStyle name="Porcentual 112 8 3" xfId="7927" xr:uid="{00000000-0005-0000-0000-000075150000}"/>
    <cellStyle name="Porcentual 112 9" xfId="1593" xr:uid="{00000000-0005-0000-0000-000076150000}"/>
    <cellStyle name="Porcentual 112 9 2" xfId="5252" xr:uid="{00000000-0005-0000-0000-000077150000}"/>
    <cellStyle name="Porcentual 112 9 3" xfId="7928" xr:uid="{00000000-0005-0000-0000-000078150000}"/>
    <cellStyle name="Porcentual 116 10" xfId="1594" xr:uid="{00000000-0005-0000-0000-000079150000}"/>
    <cellStyle name="Porcentual 116 10 2" xfId="5253" xr:uid="{00000000-0005-0000-0000-00007A150000}"/>
    <cellStyle name="Porcentual 116 10 3" xfId="7929" xr:uid="{00000000-0005-0000-0000-00007B150000}"/>
    <cellStyle name="Porcentual 116 11" xfId="1595" xr:uid="{00000000-0005-0000-0000-00007C150000}"/>
    <cellStyle name="Porcentual 116 11 2" xfId="5254" xr:uid="{00000000-0005-0000-0000-00007D150000}"/>
    <cellStyle name="Porcentual 116 11 3" xfId="7930" xr:uid="{00000000-0005-0000-0000-00007E150000}"/>
    <cellStyle name="Porcentual 116 12" xfId="1596" xr:uid="{00000000-0005-0000-0000-00007F150000}"/>
    <cellStyle name="Porcentual 116 12 2" xfId="5255" xr:uid="{00000000-0005-0000-0000-000080150000}"/>
    <cellStyle name="Porcentual 116 12 3" xfId="7931" xr:uid="{00000000-0005-0000-0000-000081150000}"/>
    <cellStyle name="Porcentual 116 13" xfId="1597" xr:uid="{00000000-0005-0000-0000-000082150000}"/>
    <cellStyle name="Porcentual 116 13 2" xfId="5256" xr:uid="{00000000-0005-0000-0000-000083150000}"/>
    <cellStyle name="Porcentual 116 13 3" xfId="7932" xr:uid="{00000000-0005-0000-0000-000084150000}"/>
    <cellStyle name="Porcentual 116 14" xfId="1598" xr:uid="{00000000-0005-0000-0000-000085150000}"/>
    <cellStyle name="Porcentual 116 14 2" xfId="5257" xr:uid="{00000000-0005-0000-0000-000086150000}"/>
    <cellStyle name="Porcentual 116 14 3" xfId="7933" xr:uid="{00000000-0005-0000-0000-000087150000}"/>
    <cellStyle name="Porcentual 116 15" xfId="1599" xr:uid="{00000000-0005-0000-0000-000088150000}"/>
    <cellStyle name="Porcentual 116 15 2" xfId="5258" xr:uid="{00000000-0005-0000-0000-000089150000}"/>
    <cellStyle name="Porcentual 116 15 3" xfId="7934" xr:uid="{00000000-0005-0000-0000-00008A150000}"/>
    <cellStyle name="Porcentual 116 16" xfId="1600" xr:uid="{00000000-0005-0000-0000-00008B150000}"/>
    <cellStyle name="Porcentual 116 16 2" xfId="5259" xr:uid="{00000000-0005-0000-0000-00008C150000}"/>
    <cellStyle name="Porcentual 116 16 3" xfId="7935" xr:uid="{00000000-0005-0000-0000-00008D150000}"/>
    <cellStyle name="Porcentual 116 17" xfId="1601" xr:uid="{00000000-0005-0000-0000-00008E150000}"/>
    <cellStyle name="Porcentual 116 17 2" xfId="5260" xr:uid="{00000000-0005-0000-0000-00008F150000}"/>
    <cellStyle name="Porcentual 116 17 3" xfId="7936" xr:uid="{00000000-0005-0000-0000-000090150000}"/>
    <cellStyle name="Porcentual 116 18" xfId="1602" xr:uid="{00000000-0005-0000-0000-000091150000}"/>
    <cellStyle name="Porcentual 116 18 2" xfId="5261" xr:uid="{00000000-0005-0000-0000-000092150000}"/>
    <cellStyle name="Porcentual 116 18 3" xfId="7937" xr:uid="{00000000-0005-0000-0000-000093150000}"/>
    <cellStyle name="Porcentual 116 19" xfId="1603" xr:uid="{00000000-0005-0000-0000-000094150000}"/>
    <cellStyle name="Porcentual 116 19 2" xfId="5262" xr:uid="{00000000-0005-0000-0000-000095150000}"/>
    <cellStyle name="Porcentual 116 19 3" xfId="7938" xr:uid="{00000000-0005-0000-0000-000096150000}"/>
    <cellStyle name="Porcentual 116 2" xfId="1604" xr:uid="{00000000-0005-0000-0000-000097150000}"/>
    <cellStyle name="Porcentual 116 2 2" xfId="5263" xr:uid="{00000000-0005-0000-0000-000098150000}"/>
    <cellStyle name="Porcentual 116 2 3" xfId="7939" xr:uid="{00000000-0005-0000-0000-000099150000}"/>
    <cellStyle name="Porcentual 116 20" xfId="1605" xr:uid="{00000000-0005-0000-0000-00009A150000}"/>
    <cellStyle name="Porcentual 116 20 2" xfId="5264" xr:uid="{00000000-0005-0000-0000-00009B150000}"/>
    <cellStyle name="Porcentual 116 20 3" xfId="7940" xr:uid="{00000000-0005-0000-0000-00009C150000}"/>
    <cellStyle name="Porcentual 116 21" xfId="1606" xr:uid="{00000000-0005-0000-0000-00009D150000}"/>
    <cellStyle name="Porcentual 116 21 2" xfId="5265" xr:uid="{00000000-0005-0000-0000-00009E150000}"/>
    <cellStyle name="Porcentual 116 21 3" xfId="7941" xr:uid="{00000000-0005-0000-0000-00009F150000}"/>
    <cellStyle name="Porcentual 116 22" xfId="1607" xr:uid="{00000000-0005-0000-0000-0000A0150000}"/>
    <cellStyle name="Porcentual 116 22 2" xfId="5266" xr:uid="{00000000-0005-0000-0000-0000A1150000}"/>
    <cellStyle name="Porcentual 116 22 3" xfId="7942" xr:uid="{00000000-0005-0000-0000-0000A2150000}"/>
    <cellStyle name="Porcentual 116 23" xfId="1608" xr:uid="{00000000-0005-0000-0000-0000A3150000}"/>
    <cellStyle name="Porcentual 116 23 2" xfId="5267" xr:uid="{00000000-0005-0000-0000-0000A4150000}"/>
    <cellStyle name="Porcentual 116 23 3" xfId="7943" xr:uid="{00000000-0005-0000-0000-0000A5150000}"/>
    <cellStyle name="Porcentual 116 24" xfId="1609" xr:uid="{00000000-0005-0000-0000-0000A6150000}"/>
    <cellStyle name="Porcentual 116 24 2" xfId="5268" xr:uid="{00000000-0005-0000-0000-0000A7150000}"/>
    <cellStyle name="Porcentual 116 24 3" xfId="7944" xr:uid="{00000000-0005-0000-0000-0000A8150000}"/>
    <cellStyle name="Porcentual 116 25" xfId="1610" xr:uid="{00000000-0005-0000-0000-0000A9150000}"/>
    <cellStyle name="Porcentual 116 25 2" xfId="5269" xr:uid="{00000000-0005-0000-0000-0000AA150000}"/>
    <cellStyle name="Porcentual 116 25 3" xfId="7945" xr:uid="{00000000-0005-0000-0000-0000AB150000}"/>
    <cellStyle name="Porcentual 116 26" xfId="1611" xr:uid="{00000000-0005-0000-0000-0000AC150000}"/>
    <cellStyle name="Porcentual 116 26 2" xfId="5270" xr:uid="{00000000-0005-0000-0000-0000AD150000}"/>
    <cellStyle name="Porcentual 116 26 3" xfId="7946" xr:uid="{00000000-0005-0000-0000-0000AE150000}"/>
    <cellStyle name="Porcentual 116 27" xfId="1612" xr:uid="{00000000-0005-0000-0000-0000AF150000}"/>
    <cellStyle name="Porcentual 116 27 2" xfId="5271" xr:uid="{00000000-0005-0000-0000-0000B0150000}"/>
    <cellStyle name="Porcentual 116 27 3" xfId="7947" xr:uid="{00000000-0005-0000-0000-0000B1150000}"/>
    <cellStyle name="Porcentual 116 28" xfId="1613" xr:uid="{00000000-0005-0000-0000-0000B2150000}"/>
    <cellStyle name="Porcentual 116 28 2" xfId="5272" xr:uid="{00000000-0005-0000-0000-0000B3150000}"/>
    <cellStyle name="Porcentual 116 28 3" xfId="7948" xr:uid="{00000000-0005-0000-0000-0000B4150000}"/>
    <cellStyle name="Porcentual 116 3" xfId="1614" xr:uid="{00000000-0005-0000-0000-0000B5150000}"/>
    <cellStyle name="Porcentual 116 3 2" xfId="5273" xr:uid="{00000000-0005-0000-0000-0000B6150000}"/>
    <cellStyle name="Porcentual 116 3 3" xfId="7949" xr:uid="{00000000-0005-0000-0000-0000B7150000}"/>
    <cellStyle name="Porcentual 116 4" xfId="1615" xr:uid="{00000000-0005-0000-0000-0000B8150000}"/>
    <cellStyle name="Porcentual 116 4 2" xfId="5274" xr:uid="{00000000-0005-0000-0000-0000B9150000}"/>
    <cellStyle name="Porcentual 116 4 3" xfId="7950" xr:uid="{00000000-0005-0000-0000-0000BA150000}"/>
    <cellStyle name="Porcentual 116 5" xfId="1616" xr:uid="{00000000-0005-0000-0000-0000BB150000}"/>
    <cellStyle name="Porcentual 116 5 2" xfId="5275" xr:uid="{00000000-0005-0000-0000-0000BC150000}"/>
    <cellStyle name="Porcentual 116 5 3" xfId="7951" xr:uid="{00000000-0005-0000-0000-0000BD150000}"/>
    <cellStyle name="Porcentual 116 6" xfId="1617" xr:uid="{00000000-0005-0000-0000-0000BE150000}"/>
    <cellStyle name="Porcentual 116 6 2" xfId="5276" xr:uid="{00000000-0005-0000-0000-0000BF150000}"/>
    <cellStyle name="Porcentual 116 6 3" xfId="7952" xr:uid="{00000000-0005-0000-0000-0000C0150000}"/>
    <cellStyle name="Porcentual 116 7" xfId="1618" xr:uid="{00000000-0005-0000-0000-0000C1150000}"/>
    <cellStyle name="Porcentual 116 7 2" xfId="5277" xr:uid="{00000000-0005-0000-0000-0000C2150000}"/>
    <cellStyle name="Porcentual 116 7 3" xfId="7953" xr:uid="{00000000-0005-0000-0000-0000C3150000}"/>
    <cellStyle name="Porcentual 116 8" xfId="1619" xr:uid="{00000000-0005-0000-0000-0000C4150000}"/>
    <cellStyle name="Porcentual 116 8 2" xfId="5278" xr:uid="{00000000-0005-0000-0000-0000C5150000}"/>
    <cellStyle name="Porcentual 116 8 3" xfId="7954" xr:uid="{00000000-0005-0000-0000-0000C6150000}"/>
    <cellStyle name="Porcentual 116 9" xfId="1620" xr:uid="{00000000-0005-0000-0000-0000C7150000}"/>
    <cellStyle name="Porcentual 116 9 2" xfId="5279" xr:uid="{00000000-0005-0000-0000-0000C8150000}"/>
    <cellStyle name="Porcentual 116 9 3" xfId="7955" xr:uid="{00000000-0005-0000-0000-0000C9150000}"/>
    <cellStyle name="Porcentual 12" xfId="1621" xr:uid="{00000000-0005-0000-0000-0000CA150000}"/>
    <cellStyle name="Porcentual 12 2" xfId="5280" xr:uid="{00000000-0005-0000-0000-0000CB150000}"/>
    <cellStyle name="Porcentual 12 2 2" xfId="9779" xr:uid="{00000000-0005-0000-0000-0000CC150000}"/>
    <cellStyle name="Porcentual 12 2 2 2" xfId="10477" xr:uid="{00000000-0005-0000-0000-0000CD150000}"/>
    <cellStyle name="Porcentual 12 2 2 2 2" xfId="12212" xr:uid="{00000000-0005-0000-0000-0000CE150000}"/>
    <cellStyle name="Porcentual 12 2 2 3" xfId="11565" xr:uid="{00000000-0005-0000-0000-0000CF150000}"/>
    <cellStyle name="Porcentual 12 2 3" xfId="10186" xr:uid="{00000000-0005-0000-0000-0000D0150000}"/>
    <cellStyle name="Porcentual 12 2 3 2" xfId="11922" xr:uid="{00000000-0005-0000-0000-0000D1150000}"/>
    <cellStyle name="Porcentual 12 2 4" xfId="11200" xr:uid="{00000000-0005-0000-0000-0000D2150000}"/>
    <cellStyle name="Porcentual 12 3" xfId="5281" xr:uid="{00000000-0005-0000-0000-0000D3150000}"/>
    <cellStyle name="Porcentual 12 3 2" xfId="9780" xr:uid="{00000000-0005-0000-0000-0000D4150000}"/>
    <cellStyle name="Porcentual 12 3 2 2" xfId="10478" xr:uid="{00000000-0005-0000-0000-0000D5150000}"/>
    <cellStyle name="Porcentual 12 3 2 2 2" xfId="12213" xr:uid="{00000000-0005-0000-0000-0000D6150000}"/>
    <cellStyle name="Porcentual 12 3 2 3" xfId="11566" xr:uid="{00000000-0005-0000-0000-0000D7150000}"/>
    <cellStyle name="Porcentual 12 3 3" xfId="10187" xr:uid="{00000000-0005-0000-0000-0000D8150000}"/>
    <cellStyle name="Porcentual 12 3 3 2" xfId="11923" xr:uid="{00000000-0005-0000-0000-0000D9150000}"/>
    <cellStyle name="Porcentual 12 3 4" xfId="11201" xr:uid="{00000000-0005-0000-0000-0000DA150000}"/>
    <cellStyle name="Porcentual 12 4" xfId="7956" xr:uid="{00000000-0005-0000-0000-0000DB150000}"/>
    <cellStyle name="Porcentual 13" xfId="1622" xr:uid="{00000000-0005-0000-0000-0000DC150000}"/>
    <cellStyle name="Porcentual 13 2" xfId="5282" xr:uid="{00000000-0005-0000-0000-0000DD150000}"/>
    <cellStyle name="Porcentual 13 2 2" xfId="9781" xr:uid="{00000000-0005-0000-0000-0000DE150000}"/>
    <cellStyle name="Porcentual 13 2 2 2" xfId="10479" xr:uid="{00000000-0005-0000-0000-0000DF150000}"/>
    <cellStyle name="Porcentual 13 2 2 2 2" xfId="12214" xr:uid="{00000000-0005-0000-0000-0000E0150000}"/>
    <cellStyle name="Porcentual 13 2 2 3" xfId="11567" xr:uid="{00000000-0005-0000-0000-0000E1150000}"/>
    <cellStyle name="Porcentual 13 2 3" xfId="10188" xr:uid="{00000000-0005-0000-0000-0000E2150000}"/>
    <cellStyle name="Porcentual 13 2 3 2" xfId="11924" xr:uid="{00000000-0005-0000-0000-0000E3150000}"/>
    <cellStyle name="Porcentual 13 2 4" xfId="11202" xr:uid="{00000000-0005-0000-0000-0000E4150000}"/>
    <cellStyle name="Porcentual 13 3" xfId="5283" xr:uid="{00000000-0005-0000-0000-0000E5150000}"/>
    <cellStyle name="Porcentual 13 3 2" xfId="9782" xr:uid="{00000000-0005-0000-0000-0000E6150000}"/>
    <cellStyle name="Porcentual 13 3 2 2" xfId="10480" xr:uid="{00000000-0005-0000-0000-0000E7150000}"/>
    <cellStyle name="Porcentual 13 3 2 2 2" xfId="12215" xr:uid="{00000000-0005-0000-0000-0000E8150000}"/>
    <cellStyle name="Porcentual 13 3 2 3" xfId="11568" xr:uid="{00000000-0005-0000-0000-0000E9150000}"/>
    <cellStyle name="Porcentual 13 3 3" xfId="10189" xr:uid="{00000000-0005-0000-0000-0000EA150000}"/>
    <cellStyle name="Porcentual 13 3 3 2" xfId="11925" xr:uid="{00000000-0005-0000-0000-0000EB150000}"/>
    <cellStyle name="Porcentual 13 3 4" xfId="11203" xr:uid="{00000000-0005-0000-0000-0000EC150000}"/>
    <cellStyle name="Porcentual 13 4" xfId="7957" xr:uid="{00000000-0005-0000-0000-0000ED150000}"/>
    <cellStyle name="Porcentual 132 10" xfId="1623" xr:uid="{00000000-0005-0000-0000-0000EE150000}"/>
    <cellStyle name="Porcentual 132 10 2" xfId="5284" xr:uid="{00000000-0005-0000-0000-0000EF150000}"/>
    <cellStyle name="Porcentual 132 10 3" xfId="7958" xr:uid="{00000000-0005-0000-0000-0000F0150000}"/>
    <cellStyle name="Porcentual 132 11" xfId="1624" xr:uid="{00000000-0005-0000-0000-0000F1150000}"/>
    <cellStyle name="Porcentual 132 11 2" xfId="5285" xr:uid="{00000000-0005-0000-0000-0000F2150000}"/>
    <cellStyle name="Porcentual 132 11 3" xfId="7959" xr:uid="{00000000-0005-0000-0000-0000F3150000}"/>
    <cellStyle name="Porcentual 132 12" xfId="1625" xr:uid="{00000000-0005-0000-0000-0000F4150000}"/>
    <cellStyle name="Porcentual 132 12 2" xfId="5286" xr:uid="{00000000-0005-0000-0000-0000F5150000}"/>
    <cellStyle name="Porcentual 132 12 3" xfId="7960" xr:uid="{00000000-0005-0000-0000-0000F6150000}"/>
    <cellStyle name="Porcentual 132 13" xfId="1626" xr:uid="{00000000-0005-0000-0000-0000F7150000}"/>
    <cellStyle name="Porcentual 132 13 2" xfId="5287" xr:uid="{00000000-0005-0000-0000-0000F8150000}"/>
    <cellStyle name="Porcentual 132 13 3" xfId="7961" xr:uid="{00000000-0005-0000-0000-0000F9150000}"/>
    <cellStyle name="Porcentual 132 14" xfId="1627" xr:uid="{00000000-0005-0000-0000-0000FA150000}"/>
    <cellStyle name="Porcentual 132 14 2" xfId="5288" xr:uid="{00000000-0005-0000-0000-0000FB150000}"/>
    <cellStyle name="Porcentual 132 14 3" xfId="7962" xr:uid="{00000000-0005-0000-0000-0000FC150000}"/>
    <cellStyle name="Porcentual 132 15" xfId="1628" xr:uid="{00000000-0005-0000-0000-0000FD150000}"/>
    <cellStyle name="Porcentual 132 15 2" xfId="5289" xr:uid="{00000000-0005-0000-0000-0000FE150000}"/>
    <cellStyle name="Porcentual 132 15 3" xfId="7963" xr:uid="{00000000-0005-0000-0000-0000FF150000}"/>
    <cellStyle name="Porcentual 132 16" xfId="1629" xr:uid="{00000000-0005-0000-0000-000000160000}"/>
    <cellStyle name="Porcentual 132 16 2" xfId="5290" xr:uid="{00000000-0005-0000-0000-000001160000}"/>
    <cellStyle name="Porcentual 132 16 3" xfId="7964" xr:uid="{00000000-0005-0000-0000-000002160000}"/>
    <cellStyle name="Porcentual 132 17" xfId="1630" xr:uid="{00000000-0005-0000-0000-000003160000}"/>
    <cellStyle name="Porcentual 132 17 2" xfId="5291" xr:uid="{00000000-0005-0000-0000-000004160000}"/>
    <cellStyle name="Porcentual 132 17 3" xfId="7965" xr:uid="{00000000-0005-0000-0000-000005160000}"/>
    <cellStyle name="Porcentual 132 18" xfId="1631" xr:uid="{00000000-0005-0000-0000-000006160000}"/>
    <cellStyle name="Porcentual 132 18 2" xfId="5292" xr:uid="{00000000-0005-0000-0000-000007160000}"/>
    <cellStyle name="Porcentual 132 18 3" xfId="7966" xr:uid="{00000000-0005-0000-0000-000008160000}"/>
    <cellStyle name="Porcentual 132 19" xfId="1632" xr:uid="{00000000-0005-0000-0000-000009160000}"/>
    <cellStyle name="Porcentual 132 19 2" xfId="5293" xr:uid="{00000000-0005-0000-0000-00000A160000}"/>
    <cellStyle name="Porcentual 132 19 3" xfId="7967" xr:uid="{00000000-0005-0000-0000-00000B160000}"/>
    <cellStyle name="Porcentual 132 2" xfId="1633" xr:uid="{00000000-0005-0000-0000-00000C160000}"/>
    <cellStyle name="Porcentual 132 2 2" xfId="5294" xr:uid="{00000000-0005-0000-0000-00000D160000}"/>
    <cellStyle name="Porcentual 132 2 3" xfId="7968" xr:uid="{00000000-0005-0000-0000-00000E160000}"/>
    <cellStyle name="Porcentual 132 20" xfId="1634" xr:uid="{00000000-0005-0000-0000-00000F160000}"/>
    <cellStyle name="Porcentual 132 20 2" xfId="5295" xr:uid="{00000000-0005-0000-0000-000010160000}"/>
    <cellStyle name="Porcentual 132 20 3" xfId="7969" xr:uid="{00000000-0005-0000-0000-000011160000}"/>
    <cellStyle name="Porcentual 132 21" xfId="1635" xr:uid="{00000000-0005-0000-0000-000012160000}"/>
    <cellStyle name="Porcentual 132 21 2" xfId="5296" xr:uid="{00000000-0005-0000-0000-000013160000}"/>
    <cellStyle name="Porcentual 132 21 3" xfId="7970" xr:uid="{00000000-0005-0000-0000-000014160000}"/>
    <cellStyle name="Porcentual 132 22" xfId="1636" xr:uid="{00000000-0005-0000-0000-000015160000}"/>
    <cellStyle name="Porcentual 132 22 2" xfId="5297" xr:uid="{00000000-0005-0000-0000-000016160000}"/>
    <cellStyle name="Porcentual 132 22 3" xfId="7971" xr:uid="{00000000-0005-0000-0000-000017160000}"/>
    <cellStyle name="Porcentual 132 23" xfId="1637" xr:uid="{00000000-0005-0000-0000-000018160000}"/>
    <cellStyle name="Porcentual 132 23 2" xfId="5298" xr:uid="{00000000-0005-0000-0000-000019160000}"/>
    <cellStyle name="Porcentual 132 23 3" xfId="7972" xr:uid="{00000000-0005-0000-0000-00001A160000}"/>
    <cellStyle name="Porcentual 132 24" xfId="1638" xr:uid="{00000000-0005-0000-0000-00001B160000}"/>
    <cellStyle name="Porcentual 132 24 2" xfId="5299" xr:uid="{00000000-0005-0000-0000-00001C160000}"/>
    <cellStyle name="Porcentual 132 24 3" xfId="7973" xr:uid="{00000000-0005-0000-0000-00001D160000}"/>
    <cellStyle name="Porcentual 132 25" xfId="1639" xr:uid="{00000000-0005-0000-0000-00001E160000}"/>
    <cellStyle name="Porcentual 132 25 2" xfId="5300" xr:uid="{00000000-0005-0000-0000-00001F160000}"/>
    <cellStyle name="Porcentual 132 25 3" xfId="7974" xr:uid="{00000000-0005-0000-0000-000020160000}"/>
    <cellStyle name="Porcentual 132 26" xfId="1640" xr:uid="{00000000-0005-0000-0000-000021160000}"/>
    <cellStyle name="Porcentual 132 26 2" xfId="5301" xr:uid="{00000000-0005-0000-0000-000022160000}"/>
    <cellStyle name="Porcentual 132 26 3" xfId="7975" xr:uid="{00000000-0005-0000-0000-000023160000}"/>
    <cellStyle name="Porcentual 132 27" xfId="1641" xr:uid="{00000000-0005-0000-0000-000024160000}"/>
    <cellStyle name="Porcentual 132 27 2" xfId="5302" xr:uid="{00000000-0005-0000-0000-000025160000}"/>
    <cellStyle name="Porcentual 132 27 3" xfId="7976" xr:uid="{00000000-0005-0000-0000-000026160000}"/>
    <cellStyle name="Porcentual 132 28" xfId="1642" xr:uid="{00000000-0005-0000-0000-000027160000}"/>
    <cellStyle name="Porcentual 132 28 2" xfId="5303" xr:uid="{00000000-0005-0000-0000-000028160000}"/>
    <cellStyle name="Porcentual 132 28 3" xfId="7977" xr:uid="{00000000-0005-0000-0000-000029160000}"/>
    <cellStyle name="Porcentual 132 3" xfId="1643" xr:uid="{00000000-0005-0000-0000-00002A160000}"/>
    <cellStyle name="Porcentual 132 3 2" xfId="5304" xr:uid="{00000000-0005-0000-0000-00002B160000}"/>
    <cellStyle name="Porcentual 132 3 3" xfId="7978" xr:uid="{00000000-0005-0000-0000-00002C160000}"/>
    <cellStyle name="Porcentual 132 4" xfId="1644" xr:uid="{00000000-0005-0000-0000-00002D160000}"/>
    <cellStyle name="Porcentual 132 4 2" xfId="5305" xr:uid="{00000000-0005-0000-0000-00002E160000}"/>
    <cellStyle name="Porcentual 132 4 3" xfId="7979" xr:uid="{00000000-0005-0000-0000-00002F160000}"/>
    <cellStyle name="Porcentual 132 5" xfId="1645" xr:uid="{00000000-0005-0000-0000-000030160000}"/>
    <cellStyle name="Porcentual 132 5 2" xfId="5306" xr:uid="{00000000-0005-0000-0000-000031160000}"/>
    <cellStyle name="Porcentual 132 5 3" xfId="7980" xr:uid="{00000000-0005-0000-0000-000032160000}"/>
    <cellStyle name="Porcentual 132 6" xfId="1646" xr:uid="{00000000-0005-0000-0000-000033160000}"/>
    <cellStyle name="Porcentual 132 6 2" xfId="5307" xr:uid="{00000000-0005-0000-0000-000034160000}"/>
    <cellStyle name="Porcentual 132 6 3" xfId="7981" xr:uid="{00000000-0005-0000-0000-000035160000}"/>
    <cellStyle name="Porcentual 132 7" xfId="1647" xr:uid="{00000000-0005-0000-0000-000036160000}"/>
    <cellStyle name="Porcentual 132 7 2" xfId="5308" xr:uid="{00000000-0005-0000-0000-000037160000}"/>
    <cellStyle name="Porcentual 132 7 3" xfId="7982" xr:uid="{00000000-0005-0000-0000-000038160000}"/>
    <cellStyle name="Porcentual 132 8" xfId="1648" xr:uid="{00000000-0005-0000-0000-000039160000}"/>
    <cellStyle name="Porcentual 132 8 2" xfId="5309" xr:uid="{00000000-0005-0000-0000-00003A160000}"/>
    <cellStyle name="Porcentual 132 8 3" xfId="7983" xr:uid="{00000000-0005-0000-0000-00003B160000}"/>
    <cellStyle name="Porcentual 132 9" xfId="1649" xr:uid="{00000000-0005-0000-0000-00003C160000}"/>
    <cellStyle name="Porcentual 132 9 2" xfId="5310" xr:uid="{00000000-0005-0000-0000-00003D160000}"/>
    <cellStyle name="Porcentual 132 9 3" xfId="7984" xr:uid="{00000000-0005-0000-0000-00003E160000}"/>
    <cellStyle name="Porcentual 133 10" xfId="1650" xr:uid="{00000000-0005-0000-0000-00003F160000}"/>
    <cellStyle name="Porcentual 133 10 2" xfId="5311" xr:uid="{00000000-0005-0000-0000-000040160000}"/>
    <cellStyle name="Porcentual 133 10 3" xfId="7985" xr:uid="{00000000-0005-0000-0000-000041160000}"/>
    <cellStyle name="Porcentual 133 11" xfId="1651" xr:uid="{00000000-0005-0000-0000-000042160000}"/>
    <cellStyle name="Porcentual 133 11 2" xfId="5312" xr:uid="{00000000-0005-0000-0000-000043160000}"/>
    <cellStyle name="Porcentual 133 11 3" xfId="7986" xr:uid="{00000000-0005-0000-0000-000044160000}"/>
    <cellStyle name="Porcentual 133 12" xfId="1652" xr:uid="{00000000-0005-0000-0000-000045160000}"/>
    <cellStyle name="Porcentual 133 12 2" xfId="5313" xr:uid="{00000000-0005-0000-0000-000046160000}"/>
    <cellStyle name="Porcentual 133 12 3" xfId="7987" xr:uid="{00000000-0005-0000-0000-000047160000}"/>
    <cellStyle name="Porcentual 133 13" xfId="1653" xr:uid="{00000000-0005-0000-0000-000048160000}"/>
    <cellStyle name="Porcentual 133 13 2" xfId="5314" xr:uid="{00000000-0005-0000-0000-000049160000}"/>
    <cellStyle name="Porcentual 133 13 3" xfId="7988" xr:uid="{00000000-0005-0000-0000-00004A160000}"/>
    <cellStyle name="Porcentual 133 14" xfId="1654" xr:uid="{00000000-0005-0000-0000-00004B160000}"/>
    <cellStyle name="Porcentual 133 14 2" xfId="5315" xr:uid="{00000000-0005-0000-0000-00004C160000}"/>
    <cellStyle name="Porcentual 133 14 3" xfId="7989" xr:uid="{00000000-0005-0000-0000-00004D160000}"/>
    <cellStyle name="Porcentual 133 15" xfId="1655" xr:uid="{00000000-0005-0000-0000-00004E160000}"/>
    <cellStyle name="Porcentual 133 15 2" xfId="5316" xr:uid="{00000000-0005-0000-0000-00004F160000}"/>
    <cellStyle name="Porcentual 133 15 3" xfId="7990" xr:uid="{00000000-0005-0000-0000-000050160000}"/>
    <cellStyle name="Porcentual 133 16" xfId="1656" xr:uid="{00000000-0005-0000-0000-000051160000}"/>
    <cellStyle name="Porcentual 133 16 2" xfId="5317" xr:uid="{00000000-0005-0000-0000-000052160000}"/>
    <cellStyle name="Porcentual 133 16 3" xfId="7991" xr:uid="{00000000-0005-0000-0000-000053160000}"/>
    <cellStyle name="Porcentual 133 17" xfId="1657" xr:uid="{00000000-0005-0000-0000-000054160000}"/>
    <cellStyle name="Porcentual 133 17 2" xfId="5318" xr:uid="{00000000-0005-0000-0000-000055160000}"/>
    <cellStyle name="Porcentual 133 17 3" xfId="7992" xr:uid="{00000000-0005-0000-0000-000056160000}"/>
    <cellStyle name="Porcentual 133 18" xfId="1658" xr:uid="{00000000-0005-0000-0000-000057160000}"/>
    <cellStyle name="Porcentual 133 18 2" xfId="5319" xr:uid="{00000000-0005-0000-0000-000058160000}"/>
    <cellStyle name="Porcentual 133 18 3" xfId="7993" xr:uid="{00000000-0005-0000-0000-000059160000}"/>
    <cellStyle name="Porcentual 133 19" xfId="1659" xr:uid="{00000000-0005-0000-0000-00005A160000}"/>
    <cellStyle name="Porcentual 133 19 2" xfId="5320" xr:uid="{00000000-0005-0000-0000-00005B160000}"/>
    <cellStyle name="Porcentual 133 19 3" xfId="7994" xr:uid="{00000000-0005-0000-0000-00005C160000}"/>
    <cellStyle name="Porcentual 133 2" xfId="1660" xr:uid="{00000000-0005-0000-0000-00005D160000}"/>
    <cellStyle name="Porcentual 133 2 2" xfId="5321" xr:uid="{00000000-0005-0000-0000-00005E160000}"/>
    <cellStyle name="Porcentual 133 2 3" xfId="7995" xr:uid="{00000000-0005-0000-0000-00005F160000}"/>
    <cellStyle name="Porcentual 133 20" xfId="1661" xr:uid="{00000000-0005-0000-0000-000060160000}"/>
    <cellStyle name="Porcentual 133 20 2" xfId="5322" xr:uid="{00000000-0005-0000-0000-000061160000}"/>
    <cellStyle name="Porcentual 133 20 3" xfId="7996" xr:uid="{00000000-0005-0000-0000-000062160000}"/>
    <cellStyle name="Porcentual 133 21" xfId="1662" xr:uid="{00000000-0005-0000-0000-000063160000}"/>
    <cellStyle name="Porcentual 133 21 2" xfId="5323" xr:uid="{00000000-0005-0000-0000-000064160000}"/>
    <cellStyle name="Porcentual 133 21 3" xfId="7997" xr:uid="{00000000-0005-0000-0000-000065160000}"/>
    <cellStyle name="Porcentual 133 22" xfId="1663" xr:uid="{00000000-0005-0000-0000-000066160000}"/>
    <cellStyle name="Porcentual 133 22 2" xfId="5324" xr:uid="{00000000-0005-0000-0000-000067160000}"/>
    <cellStyle name="Porcentual 133 22 3" xfId="7998" xr:uid="{00000000-0005-0000-0000-000068160000}"/>
    <cellStyle name="Porcentual 133 23" xfId="1664" xr:uid="{00000000-0005-0000-0000-000069160000}"/>
    <cellStyle name="Porcentual 133 23 2" xfId="5325" xr:uid="{00000000-0005-0000-0000-00006A160000}"/>
    <cellStyle name="Porcentual 133 23 3" xfId="7999" xr:uid="{00000000-0005-0000-0000-00006B160000}"/>
    <cellStyle name="Porcentual 133 24" xfId="1665" xr:uid="{00000000-0005-0000-0000-00006C160000}"/>
    <cellStyle name="Porcentual 133 24 2" xfId="5326" xr:uid="{00000000-0005-0000-0000-00006D160000}"/>
    <cellStyle name="Porcentual 133 24 3" xfId="8000" xr:uid="{00000000-0005-0000-0000-00006E160000}"/>
    <cellStyle name="Porcentual 133 25" xfId="1666" xr:uid="{00000000-0005-0000-0000-00006F160000}"/>
    <cellStyle name="Porcentual 133 25 2" xfId="5327" xr:uid="{00000000-0005-0000-0000-000070160000}"/>
    <cellStyle name="Porcentual 133 25 3" xfId="8001" xr:uid="{00000000-0005-0000-0000-000071160000}"/>
    <cellStyle name="Porcentual 133 26" xfId="1667" xr:uid="{00000000-0005-0000-0000-000072160000}"/>
    <cellStyle name="Porcentual 133 26 2" xfId="5328" xr:uid="{00000000-0005-0000-0000-000073160000}"/>
    <cellStyle name="Porcentual 133 26 3" xfId="8002" xr:uid="{00000000-0005-0000-0000-000074160000}"/>
    <cellStyle name="Porcentual 133 27" xfId="1668" xr:uid="{00000000-0005-0000-0000-000075160000}"/>
    <cellStyle name="Porcentual 133 27 2" xfId="5329" xr:uid="{00000000-0005-0000-0000-000076160000}"/>
    <cellStyle name="Porcentual 133 27 3" xfId="8003" xr:uid="{00000000-0005-0000-0000-000077160000}"/>
    <cellStyle name="Porcentual 133 28" xfId="1669" xr:uid="{00000000-0005-0000-0000-000078160000}"/>
    <cellStyle name="Porcentual 133 28 2" xfId="5330" xr:uid="{00000000-0005-0000-0000-000079160000}"/>
    <cellStyle name="Porcentual 133 28 3" xfId="8004" xr:uid="{00000000-0005-0000-0000-00007A160000}"/>
    <cellStyle name="Porcentual 133 3" xfId="1670" xr:uid="{00000000-0005-0000-0000-00007B160000}"/>
    <cellStyle name="Porcentual 133 3 2" xfId="5331" xr:uid="{00000000-0005-0000-0000-00007C160000}"/>
    <cellStyle name="Porcentual 133 3 3" xfId="8005" xr:uid="{00000000-0005-0000-0000-00007D160000}"/>
    <cellStyle name="Porcentual 133 4" xfId="1671" xr:uid="{00000000-0005-0000-0000-00007E160000}"/>
    <cellStyle name="Porcentual 133 4 2" xfId="5332" xr:uid="{00000000-0005-0000-0000-00007F160000}"/>
    <cellStyle name="Porcentual 133 4 3" xfId="8006" xr:uid="{00000000-0005-0000-0000-000080160000}"/>
    <cellStyle name="Porcentual 133 5" xfId="1672" xr:uid="{00000000-0005-0000-0000-000081160000}"/>
    <cellStyle name="Porcentual 133 5 2" xfId="5333" xr:uid="{00000000-0005-0000-0000-000082160000}"/>
    <cellStyle name="Porcentual 133 5 3" xfId="8007" xr:uid="{00000000-0005-0000-0000-000083160000}"/>
    <cellStyle name="Porcentual 133 6" xfId="1673" xr:uid="{00000000-0005-0000-0000-000084160000}"/>
    <cellStyle name="Porcentual 133 6 2" xfId="5334" xr:uid="{00000000-0005-0000-0000-000085160000}"/>
    <cellStyle name="Porcentual 133 6 3" xfId="8008" xr:uid="{00000000-0005-0000-0000-000086160000}"/>
    <cellStyle name="Porcentual 133 7" xfId="1674" xr:uid="{00000000-0005-0000-0000-000087160000}"/>
    <cellStyle name="Porcentual 133 7 2" xfId="5335" xr:uid="{00000000-0005-0000-0000-000088160000}"/>
    <cellStyle name="Porcentual 133 7 3" xfId="8009" xr:uid="{00000000-0005-0000-0000-000089160000}"/>
    <cellStyle name="Porcentual 133 8" xfId="1675" xr:uid="{00000000-0005-0000-0000-00008A160000}"/>
    <cellStyle name="Porcentual 133 8 2" xfId="5336" xr:uid="{00000000-0005-0000-0000-00008B160000}"/>
    <cellStyle name="Porcentual 133 8 3" xfId="8010" xr:uid="{00000000-0005-0000-0000-00008C160000}"/>
    <cellStyle name="Porcentual 133 9" xfId="1676" xr:uid="{00000000-0005-0000-0000-00008D160000}"/>
    <cellStyle name="Porcentual 133 9 2" xfId="5337" xr:uid="{00000000-0005-0000-0000-00008E160000}"/>
    <cellStyle name="Porcentual 133 9 3" xfId="8011" xr:uid="{00000000-0005-0000-0000-00008F160000}"/>
    <cellStyle name="Porcentual 134 10" xfId="1677" xr:uid="{00000000-0005-0000-0000-000090160000}"/>
    <cellStyle name="Porcentual 134 10 2" xfId="5338" xr:uid="{00000000-0005-0000-0000-000091160000}"/>
    <cellStyle name="Porcentual 134 10 3" xfId="8012" xr:uid="{00000000-0005-0000-0000-000092160000}"/>
    <cellStyle name="Porcentual 134 11" xfId="1678" xr:uid="{00000000-0005-0000-0000-000093160000}"/>
    <cellStyle name="Porcentual 134 11 2" xfId="5339" xr:uid="{00000000-0005-0000-0000-000094160000}"/>
    <cellStyle name="Porcentual 134 11 3" xfId="8013" xr:uid="{00000000-0005-0000-0000-000095160000}"/>
    <cellStyle name="Porcentual 134 12" xfId="1679" xr:uid="{00000000-0005-0000-0000-000096160000}"/>
    <cellStyle name="Porcentual 134 12 2" xfId="5340" xr:uid="{00000000-0005-0000-0000-000097160000}"/>
    <cellStyle name="Porcentual 134 12 3" xfId="8014" xr:uid="{00000000-0005-0000-0000-000098160000}"/>
    <cellStyle name="Porcentual 134 13" xfId="1680" xr:uid="{00000000-0005-0000-0000-000099160000}"/>
    <cellStyle name="Porcentual 134 13 2" xfId="5341" xr:uid="{00000000-0005-0000-0000-00009A160000}"/>
    <cellStyle name="Porcentual 134 13 3" xfId="8015" xr:uid="{00000000-0005-0000-0000-00009B160000}"/>
    <cellStyle name="Porcentual 134 14" xfId="1681" xr:uid="{00000000-0005-0000-0000-00009C160000}"/>
    <cellStyle name="Porcentual 134 14 2" xfId="5342" xr:uid="{00000000-0005-0000-0000-00009D160000}"/>
    <cellStyle name="Porcentual 134 14 3" xfId="8016" xr:uid="{00000000-0005-0000-0000-00009E160000}"/>
    <cellStyle name="Porcentual 134 15" xfId="1682" xr:uid="{00000000-0005-0000-0000-00009F160000}"/>
    <cellStyle name="Porcentual 134 15 2" xfId="5343" xr:uid="{00000000-0005-0000-0000-0000A0160000}"/>
    <cellStyle name="Porcentual 134 15 3" xfId="8017" xr:uid="{00000000-0005-0000-0000-0000A1160000}"/>
    <cellStyle name="Porcentual 134 16" xfId="1683" xr:uid="{00000000-0005-0000-0000-0000A2160000}"/>
    <cellStyle name="Porcentual 134 16 2" xfId="5344" xr:uid="{00000000-0005-0000-0000-0000A3160000}"/>
    <cellStyle name="Porcentual 134 16 3" xfId="8018" xr:uid="{00000000-0005-0000-0000-0000A4160000}"/>
    <cellStyle name="Porcentual 134 17" xfId="1684" xr:uid="{00000000-0005-0000-0000-0000A5160000}"/>
    <cellStyle name="Porcentual 134 17 2" xfId="5345" xr:uid="{00000000-0005-0000-0000-0000A6160000}"/>
    <cellStyle name="Porcentual 134 17 3" xfId="8019" xr:uid="{00000000-0005-0000-0000-0000A7160000}"/>
    <cellStyle name="Porcentual 134 18" xfId="1685" xr:uid="{00000000-0005-0000-0000-0000A8160000}"/>
    <cellStyle name="Porcentual 134 18 2" xfId="5346" xr:uid="{00000000-0005-0000-0000-0000A9160000}"/>
    <cellStyle name="Porcentual 134 18 3" xfId="8020" xr:uid="{00000000-0005-0000-0000-0000AA160000}"/>
    <cellStyle name="Porcentual 134 19" xfId="1686" xr:uid="{00000000-0005-0000-0000-0000AB160000}"/>
    <cellStyle name="Porcentual 134 19 2" xfId="5347" xr:uid="{00000000-0005-0000-0000-0000AC160000}"/>
    <cellStyle name="Porcentual 134 19 3" xfId="8021" xr:uid="{00000000-0005-0000-0000-0000AD160000}"/>
    <cellStyle name="Porcentual 134 2" xfId="1687" xr:uid="{00000000-0005-0000-0000-0000AE160000}"/>
    <cellStyle name="Porcentual 134 2 2" xfId="5348" xr:uid="{00000000-0005-0000-0000-0000AF160000}"/>
    <cellStyle name="Porcentual 134 2 3" xfId="8022" xr:uid="{00000000-0005-0000-0000-0000B0160000}"/>
    <cellStyle name="Porcentual 134 20" xfId="1688" xr:uid="{00000000-0005-0000-0000-0000B1160000}"/>
    <cellStyle name="Porcentual 134 20 2" xfId="5349" xr:uid="{00000000-0005-0000-0000-0000B2160000}"/>
    <cellStyle name="Porcentual 134 20 3" xfId="8023" xr:uid="{00000000-0005-0000-0000-0000B3160000}"/>
    <cellStyle name="Porcentual 134 21" xfId="1689" xr:uid="{00000000-0005-0000-0000-0000B4160000}"/>
    <cellStyle name="Porcentual 134 21 2" xfId="5350" xr:uid="{00000000-0005-0000-0000-0000B5160000}"/>
    <cellStyle name="Porcentual 134 21 3" xfId="8024" xr:uid="{00000000-0005-0000-0000-0000B6160000}"/>
    <cellStyle name="Porcentual 134 22" xfId="1690" xr:uid="{00000000-0005-0000-0000-0000B7160000}"/>
    <cellStyle name="Porcentual 134 22 2" xfId="5351" xr:uid="{00000000-0005-0000-0000-0000B8160000}"/>
    <cellStyle name="Porcentual 134 22 3" xfId="8025" xr:uid="{00000000-0005-0000-0000-0000B9160000}"/>
    <cellStyle name="Porcentual 134 23" xfId="1691" xr:uid="{00000000-0005-0000-0000-0000BA160000}"/>
    <cellStyle name="Porcentual 134 23 2" xfId="5352" xr:uid="{00000000-0005-0000-0000-0000BB160000}"/>
    <cellStyle name="Porcentual 134 23 3" xfId="8026" xr:uid="{00000000-0005-0000-0000-0000BC160000}"/>
    <cellStyle name="Porcentual 134 24" xfId="1692" xr:uid="{00000000-0005-0000-0000-0000BD160000}"/>
    <cellStyle name="Porcentual 134 24 2" xfId="5353" xr:uid="{00000000-0005-0000-0000-0000BE160000}"/>
    <cellStyle name="Porcentual 134 24 3" xfId="8027" xr:uid="{00000000-0005-0000-0000-0000BF160000}"/>
    <cellStyle name="Porcentual 134 25" xfId="1693" xr:uid="{00000000-0005-0000-0000-0000C0160000}"/>
    <cellStyle name="Porcentual 134 25 2" xfId="5354" xr:uid="{00000000-0005-0000-0000-0000C1160000}"/>
    <cellStyle name="Porcentual 134 25 3" xfId="8028" xr:uid="{00000000-0005-0000-0000-0000C2160000}"/>
    <cellStyle name="Porcentual 134 26" xfId="1694" xr:uid="{00000000-0005-0000-0000-0000C3160000}"/>
    <cellStyle name="Porcentual 134 26 2" xfId="5355" xr:uid="{00000000-0005-0000-0000-0000C4160000}"/>
    <cellStyle name="Porcentual 134 26 3" xfId="8029" xr:uid="{00000000-0005-0000-0000-0000C5160000}"/>
    <cellStyle name="Porcentual 134 27" xfId="1695" xr:uid="{00000000-0005-0000-0000-0000C6160000}"/>
    <cellStyle name="Porcentual 134 27 2" xfId="5356" xr:uid="{00000000-0005-0000-0000-0000C7160000}"/>
    <cellStyle name="Porcentual 134 27 3" xfId="8030" xr:uid="{00000000-0005-0000-0000-0000C8160000}"/>
    <cellStyle name="Porcentual 134 28" xfId="1696" xr:uid="{00000000-0005-0000-0000-0000C9160000}"/>
    <cellStyle name="Porcentual 134 28 2" xfId="5357" xr:uid="{00000000-0005-0000-0000-0000CA160000}"/>
    <cellStyle name="Porcentual 134 28 3" xfId="8031" xr:uid="{00000000-0005-0000-0000-0000CB160000}"/>
    <cellStyle name="Porcentual 134 3" xfId="1697" xr:uid="{00000000-0005-0000-0000-0000CC160000}"/>
    <cellStyle name="Porcentual 134 3 2" xfId="5358" xr:uid="{00000000-0005-0000-0000-0000CD160000}"/>
    <cellStyle name="Porcentual 134 3 3" xfId="8032" xr:uid="{00000000-0005-0000-0000-0000CE160000}"/>
    <cellStyle name="Porcentual 134 4" xfId="1698" xr:uid="{00000000-0005-0000-0000-0000CF160000}"/>
    <cellStyle name="Porcentual 134 4 2" xfId="5359" xr:uid="{00000000-0005-0000-0000-0000D0160000}"/>
    <cellStyle name="Porcentual 134 4 3" xfId="8033" xr:uid="{00000000-0005-0000-0000-0000D1160000}"/>
    <cellStyle name="Porcentual 134 5" xfId="1699" xr:uid="{00000000-0005-0000-0000-0000D2160000}"/>
    <cellStyle name="Porcentual 134 5 2" xfId="5360" xr:uid="{00000000-0005-0000-0000-0000D3160000}"/>
    <cellStyle name="Porcentual 134 5 3" xfId="8034" xr:uid="{00000000-0005-0000-0000-0000D4160000}"/>
    <cellStyle name="Porcentual 134 6" xfId="1700" xr:uid="{00000000-0005-0000-0000-0000D5160000}"/>
    <cellStyle name="Porcentual 134 6 2" xfId="5361" xr:uid="{00000000-0005-0000-0000-0000D6160000}"/>
    <cellStyle name="Porcentual 134 6 3" xfId="8035" xr:uid="{00000000-0005-0000-0000-0000D7160000}"/>
    <cellStyle name="Porcentual 134 7" xfId="1701" xr:uid="{00000000-0005-0000-0000-0000D8160000}"/>
    <cellStyle name="Porcentual 134 7 2" xfId="5362" xr:uid="{00000000-0005-0000-0000-0000D9160000}"/>
    <cellStyle name="Porcentual 134 7 3" xfId="8036" xr:uid="{00000000-0005-0000-0000-0000DA160000}"/>
    <cellStyle name="Porcentual 134 8" xfId="1702" xr:uid="{00000000-0005-0000-0000-0000DB160000}"/>
    <cellStyle name="Porcentual 134 8 2" xfId="5363" xr:uid="{00000000-0005-0000-0000-0000DC160000}"/>
    <cellStyle name="Porcentual 134 8 3" xfId="8037" xr:uid="{00000000-0005-0000-0000-0000DD160000}"/>
    <cellStyle name="Porcentual 134 9" xfId="1703" xr:uid="{00000000-0005-0000-0000-0000DE160000}"/>
    <cellStyle name="Porcentual 134 9 2" xfId="5364" xr:uid="{00000000-0005-0000-0000-0000DF160000}"/>
    <cellStyle name="Porcentual 134 9 3" xfId="8038" xr:uid="{00000000-0005-0000-0000-0000E0160000}"/>
    <cellStyle name="Porcentual 135 10" xfId="1704" xr:uid="{00000000-0005-0000-0000-0000E1160000}"/>
    <cellStyle name="Porcentual 135 10 2" xfId="5365" xr:uid="{00000000-0005-0000-0000-0000E2160000}"/>
    <cellStyle name="Porcentual 135 10 3" xfId="8039" xr:uid="{00000000-0005-0000-0000-0000E3160000}"/>
    <cellStyle name="Porcentual 135 11" xfId="1705" xr:uid="{00000000-0005-0000-0000-0000E4160000}"/>
    <cellStyle name="Porcentual 135 11 2" xfId="5366" xr:uid="{00000000-0005-0000-0000-0000E5160000}"/>
    <cellStyle name="Porcentual 135 11 3" xfId="8040" xr:uid="{00000000-0005-0000-0000-0000E6160000}"/>
    <cellStyle name="Porcentual 135 12" xfId="1706" xr:uid="{00000000-0005-0000-0000-0000E7160000}"/>
    <cellStyle name="Porcentual 135 12 2" xfId="5367" xr:uid="{00000000-0005-0000-0000-0000E8160000}"/>
    <cellStyle name="Porcentual 135 12 3" xfId="8041" xr:uid="{00000000-0005-0000-0000-0000E9160000}"/>
    <cellStyle name="Porcentual 135 13" xfId="1707" xr:uid="{00000000-0005-0000-0000-0000EA160000}"/>
    <cellStyle name="Porcentual 135 13 2" xfId="5368" xr:uid="{00000000-0005-0000-0000-0000EB160000}"/>
    <cellStyle name="Porcentual 135 13 3" xfId="8042" xr:uid="{00000000-0005-0000-0000-0000EC160000}"/>
    <cellStyle name="Porcentual 135 14" xfId="1708" xr:uid="{00000000-0005-0000-0000-0000ED160000}"/>
    <cellStyle name="Porcentual 135 14 2" xfId="5369" xr:uid="{00000000-0005-0000-0000-0000EE160000}"/>
    <cellStyle name="Porcentual 135 14 3" xfId="8043" xr:uid="{00000000-0005-0000-0000-0000EF160000}"/>
    <cellStyle name="Porcentual 135 15" xfId="1709" xr:uid="{00000000-0005-0000-0000-0000F0160000}"/>
    <cellStyle name="Porcentual 135 15 2" xfId="5370" xr:uid="{00000000-0005-0000-0000-0000F1160000}"/>
    <cellStyle name="Porcentual 135 15 3" xfId="8044" xr:uid="{00000000-0005-0000-0000-0000F2160000}"/>
    <cellStyle name="Porcentual 135 16" xfId="1710" xr:uid="{00000000-0005-0000-0000-0000F3160000}"/>
    <cellStyle name="Porcentual 135 16 2" xfId="5371" xr:uid="{00000000-0005-0000-0000-0000F4160000}"/>
    <cellStyle name="Porcentual 135 16 3" xfId="8045" xr:uid="{00000000-0005-0000-0000-0000F5160000}"/>
    <cellStyle name="Porcentual 135 17" xfId="1711" xr:uid="{00000000-0005-0000-0000-0000F6160000}"/>
    <cellStyle name="Porcentual 135 17 2" xfId="5372" xr:uid="{00000000-0005-0000-0000-0000F7160000}"/>
    <cellStyle name="Porcentual 135 17 3" xfId="8046" xr:uid="{00000000-0005-0000-0000-0000F8160000}"/>
    <cellStyle name="Porcentual 135 18" xfId="1712" xr:uid="{00000000-0005-0000-0000-0000F9160000}"/>
    <cellStyle name="Porcentual 135 18 2" xfId="5373" xr:uid="{00000000-0005-0000-0000-0000FA160000}"/>
    <cellStyle name="Porcentual 135 18 3" xfId="8047" xr:uid="{00000000-0005-0000-0000-0000FB160000}"/>
    <cellStyle name="Porcentual 135 19" xfId="1713" xr:uid="{00000000-0005-0000-0000-0000FC160000}"/>
    <cellStyle name="Porcentual 135 19 2" xfId="5374" xr:uid="{00000000-0005-0000-0000-0000FD160000}"/>
    <cellStyle name="Porcentual 135 19 3" xfId="8048" xr:uid="{00000000-0005-0000-0000-0000FE160000}"/>
    <cellStyle name="Porcentual 135 2" xfId="1714" xr:uid="{00000000-0005-0000-0000-0000FF160000}"/>
    <cellStyle name="Porcentual 135 2 2" xfId="5375" xr:uid="{00000000-0005-0000-0000-000000170000}"/>
    <cellStyle name="Porcentual 135 2 3" xfId="8049" xr:uid="{00000000-0005-0000-0000-000001170000}"/>
    <cellStyle name="Porcentual 135 20" xfId="1715" xr:uid="{00000000-0005-0000-0000-000002170000}"/>
    <cellStyle name="Porcentual 135 20 2" xfId="5376" xr:uid="{00000000-0005-0000-0000-000003170000}"/>
    <cellStyle name="Porcentual 135 20 3" xfId="8050" xr:uid="{00000000-0005-0000-0000-000004170000}"/>
    <cellStyle name="Porcentual 135 21" xfId="1716" xr:uid="{00000000-0005-0000-0000-000005170000}"/>
    <cellStyle name="Porcentual 135 21 2" xfId="5377" xr:uid="{00000000-0005-0000-0000-000006170000}"/>
    <cellStyle name="Porcentual 135 21 3" xfId="8051" xr:uid="{00000000-0005-0000-0000-000007170000}"/>
    <cellStyle name="Porcentual 135 22" xfId="1717" xr:uid="{00000000-0005-0000-0000-000008170000}"/>
    <cellStyle name="Porcentual 135 22 2" xfId="5378" xr:uid="{00000000-0005-0000-0000-000009170000}"/>
    <cellStyle name="Porcentual 135 22 3" xfId="8052" xr:uid="{00000000-0005-0000-0000-00000A170000}"/>
    <cellStyle name="Porcentual 135 23" xfId="1718" xr:uid="{00000000-0005-0000-0000-00000B170000}"/>
    <cellStyle name="Porcentual 135 23 2" xfId="5379" xr:uid="{00000000-0005-0000-0000-00000C170000}"/>
    <cellStyle name="Porcentual 135 23 3" xfId="8053" xr:uid="{00000000-0005-0000-0000-00000D170000}"/>
    <cellStyle name="Porcentual 135 24" xfId="1719" xr:uid="{00000000-0005-0000-0000-00000E170000}"/>
    <cellStyle name="Porcentual 135 24 2" xfId="5380" xr:uid="{00000000-0005-0000-0000-00000F170000}"/>
    <cellStyle name="Porcentual 135 24 3" xfId="8054" xr:uid="{00000000-0005-0000-0000-000010170000}"/>
    <cellStyle name="Porcentual 135 25" xfId="1720" xr:uid="{00000000-0005-0000-0000-000011170000}"/>
    <cellStyle name="Porcentual 135 25 2" xfId="5381" xr:uid="{00000000-0005-0000-0000-000012170000}"/>
    <cellStyle name="Porcentual 135 25 3" xfId="8055" xr:uid="{00000000-0005-0000-0000-000013170000}"/>
    <cellStyle name="Porcentual 135 26" xfId="1721" xr:uid="{00000000-0005-0000-0000-000014170000}"/>
    <cellStyle name="Porcentual 135 26 2" xfId="5382" xr:uid="{00000000-0005-0000-0000-000015170000}"/>
    <cellStyle name="Porcentual 135 26 3" xfId="8056" xr:uid="{00000000-0005-0000-0000-000016170000}"/>
    <cellStyle name="Porcentual 135 27" xfId="1722" xr:uid="{00000000-0005-0000-0000-000017170000}"/>
    <cellStyle name="Porcentual 135 27 2" xfId="5383" xr:uid="{00000000-0005-0000-0000-000018170000}"/>
    <cellStyle name="Porcentual 135 27 3" xfId="8057" xr:uid="{00000000-0005-0000-0000-000019170000}"/>
    <cellStyle name="Porcentual 135 28" xfId="1723" xr:uid="{00000000-0005-0000-0000-00001A170000}"/>
    <cellStyle name="Porcentual 135 28 2" xfId="5384" xr:uid="{00000000-0005-0000-0000-00001B170000}"/>
    <cellStyle name="Porcentual 135 28 3" xfId="8058" xr:uid="{00000000-0005-0000-0000-00001C170000}"/>
    <cellStyle name="Porcentual 135 3" xfId="1724" xr:uid="{00000000-0005-0000-0000-00001D170000}"/>
    <cellStyle name="Porcentual 135 3 2" xfId="5385" xr:uid="{00000000-0005-0000-0000-00001E170000}"/>
    <cellStyle name="Porcentual 135 3 3" xfId="8059" xr:uid="{00000000-0005-0000-0000-00001F170000}"/>
    <cellStyle name="Porcentual 135 4" xfId="1725" xr:uid="{00000000-0005-0000-0000-000020170000}"/>
    <cellStyle name="Porcentual 135 4 2" xfId="5386" xr:uid="{00000000-0005-0000-0000-000021170000}"/>
    <cellStyle name="Porcentual 135 4 3" xfId="8060" xr:uid="{00000000-0005-0000-0000-000022170000}"/>
    <cellStyle name="Porcentual 135 5" xfId="1726" xr:uid="{00000000-0005-0000-0000-000023170000}"/>
    <cellStyle name="Porcentual 135 5 2" xfId="5387" xr:uid="{00000000-0005-0000-0000-000024170000}"/>
    <cellStyle name="Porcentual 135 5 3" xfId="8061" xr:uid="{00000000-0005-0000-0000-000025170000}"/>
    <cellStyle name="Porcentual 135 6" xfId="1727" xr:uid="{00000000-0005-0000-0000-000026170000}"/>
    <cellStyle name="Porcentual 135 6 2" xfId="5388" xr:uid="{00000000-0005-0000-0000-000027170000}"/>
    <cellStyle name="Porcentual 135 6 3" xfId="8062" xr:uid="{00000000-0005-0000-0000-000028170000}"/>
    <cellStyle name="Porcentual 135 7" xfId="1728" xr:uid="{00000000-0005-0000-0000-000029170000}"/>
    <cellStyle name="Porcentual 135 7 2" xfId="5389" xr:uid="{00000000-0005-0000-0000-00002A170000}"/>
    <cellStyle name="Porcentual 135 7 3" xfId="8063" xr:uid="{00000000-0005-0000-0000-00002B170000}"/>
    <cellStyle name="Porcentual 135 8" xfId="1729" xr:uid="{00000000-0005-0000-0000-00002C170000}"/>
    <cellStyle name="Porcentual 135 8 2" xfId="5390" xr:uid="{00000000-0005-0000-0000-00002D170000}"/>
    <cellStyle name="Porcentual 135 8 3" xfId="8064" xr:uid="{00000000-0005-0000-0000-00002E170000}"/>
    <cellStyle name="Porcentual 135 9" xfId="1730" xr:uid="{00000000-0005-0000-0000-00002F170000}"/>
    <cellStyle name="Porcentual 135 9 2" xfId="5391" xr:uid="{00000000-0005-0000-0000-000030170000}"/>
    <cellStyle name="Porcentual 135 9 3" xfId="8065" xr:uid="{00000000-0005-0000-0000-000031170000}"/>
    <cellStyle name="Porcentual 136 10" xfId="1731" xr:uid="{00000000-0005-0000-0000-000032170000}"/>
    <cellStyle name="Porcentual 136 10 2" xfId="5392" xr:uid="{00000000-0005-0000-0000-000033170000}"/>
    <cellStyle name="Porcentual 136 10 3" xfId="8066" xr:uid="{00000000-0005-0000-0000-000034170000}"/>
    <cellStyle name="Porcentual 136 11" xfId="1732" xr:uid="{00000000-0005-0000-0000-000035170000}"/>
    <cellStyle name="Porcentual 136 11 2" xfId="5393" xr:uid="{00000000-0005-0000-0000-000036170000}"/>
    <cellStyle name="Porcentual 136 11 3" xfId="8067" xr:uid="{00000000-0005-0000-0000-000037170000}"/>
    <cellStyle name="Porcentual 136 12" xfId="1733" xr:uid="{00000000-0005-0000-0000-000038170000}"/>
    <cellStyle name="Porcentual 136 12 2" xfId="5394" xr:uid="{00000000-0005-0000-0000-000039170000}"/>
    <cellStyle name="Porcentual 136 12 3" xfId="8068" xr:uid="{00000000-0005-0000-0000-00003A170000}"/>
    <cellStyle name="Porcentual 136 13" xfId="1734" xr:uid="{00000000-0005-0000-0000-00003B170000}"/>
    <cellStyle name="Porcentual 136 13 2" xfId="5395" xr:uid="{00000000-0005-0000-0000-00003C170000}"/>
    <cellStyle name="Porcentual 136 13 3" xfId="8069" xr:uid="{00000000-0005-0000-0000-00003D170000}"/>
    <cellStyle name="Porcentual 136 14" xfId="1735" xr:uid="{00000000-0005-0000-0000-00003E170000}"/>
    <cellStyle name="Porcentual 136 14 2" xfId="5396" xr:uid="{00000000-0005-0000-0000-00003F170000}"/>
    <cellStyle name="Porcentual 136 14 3" xfId="8070" xr:uid="{00000000-0005-0000-0000-000040170000}"/>
    <cellStyle name="Porcentual 136 15" xfId="1736" xr:uid="{00000000-0005-0000-0000-000041170000}"/>
    <cellStyle name="Porcentual 136 15 2" xfId="5397" xr:uid="{00000000-0005-0000-0000-000042170000}"/>
    <cellStyle name="Porcentual 136 15 3" xfId="8071" xr:uid="{00000000-0005-0000-0000-000043170000}"/>
    <cellStyle name="Porcentual 136 16" xfId="1737" xr:uid="{00000000-0005-0000-0000-000044170000}"/>
    <cellStyle name="Porcentual 136 16 2" xfId="5398" xr:uid="{00000000-0005-0000-0000-000045170000}"/>
    <cellStyle name="Porcentual 136 16 3" xfId="8072" xr:uid="{00000000-0005-0000-0000-000046170000}"/>
    <cellStyle name="Porcentual 136 17" xfId="1738" xr:uid="{00000000-0005-0000-0000-000047170000}"/>
    <cellStyle name="Porcentual 136 17 2" xfId="5399" xr:uid="{00000000-0005-0000-0000-000048170000}"/>
    <cellStyle name="Porcentual 136 17 3" xfId="8073" xr:uid="{00000000-0005-0000-0000-000049170000}"/>
    <cellStyle name="Porcentual 136 18" xfId="1739" xr:uid="{00000000-0005-0000-0000-00004A170000}"/>
    <cellStyle name="Porcentual 136 18 2" xfId="5400" xr:uid="{00000000-0005-0000-0000-00004B170000}"/>
    <cellStyle name="Porcentual 136 18 3" xfId="8074" xr:uid="{00000000-0005-0000-0000-00004C170000}"/>
    <cellStyle name="Porcentual 136 19" xfId="1740" xr:uid="{00000000-0005-0000-0000-00004D170000}"/>
    <cellStyle name="Porcentual 136 19 2" xfId="5401" xr:uid="{00000000-0005-0000-0000-00004E170000}"/>
    <cellStyle name="Porcentual 136 19 3" xfId="8075" xr:uid="{00000000-0005-0000-0000-00004F170000}"/>
    <cellStyle name="Porcentual 136 2" xfId="1741" xr:uid="{00000000-0005-0000-0000-000050170000}"/>
    <cellStyle name="Porcentual 136 2 2" xfId="5402" xr:uid="{00000000-0005-0000-0000-000051170000}"/>
    <cellStyle name="Porcentual 136 2 3" xfId="8076" xr:uid="{00000000-0005-0000-0000-000052170000}"/>
    <cellStyle name="Porcentual 136 20" xfId="1742" xr:uid="{00000000-0005-0000-0000-000053170000}"/>
    <cellStyle name="Porcentual 136 20 2" xfId="5403" xr:uid="{00000000-0005-0000-0000-000054170000}"/>
    <cellStyle name="Porcentual 136 20 3" xfId="8077" xr:uid="{00000000-0005-0000-0000-000055170000}"/>
    <cellStyle name="Porcentual 136 21" xfId="1743" xr:uid="{00000000-0005-0000-0000-000056170000}"/>
    <cellStyle name="Porcentual 136 21 2" xfId="5404" xr:uid="{00000000-0005-0000-0000-000057170000}"/>
    <cellStyle name="Porcentual 136 21 3" xfId="8078" xr:uid="{00000000-0005-0000-0000-000058170000}"/>
    <cellStyle name="Porcentual 136 22" xfId="1744" xr:uid="{00000000-0005-0000-0000-000059170000}"/>
    <cellStyle name="Porcentual 136 22 2" xfId="5405" xr:uid="{00000000-0005-0000-0000-00005A170000}"/>
    <cellStyle name="Porcentual 136 22 3" xfId="8079" xr:uid="{00000000-0005-0000-0000-00005B170000}"/>
    <cellStyle name="Porcentual 136 23" xfId="1745" xr:uid="{00000000-0005-0000-0000-00005C170000}"/>
    <cellStyle name="Porcentual 136 23 2" xfId="5406" xr:uid="{00000000-0005-0000-0000-00005D170000}"/>
    <cellStyle name="Porcentual 136 23 3" xfId="8080" xr:uid="{00000000-0005-0000-0000-00005E170000}"/>
    <cellStyle name="Porcentual 136 24" xfId="1746" xr:uid="{00000000-0005-0000-0000-00005F170000}"/>
    <cellStyle name="Porcentual 136 24 2" xfId="5407" xr:uid="{00000000-0005-0000-0000-000060170000}"/>
    <cellStyle name="Porcentual 136 24 3" xfId="8081" xr:uid="{00000000-0005-0000-0000-000061170000}"/>
    <cellStyle name="Porcentual 136 25" xfId="1747" xr:uid="{00000000-0005-0000-0000-000062170000}"/>
    <cellStyle name="Porcentual 136 25 2" xfId="5408" xr:uid="{00000000-0005-0000-0000-000063170000}"/>
    <cellStyle name="Porcentual 136 25 3" xfId="8082" xr:uid="{00000000-0005-0000-0000-000064170000}"/>
    <cellStyle name="Porcentual 136 26" xfId="1748" xr:uid="{00000000-0005-0000-0000-000065170000}"/>
    <cellStyle name="Porcentual 136 26 2" xfId="5409" xr:uid="{00000000-0005-0000-0000-000066170000}"/>
    <cellStyle name="Porcentual 136 26 3" xfId="8083" xr:uid="{00000000-0005-0000-0000-000067170000}"/>
    <cellStyle name="Porcentual 136 27" xfId="1749" xr:uid="{00000000-0005-0000-0000-000068170000}"/>
    <cellStyle name="Porcentual 136 27 2" xfId="5410" xr:uid="{00000000-0005-0000-0000-000069170000}"/>
    <cellStyle name="Porcentual 136 27 3" xfId="8084" xr:uid="{00000000-0005-0000-0000-00006A170000}"/>
    <cellStyle name="Porcentual 136 28" xfId="1750" xr:uid="{00000000-0005-0000-0000-00006B170000}"/>
    <cellStyle name="Porcentual 136 28 2" xfId="5411" xr:uid="{00000000-0005-0000-0000-00006C170000}"/>
    <cellStyle name="Porcentual 136 28 3" xfId="8085" xr:uid="{00000000-0005-0000-0000-00006D170000}"/>
    <cellStyle name="Porcentual 136 3" xfId="1751" xr:uid="{00000000-0005-0000-0000-00006E170000}"/>
    <cellStyle name="Porcentual 136 3 2" xfId="5412" xr:uid="{00000000-0005-0000-0000-00006F170000}"/>
    <cellStyle name="Porcentual 136 3 3" xfId="8086" xr:uid="{00000000-0005-0000-0000-000070170000}"/>
    <cellStyle name="Porcentual 136 4" xfId="1752" xr:uid="{00000000-0005-0000-0000-000071170000}"/>
    <cellStyle name="Porcentual 136 4 2" xfId="5413" xr:uid="{00000000-0005-0000-0000-000072170000}"/>
    <cellStyle name="Porcentual 136 4 3" xfId="8087" xr:uid="{00000000-0005-0000-0000-000073170000}"/>
    <cellStyle name="Porcentual 136 5" xfId="1753" xr:uid="{00000000-0005-0000-0000-000074170000}"/>
    <cellStyle name="Porcentual 136 5 2" xfId="5414" xr:uid="{00000000-0005-0000-0000-000075170000}"/>
    <cellStyle name="Porcentual 136 5 3" xfId="8088" xr:uid="{00000000-0005-0000-0000-000076170000}"/>
    <cellStyle name="Porcentual 136 6" xfId="1754" xr:uid="{00000000-0005-0000-0000-000077170000}"/>
    <cellStyle name="Porcentual 136 6 2" xfId="5415" xr:uid="{00000000-0005-0000-0000-000078170000}"/>
    <cellStyle name="Porcentual 136 6 3" xfId="8089" xr:uid="{00000000-0005-0000-0000-000079170000}"/>
    <cellStyle name="Porcentual 136 7" xfId="1755" xr:uid="{00000000-0005-0000-0000-00007A170000}"/>
    <cellStyle name="Porcentual 136 7 2" xfId="5416" xr:uid="{00000000-0005-0000-0000-00007B170000}"/>
    <cellStyle name="Porcentual 136 7 3" xfId="8090" xr:uid="{00000000-0005-0000-0000-00007C170000}"/>
    <cellStyle name="Porcentual 136 8" xfId="1756" xr:uid="{00000000-0005-0000-0000-00007D170000}"/>
    <cellStyle name="Porcentual 136 8 2" xfId="5417" xr:uid="{00000000-0005-0000-0000-00007E170000}"/>
    <cellStyle name="Porcentual 136 8 3" xfId="8091" xr:uid="{00000000-0005-0000-0000-00007F170000}"/>
    <cellStyle name="Porcentual 136 9" xfId="1757" xr:uid="{00000000-0005-0000-0000-000080170000}"/>
    <cellStyle name="Porcentual 136 9 2" xfId="5418" xr:uid="{00000000-0005-0000-0000-000081170000}"/>
    <cellStyle name="Porcentual 136 9 3" xfId="8092" xr:uid="{00000000-0005-0000-0000-000082170000}"/>
    <cellStyle name="Porcentual 137 10" xfId="1758" xr:uid="{00000000-0005-0000-0000-000083170000}"/>
    <cellStyle name="Porcentual 137 10 2" xfId="5419" xr:uid="{00000000-0005-0000-0000-000084170000}"/>
    <cellStyle name="Porcentual 137 10 3" xfId="8093" xr:uid="{00000000-0005-0000-0000-000085170000}"/>
    <cellStyle name="Porcentual 137 11" xfId="1759" xr:uid="{00000000-0005-0000-0000-000086170000}"/>
    <cellStyle name="Porcentual 137 11 2" xfId="5420" xr:uid="{00000000-0005-0000-0000-000087170000}"/>
    <cellStyle name="Porcentual 137 11 3" xfId="8094" xr:uid="{00000000-0005-0000-0000-000088170000}"/>
    <cellStyle name="Porcentual 137 12" xfId="1760" xr:uid="{00000000-0005-0000-0000-000089170000}"/>
    <cellStyle name="Porcentual 137 12 2" xfId="5421" xr:uid="{00000000-0005-0000-0000-00008A170000}"/>
    <cellStyle name="Porcentual 137 12 3" xfId="8095" xr:uid="{00000000-0005-0000-0000-00008B170000}"/>
    <cellStyle name="Porcentual 137 13" xfId="1761" xr:uid="{00000000-0005-0000-0000-00008C170000}"/>
    <cellStyle name="Porcentual 137 13 2" xfId="5422" xr:uid="{00000000-0005-0000-0000-00008D170000}"/>
    <cellStyle name="Porcentual 137 13 3" xfId="8096" xr:uid="{00000000-0005-0000-0000-00008E170000}"/>
    <cellStyle name="Porcentual 137 14" xfId="1762" xr:uid="{00000000-0005-0000-0000-00008F170000}"/>
    <cellStyle name="Porcentual 137 14 2" xfId="5423" xr:uid="{00000000-0005-0000-0000-000090170000}"/>
    <cellStyle name="Porcentual 137 14 3" xfId="8097" xr:uid="{00000000-0005-0000-0000-000091170000}"/>
    <cellStyle name="Porcentual 137 15" xfId="1763" xr:uid="{00000000-0005-0000-0000-000092170000}"/>
    <cellStyle name="Porcentual 137 15 2" xfId="5424" xr:uid="{00000000-0005-0000-0000-000093170000}"/>
    <cellStyle name="Porcentual 137 15 3" xfId="8098" xr:uid="{00000000-0005-0000-0000-000094170000}"/>
    <cellStyle name="Porcentual 137 16" xfId="1764" xr:uid="{00000000-0005-0000-0000-000095170000}"/>
    <cellStyle name="Porcentual 137 16 2" xfId="5425" xr:uid="{00000000-0005-0000-0000-000096170000}"/>
    <cellStyle name="Porcentual 137 16 3" xfId="8099" xr:uid="{00000000-0005-0000-0000-000097170000}"/>
    <cellStyle name="Porcentual 137 17" xfId="1765" xr:uid="{00000000-0005-0000-0000-000098170000}"/>
    <cellStyle name="Porcentual 137 17 2" xfId="5426" xr:uid="{00000000-0005-0000-0000-000099170000}"/>
    <cellStyle name="Porcentual 137 17 3" xfId="8100" xr:uid="{00000000-0005-0000-0000-00009A170000}"/>
    <cellStyle name="Porcentual 137 18" xfId="1766" xr:uid="{00000000-0005-0000-0000-00009B170000}"/>
    <cellStyle name="Porcentual 137 18 2" xfId="5427" xr:uid="{00000000-0005-0000-0000-00009C170000}"/>
    <cellStyle name="Porcentual 137 18 3" xfId="8101" xr:uid="{00000000-0005-0000-0000-00009D170000}"/>
    <cellStyle name="Porcentual 137 19" xfId="1767" xr:uid="{00000000-0005-0000-0000-00009E170000}"/>
    <cellStyle name="Porcentual 137 19 2" xfId="5428" xr:uid="{00000000-0005-0000-0000-00009F170000}"/>
    <cellStyle name="Porcentual 137 19 3" xfId="8102" xr:uid="{00000000-0005-0000-0000-0000A0170000}"/>
    <cellStyle name="Porcentual 137 2" xfId="1768" xr:uid="{00000000-0005-0000-0000-0000A1170000}"/>
    <cellStyle name="Porcentual 137 2 2" xfId="5429" xr:uid="{00000000-0005-0000-0000-0000A2170000}"/>
    <cellStyle name="Porcentual 137 2 3" xfId="8103" xr:uid="{00000000-0005-0000-0000-0000A3170000}"/>
    <cellStyle name="Porcentual 137 20" xfId="1769" xr:uid="{00000000-0005-0000-0000-0000A4170000}"/>
    <cellStyle name="Porcentual 137 20 2" xfId="5430" xr:uid="{00000000-0005-0000-0000-0000A5170000}"/>
    <cellStyle name="Porcentual 137 20 3" xfId="8104" xr:uid="{00000000-0005-0000-0000-0000A6170000}"/>
    <cellStyle name="Porcentual 137 21" xfId="1770" xr:uid="{00000000-0005-0000-0000-0000A7170000}"/>
    <cellStyle name="Porcentual 137 21 2" xfId="5431" xr:uid="{00000000-0005-0000-0000-0000A8170000}"/>
    <cellStyle name="Porcentual 137 21 3" xfId="8105" xr:uid="{00000000-0005-0000-0000-0000A9170000}"/>
    <cellStyle name="Porcentual 137 22" xfId="1771" xr:uid="{00000000-0005-0000-0000-0000AA170000}"/>
    <cellStyle name="Porcentual 137 22 2" xfId="5432" xr:uid="{00000000-0005-0000-0000-0000AB170000}"/>
    <cellStyle name="Porcentual 137 22 3" xfId="8106" xr:uid="{00000000-0005-0000-0000-0000AC170000}"/>
    <cellStyle name="Porcentual 137 23" xfId="1772" xr:uid="{00000000-0005-0000-0000-0000AD170000}"/>
    <cellStyle name="Porcentual 137 23 2" xfId="5433" xr:uid="{00000000-0005-0000-0000-0000AE170000}"/>
    <cellStyle name="Porcentual 137 23 3" xfId="8107" xr:uid="{00000000-0005-0000-0000-0000AF170000}"/>
    <cellStyle name="Porcentual 137 24" xfId="1773" xr:uid="{00000000-0005-0000-0000-0000B0170000}"/>
    <cellStyle name="Porcentual 137 24 2" xfId="5434" xr:uid="{00000000-0005-0000-0000-0000B1170000}"/>
    <cellStyle name="Porcentual 137 24 3" xfId="8108" xr:uid="{00000000-0005-0000-0000-0000B2170000}"/>
    <cellStyle name="Porcentual 137 25" xfId="1774" xr:uid="{00000000-0005-0000-0000-0000B3170000}"/>
    <cellStyle name="Porcentual 137 25 2" xfId="5435" xr:uid="{00000000-0005-0000-0000-0000B4170000}"/>
    <cellStyle name="Porcentual 137 25 3" xfId="8109" xr:uid="{00000000-0005-0000-0000-0000B5170000}"/>
    <cellStyle name="Porcentual 137 26" xfId="1775" xr:uid="{00000000-0005-0000-0000-0000B6170000}"/>
    <cellStyle name="Porcentual 137 26 2" xfId="5436" xr:uid="{00000000-0005-0000-0000-0000B7170000}"/>
    <cellStyle name="Porcentual 137 26 3" xfId="8110" xr:uid="{00000000-0005-0000-0000-0000B8170000}"/>
    <cellStyle name="Porcentual 137 27" xfId="1776" xr:uid="{00000000-0005-0000-0000-0000B9170000}"/>
    <cellStyle name="Porcentual 137 27 2" xfId="5437" xr:uid="{00000000-0005-0000-0000-0000BA170000}"/>
    <cellStyle name="Porcentual 137 27 3" xfId="8111" xr:uid="{00000000-0005-0000-0000-0000BB170000}"/>
    <cellStyle name="Porcentual 137 28" xfId="1777" xr:uid="{00000000-0005-0000-0000-0000BC170000}"/>
    <cellStyle name="Porcentual 137 28 2" xfId="5438" xr:uid="{00000000-0005-0000-0000-0000BD170000}"/>
    <cellStyle name="Porcentual 137 28 3" xfId="8112" xr:uid="{00000000-0005-0000-0000-0000BE170000}"/>
    <cellStyle name="Porcentual 137 3" xfId="1778" xr:uid="{00000000-0005-0000-0000-0000BF170000}"/>
    <cellStyle name="Porcentual 137 3 2" xfId="5439" xr:uid="{00000000-0005-0000-0000-0000C0170000}"/>
    <cellStyle name="Porcentual 137 3 3" xfId="8113" xr:uid="{00000000-0005-0000-0000-0000C1170000}"/>
    <cellStyle name="Porcentual 137 4" xfId="1779" xr:uid="{00000000-0005-0000-0000-0000C2170000}"/>
    <cellStyle name="Porcentual 137 4 2" xfId="5440" xr:uid="{00000000-0005-0000-0000-0000C3170000}"/>
    <cellStyle name="Porcentual 137 4 3" xfId="8114" xr:uid="{00000000-0005-0000-0000-0000C4170000}"/>
    <cellStyle name="Porcentual 137 5" xfId="1780" xr:uid="{00000000-0005-0000-0000-0000C5170000}"/>
    <cellStyle name="Porcentual 137 5 2" xfId="5441" xr:uid="{00000000-0005-0000-0000-0000C6170000}"/>
    <cellStyle name="Porcentual 137 5 3" xfId="8115" xr:uid="{00000000-0005-0000-0000-0000C7170000}"/>
    <cellStyle name="Porcentual 137 6" xfId="1781" xr:uid="{00000000-0005-0000-0000-0000C8170000}"/>
    <cellStyle name="Porcentual 137 6 2" xfId="5442" xr:uid="{00000000-0005-0000-0000-0000C9170000}"/>
    <cellStyle name="Porcentual 137 6 3" xfId="8116" xr:uid="{00000000-0005-0000-0000-0000CA170000}"/>
    <cellStyle name="Porcentual 137 7" xfId="1782" xr:uid="{00000000-0005-0000-0000-0000CB170000}"/>
    <cellStyle name="Porcentual 137 7 2" xfId="5443" xr:uid="{00000000-0005-0000-0000-0000CC170000}"/>
    <cellStyle name="Porcentual 137 7 3" xfId="8117" xr:uid="{00000000-0005-0000-0000-0000CD170000}"/>
    <cellStyle name="Porcentual 137 8" xfId="1783" xr:uid="{00000000-0005-0000-0000-0000CE170000}"/>
    <cellStyle name="Porcentual 137 8 2" xfId="5444" xr:uid="{00000000-0005-0000-0000-0000CF170000}"/>
    <cellStyle name="Porcentual 137 8 3" xfId="8118" xr:uid="{00000000-0005-0000-0000-0000D0170000}"/>
    <cellStyle name="Porcentual 137 9" xfId="1784" xr:uid="{00000000-0005-0000-0000-0000D1170000}"/>
    <cellStyle name="Porcentual 137 9 2" xfId="5445" xr:uid="{00000000-0005-0000-0000-0000D2170000}"/>
    <cellStyle name="Porcentual 137 9 3" xfId="8119" xr:uid="{00000000-0005-0000-0000-0000D3170000}"/>
    <cellStyle name="Porcentual 138 10" xfId="1785" xr:uid="{00000000-0005-0000-0000-0000D4170000}"/>
    <cellStyle name="Porcentual 138 10 2" xfId="5446" xr:uid="{00000000-0005-0000-0000-0000D5170000}"/>
    <cellStyle name="Porcentual 138 10 3" xfId="8120" xr:uid="{00000000-0005-0000-0000-0000D6170000}"/>
    <cellStyle name="Porcentual 138 11" xfId="1786" xr:uid="{00000000-0005-0000-0000-0000D7170000}"/>
    <cellStyle name="Porcentual 138 11 2" xfId="5447" xr:uid="{00000000-0005-0000-0000-0000D8170000}"/>
    <cellStyle name="Porcentual 138 11 3" xfId="8121" xr:uid="{00000000-0005-0000-0000-0000D9170000}"/>
    <cellStyle name="Porcentual 138 12" xfId="1787" xr:uid="{00000000-0005-0000-0000-0000DA170000}"/>
    <cellStyle name="Porcentual 138 12 2" xfId="5448" xr:uid="{00000000-0005-0000-0000-0000DB170000}"/>
    <cellStyle name="Porcentual 138 12 3" xfId="8122" xr:uid="{00000000-0005-0000-0000-0000DC170000}"/>
    <cellStyle name="Porcentual 138 13" xfId="1788" xr:uid="{00000000-0005-0000-0000-0000DD170000}"/>
    <cellStyle name="Porcentual 138 13 2" xfId="5449" xr:uid="{00000000-0005-0000-0000-0000DE170000}"/>
    <cellStyle name="Porcentual 138 13 3" xfId="8123" xr:uid="{00000000-0005-0000-0000-0000DF170000}"/>
    <cellStyle name="Porcentual 138 14" xfId="1789" xr:uid="{00000000-0005-0000-0000-0000E0170000}"/>
    <cellStyle name="Porcentual 138 14 2" xfId="5450" xr:uid="{00000000-0005-0000-0000-0000E1170000}"/>
    <cellStyle name="Porcentual 138 14 3" xfId="8124" xr:uid="{00000000-0005-0000-0000-0000E2170000}"/>
    <cellStyle name="Porcentual 138 15" xfId="1790" xr:uid="{00000000-0005-0000-0000-0000E3170000}"/>
    <cellStyle name="Porcentual 138 15 2" xfId="5451" xr:uid="{00000000-0005-0000-0000-0000E4170000}"/>
    <cellStyle name="Porcentual 138 15 3" xfId="8125" xr:uid="{00000000-0005-0000-0000-0000E5170000}"/>
    <cellStyle name="Porcentual 138 16" xfId="1791" xr:uid="{00000000-0005-0000-0000-0000E6170000}"/>
    <cellStyle name="Porcentual 138 16 2" xfId="5452" xr:uid="{00000000-0005-0000-0000-0000E7170000}"/>
    <cellStyle name="Porcentual 138 16 3" xfId="8126" xr:uid="{00000000-0005-0000-0000-0000E8170000}"/>
    <cellStyle name="Porcentual 138 17" xfId="1792" xr:uid="{00000000-0005-0000-0000-0000E9170000}"/>
    <cellStyle name="Porcentual 138 17 2" xfId="5453" xr:uid="{00000000-0005-0000-0000-0000EA170000}"/>
    <cellStyle name="Porcentual 138 17 3" xfId="8127" xr:uid="{00000000-0005-0000-0000-0000EB170000}"/>
    <cellStyle name="Porcentual 138 18" xfId="1793" xr:uid="{00000000-0005-0000-0000-0000EC170000}"/>
    <cellStyle name="Porcentual 138 18 2" xfId="5454" xr:uid="{00000000-0005-0000-0000-0000ED170000}"/>
    <cellStyle name="Porcentual 138 18 3" xfId="8128" xr:uid="{00000000-0005-0000-0000-0000EE170000}"/>
    <cellStyle name="Porcentual 138 19" xfId="1794" xr:uid="{00000000-0005-0000-0000-0000EF170000}"/>
    <cellStyle name="Porcentual 138 19 2" xfId="5455" xr:uid="{00000000-0005-0000-0000-0000F0170000}"/>
    <cellStyle name="Porcentual 138 19 3" xfId="8129" xr:uid="{00000000-0005-0000-0000-0000F1170000}"/>
    <cellStyle name="Porcentual 138 2" xfId="1795" xr:uid="{00000000-0005-0000-0000-0000F2170000}"/>
    <cellStyle name="Porcentual 138 2 2" xfId="5456" xr:uid="{00000000-0005-0000-0000-0000F3170000}"/>
    <cellStyle name="Porcentual 138 2 3" xfId="8130" xr:uid="{00000000-0005-0000-0000-0000F4170000}"/>
    <cellStyle name="Porcentual 138 20" xfId="1796" xr:uid="{00000000-0005-0000-0000-0000F5170000}"/>
    <cellStyle name="Porcentual 138 20 2" xfId="5457" xr:uid="{00000000-0005-0000-0000-0000F6170000}"/>
    <cellStyle name="Porcentual 138 20 3" xfId="8131" xr:uid="{00000000-0005-0000-0000-0000F7170000}"/>
    <cellStyle name="Porcentual 138 21" xfId="1797" xr:uid="{00000000-0005-0000-0000-0000F8170000}"/>
    <cellStyle name="Porcentual 138 21 2" xfId="5458" xr:uid="{00000000-0005-0000-0000-0000F9170000}"/>
    <cellStyle name="Porcentual 138 21 3" xfId="8132" xr:uid="{00000000-0005-0000-0000-0000FA170000}"/>
    <cellStyle name="Porcentual 138 22" xfId="1798" xr:uid="{00000000-0005-0000-0000-0000FB170000}"/>
    <cellStyle name="Porcentual 138 22 2" xfId="5459" xr:uid="{00000000-0005-0000-0000-0000FC170000}"/>
    <cellStyle name="Porcentual 138 22 3" xfId="8133" xr:uid="{00000000-0005-0000-0000-0000FD170000}"/>
    <cellStyle name="Porcentual 138 23" xfId="1799" xr:uid="{00000000-0005-0000-0000-0000FE170000}"/>
    <cellStyle name="Porcentual 138 23 2" xfId="5460" xr:uid="{00000000-0005-0000-0000-0000FF170000}"/>
    <cellStyle name="Porcentual 138 23 3" xfId="8134" xr:uid="{00000000-0005-0000-0000-000000180000}"/>
    <cellStyle name="Porcentual 138 24" xfId="1800" xr:uid="{00000000-0005-0000-0000-000001180000}"/>
    <cellStyle name="Porcentual 138 24 2" xfId="5461" xr:uid="{00000000-0005-0000-0000-000002180000}"/>
    <cellStyle name="Porcentual 138 24 3" xfId="8135" xr:uid="{00000000-0005-0000-0000-000003180000}"/>
    <cellStyle name="Porcentual 138 25" xfId="1801" xr:uid="{00000000-0005-0000-0000-000004180000}"/>
    <cellStyle name="Porcentual 138 25 2" xfId="5462" xr:uid="{00000000-0005-0000-0000-000005180000}"/>
    <cellStyle name="Porcentual 138 25 3" xfId="8136" xr:uid="{00000000-0005-0000-0000-000006180000}"/>
    <cellStyle name="Porcentual 138 26" xfId="1802" xr:uid="{00000000-0005-0000-0000-000007180000}"/>
    <cellStyle name="Porcentual 138 26 2" xfId="5463" xr:uid="{00000000-0005-0000-0000-000008180000}"/>
    <cellStyle name="Porcentual 138 26 3" xfId="8137" xr:uid="{00000000-0005-0000-0000-000009180000}"/>
    <cellStyle name="Porcentual 138 27" xfId="1803" xr:uid="{00000000-0005-0000-0000-00000A180000}"/>
    <cellStyle name="Porcentual 138 27 2" xfId="5464" xr:uid="{00000000-0005-0000-0000-00000B180000}"/>
    <cellStyle name="Porcentual 138 27 3" xfId="8138" xr:uid="{00000000-0005-0000-0000-00000C180000}"/>
    <cellStyle name="Porcentual 138 28" xfId="1804" xr:uid="{00000000-0005-0000-0000-00000D180000}"/>
    <cellStyle name="Porcentual 138 28 2" xfId="5465" xr:uid="{00000000-0005-0000-0000-00000E180000}"/>
    <cellStyle name="Porcentual 138 28 3" xfId="8139" xr:uid="{00000000-0005-0000-0000-00000F180000}"/>
    <cellStyle name="Porcentual 138 3" xfId="1805" xr:uid="{00000000-0005-0000-0000-000010180000}"/>
    <cellStyle name="Porcentual 138 3 2" xfId="5466" xr:uid="{00000000-0005-0000-0000-000011180000}"/>
    <cellStyle name="Porcentual 138 3 3" xfId="8140" xr:uid="{00000000-0005-0000-0000-000012180000}"/>
    <cellStyle name="Porcentual 138 4" xfId="1806" xr:uid="{00000000-0005-0000-0000-000013180000}"/>
    <cellStyle name="Porcentual 138 4 2" xfId="5467" xr:uid="{00000000-0005-0000-0000-000014180000}"/>
    <cellStyle name="Porcentual 138 4 3" xfId="8141" xr:uid="{00000000-0005-0000-0000-000015180000}"/>
    <cellStyle name="Porcentual 138 5" xfId="1807" xr:uid="{00000000-0005-0000-0000-000016180000}"/>
    <cellStyle name="Porcentual 138 5 2" xfId="5468" xr:uid="{00000000-0005-0000-0000-000017180000}"/>
    <cellStyle name="Porcentual 138 5 3" xfId="8142" xr:uid="{00000000-0005-0000-0000-000018180000}"/>
    <cellStyle name="Porcentual 138 6" xfId="1808" xr:uid="{00000000-0005-0000-0000-000019180000}"/>
    <cellStyle name="Porcentual 138 6 2" xfId="5469" xr:uid="{00000000-0005-0000-0000-00001A180000}"/>
    <cellStyle name="Porcentual 138 6 3" xfId="8143" xr:uid="{00000000-0005-0000-0000-00001B180000}"/>
    <cellStyle name="Porcentual 138 7" xfId="1809" xr:uid="{00000000-0005-0000-0000-00001C180000}"/>
    <cellStyle name="Porcentual 138 7 2" xfId="5470" xr:uid="{00000000-0005-0000-0000-00001D180000}"/>
    <cellStyle name="Porcentual 138 7 3" xfId="8144" xr:uid="{00000000-0005-0000-0000-00001E180000}"/>
    <cellStyle name="Porcentual 138 8" xfId="1810" xr:uid="{00000000-0005-0000-0000-00001F180000}"/>
    <cellStyle name="Porcentual 138 8 2" xfId="5471" xr:uid="{00000000-0005-0000-0000-000020180000}"/>
    <cellStyle name="Porcentual 138 8 3" xfId="8145" xr:uid="{00000000-0005-0000-0000-000021180000}"/>
    <cellStyle name="Porcentual 138 9" xfId="1811" xr:uid="{00000000-0005-0000-0000-000022180000}"/>
    <cellStyle name="Porcentual 138 9 2" xfId="5472" xr:uid="{00000000-0005-0000-0000-000023180000}"/>
    <cellStyle name="Porcentual 138 9 3" xfId="8146" xr:uid="{00000000-0005-0000-0000-000024180000}"/>
    <cellStyle name="Porcentual 139 10" xfId="1812" xr:uid="{00000000-0005-0000-0000-000025180000}"/>
    <cellStyle name="Porcentual 139 10 2" xfId="5473" xr:uid="{00000000-0005-0000-0000-000026180000}"/>
    <cellStyle name="Porcentual 139 10 3" xfId="8147" xr:uid="{00000000-0005-0000-0000-000027180000}"/>
    <cellStyle name="Porcentual 139 11" xfId="1813" xr:uid="{00000000-0005-0000-0000-000028180000}"/>
    <cellStyle name="Porcentual 139 11 2" xfId="5474" xr:uid="{00000000-0005-0000-0000-000029180000}"/>
    <cellStyle name="Porcentual 139 11 3" xfId="8148" xr:uid="{00000000-0005-0000-0000-00002A180000}"/>
    <cellStyle name="Porcentual 139 12" xfId="1814" xr:uid="{00000000-0005-0000-0000-00002B180000}"/>
    <cellStyle name="Porcentual 139 12 2" xfId="5475" xr:uid="{00000000-0005-0000-0000-00002C180000}"/>
    <cellStyle name="Porcentual 139 12 3" xfId="8149" xr:uid="{00000000-0005-0000-0000-00002D180000}"/>
    <cellStyle name="Porcentual 139 13" xfId="1815" xr:uid="{00000000-0005-0000-0000-00002E180000}"/>
    <cellStyle name="Porcentual 139 13 2" xfId="5476" xr:uid="{00000000-0005-0000-0000-00002F180000}"/>
    <cellStyle name="Porcentual 139 13 3" xfId="8150" xr:uid="{00000000-0005-0000-0000-000030180000}"/>
    <cellStyle name="Porcentual 139 14" xfId="1816" xr:uid="{00000000-0005-0000-0000-000031180000}"/>
    <cellStyle name="Porcentual 139 14 2" xfId="5477" xr:uid="{00000000-0005-0000-0000-000032180000}"/>
    <cellStyle name="Porcentual 139 14 3" xfId="8151" xr:uid="{00000000-0005-0000-0000-000033180000}"/>
    <cellStyle name="Porcentual 139 15" xfId="1817" xr:uid="{00000000-0005-0000-0000-000034180000}"/>
    <cellStyle name="Porcentual 139 15 2" xfId="5478" xr:uid="{00000000-0005-0000-0000-000035180000}"/>
    <cellStyle name="Porcentual 139 15 3" xfId="8152" xr:uid="{00000000-0005-0000-0000-000036180000}"/>
    <cellStyle name="Porcentual 139 16" xfId="1818" xr:uid="{00000000-0005-0000-0000-000037180000}"/>
    <cellStyle name="Porcentual 139 16 2" xfId="5479" xr:uid="{00000000-0005-0000-0000-000038180000}"/>
    <cellStyle name="Porcentual 139 16 3" xfId="8153" xr:uid="{00000000-0005-0000-0000-000039180000}"/>
    <cellStyle name="Porcentual 139 17" xfId="1819" xr:uid="{00000000-0005-0000-0000-00003A180000}"/>
    <cellStyle name="Porcentual 139 17 2" xfId="5480" xr:uid="{00000000-0005-0000-0000-00003B180000}"/>
    <cellStyle name="Porcentual 139 17 3" xfId="8154" xr:uid="{00000000-0005-0000-0000-00003C180000}"/>
    <cellStyle name="Porcentual 139 18" xfId="1820" xr:uid="{00000000-0005-0000-0000-00003D180000}"/>
    <cellStyle name="Porcentual 139 18 2" xfId="5481" xr:uid="{00000000-0005-0000-0000-00003E180000}"/>
    <cellStyle name="Porcentual 139 18 3" xfId="8155" xr:uid="{00000000-0005-0000-0000-00003F180000}"/>
    <cellStyle name="Porcentual 139 19" xfId="1821" xr:uid="{00000000-0005-0000-0000-000040180000}"/>
    <cellStyle name="Porcentual 139 19 2" xfId="5482" xr:uid="{00000000-0005-0000-0000-000041180000}"/>
    <cellStyle name="Porcentual 139 19 3" xfId="8156" xr:uid="{00000000-0005-0000-0000-000042180000}"/>
    <cellStyle name="Porcentual 139 2" xfId="1822" xr:uid="{00000000-0005-0000-0000-000043180000}"/>
    <cellStyle name="Porcentual 139 2 2" xfId="5483" xr:uid="{00000000-0005-0000-0000-000044180000}"/>
    <cellStyle name="Porcentual 139 2 3" xfId="8157" xr:uid="{00000000-0005-0000-0000-000045180000}"/>
    <cellStyle name="Porcentual 139 20" xfId="1823" xr:uid="{00000000-0005-0000-0000-000046180000}"/>
    <cellStyle name="Porcentual 139 20 2" xfId="5484" xr:uid="{00000000-0005-0000-0000-000047180000}"/>
    <cellStyle name="Porcentual 139 20 3" xfId="8158" xr:uid="{00000000-0005-0000-0000-000048180000}"/>
    <cellStyle name="Porcentual 139 21" xfId="1824" xr:uid="{00000000-0005-0000-0000-000049180000}"/>
    <cellStyle name="Porcentual 139 21 2" xfId="5485" xr:uid="{00000000-0005-0000-0000-00004A180000}"/>
    <cellStyle name="Porcentual 139 21 3" xfId="8159" xr:uid="{00000000-0005-0000-0000-00004B180000}"/>
    <cellStyle name="Porcentual 139 22" xfId="1825" xr:uid="{00000000-0005-0000-0000-00004C180000}"/>
    <cellStyle name="Porcentual 139 22 2" xfId="5486" xr:uid="{00000000-0005-0000-0000-00004D180000}"/>
    <cellStyle name="Porcentual 139 22 3" xfId="8160" xr:uid="{00000000-0005-0000-0000-00004E180000}"/>
    <cellStyle name="Porcentual 139 23" xfId="1826" xr:uid="{00000000-0005-0000-0000-00004F180000}"/>
    <cellStyle name="Porcentual 139 23 2" xfId="5487" xr:uid="{00000000-0005-0000-0000-000050180000}"/>
    <cellStyle name="Porcentual 139 23 3" xfId="8161" xr:uid="{00000000-0005-0000-0000-000051180000}"/>
    <cellStyle name="Porcentual 139 24" xfId="1827" xr:uid="{00000000-0005-0000-0000-000052180000}"/>
    <cellStyle name="Porcentual 139 24 2" xfId="5488" xr:uid="{00000000-0005-0000-0000-000053180000}"/>
    <cellStyle name="Porcentual 139 24 3" xfId="8162" xr:uid="{00000000-0005-0000-0000-000054180000}"/>
    <cellStyle name="Porcentual 139 25" xfId="1828" xr:uid="{00000000-0005-0000-0000-000055180000}"/>
    <cellStyle name="Porcentual 139 25 2" xfId="5489" xr:uid="{00000000-0005-0000-0000-000056180000}"/>
    <cellStyle name="Porcentual 139 25 3" xfId="8163" xr:uid="{00000000-0005-0000-0000-000057180000}"/>
    <cellStyle name="Porcentual 139 26" xfId="1829" xr:uid="{00000000-0005-0000-0000-000058180000}"/>
    <cellStyle name="Porcentual 139 26 2" xfId="5490" xr:uid="{00000000-0005-0000-0000-000059180000}"/>
    <cellStyle name="Porcentual 139 26 3" xfId="8164" xr:uid="{00000000-0005-0000-0000-00005A180000}"/>
    <cellStyle name="Porcentual 139 27" xfId="1830" xr:uid="{00000000-0005-0000-0000-00005B180000}"/>
    <cellStyle name="Porcentual 139 27 2" xfId="5491" xr:uid="{00000000-0005-0000-0000-00005C180000}"/>
    <cellStyle name="Porcentual 139 27 3" xfId="8165" xr:uid="{00000000-0005-0000-0000-00005D180000}"/>
    <cellStyle name="Porcentual 139 28" xfId="1831" xr:uid="{00000000-0005-0000-0000-00005E180000}"/>
    <cellStyle name="Porcentual 139 28 2" xfId="5492" xr:uid="{00000000-0005-0000-0000-00005F180000}"/>
    <cellStyle name="Porcentual 139 28 3" xfId="8166" xr:uid="{00000000-0005-0000-0000-000060180000}"/>
    <cellStyle name="Porcentual 139 3" xfId="1832" xr:uid="{00000000-0005-0000-0000-000061180000}"/>
    <cellStyle name="Porcentual 139 3 2" xfId="5493" xr:uid="{00000000-0005-0000-0000-000062180000}"/>
    <cellStyle name="Porcentual 139 3 3" xfId="8167" xr:uid="{00000000-0005-0000-0000-000063180000}"/>
    <cellStyle name="Porcentual 139 4" xfId="1833" xr:uid="{00000000-0005-0000-0000-000064180000}"/>
    <cellStyle name="Porcentual 139 4 2" xfId="5494" xr:uid="{00000000-0005-0000-0000-000065180000}"/>
    <cellStyle name="Porcentual 139 4 3" xfId="8168" xr:uid="{00000000-0005-0000-0000-000066180000}"/>
    <cellStyle name="Porcentual 139 5" xfId="1834" xr:uid="{00000000-0005-0000-0000-000067180000}"/>
    <cellStyle name="Porcentual 139 5 2" xfId="5495" xr:uid="{00000000-0005-0000-0000-000068180000}"/>
    <cellStyle name="Porcentual 139 5 3" xfId="8169" xr:uid="{00000000-0005-0000-0000-000069180000}"/>
    <cellStyle name="Porcentual 139 6" xfId="1835" xr:uid="{00000000-0005-0000-0000-00006A180000}"/>
    <cellStyle name="Porcentual 139 6 2" xfId="5496" xr:uid="{00000000-0005-0000-0000-00006B180000}"/>
    <cellStyle name="Porcentual 139 6 3" xfId="8170" xr:uid="{00000000-0005-0000-0000-00006C180000}"/>
    <cellStyle name="Porcentual 139 7" xfId="1836" xr:uid="{00000000-0005-0000-0000-00006D180000}"/>
    <cellStyle name="Porcentual 139 7 2" xfId="5497" xr:uid="{00000000-0005-0000-0000-00006E180000}"/>
    <cellStyle name="Porcentual 139 7 3" xfId="8171" xr:uid="{00000000-0005-0000-0000-00006F180000}"/>
    <cellStyle name="Porcentual 139 8" xfId="1837" xr:uid="{00000000-0005-0000-0000-000070180000}"/>
    <cellStyle name="Porcentual 139 8 2" xfId="5498" xr:uid="{00000000-0005-0000-0000-000071180000}"/>
    <cellStyle name="Porcentual 139 8 3" xfId="8172" xr:uid="{00000000-0005-0000-0000-000072180000}"/>
    <cellStyle name="Porcentual 139 9" xfId="1838" xr:uid="{00000000-0005-0000-0000-000073180000}"/>
    <cellStyle name="Porcentual 139 9 2" xfId="5499" xr:uid="{00000000-0005-0000-0000-000074180000}"/>
    <cellStyle name="Porcentual 139 9 3" xfId="8173" xr:uid="{00000000-0005-0000-0000-000075180000}"/>
    <cellStyle name="Porcentual 140 10" xfId="1839" xr:uid="{00000000-0005-0000-0000-000076180000}"/>
    <cellStyle name="Porcentual 140 10 2" xfId="5500" xr:uid="{00000000-0005-0000-0000-000077180000}"/>
    <cellStyle name="Porcentual 140 10 3" xfId="8174" xr:uid="{00000000-0005-0000-0000-000078180000}"/>
    <cellStyle name="Porcentual 140 11" xfId="1840" xr:uid="{00000000-0005-0000-0000-000079180000}"/>
    <cellStyle name="Porcentual 140 11 2" xfId="5501" xr:uid="{00000000-0005-0000-0000-00007A180000}"/>
    <cellStyle name="Porcentual 140 11 3" xfId="8175" xr:uid="{00000000-0005-0000-0000-00007B180000}"/>
    <cellStyle name="Porcentual 140 12" xfId="1841" xr:uid="{00000000-0005-0000-0000-00007C180000}"/>
    <cellStyle name="Porcentual 140 12 2" xfId="5502" xr:uid="{00000000-0005-0000-0000-00007D180000}"/>
    <cellStyle name="Porcentual 140 12 3" xfId="8176" xr:uid="{00000000-0005-0000-0000-00007E180000}"/>
    <cellStyle name="Porcentual 140 13" xfId="1842" xr:uid="{00000000-0005-0000-0000-00007F180000}"/>
    <cellStyle name="Porcentual 140 13 2" xfId="5503" xr:uid="{00000000-0005-0000-0000-000080180000}"/>
    <cellStyle name="Porcentual 140 13 3" xfId="8177" xr:uid="{00000000-0005-0000-0000-000081180000}"/>
    <cellStyle name="Porcentual 140 14" xfId="1843" xr:uid="{00000000-0005-0000-0000-000082180000}"/>
    <cellStyle name="Porcentual 140 14 2" xfId="5504" xr:uid="{00000000-0005-0000-0000-000083180000}"/>
    <cellStyle name="Porcentual 140 14 3" xfId="8178" xr:uid="{00000000-0005-0000-0000-000084180000}"/>
    <cellStyle name="Porcentual 140 15" xfId="1844" xr:uid="{00000000-0005-0000-0000-000085180000}"/>
    <cellStyle name="Porcentual 140 15 2" xfId="5505" xr:uid="{00000000-0005-0000-0000-000086180000}"/>
    <cellStyle name="Porcentual 140 15 3" xfId="8179" xr:uid="{00000000-0005-0000-0000-000087180000}"/>
    <cellStyle name="Porcentual 140 16" xfId="1845" xr:uid="{00000000-0005-0000-0000-000088180000}"/>
    <cellStyle name="Porcentual 140 16 2" xfId="5506" xr:uid="{00000000-0005-0000-0000-000089180000}"/>
    <cellStyle name="Porcentual 140 16 3" xfId="8180" xr:uid="{00000000-0005-0000-0000-00008A180000}"/>
    <cellStyle name="Porcentual 140 17" xfId="1846" xr:uid="{00000000-0005-0000-0000-00008B180000}"/>
    <cellStyle name="Porcentual 140 17 2" xfId="5507" xr:uid="{00000000-0005-0000-0000-00008C180000}"/>
    <cellStyle name="Porcentual 140 17 3" xfId="8181" xr:uid="{00000000-0005-0000-0000-00008D180000}"/>
    <cellStyle name="Porcentual 140 18" xfId="1847" xr:uid="{00000000-0005-0000-0000-00008E180000}"/>
    <cellStyle name="Porcentual 140 18 2" xfId="5508" xr:uid="{00000000-0005-0000-0000-00008F180000}"/>
    <cellStyle name="Porcentual 140 18 3" xfId="8182" xr:uid="{00000000-0005-0000-0000-000090180000}"/>
    <cellStyle name="Porcentual 140 19" xfId="1848" xr:uid="{00000000-0005-0000-0000-000091180000}"/>
    <cellStyle name="Porcentual 140 19 2" xfId="5509" xr:uid="{00000000-0005-0000-0000-000092180000}"/>
    <cellStyle name="Porcentual 140 19 3" xfId="8183" xr:uid="{00000000-0005-0000-0000-000093180000}"/>
    <cellStyle name="Porcentual 140 2" xfId="1849" xr:uid="{00000000-0005-0000-0000-000094180000}"/>
    <cellStyle name="Porcentual 140 2 2" xfId="5510" xr:uid="{00000000-0005-0000-0000-000095180000}"/>
    <cellStyle name="Porcentual 140 2 3" xfId="8184" xr:uid="{00000000-0005-0000-0000-000096180000}"/>
    <cellStyle name="Porcentual 140 20" xfId="1850" xr:uid="{00000000-0005-0000-0000-000097180000}"/>
    <cellStyle name="Porcentual 140 20 2" xfId="5511" xr:uid="{00000000-0005-0000-0000-000098180000}"/>
    <cellStyle name="Porcentual 140 20 3" xfId="8185" xr:uid="{00000000-0005-0000-0000-000099180000}"/>
    <cellStyle name="Porcentual 140 21" xfId="1851" xr:uid="{00000000-0005-0000-0000-00009A180000}"/>
    <cellStyle name="Porcentual 140 21 2" xfId="5512" xr:uid="{00000000-0005-0000-0000-00009B180000}"/>
    <cellStyle name="Porcentual 140 21 3" xfId="8186" xr:uid="{00000000-0005-0000-0000-00009C180000}"/>
    <cellStyle name="Porcentual 140 22" xfId="1852" xr:uid="{00000000-0005-0000-0000-00009D180000}"/>
    <cellStyle name="Porcentual 140 22 2" xfId="5513" xr:uid="{00000000-0005-0000-0000-00009E180000}"/>
    <cellStyle name="Porcentual 140 22 3" xfId="8187" xr:uid="{00000000-0005-0000-0000-00009F180000}"/>
    <cellStyle name="Porcentual 140 23" xfId="1853" xr:uid="{00000000-0005-0000-0000-0000A0180000}"/>
    <cellStyle name="Porcentual 140 23 2" xfId="5514" xr:uid="{00000000-0005-0000-0000-0000A1180000}"/>
    <cellStyle name="Porcentual 140 23 3" xfId="8188" xr:uid="{00000000-0005-0000-0000-0000A2180000}"/>
    <cellStyle name="Porcentual 140 24" xfId="1854" xr:uid="{00000000-0005-0000-0000-0000A3180000}"/>
    <cellStyle name="Porcentual 140 24 2" xfId="5515" xr:uid="{00000000-0005-0000-0000-0000A4180000}"/>
    <cellStyle name="Porcentual 140 24 3" xfId="8189" xr:uid="{00000000-0005-0000-0000-0000A5180000}"/>
    <cellStyle name="Porcentual 140 25" xfId="1855" xr:uid="{00000000-0005-0000-0000-0000A6180000}"/>
    <cellStyle name="Porcentual 140 25 2" xfId="5516" xr:uid="{00000000-0005-0000-0000-0000A7180000}"/>
    <cellStyle name="Porcentual 140 25 3" xfId="8190" xr:uid="{00000000-0005-0000-0000-0000A8180000}"/>
    <cellStyle name="Porcentual 140 26" xfId="1856" xr:uid="{00000000-0005-0000-0000-0000A9180000}"/>
    <cellStyle name="Porcentual 140 26 2" xfId="5517" xr:uid="{00000000-0005-0000-0000-0000AA180000}"/>
    <cellStyle name="Porcentual 140 26 3" xfId="8191" xr:uid="{00000000-0005-0000-0000-0000AB180000}"/>
    <cellStyle name="Porcentual 140 27" xfId="1857" xr:uid="{00000000-0005-0000-0000-0000AC180000}"/>
    <cellStyle name="Porcentual 140 27 2" xfId="5518" xr:uid="{00000000-0005-0000-0000-0000AD180000}"/>
    <cellStyle name="Porcentual 140 27 3" xfId="8192" xr:uid="{00000000-0005-0000-0000-0000AE180000}"/>
    <cellStyle name="Porcentual 140 28" xfId="1858" xr:uid="{00000000-0005-0000-0000-0000AF180000}"/>
    <cellStyle name="Porcentual 140 28 2" xfId="5519" xr:uid="{00000000-0005-0000-0000-0000B0180000}"/>
    <cellStyle name="Porcentual 140 28 3" xfId="8193" xr:uid="{00000000-0005-0000-0000-0000B1180000}"/>
    <cellStyle name="Porcentual 140 3" xfId="1859" xr:uid="{00000000-0005-0000-0000-0000B2180000}"/>
    <cellStyle name="Porcentual 140 3 2" xfId="5520" xr:uid="{00000000-0005-0000-0000-0000B3180000}"/>
    <cellStyle name="Porcentual 140 3 3" xfId="8194" xr:uid="{00000000-0005-0000-0000-0000B4180000}"/>
    <cellStyle name="Porcentual 140 4" xfId="1860" xr:uid="{00000000-0005-0000-0000-0000B5180000}"/>
    <cellStyle name="Porcentual 140 4 2" xfId="5521" xr:uid="{00000000-0005-0000-0000-0000B6180000}"/>
    <cellStyle name="Porcentual 140 4 3" xfId="8195" xr:uid="{00000000-0005-0000-0000-0000B7180000}"/>
    <cellStyle name="Porcentual 140 5" xfId="1861" xr:uid="{00000000-0005-0000-0000-0000B8180000}"/>
    <cellStyle name="Porcentual 140 5 2" xfId="5522" xr:uid="{00000000-0005-0000-0000-0000B9180000}"/>
    <cellStyle name="Porcentual 140 5 3" xfId="8196" xr:uid="{00000000-0005-0000-0000-0000BA180000}"/>
    <cellStyle name="Porcentual 140 6" xfId="1862" xr:uid="{00000000-0005-0000-0000-0000BB180000}"/>
    <cellStyle name="Porcentual 140 6 2" xfId="5523" xr:uid="{00000000-0005-0000-0000-0000BC180000}"/>
    <cellStyle name="Porcentual 140 6 3" xfId="8197" xr:uid="{00000000-0005-0000-0000-0000BD180000}"/>
    <cellStyle name="Porcentual 140 7" xfId="1863" xr:uid="{00000000-0005-0000-0000-0000BE180000}"/>
    <cellStyle name="Porcentual 140 7 2" xfId="5524" xr:uid="{00000000-0005-0000-0000-0000BF180000}"/>
    <cellStyle name="Porcentual 140 7 3" xfId="8198" xr:uid="{00000000-0005-0000-0000-0000C0180000}"/>
    <cellStyle name="Porcentual 140 8" xfId="1864" xr:uid="{00000000-0005-0000-0000-0000C1180000}"/>
    <cellStyle name="Porcentual 140 8 2" xfId="5525" xr:uid="{00000000-0005-0000-0000-0000C2180000}"/>
    <cellStyle name="Porcentual 140 8 3" xfId="8199" xr:uid="{00000000-0005-0000-0000-0000C3180000}"/>
    <cellStyle name="Porcentual 140 9" xfId="1865" xr:uid="{00000000-0005-0000-0000-0000C4180000}"/>
    <cellStyle name="Porcentual 140 9 2" xfId="5526" xr:uid="{00000000-0005-0000-0000-0000C5180000}"/>
    <cellStyle name="Porcentual 140 9 3" xfId="8200" xr:uid="{00000000-0005-0000-0000-0000C6180000}"/>
    <cellStyle name="Porcentual 141 10" xfId="1866" xr:uid="{00000000-0005-0000-0000-0000C7180000}"/>
    <cellStyle name="Porcentual 141 10 2" xfId="5527" xr:uid="{00000000-0005-0000-0000-0000C8180000}"/>
    <cellStyle name="Porcentual 141 10 3" xfId="8201" xr:uid="{00000000-0005-0000-0000-0000C9180000}"/>
    <cellStyle name="Porcentual 141 11" xfId="1867" xr:uid="{00000000-0005-0000-0000-0000CA180000}"/>
    <cellStyle name="Porcentual 141 11 2" xfId="5528" xr:uid="{00000000-0005-0000-0000-0000CB180000}"/>
    <cellStyle name="Porcentual 141 11 3" xfId="8202" xr:uid="{00000000-0005-0000-0000-0000CC180000}"/>
    <cellStyle name="Porcentual 141 12" xfId="1868" xr:uid="{00000000-0005-0000-0000-0000CD180000}"/>
    <cellStyle name="Porcentual 141 12 2" xfId="5529" xr:uid="{00000000-0005-0000-0000-0000CE180000}"/>
    <cellStyle name="Porcentual 141 12 3" xfId="8203" xr:uid="{00000000-0005-0000-0000-0000CF180000}"/>
    <cellStyle name="Porcentual 141 13" xfId="1869" xr:uid="{00000000-0005-0000-0000-0000D0180000}"/>
    <cellStyle name="Porcentual 141 13 2" xfId="5530" xr:uid="{00000000-0005-0000-0000-0000D1180000}"/>
    <cellStyle name="Porcentual 141 13 3" xfId="8204" xr:uid="{00000000-0005-0000-0000-0000D2180000}"/>
    <cellStyle name="Porcentual 141 14" xfId="1870" xr:uid="{00000000-0005-0000-0000-0000D3180000}"/>
    <cellStyle name="Porcentual 141 14 2" xfId="5531" xr:uid="{00000000-0005-0000-0000-0000D4180000}"/>
    <cellStyle name="Porcentual 141 14 3" xfId="8205" xr:uid="{00000000-0005-0000-0000-0000D5180000}"/>
    <cellStyle name="Porcentual 141 15" xfId="1871" xr:uid="{00000000-0005-0000-0000-0000D6180000}"/>
    <cellStyle name="Porcentual 141 15 2" xfId="5532" xr:uid="{00000000-0005-0000-0000-0000D7180000}"/>
    <cellStyle name="Porcentual 141 15 3" xfId="8206" xr:uid="{00000000-0005-0000-0000-0000D8180000}"/>
    <cellStyle name="Porcentual 141 16" xfId="1872" xr:uid="{00000000-0005-0000-0000-0000D9180000}"/>
    <cellStyle name="Porcentual 141 16 2" xfId="5533" xr:uid="{00000000-0005-0000-0000-0000DA180000}"/>
    <cellStyle name="Porcentual 141 16 3" xfId="8207" xr:uid="{00000000-0005-0000-0000-0000DB180000}"/>
    <cellStyle name="Porcentual 141 17" xfId="1873" xr:uid="{00000000-0005-0000-0000-0000DC180000}"/>
    <cellStyle name="Porcentual 141 17 2" xfId="5534" xr:uid="{00000000-0005-0000-0000-0000DD180000}"/>
    <cellStyle name="Porcentual 141 17 3" xfId="8208" xr:uid="{00000000-0005-0000-0000-0000DE180000}"/>
    <cellStyle name="Porcentual 141 18" xfId="1874" xr:uid="{00000000-0005-0000-0000-0000DF180000}"/>
    <cellStyle name="Porcentual 141 18 2" xfId="5535" xr:uid="{00000000-0005-0000-0000-0000E0180000}"/>
    <cellStyle name="Porcentual 141 18 3" xfId="8209" xr:uid="{00000000-0005-0000-0000-0000E1180000}"/>
    <cellStyle name="Porcentual 141 19" xfId="1875" xr:uid="{00000000-0005-0000-0000-0000E2180000}"/>
    <cellStyle name="Porcentual 141 19 2" xfId="5536" xr:uid="{00000000-0005-0000-0000-0000E3180000}"/>
    <cellStyle name="Porcentual 141 19 3" xfId="8210" xr:uid="{00000000-0005-0000-0000-0000E4180000}"/>
    <cellStyle name="Porcentual 141 2" xfId="1876" xr:uid="{00000000-0005-0000-0000-0000E5180000}"/>
    <cellStyle name="Porcentual 141 2 2" xfId="5537" xr:uid="{00000000-0005-0000-0000-0000E6180000}"/>
    <cellStyle name="Porcentual 141 2 3" xfId="8211" xr:uid="{00000000-0005-0000-0000-0000E7180000}"/>
    <cellStyle name="Porcentual 141 20" xfId="1877" xr:uid="{00000000-0005-0000-0000-0000E8180000}"/>
    <cellStyle name="Porcentual 141 20 2" xfId="5538" xr:uid="{00000000-0005-0000-0000-0000E9180000}"/>
    <cellStyle name="Porcentual 141 20 3" xfId="8212" xr:uid="{00000000-0005-0000-0000-0000EA180000}"/>
    <cellStyle name="Porcentual 141 21" xfId="1878" xr:uid="{00000000-0005-0000-0000-0000EB180000}"/>
    <cellStyle name="Porcentual 141 21 2" xfId="5539" xr:uid="{00000000-0005-0000-0000-0000EC180000}"/>
    <cellStyle name="Porcentual 141 21 3" xfId="8213" xr:uid="{00000000-0005-0000-0000-0000ED180000}"/>
    <cellStyle name="Porcentual 141 22" xfId="1879" xr:uid="{00000000-0005-0000-0000-0000EE180000}"/>
    <cellStyle name="Porcentual 141 22 2" xfId="5540" xr:uid="{00000000-0005-0000-0000-0000EF180000}"/>
    <cellStyle name="Porcentual 141 22 3" xfId="8214" xr:uid="{00000000-0005-0000-0000-0000F0180000}"/>
    <cellStyle name="Porcentual 141 23" xfId="1880" xr:uid="{00000000-0005-0000-0000-0000F1180000}"/>
    <cellStyle name="Porcentual 141 23 2" xfId="5541" xr:uid="{00000000-0005-0000-0000-0000F2180000}"/>
    <cellStyle name="Porcentual 141 23 3" xfId="8215" xr:uid="{00000000-0005-0000-0000-0000F3180000}"/>
    <cellStyle name="Porcentual 141 24" xfId="1881" xr:uid="{00000000-0005-0000-0000-0000F4180000}"/>
    <cellStyle name="Porcentual 141 24 2" xfId="5542" xr:uid="{00000000-0005-0000-0000-0000F5180000}"/>
    <cellStyle name="Porcentual 141 24 3" xfId="8216" xr:uid="{00000000-0005-0000-0000-0000F6180000}"/>
    <cellStyle name="Porcentual 141 25" xfId="1882" xr:uid="{00000000-0005-0000-0000-0000F7180000}"/>
    <cellStyle name="Porcentual 141 25 2" xfId="5543" xr:uid="{00000000-0005-0000-0000-0000F8180000}"/>
    <cellStyle name="Porcentual 141 25 3" xfId="8217" xr:uid="{00000000-0005-0000-0000-0000F9180000}"/>
    <cellStyle name="Porcentual 141 26" xfId="1883" xr:uid="{00000000-0005-0000-0000-0000FA180000}"/>
    <cellStyle name="Porcentual 141 26 2" xfId="5544" xr:uid="{00000000-0005-0000-0000-0000FB180000}"/>
    <cellStyle name="Porcentual 141 26 3" xfId="8218" xr:uid="{00000000-0005-0000-0000-0000FC180000}"/>
    <cellStyle name="Porcentual 141 27" xfId="1884" xr:uid="{00000000-0005-0000-0000-0000FD180000}"/>
    <cellStyle name="Porcentual 141 27 2" xfId="5545" xr:uid="{00000000-0005-0000-0000-0000FE180000}"/>
    <cellStyle name="Porcentual 141 27 3" xfId="8219" xr:uid="{00000000-0005-0000-0000-0000FF180000}"/>
    <cellStyle name="Porcentual 141 28" xfId="1885" xr:uid="{00000000-0005-0000-0000-000000190000}"/>
    <cellStyle name="Porcentual 141 28 2" xfId="5546" xr:uid="{00000000-0005-0000-0000-000001190000}"/>
    <cellStyle name="Porcentual 141 28 3" xfId="8220" xr:uid="{00000000-0005-0000-0000-000002190000}"/>
    <cellStyle name="Porcentual 141 3" xfId="1886" xr:uid="{00000000-0005-0000-0000-000003190000}"/>
    <cellStyle name="Porcentual 141 3 2" xfId="5547" xr:uid="{00000000-0005-0000-0000-000004190000}"/>
    <cellStyle name="Porcentual 141 3 3" xfId="8221" xr:uid="{00000000-0005-0000-0000-000005190000}"/>
    <cellStyle name="Porcentual 141 4" xfId="1887" xr:uid="{00000000-0005-0000-0000-000006190000}"/>
    <cellStyle name="Porcentual 141 4 2" xfId="5548" xr:uid="{00000000-0005-0000-0000-000007190000}"/>
    <cellStyle name="Porcentual 141 4 3" xfId="8222" xr:uid="{00000000-0005-0000-0000-000008190000}"/>
    <cellStyle name="Porcentual 141 5" xfId="1888" xr:uid="{00000000-0005-0000-0000-000009190000}"/>
    <cellStyle name="Porcentual 141 5 2" xfId="5549" xr:uid="{00000000-0005-0000-0000-00000A190000}"/>
    <cellStyle name="Porcentual 141 5 3" xfId="8223" xr:uid="{00000000-0005-0000-0000-00000B190000}"/>
    <cellStyle name="Porcentual 141 6" xfId="1889" xr:uid="{00000000-0005-0000-0000-00000C190000}"/>
    <cellStyle name="Porcentual 141 6 2" xfId="5550" xr:uid="{00000000-0005-0000-0000-00000D190000}"/>
    <cellStyle name="Porcentual 141 6 3" xfId="8224" xr:uid="{00000000-0005-0000-0000-00000E190000}"/>
    <cellStyle name="Porcentual 141 7" xfId="1890" xr:uid="{00000000-0005-0000-0000-00000F190000}"/>
    <cellStyle name="Porcentual 141 7 2" xfId="5551" xr:uid="{00000000-0005-0000-0000-000010190000}"/>
    <cellStyle name="Porcentual 141 7 3" xfId="8225" xr:uid="{00000000-0005-0000-0000-000011190000}"/>
    <cellStyle name="Porcentual 141 8" xfId="1891" xr:uid="{00000000-0005-0000-0000-000012190000}"/>
    <cellStyle name="Porcentual 141 8 2" xfId="5552" xr:uid="{00000000-0005-0000-0000-000013190000}"/>
    <cellStyle name="Porcentual 141 8 3" xfId="8226" xr:uid="{00000000-0005-0000-0000-000014190000}"/>
    <cellStyle name="Porcentual 141 9" xfId="1892" xr:uid="{00000000-0005-0000-0000-000015190000}"/>
    <cellStyle name="Porcentual 141 9 2" xfId="5553" xr:uid="{00000000-0005-0000-0000-000016190000}"/>
    <cellStyle name="Porcentual 141 9 3" xfId="8227" xr:uid="{00000000-0005-0000-0000-000017190000}"/>
    <cellStyle name="Porcentual 142 10" xfId="1893" xr:uid="{00000000-0005-0000-0000-000018190000}"/>
    <cellStyle name="Porcentual 142 10 2" xfId="5554" xr:uid="{00000000-0005-0000-0000-000019190000}"/>
    <cellStyle name="Porcentual 142 10 3" xfId="8228" xr:uid="{00000000-0005-0000-0000-00001A190000}"/>
    <cellStyle name="Porcentual 142 11" xfId="1894" xr:uid="{00000000-0005-0000-0000-00001B190000}"/>
    <cellStyle name="Porcentual 142 11 2" xfId="5555" xr:uid="{00000000-0005-0000-0000-00001C190000}"/>
    <cellStyle name="Porcentual 142 11 3" xfId="8229" xr:uid="{00000000-0005-0000-0000-00001D190000}"/>
    <cellStyle name="Porcentual 142 12" xfId="1895" xr:uid="{00000000-0005-0000-0000-00001E190000}"/>
    <cellStyle name="Porcentual 142 12 2" xfId="5556" xr:uid="{00000000-0005-0000-0000-00001F190000}"/>
    <cellStyle name="Porcentual 142 12 3" xfId="8230" xr:uid="{00000000-0005-0000-0000-000020190000}"/>
    <cellStyle name="Porcentual 142 13" xfId="1896" xr:uid="{00000000-0005-0000-0000-000021190000}"/>
    <cellStyle name="Porcentual 142 13 2" xfId="5557" xr:uid="{00000000-0005-0000-0000-000022190000}"/>
    <cellStyle name="Porcentual 142 13 3" xfId="8231" xr:uid="{00000000-0005-0000-0000-000023190000}"/>
    <cellStyle name="Porcentual 142 14" xfId="1897" xr:uid="{00000000-0005-0000-0000-000024190000}"/>
    <cellStyle name="Porcentual 142 14 2" xfId="5558" xr:uid="{00000000-0005-0000-0000-000025190000}"/>
    <cellStyle name="Porcentual 142 14 3" xfId="8232" xr:uid="{00000000-0005-0000-0000-000026190000}"/>
    <cellStyle name="Porcentual 142 15" xfId="1898" xr:uid="{00000000-0005-0000-0000-000027190000}"/>
    <cellStyle name="Porcentual 142 15 2" xfId="5559" xr:uid="{00000000-0005-0000-0000-000028190000}"/>
    <cellStyle name="Porcentual 142 15 3" xfId="8233" xr:uid="{00000000-0005-0000-0000-000029190000}"/>
    <cellStyle name="Porcentual 142 16" xfId="1899" xr:uid="{00000000-0005-0000-0000-00002A190000}"/>
    <cellStyle name="Porcentual 142 16 2" xfId="5560" xr:uid="{00000000-0005-0000-0000-00002B190000}"/>
    <cellStyle name="Porcentual 142 16 3" xfId="8234" xr:uid="{00000000-0005-0000-0000-00002C190000}"/>
    <cellStyle name="Porcentual 142 17" xfId="1900" xr:uid="{00000000-0005-0000-0000-00002D190000}"/>
    <cellStyle name="Porcentual 142 17 2" xfId="5561" xr:uid="{00000000-0005-0000-0000-00002E190000}"/>
    <cellStyle name="Porcentual 142 17 3" xfId="8235" xr:uid="{00000000-0005-0000-0000-00002F190000}"/>
    <cellStyle name="Porcentual 142 18" xfId="1901" xr:uid="{00000000-0005-0000-0000-000030190000}"/>
    <cellStyle name="Porcentual 142 18 2" xfId="5562" xr:uid="{00000000-0005-0000-0000-000031190000}"/>
    <cellStyle name="Porcentual 142 18 3" xfId="8236" xr:uid="{00000000-0005-0000-0000-000032190000}"/>
    <cellStyle name="Porcentual 142 19" xfId="1902" xr:uid="{00000000-0005-0000-0000-000033190000}"/>
    <cellStyle name="Porcentual 142 19 2" xfId="5563" xr:uid="{00000000-0005-0000-0000-000034190000}"/>
    <cellStyle name="Porcentual 142 19 3" xfId="8237" xr:uid="{00000000-0005-0000-0000-000035190000}"/>
    <cellStyle name="Porcentual 142 2" xfId="1903" xr:uid="{00000000-0005-0000-0000-000036190000}"/>
    <cellStyle name="Porcentual 142 2 2" xfId="5564" xr:uid="{00000000-0005-0000-0000-000037190000}"/>
    <cellStyle name="Porcentual 142 2 3" xfId="8238" xr:uid="{00000000-0005-0000-0000-000038190000}"/>
    <cellStyle name="Porcentual 142 20" xfId="1904" xr:uid="{00000000-0005-0000-0000-000039190000}"/>
    <cellStyle name="Porcentual 142 20 2" xfId="5565" xr:uid="{00000000-0005-0000-0000-00003A190000}"/>
    <cellStyle name="Porcentual 142 20 3" xfId="8239" xr:uid="{00000000-0005-0000-0000-00003B190000}"/>
    <cellStyle name="Porcentual 142 21" xfId="1905" xr:uid="{00000000-0005-0000-0000-00003C190000}"/>
    <cellStyle name="Porcentual 142 21 2" xfId="5566" xr:uid="{00000000-0005-0000-0000-00003D190000}"/>
    <cellStyle name="Porcentual 142 21 3" xfId="8240" xr:uid="{00000000-0005-0000-0000-00003E190000}"/>
    <cellStyle name="Porcentual 142 22" xfId="1906" xr:uid="{00000000-0005-0000-0000-00003F190000}"/>
    <cellStyle name="Porcentual 142 22 2" xfId="5567" xr:uid="{00000000-0005-0000-0000-000040190000}"/>
    <cellStyle name="Porcentual 142 22 3" xfId="8241" xr:uid="{00000000-0005-0000-0000-000041190000}"/>
    <cellStyle name="Porcentual 142 23" xfId="1907" xr:uid="{00000000-0005-0000-0000-000042190000}"/>
    <cellStyle name="Porcentual 142 23 2" xfId="5568" xr:uid="{00000000-0005-0000-0000-000043190000}"/>
    <cellStyle name="Porcentual 142 23 3" xfId="8242" xr:uid="{00000000-0005-0000-0000-000044190000}"/>
    <cellStyle name="Porcentual 142 24" xfId="1908" xr:uid="{00000000-0005-0000-0000-000045190000}"/>
    <cellStyle name="Porcentual 142 24 2" xfId="5569" xr:uid="{00000000-0005-0000-0000-000046190000}"/>
    <cellStyle name="Porcentual 142 24 3" xfId="8243" xr:uid="{00000000-0005-0000-0000-000047190000}"/>
    <cellStyle name="Porcentual 142 25" xfId="1909" xr:uid="{00000000-0005-0000-0000-000048190000}"/>
    <cellStyle name="Porcentual 142 25 2" xfId="5570" xr:uid="{00000000-0005-0000-0000-000049190000}"/>
    <cellStyle name="Porcentual 142 25 3" xfId="8244" xr:uid="{00000000-0005-0000-0000-00004A190000}"/>
    <cellStyle name="Porcentual 142 26" xfId="1910" xr:uid="{00000000-0005-0000-0000-00004B190000}"/>
    <cellStyle name="Porcentual 142 26 2" xfId="5571" xr:uid="{00000000-0005-0000-0000-00004C190000}"/>
    <cellStyle name="Porcentual 142 26 3" xfId="8245" xr:uid="{00000000-0005-0000-0000-00004D190000}"/>
    <cellStyle name="Porcentual 142 27" xfId="1911" xr:uid="{00000000-0005-0000-0000-00004E190000}"/>
    <cellStyle name="Porcentual 142 27 2" xfId="5572" xr:uid="{00000000-0005-0000-0000-00004F190000}"/>
    <cellStyle name="Porcentual 142 27 3" xfId="8246" xr:uid="{00000000-0005-0000-0000-000050190000}"/>
    <cellStyle name="Porcentual 142 28" xfId="1912" xr:uid="{00000000-0005-0000-0000-000051190000}"/>
    <cellStyle name="Porcentual 142 28 2" xfId="5573" xr:uid="{00000000-0005-0000-0000-000052190000}"/>
    <cellStyle name="Porcentual 142 28 3" xfId="8247" xr:uid="{00000000-0005-0000-0000-000053190000}"/>
    <cellStyle name="Porcentual 142 3" xfId="1913" xr:uid="{00000000-0005-0000-0000-000054190000}"/>
    <cellStyle name="Porcentual 142 3 2" xfId="5574" xr:uid="{00000000-0005-0000-0000-000055190000}"/>
    <cellStyle name="Porcentual 142 3 3" xfId="8248" xr:uid="{00000000-0005-0000-0000-000056190000}"/>
    <cellStyle name="Porcentual 142 4" xfId="1914" xr:uid="{00000000-0005-0000-0000-000057190000}"/>
    <cellStyle name="Porcentual 142 4 2" xfId="5575" xr:uid="{00000000-0005-0000-0000-000058190000}"/>
    <cellStyle name="Porcentual 142 4 3" xfId="8249" xr:uid="{00000000-0005-0000-0000-000059190000}"/>
    <cellStyle name="Porcentual 142 5" xfId="1915" xr:uid="{00000000-0005-0000-0000-00005A190000}"/>
    <cellStyle name="Porcentual 142 5 2" xfId="5576" xr:uid="{00000000-0005-0000-0000-00005B190000}"/>
    <cellStyle name="Porcentual 142 5 3" xfId="8250" xr:uid="{00000000-0005-0000-0000-00005C190000}"/>
    <cellStyle name="Porcentual 142 6" xfId="1916" xr:uid="{00000000-0005-0000-0000-00005D190000}"/>
    <cellStyle name="Porcentual 142 6 2" xfId="5577" xr:uid="{00000000-0005-0000-0000-00005E190000}"/>
    <cellStyle name="Porcentual 142 6 3" xfId="8251" xr:uid="{00000000-0005-0000-0000-00005F190000}"/>
    <cellStyle name="Porcentual 142 7" xfId="1917" xr:uid="{00000000-0005-0000-0000-000060190000}"/>
    <cellStyle name="Porcentual 142 7 2" xfId="5578" xr:uid="{00000000-0005-0000-0000-000061190000}"/>
    <cellStyle name="Porcentual 142 7 3" xfId="8252" xr:uid="{00000000-0005-0000-0000-000062190000}"/>
    <cellStyle name="Porcentual 142 8" xfId="1918" xr:uid="{00000000-0005-0000-0000-000063190000}"/>
    <cellStyle name="Porcentual 142 8 2" xfId="5579" xr:uid="{00000000-0005-0000-0000-000064190000}"/>
    <cellStyle name="Porcentual 142 8 3" xfId="8253" xr:uid="{00000000-0005-0000-0000-000065190000}"/>
    <cellStyle name="Porcentual 142 9" xfId="1919" xr:uid="{00000000-0005-0000-0000-000066190000}"/>
    <cellStyle name="Porcentual 142 9 2" xfId="5580" xr:uid="{00000000-0005-0000-0000-000067190000}"/>
    <cellStyle name="Porcentual 142 9 3" xfId="8254" xr:uid="{00000000-0005-0000-0000-000068190000}"/>
    <cellStyle name="Porcentual 143 10" xfId="1920" xr:uid="{00000000-0005-0000-0000-000069190000}"/>
    <cellStyle name="Porcentual 143 10 2" xfId="5581" xr:uid="{00000000-0005-0000-0000-00006A190000}"/>
    <cellStyle name="Porcentual 143 10 3" xfId="8255" xr:uid="{00000000-0005-0000-0000-00006B190000}"/>
    <cellStyle name="Porcentual 143 11" xfId="1921" xr:uid="{00000000-0005-0000-0000-00006C190000}"/>
    <cellStyle name="Porcentual 143 11 2" xfId="5582" xr:uid="{00000000-0005-0000-0000-00006D190000}"/>
    <cellStyle name="Porcentual 143 11 3" xfId="8256" xr:uid="{00000000-0005-0000-0000-00006E190000}"/>
    <cellStyle name="Porcentual 143 12" xfId="1922" xr:uid="{00000000-0005-0000-0000-00006F190000}"/>
    <cellStyle name="Porcentual 143 12 2" xfId="5583" xr:uid="{00000000-0005-0000-0000-000070190000}"/>
    <cellStyle name="Porcentual 143 12 3" xfId="8257" xr:uid="{00000000-0005-0000-0000-000071190000}"/>
    <cellStyle name="Porcentual 143 13" xfId="1923" xr:uid="{00000000-0005-0000-0000-000072190000}"/>
    <cellStyle name="Porcentual 143 13 2" xfId="5584" xr:uid="{00000000-0005-0000-0000-000073190000}"/>
    <cellStyle name="Porcentual 143 13 3" xfId="8258" xr:uid="{00000000-0005-0000-0000-000074190000}"/>
    <cellStyle name="Porcentual 143 14" xfId="1924" xr:uid="{00000000-0005-0000-0000-000075190000}"/>
    <cellStyle name="Porcentual 143 14 2" xfId="5585" xr:uid="{00000000-0005-0000-0000-000076190000}"/>
    <cellStyle name="Porcentual 143 14 3" xfId="8259" xr:uid="{00000000-0005-0000-0000-000077190000}"/>
    <cellStyle name="Porcentual 143 15" xfId="1925" xr:uid="{00000000-0005-0000-0000-000078190000}"/>
    <cellStyle name="Porcentual 143 15 2" xfId="5586" xr:uid="{00000000-0005-0000-0000-000079190000}"/>
    <cellStyle name="Porcentual 143 15 3" xfId="8260" xr:uid="{00000000-0005-0000-0000-00007A190000}"/>
    <cellStyle name="Porcentual 143 16" xfId="1926" xr:uid="{00000000-0005-0000-0000-00007B190000}"/>
    <cellStyle name="Porcentual 143 16 2" xfId="5587" xr:uid="{00000000-0005-0000-0000-00007C190000}"/>
    <cellStyle name="Porcentual 143 16 3" xfId="8261" xr:uid="{00000000-0005-0000-0000-00007D190000}"/>
    <cellStyle name="Porcentual 143 17" xfId="1927" xr:uid="{00000000-0005-0000-0000-00007E190000}"/>
    <cellStyle name="Porcentual 143 17 2" xfId="5588" xr:uid="{00000000-0005-0000-0000-00007F190000}"/>
    <cellStyle name="Porcentual 143 17 3" xfId="8262" xr:uid="{00000000-0005-0000-0000-000080190000}"/>
    <cellStyle name="Porcentual 143 18" xfId="1928" xr:uid="{00000000-0005-0000-0000-000081190000}"/>
    <cellStyle name="Porcentual 143 18 2" xfId="5589" xr:uid="{00000000-0005-0000-0000-000082190000}"/>
    <cellStyle name="Porcentual 143 18 3" xfId="8263" xr:uid="{00000000-0005-0000-0000-000083190000}"/>
    <cellStyle name="Porcentual 143 19" xfId="1929" xr:uid="{00000000-0005-0000-0000-000084190000}"/>
    <cellStyle name="Porcentual 143 19 2" xfId="5590" xr:uid="{00000000-0005-0000-0000-000085190000}"/>
    <cellStyle name="Porcentual 143 19 3" xfId="8264" xr:uid="{00000000-0005-0000-0000-000086190000}"/>
    <cellStyle name="Porcentual 143 2" xfId="1930" xr:uid="{00000000-0005-0000-0000-000087190000}"/>
    <cellStyle name="Porcentual 143 2 2" xfId="5591" xr:uid="{00000000-0005-0000-0000-000088190000}"/>
    <cellStyle name="Porcentual 143 2 3" xfId="8265" xr:uid="{00000000-0005-0000-0000-000089190000}"/>
    <cellStyle name="Porcentual 143 20" xfId="1931" xr:uid="{00000000-0005-0000-0000-00008A190000}"/>
    <cellStyle name="Porcentual 143 20 2" xfId="5592" xr:uid="{00000000-0005-0000-0000-00008B190000}"/>
    <cellStyle name="Porcentual 143 20 3" xfId="8266" xr:uid="{00000000-0005-0000-0000-00008C190000}"/>
    <cellStyle name="Porcentual 143 21" xfId="1932" xr:uid="{00000000-0005-0000-0000-00008D190000}"/>
    <cellStyle name="Porcentual 143 21 2" xfId="5593" xr:uid="{00000000-0005-0000-0000-00008E190000}"/>
    <cellStyle name="Porcentual 143 21 3" xfId="8267" xr:uid="{00000000-0005-0000-0000-00008F190000}"/>
    <cellStyle name="Porcentual 143 22" xfId="1933" xr:uid="{00000000-0005-0000-0000-000090190000}"/>
    <cellStyle name="Porcentual 143 22 2" xfId="5594" xr:uid="{00000000-0005-0000-0000-000091190000}"/>
    <cellStyle name="Porcentual 143 22 3" xfId="8268" xr:uid="{00000000-0005-0000-0000-000092190000}"/>
    <cellStyle name="Porcentual 143 23" xfId="1934" xr:uid="{00000000-0005-0000-0000-000093190000}"/>
    <cellStyle name="Porcentual 143 23 2" xfId="5595" xr:uid="{00000000-0005-0000-0000-000094190000}"/>
    <cellStyle name="Porcentual 143 23 3" xfId="8269" xr:uid="{00000000-0005-0000-0000-000095190000}"/>
    <cellStyle name="Porcentual 143 24" xfId="1935" xr:uid="{00000000-0005-0000-0000-000096190000}"/>
    <cellStyle name="Porcentual 143 24 2" xfId="5596" xr:uid="{00000000-0005-0000-0000-000097190000}"/>
    <cellStyle name="Porcentual 143 24 3" xfId="8270" xr:uid="{00000000-0005-0000-0000-000098190000}"/>
    <cellStyle name="Porcentual 143 25" xfId="1936" xr:uid="{00000000-0005-0000-0000-000099190000}"/>
    <cellStyle name="Porcentual 143 25 2" xfId="5597" xr:uid="{00000000-0005-0000-0000-00009A190000}"/>
    <cellStyle name="Porcentual 143 25 3" xfId="8271" xr:uid="{00000000-0005-0000-0000-00009B190000}"/>
    <cellStyle name="Porcentual 143 26" xfId="1937" xr:uid="{00000000-0005-0000-0000-00009C190000}"/>
    <cellStyle name="Porcentual 143 26 2" xfId="5598" xr:uid="{00000000-0005-0000-0000-00009D190000}"/>
    <cellStyle name="Porcentual 143 26 3" xfId="8272" xr:uid="{00000000-0005-0000-0000-00009E190000}"/>
    <cellStyle name="Porcentual 143 27" xfId="1938" xr:uid="{00000000-0005-0000-0000-00009F190000}"/>
    <cellStyle name="Porcentual 143 27 2" xfId="5599" xr:uid="{00000000-0005-0000-0000-0000A0190000}"/>
    <cellStyle name="Porcentual 143 27 3" xfId="8273" xr:uid="{00000000-0005-0000-0000-0000A1190000}"/>
    <cellStyle name="Porcentual 143 28" xfId="1939" xr:uid="{00000000-0005-0000-0000-0000A2190000}"/>
    <cellStyle name="Porcentual 143 28 2" xfId="5600" xr:uid="{00000000-0005-0000-0000-0000A3190000}"/>
    <cellStyle name="Porcentual 143 28 3" xfId="8274" xr:uid="{00000000-0005-0000-0000-0000A4190000}"/>
    <cellStyle name="Porcentual 143 3" xfId="1940" xr:uid="{00000000-0005-0000-0000-0000A5190000}"/>
    <cellStyle name="Porcentual 143 3 2" xfId="5601" xr:uid="{00000000-0005-0000-0000-0000A6190000}"/>
    <cellStyle name="Porcentual 143 3 3" xfId="8275" xr:uid="{00000000-0005-0000-0000-0000A7190000}"/>
    <cellStyle name="Porcentual 143 4" xfId="1941" xr:uid="{00000000-0005-0000-0000-0000A8190000}"/>
    <cellStyle name="Porcentual 143 4 2" xfId="5602" xr:uid="{00000000-0005-0000-0000-0000A9190000}"/>
    <cellStyle name="Porcentual 143 4 3" xfId="8276" xr:uid="{00000000-0005-0000-0000-0000AA190000}"/>
    <cellStyle name="Porcentual 143 5" xfId="1942" xr:uid="{00000000-0005-0000-0000-0000AB190000}"/>
    <cellStyle name="Porcentual 143 5 2" xfId="5603" xr:uid="{00000000-0005-0000-0000-0000AC190000}"/>
    <cellStyle name="Porcentual 143 5 3" xfId="8277" xr:uid="{00000000-0005-0000-0000-0000AD190000}"/>
    <cellStyle name="Porcentual 143 6" xfId="1943" xr:uid="{00000000-0005-0000-0000-0000AE190000}"/>
    <cellStyle name="Porcentual 143 6 2" xfId="5604" xr:uid="{00000000-0005-0000-0000-0000AF190000}"/>
    <cellStyle name="Porcentual 143 6 3" xfId="8278" xr:uid="{00000000-0005-0000-0000-0000B0190000}"/>
    <cellStyle name="Porcentual 143 7" xfId="1944" xr:uid="{00000000-0005-0000-0000-0000B1190000}"/>
    <cellStyle name="Porcentual 143 7 2" xfId="5605" xr:uid="{00000000-0005-0000-0000-0000B2190000}"/>
    <cellStyle name="Porcentual 143 7 3" xfId="8279" xr:uid="{00000000-0005-0000-0000-0000B3190000}"/>
    <cellStyle name="Porcentual 143 8" xfId="1945" xr:uid="{00000000-0005-0000-0000-0000B4190000}"/>
    <cellStyle name="Porcentual 143 8 2" xfId="5606" xr:uid="{00000000-0005-0000-0000-0000B5190000}"/>
    <cellStyle name="Porcentual 143 8 3" xfId="8280" xr:uid="{00000000-0005-0000-0000-0000B6190000}"/>
    <cellStyle name="Porcentual 143 9" xfId="1946" xr:uid="{00000000-0005-0000-0000-0000B7190000}"/>
    <cellStyle name="Porcentual 143 9 2" xfId="5607" xr:uid="{00000000-0005-0000-0000-0000B8190000}"/>
    <cellStyle name="Porcentual 143 9 3" xfId="8281" xr:uid="{00000000-0005-0000-0000-0000B9190000}"/>
    <cellStyle name="Porcentual 144 10" xfId="1947" xr:uid="{00000000-0005-0000-0000-0000BA190000}"/>
    <cellStyle name="Porcentual 144 10 2" xfId="5608" xr:uid="{00000000-0005-0000-0000-0000BB190000}"/>
    <cellStyle name="Porcentual 144 10 3" xfId="8282" xr:uid="{00000000-0005-0000-0000-0000BC190000}"/>
    <cellStyle name="Porcentual 144 11" xfId="1948" xr:uid="{00000000-0005-0000-0000-0000BD190000}"/>
    <cellStyle name="Porcentual 144 11 2" xfId="5609" xr:uid="{00000000-0005-0000-0000-0000BE190000}"/>
    <cellStyle name="Porcentual 144 11 3" xfId="8283" xr:uid="{00000000-0005-0000-0000-0000BF190000}"/>
    <cellStyle name="Porcentual 144 12" xfId="1949" xr:uid="{00000000-0005-0000-0000-0000C0190000}"/>
    <cellStyle name="Porcentual 144 12 2" xfId="5610" xr:uid="{00000000-0005-0000-0000-0000C1190000}"/>
    <cellStyle name="Porcentual 144 12 3" xfId="8284" xr:uid="{00000000-0005-0000-0000-0000C2190000}"/>
    <cellStyle name="Porcentual 144 13" xfId="1950" xr:uid="{00000000-0005-0000-0000-0000C3190000}"/>
    <cellStyle name="Porcentual 144 13 2" xfId="5611" xr:uid="{00000000-0005-0000-0000-0000C4190000}"/>
    <cellStyle name="Porcentual 144 13 3" xfId="8285" xr:uid="{00000000-0005-0000-0000-0000C5190000}"/>
    <cellStyle name="Porcentual 144 14" xfId="1951" xr:uid="{00000000-0005-0000-0000-0000C6190000}"/>
    <cellStyle name="Porcentual 144 14 2" xfId="5612" xr:uid="{00000000-0005-0000-0000-0000C7190000}"/>
    <cellStyle name="Porcentual 144 14 3" xfId="8286" xr:uid="{00000000-0005-0000-0000-0000C8190000}"/>
    <cellStyle name="Porcentual 144 15" xfId="1952" xr:uid="{00000000-0005-0000-0000-0000C9190000}"/>
    <cellStyle name="Porcentual 144 15 2" xfId="5613" xr:uid="{00000000-0005-0000-0000-0000CA190000}"/>
    <cellStyle name="Porcentual 144 15 3" xfId="8287" xr:uid="{00000000-0005-0000-0000-0000CB190000}"/>
    <cellStyle name="Porcentual 144 16" xfId="1953" xr:uid="{00000000-0005-0000-0000-0000CC190000}"/>
    <cellStyle name="Porcentual 144 16 2" xfId="5614" xr:uid="{00000000-0005-0000-0000-0000CD190000}"/>
    <cellStyle name="Porcentual 144 16 3" xfId="8288" xr:uid="{00000000-0005-0000-0000-0000CE190000}"/>
    <cellStyle name="Porcentual 144 17" xfId="1954" xr:uid="{00000000-0005-0000-0000-0000CF190000}"/>
    <cellStyle name="Porcentual 144 17 2" xfId="5615" xr:uid="{00000000-0005-0000-0000-0000D0190000}"/>
    <cellStyle name="Porcentual 144 17 3" xfId="8289" xr:uid="{00000000-0005-0000-0000-0000D1190000}"/>
    <cellStyle name="Porcentual 144 18" xfId="1955" xr:uid="{00000000-0005-0000-0000-0000D2190000}"/>
    <cellStyle name="Porcentual 144 18 2" xfId="5616" xr:uid="{00000000-0005-0000-0000-0000D3190000}"/>
    <cellStyle name="Porcentual 144 18 3" xfId="8290" xr:uid="{00000000-0005-0000-0000-0000D4190000}"/>
    <cellStyle name="Porcentual 144 19" xfId="1956" xr:uid="{00000000-0005-0000-0000-0000D5190000}"/>
    <cellStyle name="Porcentual 144 19 2" xfId="5617" xr:uid="{00000000-0005-0000-0000-0000D6190000}"/>
    <cellStyle name="Porcentual 144 19 3" xfId="8291" xr:uid="{00000000-0005-0000-0000-0000D7190000}"/>
    <cellStyle name="Porcentual 144 2" xfId="1957" xr:uid="{00000000-0005-0000-0000-0000D8190000}"/>
    <cellStyle name="Porcentual 144 2 2" xfId="5618" xr:uid="{00000000-0005-0000-0000-0000D9190000}"/>
    <cellStyle name="Porcentual 144 2 3" xfId="8292" xr:uid="{00000000-0005-0000-0000-0000DA190000}"/>
    <cellStyle name="Porcentual 144 20" xfId="1958" xr:uid="{00000000-0005-0000-0000-0000DB190000}"/>
    <cellStyle name="Porcentual 144 20 2" xfId="5619" xr:uid="{00000000-0005-0000-0000-0000DC190000}"/>
    <cellStyle name="Porcentual 144 20 3" xfId="8293" xr:uid="{00000000-0005-0000-0000-0000DD190000}"/>
    <cellStyle name="Porcentual 144 21" xfId="1959" xr:uid="{00000000-0005-0000-0000-0000DE190000}"/>
    <cellStyle name="Porcentual 144 21 2" xfId="5620" xr:uid="{00000000-0005-0000-0000-0000DF190000}"/>
    <cellStyle name="Porcentual 144 21 3" xfId="8294" xr:uid="{00000000-0005-0000-0000-0000E0190000}"/>
    <cellStyle name="Porcentual 144 22" xfId="1960" xr:uid="{00000000-0005-0000-0000-0000E1190000}"/>
    <cellStyle name="Porcentual 144 22 2" xfId="5621" xr:uid="{00000000-0005-0000-0000-0000E2190000}"/>
    <cellStyle name="Porcentual 144 22 3" xfId="8295" xr:uid="{00000000-0005-0000-0000-0000E3190000}"/>
    <cellStyle name="Porcentual 144 23" xfId="1961" xr:uid="{00000000-0005-0000-0000-0000E4190000}"/>
    <cellStyle name="Porcentual 144 23 2" xfId="5622" xr:uid="{00000000-0005-0000-0000-0000E5190000}"/>
    <cellStyle name="Porcentual 144 23 3" xfId="8296" xr:uid="{00000000-0005-0000-0000-0000E6190000}"/>
    <cellStyle name="Porcentual 144 24" xfId="1962" xr:uid="{00000000-0005-0000-0000-0000E7190000}"/>
    <cellStyle name="Porcentual 144 24 2" xfId="5623" xr:uid="{00000000-0005-0000-0000-0000E8190000}"/>
    <cellStyle name="Porcentual 144 24 3" xfId="8297" xr:uid="{00000000-0005-0000-0000-0000E9190000}"/>
    <cellStyle name="Porcentual 144 25" xfId="1963" xr:uid="{00000000-0005-0000-0000-0000EA190000}"/>
    <cellStyle name="Porcentual 144 25 2" xfId="5624" xr:uid="{00000000-0005-0000-0000-0000EB190000}"/>
    <cellStyle name="Porcentual 144 25 3" xfId="8298" xr:uid="{00000000-0005-0000-0000-0000EC190000}"/>
    <cellStyle name="Porcentual 144 26" xfId="1964" xr:uid="{00000000-0005-0000-0000-0000ED190000}"/>
    <cellStyle name="Porcentual 144 26 2" xfId="5625" xr:uid="{00000000-0005-0000-0000-0000EE190000}"/>
    <cellStyle name="Porcentual 144 26 3" xfId="8299" xr:uid="{00000000-0005-0000-0000-0000EF190000}"/>
    <cellStyle name="Porcentual 144 27" xfId="1965" xr:uid="{00000000-0005-0000-0000-0000F0190000}"/>
    <cellStyle name="Porcentual 144 27 2" xfId="5626" xr:uid="{00000000-0005-0000-0000-0000F1190000}"/>
    <cellStyle name="Porcentual 144 27 3" xfId="8300" xr:uid="{00000000-0005-0000-0000-0000F2190000}"/>
    <cellStyle name="Porcentual 144 28" xfId="1966" xr:uid="{00000000-0005-0000-0000-0000F3190000}"/>
    <cellStyle name="Porcentual 144 28 2" xfId="5627" xr:uid="{00000000-0005-0000-0000-0000F4190000}"/>
    <cellStyle name="Porcentual 144 28 3" xfId="8301" xr:uid="{00000000-0005-0000-0000-0000F5190000}"/>
    <cellStyle name="Porcentual 144 3" xfId="1967" xr:uid="{00000000-0005-0000-0000-0000F6190000}"/>
    <cellStyle name="Porcentual 144 3 2" xfId="5628" xr:uid="{00000000-0005-0000-0000-0000F7190000}"/>
    <cellStyle name="Porcentual 144 3 3" xfId="8302" xr:uid="{00000000-0005-0000-0000-0000F8190000}"/>
    <cellStyle name="Porcentual 144 4" xfId="1968" xr:uid="{00000000-0005-0000-0000-0000F9190000}"/>
    <cellStyle name="Porcentual 144 4 2" xfId="5629" xr:uid="{00000000-0005-0000-0000-0000FA190000}"/>
    <cellStyle name="Porcentual 144 4 3" xfId="8303" xr:uid="{00000000-0005-0000-0000-0000FB190000}"/>
    <cellStyle name="Porcentual 144 5" xfId="1969" xr:uid="{00000000-0005-0000-0000-0000FC190000}"/>
    <cellStyle name="Porcentual 144 5 2" xfId="5630" xr:uid="{00000000-0005-0000-0000-0000FD190000}"/>
    <cellStyle name="Porcentual 144 5 3" xfId="8304" xr:uid="{00000000-0005-0000-0000-0000FE190000}"/>
    <cellStyle name="Porcentual 144 6" xfId="1970" xr:uid="{00000000-0005-0000-0000-0000FF190000}"/>
    <cellStyle name="Porcentual 144 6 2" xfId="5631" xr:uid="{00000000-0005-0000-0000-0000001A0000}"/>
    <cellStyle name="Porcentual 144 6 3" xfId="8305" xr:uid="{00000000-0005-0000-0000-0000011A0000}"/>
    <cellStyle name="Porcentual 144 7" xfId="1971" xr:uid="{00000000-0005-0000-0000-0000021A0000}"/>
    <cellStyle name="Porcentual 144 7 2" xfId="5632" xr:uid="{00000000-0005-0000-0000-0000031A0000}"/>
    <cellStyle name="Porcentual 144 7 3" xfId="8306" xr:uid="{00000000-0005-0000-0000-0000041A0000}"/>
    <cellStyle name="Porcentual 144 8" xfId="1972" xr:uid="{00000000-0005-0000-0000-0000051A0000}"/>
    <cellStyle name="Porcentual 144 8 2" xfId="5633" xr:uid="{00000000-0005-0000-0000-0000061A0000}"/>
    <cellStyle name="Porcentual 144 8 3" xfId="8307" xr:uid="{00000000-0005-0000-0000-0000071A0000}"/>
    <cellStyle name="Porcentual 144 9" xfId="1973" xr:uid="{00000000-0005-0000-0000-0000081A0000}"/>
    <cellStyle name="Porcentual 144 9 2" xfId="5634" xr:uid="{00000000-0005-0000-0000-0000091A0000}"/>
    <cellStyle name="Porcentual 144 9 3" xfId="8308" xr:uid="{00000000-0005-0000-0000-00000A1A0000}"/>
    <cellStyle name="Porcentual 145 10" xfId="1974" xr:uid="{00000000-0005-0000-0000-00000B1A0000}"/>
    <cellStyle name="Porcentual 145 10 2" xfId="5635" xr:uid="{00000000-0005-0000-0000-00000C1A0000}"/>
    <cellStyle name="Porcentual 145 10 3" xfId="8309" xr:uid="{00000000-0005-0000-0000-00000D1A0000}"/>
    <cellStyle name="Porcentual 145 11" xfId="1975" xr:uid="{00000000-0005-0000-0000-00000E1A0000}"/>
    <cellStyle name="Porcentual 145 11 2" xfId="5636" xr:uid="{00000000-0005-0000-0000-00000F1A0000}"/>
    <cellStyle name="Porcentual 145 11 3" xfId="8310" xr:uid="{00000000-0005-0000-0000-0000101A0000}"/>
    <cellStyle name="Porcentual 145 12" xfId="1976" xr:uid="{00000000-0005-0000-0000-0000111A0000}"/>
    <cellStyle name="Porcentual 145 12 2" xfId="5637" xr:uid="{00000000-0005-0000-0000-0000121A0000}"/>
    <cellStyle name="Porcentual 145 12 3" xfId="8311" xr:uid="{00000000-0005-0000-0000-0000131A0000}"/>
    <cellStyle name="Porcentual 145 13" xfId="1977" xr:uid="{00000000-0005-0000-0000-0000141A0000}"/>
    <cellStyle name="Porcentual 145 13 2" xfId="5638" xr:uid="{00000000-0005-0000-0000-0000151A0000}"/>
    <cellStyle name="Porcentual 145 13 3" xfId="8312" xr:uid="{00000000-0005-0000-0000-0000161A0000}"/>
    <cellStyle name="Porcentual 145 14" xfId="1978" xr:uid="{00000000-0005-0000-0000-0000171A0000}"/>
    <cellStyle name="Porcentual 145 14 2" xfId="5639" xr:uid="{00000000-0005-0000-0000-0000181A0000}"/>
    <cellStyle name="Porcentual 145 14 3" xfId="8313" xr:uid="{00000000-0005-0000-0000-0000191A0000}"/>
    <cellStyle name="Porcentual 145 15" xfId="1979" xr:uid="{00000000-0005-0000-0000-00001A1A0000}"/>
    <cellStyle name="Porcentual 145 15 2" xfId="5640" xr:uid="{00000000-0005-0000-0000-00001B1A0000}"/>
    <cellStyle name="Porcentual 145 15 3" xfId="8314" xr:uid="{00000000-0005-0000-0000-00001C1A0000}"/>
    <cellStyle name="Porcentual 145 16" xfId="1980" xr:uid="{00000000-0005-0000-0000-00001D1A0000}"/>
    <cellStyle name="Porcentual 145 16 2" xfId="5641" xr:uid="{00000000-0005-0000-0000-00001E1A0000}"/>
    <cellStyle name="Porcentual 145 16 3" xfId="8315" xr:uid="{00000000-0005-0000-0000-00001F1A0000}"/>
    <cellStyle name="Porcentual 145 17" xfId="1981" xr:uid="{00000000-0005-0000-0000-0000201A0000}"/>
    <cellStyle name="Porcentual 145 17 2" xfId="5642" xr:uid="{00000000-0005-0000-0000-0000211A0000}"/>
    <cellStyle name="Porcentual 145 17 3" xfId="8316" xr:uid="{00000000-0005-0000-0000-0000221A0000}"/>
    <cellStyle name="Porcentual 145 18" xfId="1982" xr:uid="{00000000-0005-0000-0000-0000231A0000}"/>
    <cellStyle name="Porcentual 145 18 2" xfId="5643" xr:uid="{00000000-0005-0000-0000-0000241A0000}"/>
    <cellStyle name="Porcentual 145 18 3" xfId="8317" xr:uid="{00000000-0005-0000-0000-0000251A0000}"/>
    <cellStyle name="Porcentual 145 19" xfId="1983" xr:uid="{00000000-0005-0000-0000-0000261A0000}"/>
    <cellStyle name="Porcentual 145 19 2" xfId="5644" xr:uid="{00000000-0005-0000-0000-0000271A0000}"/>
    <cellStyle name="Porcentual 145 19 3" xfId="8318" xr:uid="{00000000-0005-0000-0000-0000281A0000}"/>
    <cellStyle name="Porcentual 145 2" xfId="1984" xr:uid="{00000000-0005-0000-0000-0000291A0000}"/>
    <cellStyle name="Porcentual 145 2 2" xfId="5645" xr:uid="{00000000-0005-0000-0000-00002A1A0000}"/>
    <cellStyle name="Porcentual 145 2 3" xfId="8319" xr:uid="{00000000-0005-0000-0000-00002B1A0000}"/>
    <cellStyle name="Porcentual 145 20" xfId="1985" xr:uid="{00000000-0005-0000-0000-00002C1A0000}"/>
    <cellStyle name="Porcentual 145 20 2" xfId="5646" xr:uid="{00000000-0005-0000-0000-00002D1A0000}"/>
    <cellStyle name="Porcentual 145 20 3" xfId="8320" xr:uid="{00000000-0005-0000-0000-00002E1A0000}"/>
    <cellStyle name="Porcentual 145 21" xfId="1986" xr:uid="{00000000-0005-0000-0000-00002F1A0000}"/>
    <cellStyle name="Porcentual 145 21 2" xfId="5647" xr:uid="{00000000-0005-0000-0000-0000301A0000}"/>
    <cellStyle name="Porcentual 145 21 3" xfId="8321" xr:uid="{00000000-0005-0000-0000-0000311A0000}"/>
    <cellStyle name="Porcentual 145 22" xfId="1987" xr:uid="{00000000-0005-0000-0000-0000321A0000}"/>
    <cellStyle name="Porcentual 145 22 2" xfId="5648" xr:uid="{00000000-0005-0000-0000-0000331A0000}"/>
    <cellStyle name="Porcentual 145 22 3" xfId="8322" xr:uid="{00000000-0005-0000-0000-0000341A0000}"/>
    <cellStyle name="Porcentual 145 23" xfId="1988" xr:uid="{00000000-0005-0000-0000-0000351A0000}"/>
    <cellStyle name="Porcentual 145 23 2" xfId="5649" xr:uid="{00000000-0005-0000-0000-0000361A0000}"/>
    <cellStyle name="Porcentual 145 23 3" xfId="8323" xr:uid="{00000000-0005-0000-0000-0000371A0000}"/>
    <cellStyle name="Porcentual 145 24" xfId="1989" xr:uid="{00000000-0005-0000-0000-0000381A0000}"/>
    <cellStyle name="Porcentual 145 24 2" xfId="5650" xr:uid="{00000000-0005-0000-0000-0000391A0000}"/>
    <cellStyle name="Porcentual 145 24 3" xfId="8324" xr:uid="{00000000-0005-0000-0000-00003A1A0000}"/>
    <cellStyle name="Porcentual 145 25" xfId="1990" xr:uid="{00000000-0005-0000-0000-00003B1A0000}"/>
    <cellStyle name="Porcentual 145 25 2" xfId="5651" xr:uid="{00000000-0005-0000-0000-00003C1A0000}"/>
    <cellStyle name="Porcentual 145 25 3" xfId="8325" xr:uid="{00000000-0005-0000-0000-00003D1A0000}"/>
    <cellStyle name="Porcentual 145 26" xfId="1991" xr:uid="{00000000-0005-0000-0000-00003E1A0000}"/>
    <cellStyle name="Porcentual 145 26 2" xfId="5652" xr:uid="{00000000-0005-0000-0000-00003F1A0000}"/>
    <cellStyle name="Porcentual 145 26 3" xfId="8326" xr:uid="{00000000-0005-0000-0000-0000401A0000}"/>
    <cellStyle name="Porcentual 145 27" xfId="1992" xr:uid="{00000000-0005-0000-0000-0000411A0000}"/>
    <cellStyle name="Porcentual 145 27 2" xfId="5653" xr:uid="{00000000-0005-0000-0000-0000421A0000}"/>
    <cellStyle name="Porcentual 145 27 3" xfId="8327" xr:uid="{00000000-0005-0000-0000-0000431A0000}"/>
    <cellStyle name="Porcentual 145 28" xfId="1993" xr:uid="{00000000-0005-0000-0000-0000441A0000}"/>
    <cellStyle name="Porcentual 145 28 2" xfId="5654" xr:uid="{00000000-0005-0000-0000-0000451A0000}"/>
    <cellStyle name="Porcentual 145 28 3" xfId="8328" xr:uid="{00000000-0005-0000-0000-0000461A0000}"/>
    <cellStyle name="Porcentual 145 3" xfId="1994" xr:uid="{00000000-0005-0000-0000-0000471A0000}"/>
    <cellStyle name="Porcentual 145 3 2" xfId="5655" xr:uid="{00000000-0005-0000-0000-0000481A0000}"/>
    <cellStyle name="Porcentual 145 3 3" xfId="8329" xr:uid="{00000000-0005-0000-0000-0000491A0000}"/>
    <cellStyle name="Porcentual 145 4" xfId="1995" xr:uid="{00000000-0005-0000-0000-00004A1A0000}"/>
    <cellStyle name="Porcentual 145 4 2" xfId="5656" xr:uid="{00000000-0005-0000-0000-00004B1A0000}"/>
    <cellStyle name="Porcentual 145 4 3" xfId="8330" xr:uid="{00000000-0005-0000-0000-00004C1A0000}"/>
    <cellStyle name="Porcentual 145 5" xfId="1996" xr:uid="{00000000-0005-0000-0000-00004D1A0000}"/>
    <cellStyle name="Porcentual 145 5 2" xfId="5657" xr:uid="{00000000-0005-0000-0000-00004E1A0000}"/>
    <cellStyle name="Porcentual 145 5 3" xfId="8331" xr:uid="{00000000-0005-0000-0000-00004F1A0000}"/>
    <cellStyle name="Porcentual 145 6" xfId="1997" xr:uid="{00000000-0005-0000-0000-0000501A0000}"/>
    <cellStyle name="Porcentual 145 6 2" xfId="5658" xr:uid="{00000000-0005-0000-0000-0000511A0000}"/>
    <cellStyle name="Porcentual 145 6 3" xfId="8332" xr:uid="{00000000-0005-0000-0000-0000521A0000}"/>
    <cellStyle name="Porcentual 145 7" xfId="1998" xr:uid="{00000000-0005-0000-0000-0000531A0000}"/>
    <cellStyle name="Porcentual 145 7 2" xfId="5659" xr:uid="{00000000-0005-0000-0000-0000541A0000}"/>
    <cellStyle name="Porcentual 145 7 3" xfId="8333" xr:uid="{00000000-0005-0000-0000-0000551A0000}"/>
    <cellStyle name="Porcentual 145 8" xfId="1999" xr:uid="{00000000-0005-0000-0000-0000561A0000}"/>
    <cellStyle name="Porcentual 145 8 2" xfId="5660" xr:uid="{00000000-0005-0000-0000-0000571A0000}"/>
    <cellStyle name="Porcentual 145 8 3" xfId="8334" xr:uid="{00000000-0005-0000-0000-0000581A0000}"/>
    <cellStyle name="Porcentual 145 9" xfId="2000" xr:uid="{00000000-0005-0000-0000-0000591A0000}"/>
    <cellStyle name="Porcentual 145 9 2" xfId="5661" xr:uid="{00000000-0005-0000-0000-00005A1A0000}"/>
    <cellStyle name="Porcentual 145 9 3" xfId="8335" xr:uid="{00000000-0005-0000-0000-00005B1A0000}"/>
    <cellStyle name="Porcentual 146 10" xfId="2001" xr:uid="{00000000-0005-0000-0000-00005C1A0000}"/>
    <cellStyle name="Porcentual 146 10 2" xfId="5662" xr:uid="{00000000-0005-0000-0000-00005D1A0000}"/>
    <cellStyle name="Porcentual 146 10 3" xfId="8336" xr:uid="{00000000-0005-0000-0000-00005E1A0000}"/>
    <cellStyle name="Porcentual 146 11" xfId="2002" xr:uid="{00000000-0005-0000-0000-00005F1A0000}"/>
    <cellStyle name="Porcentual 146 11 2" xfId="5663" xr:uid="{00000000-0005-0000-0000-0000601A0000}"/>
    <cellStyle name="Porcentual 146 11 3" xfId="8337" xr:uid="{00000000-0005-0000-0000-0000611A0000}"/>
    <cellStyle name="Porcentual 146 12" xfId="2003" xr:uid="{00000000-0005-0000-0000-0000621A0000}"/>
    <cellStyle name="Porcentual 146 12 2" xfId="5664" xr:uid="{00000000-0005-0000-0000-0000631A0000}"/>
    <cellStyle name="Porcentual 146 12 3" xfId="8338" xr:uid="{00000000-0005-0000-0000-0000641A0000}"/>
    <cellStyle name="Porcentual 146 13" xfId="2004" xr:uid="{00000000-0005-0000-0000-0000651A0000}"/>
    <cellStyle name="Porcentual 146 13 2" xfId="5665" xr:uid="{00000000-0005-0000-0000-0000661A0000}"/>
    <cellStyle name="Porcentual 146 13 3" xfId="8339" xr:uid="{00000000-0005-0000-0000-0000671A0000}"/>
    <cellStyle name="Porcentual 146 14" xfId="2005" xr:uid="{00000000-0005-0000-0000-0000681A0000}"/>
    <cellStyle name="Porcentual 146 14 2" xfId="5666" xr:uid="{00000000-0005-0000-0000-0000691A0000}"/>
    <cellStyle name="Porcentual 146 14 3" xfId="8340" xr:uid="{00000000-0005-0000-0000-00006A1A0000}"/>
    <cellStyle name="Porcentual 146 15" xfId="2006" xr:uid="{00000000-0005-0000-0000-00006B1A0000}"/>
    <cellStyle name="Porcentual 146 15 2" xfId="5667" xr:uid="{00000000-0005-0000-0000-00006C1A0000}"/>
    <cellStyle name="Porcentual 146 15 3" xfId="8341" xr:uid="{00000000-0005-0000-0000-00006D1A0000}"/>
    <cellStyle name="Porcentual 146 16" xfId="2007" xr:uid="{00000000-0005-0000-0000-00006E1A0000}"/>
    <cellStyle name="Porcentual 146 16 2" xfId="5668" xr:uid="{00000000-0005-0000-0000-00006F1A0000}"/>
    <cellStyle name="Porcentual 146 16 3" xfId="8342" xr:uid="{00000000-0005-0000-0000-0000701A0000}"/>
    <cellStyle name="Porcentual 146 17" xfId="2008" xr:uid="{00000000-0005-0000-0000-0000711A0000}"/>
    <cellStyle name="Porcentual 146 17 2" xfId="5669" xr:uid="{00000000-0005-0000-0000-0000721A0000}"/>
    <cellStyle name="Porcentual 146 17 3" xfId="8343" xr:uid="{00000000-0005-0000-0000-0000731A0000}"/>
    <cellStyle name="Porcentual 146 18" xfId="2009" xr:uid="{00000000-0005-0000-0000-0000741A0000}"/>
    <cellStyle name="Porcentual 146 18 2" xfId="5670" xr:uid="{00000000-0005-0000-0000-0000751A0000}"/>
    <cellStyle name="Porcentual 146 18 3" xfId="8344" xr:uid="{00000000-0005-0000-0000-0000761A0000}"/>
    <cellStyle name="Porcentual 146 19" xfId="2010" xr:uid="{00000000-0005-0000-0000-0000771A0000}"/>
    <cellStyle name="Porcentual 146 19 2" xfId="5671" xr:uid="{00000000-0005-0000-0000-0000781A0000}"/>
    <cellStyle name="Porcentual 146 19 3" xfId="8345" xr:uid="{00000000-0005-0000-0000-0000791A0000}"/>
    <cellStyle name="Porcentual 146 2" xfId="2011" xr:uid="{00000000-0005-0000-0000-00007A1A0000}"/>
    <cellStyle name="Porcentual 146 2 2" xfId="5672" xr:uid="{00000000-0005-0000-0000-00007B1A0000}"/>
    <cellStyle name="Porcentual 146 2 3" xfId="8346" xr:uid="{00000000-0005-0000-0000-00007C1A0000}"/>
    <cellStyle name="Porcentual 146 20" xfId="2012" xr:uid="{00000000-0005-0000-0000-00007D1A0000}"/>
    <cellStyle name="Porcentual 146 20 2" xfId="5673" xr:uid="{00000000-0005-0000-0000-00007E1A0000}"/>
    <cellStyle name="Porcentual 146 20 3" xfId="8347" xr:uid="{00000000-0005-0000-0000-00007F1A0000}"/>
    <cellStyle name="Porcentual 146 21" xfId="2013" xr:uid="{00000000-0005-0000-0000-0000801A0000}"/>
    <cellStyle name="Porcentual 146 21 2" xfId="5674" xr:uid="{00000000-0005-0000-0000-0000811A0000}"/>
    <cellStyle name="Porcentual 146 21 3" xfId="8348" xr:uid="{00000000-0005-0000-0000-0000821A0000}"/>
    <cellStyle name="Porcentual 146 22" xfId="2014" xr:uid="{00000000-0005-0000-0000-0000831A0000}"/>
    <cellStyle name="Porcentual 146 22 2" xfId="5675" xr:uid="{00000000-0005-0000-0000-0000841A0000}"/>
    <cellStyle name="Porcentual 146 22 3" xfId="8349" xr:uid="{00000000-0005-0000-0000-0000851A0000}"/>
    <cellStyle name="Porcentual 146 23" xfId="2015" xr:uid="{00000000-0005-0000-0000-0000861A0000}"/>
    <cellStyle name="Porcentual 146 23 2" xfId="5676" xr:uid="{00000000-0005-0000-0000-0000871A0000}"/>
    <cellStyle name="Porcentual 146 23 3" xfId="8350" xr:uid="{00000000-0005-0000-0000-0000881A0000}"/>
    <cellStyle name="Porcentual 146 24" xfId="2016" xr:uid="{00000000-0005-0000-0000-0000891A0000}"/>
    <cellStyle name="Porcentual 146 24 2" xfId="5677" xr:uid="{00000000-0005-0000-0000-00008A1A0000}"/>
    <cellStyle name="Porcentual 146 24 3" xfId="8351" xr:uid="{00000000-0005-0000-0000-00008B1A0000}"/>
    <cellStyle name="Porcentual 146 25" xfId="2017" xr:uid="{00000000-0005-0000-0000-00008C1A0000}"/>
    <cellStyle name="Porcentual 146 25 2" xfId="5678" xr:uid="{00000000-0005-0000-0000-00008D1A0000}"/>
    <cellStyle name="Porcentual 146 25 3" xfId="8352" xr:uid="{00000000-0005-0000-0000-00008E1A0000}"/>
    <cellStyle name="Porcentual 146 26" xfId="2018" xr:uid="{00000000-0005-0000-0000-00008F1A0000}"/>
    <cellStyle name="Porcentual 146 26 2" xfId="5679" xr:uid="{00000000-0005-0000-0000-0000901A0000}"/>
    <cellStyle name="Porcentual 146 26 3" xfId="8353" xr:uid="{00000000-0005-0000-0000-0000911A0000}"/>
    <cellStyle name="Porcentual 146 27" xfId="2019" xr:uid="{00000000-0005-0000-0000-0000921A0000}"/>
    <cellStyle name="Porcentual 146 27 2" xfId="5680" xr:uid="{00000000-0005-0000-0000-0000931A0000}"/>
    <cellStyle name="Porcentual 146 27 3" xfId="8354" xr:uid="{00000000-0005-0000-0000-0000941A0000}"/>
    <cellStyle name="Porcentual 146 28" xfId="2020" xr:uid="{00000000-0005-0000-0000-0000951A0000}"/>
    <cellStyle name="Porcentual 146 28 2" xfId="5681" xr:uid="{00000000-0005-0000-0000-0000961A0000}"/>
    <cellStyle name="Porcentual 146 28 3" xfId="8355" xr:uid="{00000000-0005-0000-0000-0000971A0000}"/>
    <cellStyle name="Porcentual 146 3" xfId="2021" xr:uid="{00000000-0005-0000-0000-0000981A0000}"/>
    <cellStyle name="Porcentual 146 3 2" xfId="5682" xr:uid="{00000000-0005-0000-0000-0000991A0000}"/>
    <cellStyle name="Porcentual 146 3 3" xfId="8356" xr:uid="{00000000-0005-0000-0000-00009A1A0000}"/>
    <cellStyle name="Porcentual 146 4" xfId="2022" xr:uid="{00000000-0005-0000-0000-00009B1A0000}"/>
    <cellStyle name="Porcentual 146 4 2" xfId="5683" xr:uid="{00000000-0005-0000-0000-00009C1A0000}"/>
    <cellStyle name="Porcentual 146 4 3" xfId="8357" xr:uid="{00000000-0005-0000-0000-00009D1A0000}"/>
    <cellStyle name="Porcentual 146 5" xfId="2023" xr:uid="{00000000-0005-0000-0000-00009E1A0000}"/>
    <cellStyle name="Porcentual 146 5 2" xfId="5684" xr:uid="{00000000-0005-0000-0000-00009F1A0000}"/>
    <cellStyle name="Porcentual 146 5 3" xfId="8358" xr:uid="{00000000-0005-0000-0000-0000A01A0000}"/>
    <cellStyle name="Porcentual 146 6" xfId="2024" xr:uid="{00000000-0005-0000-0000-0000A11A0000}"/>
    <cellStyle name="Porcentual 146 6 2" xfId="5685" xr:uid="{00000000-0005-0000-0000-0000A21A0000}"/>
    <cellStyle name="Porcentual 146 6 3" xfId="8359" xr:uid="{00000000-0005-0000-0000-0000A31A0000}"/>
    <cellStyle name="Porcentual 146 7" xfId="2025" xr:uid="{00000000-0005-0000-0000-0000A41A0000}"/>
    <cellStyle name="Porcentual 146 7 2" xfId="5686" xr:uid="{00000000-0005-0000-0000-0000A51A0000}"/>
    <cellStyle name="Porcentual 146 7 3" xfId="8360" xr:uid="{00000000-0005-0000-0000-0000A61A0000}"/>
    <cellStyle name="Porcentual 146 8" xfId="2026" xr:uid="{00000000-0005-0000-0000-0000A71A0000}"/>
    <cellStyle name="Porcentual 146 8 2" xfId="5687" xr:uid="{00000000-0005-0000-0000-0000A81A0000}"/>
    <cellStyle name="Porcentual 146 8 3" xfId="8361" xr:uid="{00000000-0005-0000-0000-0000A91A0000}"/>
    <cellStyle name="Porcentual 146 9" xfId="2027" xr:uid="{00000000-0005-0000-0000-0000AA1A0000}"/>
    <cellStyle name="Porcentual 146 9 2" xfId="5688" xr:uid="{00000000-0005-0000-0000-0000AB1A0000}"/>
    <cellStyle name="Porcentual 146 9 3" xfId="8362" xr:uid="{00000000-0005-0000-0000-0000AC1A0000}"/>
    <cellStyle name="Porcentual 147 10" xfId="2028" xr:uid="{00000000-0005-0000-0000-0000AD1A0000}"/>
    <cellStyle name="Porcentual 147 10 2" xfId="5689" xr:uid="{00000000-0005-0000-0000-0000AE1A0000}"/>
    <cellStyle name="Porcentual 147 10 3" xfId="8363" xr:uid="{00000000-0005-0000-0000-0000AF1A0000}"/>
    <cellStyle name="Porcentual 147 11" xfId="2029" xr:uid="{00000000-0005-0000-0000-0000B01A0000}"/>
    <cellStyle name="Porcentual 147 11 2" xfId="5690" xr:uid="{00000000-0005-0000-0000-0000B11A0000}"/>
    <cellStyle name="Porcentual 147 11 3" xfId="8364" xr:uid="{00000000-0005-0000-0000-0000B21A0000}"/>
    <cellStyle name="Porcentual 147 12" xfId="2030" xr:uid="{00000000-0005-0000-0000-0000B31A0000}"/>
    <cellStyle name="Porcentual 147 12 2" xfId="5691" xr:uid="{00000000-0005-0000-0000-0000B41A0000}"/>
    <cellStyle name="Porcentual 147 12 3" xfId="8365" xr:uid="{00000000-0005-0000-0000-0000B51A0000}"/>
    <cellStyle name="Porcentual 147 13" xfId="2031" xr:uid="{00000000-0005-0000-0000-0000B61A0000}"/>
    <cellStyle name="Porcentual 147 13 2" xfId="5692" xr:uid="{00000000-0005-0000-0000-0000B71A0000}"/>
    <cellStyle name="Porcentual 147 13 3" xfId="8366" xr:uid="{00000000-0005-0000-0000-0000B81A0000}"/>
    <cellStyle name="Porcentual 147 14" xfId="2032" xr:uid="{00000000-0005-0000-0000-0000B91A0000}"/>
    <cellStyle name="Porcentual 147 14 2" xfId="5693" xr:uid="{00000000-0005-0000-0000-0000BA1A0000}"/>
    <cellStyle name="Porcentual 147 14 3" xfId="8367" xr:uid="{00000000-0005-0000-0000-0000BB1A0000}"/>
    <cellStyle name="Porcentual 147 15" xfId="2033" xr:uid="{00000000-0005-0000-0000-0000BC1A0000}"/>
    <cellStyle name="Porcentual 147 15 2" xfId="5694" xr:uid="{00000000-0005-0000-0000-0000BD1A0000}"/>
    <cellStyle name="Porcentual 147 15 3" xfId="8368" xr:uid="{00000000-0005-0000-0000-0000BE1A0000}"/>
    <cellStyle name="Porcentual 147 16" xfId="2034" xr:uid="{00000000-0005-0000-0000-0000BF1A0000}"/>
    <cellStyle name="Porcentual 147 16 2" xfId="5695" xr:uid="{00000000-0005-0000-0000-0000C01A0000}"/>
    <cellStyle name="Porcentual 147 16 3" xfId="8369" xr:uid="{00000000-0005-0000-0000-0000C11A0000}"/>
    <cellStyle name="Porcentual 147 17" xfId="2035" xr:uid="{00000000-0005-0000-0000-0000C21A0000}"/>
    <cellStyle name="Porcentual 147 17 2" xfId="5696" xr:uid="{00000000-0005-0000-0000-0000C31A0000}"/>
    <cellStyle name="Porcentual 147 17 3" xfId="8370" xr:uid="{00000000-0005-0000-0000-0000C41A0000}"/>
    <cellStyle name="Porcentual 147 18" xfId="2036" xr:uid="{00000000-0005-0000-0000-0000C51A0000}"/>
    <cellStyle name="Porcentual 147 18 2" xfId="5697" xr:uid="{00000000-0005-0000-0000-0000C61A0000}"/>
    <cellStyle name="Porcentual 147 18 3" xfId="8371" xr:uid="{00000000-0005-0000-0000-0000C71A0000}"/>
    <cellStyle name="Porcentual 147 19" xfId="2037" xr:uid="{00000000-0005-0000-0000-0000C81A0000}"/>
    <cellStyle name="Porcentual 147 19 2" xfId="5698" xr:uid="{00000000-0005-0000-0000-0000C91A0000}"/>
    <cellStyle name="Porcentual 147 19 3" xfId="8372" xr:uid="{00000000-0005-0000-0000-0000CA1A0000}"/>
    <cellStyle name="Porcentual 147 2" xfId="2038" xr:uid="{00000000-0005-0000-0000-0000CB1A0000}"/>
    <cellStyle name="Porcentual 147 2 2" xfId="5699" xr:uid="{00000000-0005-0000-0000-0000CC1A0000}"/>
    <cellStyle name="Porcentual 147 2 3" xfId="8373" xr:uid="{00000000-0005-0000-0000-0000CD1A0000}"/>
    <cellStyle name="Porcentual 147 20" xfId="2039" xr:uid="{00000000-0005-0000-0000-0000CE1A0000}"/>
    <cellStyle name="Porcentual 147 20 2" xfId="5700" xr:uid="{00000000-0005-0000-0000-0000CF1A0000}"/>
    <cellStyle name="Porcentual 147 20 3" xfId="8374" xr:uid="{00000000-0005-0000-0000-0000D01A0000}"/>
    <cellStyle name="Porcentual 147 21" xfId="2040" xr:uid="{00000000-0005-0000-0000-0000D11A0000}"/>
    <cellStyle name="Porcentual 147 21 2" xfId="5701" xr:uid="{00000000-0005-0000-0000-0000D21A0000}"/>
    <cellStyle name="Porcentual 147 21 3" xfId="8375" xr:uid="{00000000-0005-0000-0000-0000D31A0000}"/>
    <cellStyle name="Porcentual 147 22" xfId="2041" xr:uid="{00000000-0005-0000-0000-0000D41A0000}"/>
    <cellStyle name="Porcentual 147 22 2" xfId="5702" xr:uid="{00000000-0005-0000-0000-0000D51A0000}"/>
    <cellStyle name="Porcentual 147 22 3" xfId="8376" xr:uid="{00000000-0005-0000-0000-0000D61A0000}"/>
    <cellStyle name="Porcentual 147 23" xfId="2042" xr:uid="{00000000-0005-0000-0000-0000D71A0000}"/>
    <cellStyle name="Porcentual 147 23 2" xfId="5703" xr:uid="{00000000-0005-0000-0000-0000D81A0000}"/>
    <cellStyle name="Porcentual 147 23 3" xfId="8377" xr:uid="{00000000-0005-0000-0000-0000D91A0000}"/>
    <cellStyle name="Porcentual 147 24" xfId="2043" xr:uid="{00000000-0005-0000-0000-0000DA1A0000}"/>
    <cellStyle name="Porcentual 147 24 2" xfId="5704" xr:uid="{00000000-0005-0000-0000-0000DB1A0000}"/>
    <cellStyle name="Porcentual 147 24 3" xfId="8378" xr:uid="{00000000-0005-0000-0000-0000DC1A0000}"/>
    <cellStyle name="Porcentual 147 25" xfId="2044" xr:uid="{00000000-0005-0000-0000-0000DD1A0000}"/>
    <cellStyle name="Porcentual 147 25 2" xfId="5705" xr:uid="{00000000-0005-0000-0000-0000DE1A0000}"/>
    <cellStyle name="Porcentual 147 25 3" xfId="8379" xr:uid="{00000000-0005-0000-0000-0000DF1A0000}"/>
    <cellStyle name="Porcentual 147 26" xfId="2045" xr:uid="{00000000-0005-0000-0000-0000E01A0000}"/>
    <cellStyle name="Porcentual 147 26 2" xfId="5706" xr:uid="{00000000-0005-0000-0000-0000E11A0000}"/>
    <cellStyle name="Porcentual 147 26 3" xfId="8380" xr:uid="{00000000-0005-0000-0000-0000E21A0000}"/>
    <cellStyle name="Porcentual 147 27" xfId="2046" xr:uid="{00000000-0005-0000-0000-0000E31A0000}"/>
    <cellStyle name="Porcentual 147 27 2" xfId="5707" xr:uid="{00000000-0005-0000-0000-0000E41A0000}"/>
    <cellStyle name="Porcentual 147 27 3" xfId="8381" xr:uid="{00000000-0005-0000-0000-0000E51A0000}"/>
    <cellStyle name="Porcentual 147 28" xfId="2047" xr:uid="{00000000-0005-0000-0000-0000E61A0000}"/>
    <cellStyle name="Porcentual 147 28 2" xfId="5708" xr:uid="{00000000-0005-0000-0000-0000E71A0000}"/>
    <cellStyle name="Porcentual 147 28 3" xfId="8382" xr:uid="{00000000-0005-0000-0000-0000E81A0000}"/>
    <cellStyle name="Porcentual 147 3" xfId="2048" xr:uid="{00000000-0005-0000-0000-0000E91A0000}"/>
    <cellStyle name="Porcentual 147 3 2" xfId="5709" xr:uid="{00000000-0005-0000-0000-0000EA1A0000}"/>
    <cellStyle name="Porcentual 147 3 3" xfId="8383" xr:uid="{00000000-0005-0000-0000-0000EB1A0000}"/>
    <cellStyle name="Porcentual 147 4" xfId="2049" xr:uid="{00000000-0005-0000-0000-0000EC1A0000}"/>
    <cellStyle name="Porcentual 147 4 2" xfId="5710" xr:uid="{00000000-0005-0000-0000-0000ED1A0000}"/>
    <cellStyle name="Porcentual 147 4 3" xfId="8384" xr:uid="{00000000-0005-0000-0000-0000EE1A0000}"/>
    <cellStyle name="Porcentual 147 5" xfId="2050" xr:uid="{00000000-0005-0000-0000-0000EF1A0000}"/>
    <cellStyle name="Porcentual 147 5 2" xfId="5711" xr:uid="{00000000-0005-0000-0000-0000F01A0000}"/>
    <cellStyle name="Porcentual 147 5 3" xfId="8385" xr:uid="{00000000-0005-0000-0000-0000F11A0000}"/>
    <cellStyle name="Porcentual 147 6" xfId="2051" xr:uid="{00000000-0005-0000-0000-0000F21A0000}"/>
    <cellStyle name="Porcentual 147 6 2" xfId="5712" xr:uid="{00000000-0005-0000-0000-0000F31A0000}"/>
    <cellStyle name="Porcentual 147 6 3" xfId="8386" xr:uid="{00000000-0005-0000-0000-0000F41A0000}"/>
    <cellStyle name="Porcentual 147 7" xfId="2052" xr:uid="{00000000-0005-0000-0000-0000F51A0000}"/>
    <cellStyle name="Porcentual 147 7 2" xfId="5713" xr:uid="{00000000-0005-0000-0000-0000F61A0000}"/>
    <cellStyle name="Porcentual 147 7 3" xfId="8387" xr:uid="{00000000-0005-0000-0000-0000F71A0000}"/>
    <cellStyle name="Porcentual 147 8" xfId="2053" xr:uid="{00000000-0005-0000-0000-0000F81A0000}"/>
    <cellStyle name="Porcentual 147 8 2" xfId="5714" xr:uid="{00000000-0005-0000-0000-0000F91A0000}"/>
    <cellStyle name="Porcentual 147 8 3" xfId="8388" xr:uid="{00000000-0005-0000-0000-0000FA1A0000}"/>
    <cellStyle name="Porcentual 147 9" xfId="2054" xr:uid="{00000000-0005-0000-0000-0000FB1A0000}"/>
    <cellStyle name="Porcentual 147 9 2" xfId="5715" xr:uid="{00000000-0005-0000-0000-0000FC1A0000}"/>
    <cellStyle name="Porcentual 147 9 3" xfId="8389" xr:uid="{00000000-0005-0000-0000-0000FD1A0000}"/>
    <cellStyle name="Porcentual 149 10" xfId="2055" xr:uid="{00000000-0005-0000-0000-0000FE1A0000}"/>
    <cellStyle name="Porcentual 149 10 2" xfId="5716" xr:uid="{00000000-0005-0000-0000-0000FF1A0000}"/>
    <cellStyle name="Porcentual 149 10 3" xfId="8390" xr:uid="{00000000-0005-0000-0000-0000001B0000}"/>
    <cellStyle name="Porcentual 149 11" xfId="2056" xr:uid="{00000000-0005-0000-0000-0000011B0000}"/>
    <cellStyle name="Porcentual 149 11 2" xfId="5717" xr:uid="{00000000-0005-0000-0000-0000021B0000}"/>
    <cellStyle name="Porcentual 149 11 3" xfId="8391" xr:uid="{00000000-0005-0000-0000-0000031B0000}"/>
    <cellStyle name="Porcentual 149 12" xfId="2057" xr:uid="{00000000-0005-0000-0000-0000041B0000}"/>
    <cellStyle name="Porcentual 149 12 2" xfId="5718" xr:uid="{00000000-0005-0000-0000-0000051B0000}"/>
    <cellStyle name="Porcentual 149 12 3" xfId="8392" xr:uid="{00000000-0005-0000-0000-0000061B0000}"/>
    <cellStyle name="Porcentual 149 13" xfId="2058" xr:uid="{00000000-0005-0000-0000-0000071B0000}"/>
    <cellStyle name="Porcentual 149 13 2" xfId="5719" xr:uid="{00000000-0005-0000-0000-0000081B0000}"/>
    <cellStyle name="Porcentual 149 13 3" xfId="8393" xr:uid="{00000000-0005-0000-0000-0000091B0000}"/>
    <cellStyle name="Porcentual 149 14" xfId="2059" xr:uid="{00000000-0005-0000-0000-00000A1B0000}"/>
    <cellStyle name="Porcentual 149 14 2" xfId="5720" xr:uid="{00000000-0005-0000-0000-00000B1B0000}"/>
    <cellStyle name="Porcentual 149 14 3" xfId="8394" xr:uid="{00000000-0005-0000-0000-00000C1B0000}"/>
    <cellStyle name="Porcentual 149 15" xfId="2060" xr:uid="{00000000-0005-0000-0000-00000D1B0000}"/>
    <cellStyle name="Porcentual 149 15 2" xfId="5721" xr:uid="{00000000-0005-0000-0000-00000E1B0000}"/>
    <cellStyle name="Porcentual 149 15 3" xfId="8395" xr:uid="{00000000-0005-0000-0000-00000F1B0000}"/>
    <cellStyle name="Porcentual 149 16" xfId="2061" xr:uid="{00000000-0005-0000-0000-0000101B0000}"/>
    <cellStyle name="Porcentual 149 16 2" xfId="5722" xr:uid="{00000000-0005-0000-0000-0000111B0000}"/>
    <cellStyle name="Porcentual 149 16 3" xfId="8396" xr:uid="{00000000-0005-0000-0000-0000121B0000}"/>
    <cellStyle name="Porcentual 149 17" xfId="2062" xr:uid="{00000000-0005-0000-0000-0000131B0000}"/>
    <cellStyle name="Porcentual 149 17 2" xfId="5723" xr:uid="{00000000-0005-0000-0000-0000141B0000}"/>
    <cellStyle name="Porcentual 149 17 3" xfId="8397" xr:uid="{00000000-0005-0000-0000-0000151B0000}"/>
    <cellStyle name="Porcentual 149 18" xfId="2063" xr:uid="{00000000-0005-0000-0000-0000161B0000}"/>
    <cellStyle name="Porcentual 149 18 2" xfId="5724" xr:uid="{00000000-0005-0000-0000-0000171B0000}"/>
    <cellStyle name="Porcentual 149 18 3" xfId="8398" xr:uid="{00000000-0005-0000-0000-0000181B0000}"/>
    <cellStyle name="Porcentual 149 19" xfId="2064" xr:uid="{00000000-0005-0000-0000-0000191B0000}"/>
    <cellStyle name="Porcentual 149 19 2" xfId="5725" xr:uid="{00000000-0005-0000-0000-00001A1B0000}"/>
    <cellStyle name="Porcentual 149 19 3" xfId="8399" xr:uid="{00000000-0005-0000-0000-00001B1B0000}"/>
    <cellStyle name="Porcentual 149 2" xfId="2065" xr:uid="{00000000-0005-0000-0000-00001C1B0000}"/>
    <cellStyle name="Porcentual 149 2 2" xfId="5726" xr:uid="{00000000-0005-0000-0000-00001D1B0000}"/>
    <cellStyle name="Porcentual 149 2 3" xfId="8400" xr:uid="{00000000-0005-0000-0000-00001E1B0000}"/>
    <cellStyle name="Porcentual 149 20" xfId="2066" xr:uid="{00000000-0005-0000-0000-00001F1B0000}"/>
    <cellStyle name="Porcentual 149 20 2" xfId="5727" xr:uid="{00000000-0005-0000-0000-0000201B0000}"/>
    <cellStyle name="Porcentual 149 20 3" xfId="8401" xr:uid="{00000000-0005-0000-0000-0000211B0000}"/>
    <cellStyle name="Porcentual 149 21" xfId="2067" xr:uid="{00000000-0005-0000-0000-0000221B0000}"/>
    <cellStyle name="Porcentual 149 21 2" xfId="5728" xr:uid="{00000000-0005-0000-0000-0000231B0000}"/>
    <cellStyle name="Porcentual 149 21 3" xfId="8402" xr:uid="{00000000-0005-0000-0000-0000241B0000}"/>
    <cellStyle name="Porcentual 149 22" xfId="2068" xr:uid="{00000000-0005-0000-0000-0000251B0000}"/>
    <cellStyle name="Porcentual 149 22 2" xfId="5729" xr:uid="{00000000-0005-0000-0000-0000261B0000}"/>
    <cellStyle name="Porcentual 149 22 3" xfId="8403" xr:uid="{00000000-0005-0000-0000-0000271B0000}"/>
    <cellStyle name="Porcentual 149 23" xfId="2069" xr:uid="{00000000-0005-0000-0000-0000281B0000}"/>
    <cellStyle name="Porcentual 149 23 2" xfId="5730" xr:uid="{00000000-0005-0000-0000-0000291B0000}"/>
    <cellStyle name="Porcentual 149 23 3" xfId="8404" xr:uid="{00000000-0005-0000-0000-00002A1B0000}"/>
    <cellStyle name="Porcentual 149 24" xfId="2070" xr:uid="{00000000-0005-0000-0000-00002B1B0000}"/>
    <cellStyle name="Porcentual 149 24 2" xfId="5731" xr:uid="{00000000-0005-0000-0000-00002C1B0000}"/>
    <cellStyle name="Porcentual 149 24 3" xfId="8405" xr:uid="{00000000-0005-0000-0000-00002D1B0000}"/>
    <cellStyle name="Porcentual 149 25" xfId="2071" xr:uid="{00000000-0005-0000-0000-00002E1B0000}"/>
    <cellStyle name="Porcentual 149 25 2" xfId="5732" xr:uid="{00000000-0005-0000-0000-00002F1B0000}"/>
    <cellStyle name="Porcentual 149 25 3" xfId="8406" xr:uid="{00000000-0005-0000-0000-0000301B0000}"/>
    <cellStyle name="Porcentual 149 26" xfId="2072" xr:uid="{00000000-0005-0000-0000-0000311B0000}"/>
    <cellStyle name="Porcentual 149 26 2" xfId="5733" xr:uid="{00000000-0005-0000-0000-0000321B0000}"/>
    <cellStyle name="Porcentual 149 26 3" xfId="8407" xr:uid="{00000000-0005-0000-0000-0000331B0000}"/>
    <cellStyle name="Porcentual 149 27" xfId="2073" xr:uid="{00000000-0005-0000-0000-0000341B0000}"/>
    <cellStyle name="Porcentual 149 27 2" xfId="5734" xr:uid="{00000000-0005-0000-0000-0000351B0000}"/>
    <cellStyle name="Porcentual 149 27 3" xfId="8408" xr:uid="{00000000-0005-0000-0000-0000361B0000}"/>
    <cellStyle name="Porcentual 149 28" xfId="2074" xr:uid="{00000000-0005-0000-0000-0000371B0000}"/>
    <cellStyle name="Porcentual 149 28 2" xfId="5735" xr:uid="{00000000-0005-0000-0000-0000381B0000}"/>
    <cellStyle name="Porcentual 149 28 3" xfId="8409" xr:uid="{00000000-0005-0000-0000-0000391B0000}"/>
    <cellStyle name="Porcentual 149 3" xfId="2075" xr:uid="{00000000-0005-0000-0000-00003A1B0000}"/>
    <cellStyle name="Porcentual 149 3 2" xfId="5736" xr:uid="{00000000-0005-0000-0000-00003B1B0000}"/>
    <cellStyle name="Porcentual 149 3 3" xfId="8410" xr:uid="{00000000-0005-0000-0000-00003C1B0000}"/>
    <cellStyle name="Porcentual 149 4" xfId="2076" xr:uid="{00000000-0005-0000-0000-00003D1B0000}"/>
    <cellStyle name="Porcentual 149 4 2" xfId="5737" xr:uid="{00000000-0005-0000-0000-00003E1B0000}"/>
    <cellStyle name="Porcentual 149 4 3" xfId="8411" xr:uid="{00000000-0005-0000-0000-00003F1B0000}"/>
    <cellStyle name="Porcentual 149 5" xfId="2077" xr:uid="{00000000-0005-0000-0000-0000401B0000}"/>
    <cellStyle name="Porcentual 149 5 2" xfId="5738" xr:uid="{00000000-0005-0000-0000-0000411B0000}"/>
    <cellStyle name="Porcentual 149 5 3" xfId="8412" xr:uid="{00000000-0005-0000-0000-0000421B0000}"/>
    <cellStyle name="Porcentual 149 6" xfId="2078" xr:uid="{00000000-0005-0000-0000-0000431B0000}"/>
    <cellStyle name="Porcentual 149 6 2" xfId="5739" xr:uid="{00000000-0005-0000-0000-0000441B0000}"/>
    <cellStyle name="Porcentual 149 6 3" xfId="8413" xr:uid="{00000000-0005-0000-0000-0000451B0000}"/>
    <cellStyle name="Porcentual 149 7" xfId="2079" xr:uid="{00000000-0005-0000-0000-0000461B0000}"/>
    <cellStyle name="Porcentual 149 7 2" xfId="5740" xr:uid="{00000000-0005-0000-0000-0000471B0000}"/>
    <cellStyle name="Porcentual 149 7 3" xfId="8414" xr:uid="{00000000-0005-0000-0000-0000481B0000}"/>
    <cellStyle name="Porcentual 149 8" xfId="2080" xr:uid="{00000000-0005-0000-0000-0000491B0000}"/>
    <cellStyle name="Porcentual 149 8 2" xfId="5741" xr:uid="{00000000-0005-0000-0000-00004A1B0000}"/>
    <cellStyle name="Porcentual 149 8 3" xfId="8415" xr:uid="{00000000-0005-0000-0000-00004B1B0000}"/>
    <cellStyle name="Porcentual 149 9" xfId="2081" xr:uid="{00000000-0005-0000-0000-00004C1B0000}"/>
    <cellStyle name="Porcentual 149 9 2" xfId="5742" xr:uid="{00000000-0005-0000-0000-00004D1B0000}"/>
    <cellStyle name="Porcentual 149 9 3" xfId="8416" xr:uid="{00000000-0005-0000-0000-00004E1B0000}"/>
    <cellStyle name="Porcentual 15" xfId="2082" xr:uid="{00000000-0005-0000-0000-00004F1B0000}"/>
    <cellStyle name="Porcentual 15 2" xfId="5743" xr:uid="{00000000-0005-0000-0000-0000501B0000}"/>
    <cellStyle name="Porcentual 15 2 2" xfId="9783" xr:uid="{00000000-0005-0000-0000-0000511B0000}"/>
    <cellStyle name="Porcentual 15 2 2 2" xfId="10481" xr:uid="{00000000-0005-0000-0000-0000521B0000}"/>
    <cellStyle name="Porcentual 15 2 2 2 2" xfId="12216" xr:uid="{00000000-0005-0000-0000-0000531B0000}"/>
    <cellStyle name="Porcentual 15 2 2 3" xfId="11569" xr:uid="{00000000-0005-0000-0000-0000541B0000}"/>
    <cellStyle name="Porcentual 15 2 3" xfId="10190" xr:uid="{00000000-0005-0000-0000-0000551B0000}"/>
    <cellStyle name="Porcentual 15 2 3 2" xfId="11926" xr:uid="{00000000-0005-0000-0000-0000561B0000}"/>
    <cellStyle name="Porcentual 15 2 4" xfId="11204" xr:uid="{00000000-0005-0000-0000-0000571B0000}"/>
    <cellStyle name="Porcentual 15 3" xfId="5744" xr:uid="{00000000-0005-0000-0000-0000581B0000}"/>
    <cellStyle name="Porcentual 15 3 2" xfId="9784" xr:uid="{00000000-0005-0000-0000-0000591B0000}"/>
    <cellStyle name="Porcentual 15 3 2 2" xfId="10482" xr:uid="{00000000-0005-0000-0000-00005A1B0000}"/>
    <cellStyle name="Porcentual 15 3 2 2 2" xfId="12217" xr:uid="{00000000-0005-0000-0000-00005B1B0000}"/>
    <cellStyle name="Porcentual 15 3 2 3" xfId="11570" xr:uid="{00000000-0005-0000-0000-00005C1B0000}"/>
    <cellStyle name="Porcentual 15 3 3" xfId="10191" xr:uid="{00000000-0005-0000-0000-00005D1B0000}"/>
    <cellStyle name="Porcentual 15 3 3 2" xfId="11927" xr:uid="{00000000-0005-0000-0000-00005E1B0000}"/>
    <cellStyle name="Porcentual 15 3 4" xfId="11205" xr:uid="{00000000-0005-0000-0000-00005F1B0000}"/>
    <cellStyle name="Porcentual 15 4" xfId="8417" xr:uid="{00000000-0005-0000-0000-0000601B0000}"/>
    <cellStyle name="Porcentual 150 10" xfId="2083" xr:uid="{00000000-0005-0000-0000-0000611B0000}"/>
    <cellStyle name="Porcentual 150 10 2" xfId="5745" xr:uid="{00000000-0005-0000-0000-0000621B0000}"/>
    <cellStyle name="Porcentual 150 10 3" xfId="8418" xr:uid="{00000000-0005-0000-0000-0000631B0000}"/>
    <cellStyle name="Porcentual 150 11" xfId="2084" xr:uid="{00000000-0005-0000-0000-0000641B0000}"/>
    <cellStyle name="Porcentual 150 11 2" xfId="5746" xr:uid="{00000000-0005-0000-0000-0000651B0000}"/>
    <cellStyle name="Porcentual 150 11 3" xfId="8419" xr:uid="{00000000-0005-0000-0000-0000661B0000}"/>
    <cellStyle name="Porcentual 150 12" xfId="2085" xr:uid="{00000000-0005-0000-0000-0000671B0000}"/>
    <cellStyle name="Porcentual 150 12 2" xfId="5747" xr:uid="{00000000-0005-0000-0000-0000681B0000}"/>
    <cellStyle name="Porcentual 150 12 3" xfId="8420" xr:uid="{00000000-0005-0000-0000-0000691B0000}"/>
    <cellStyle name="Porcentual 150 13" xfId="2086" xr:uid="{00000000-0005-0000-0000-00006A1B0000}"/>
    <cellStyle name="Porcentual 150 13 2" xfId="5748" xr:uid="{00000000-0005-0000-0000-00006B1B0000}"/>
    <cellStyle name="Porcentual 150 13 3" xfId="8421" xr:uid="{00000000-0005-0000-0000-00006C1B0000}"/>
    <cellStyle name="Porcentual 150 14" xfId="2087" xr:uid="{00000000-0005-0000-0000-00006D1B0000}"/>
    <cellStyle name="Porcentual 150 14 2" xfId="5749" xr:uid="{00000000-0005-0000-0000-00006E1B0000}"/>
    <cellStyle name="Porcentual 150 14 3" xfId="8422" xr:uid="{00000000-0005-0000-0000-00006F1B0000}"/>
    <cellStyle name="Porcentual 150 15" xfId="2088" xr:uid="{00000000-0005-0000-0000-0000701B0000}"/>
    <cellStyle name="Porcentual 150 15 2" xfId="5750" xr:uid="{00000000-0005-0000-0000-0000711B0000}"/>
    <cellStyle name="Porcentual 150 15 3" xfId="8423" xr:uid="{00000000-0005-0000-0000-0000721B0000}"/>
    <cellStyle name="Porcentual 150 16" xfId="2089" xr:uid="{00000000-0005-0000-0000-0000731B0000}"/>
    <cellStyle name="Porcentual 150 16 2" xfId="5751" xr:uid="{00000000-0005-0000-0000-0000741B0000}"/>
    <cellStyle name="Porcentual 150 16 3" xfId="8424" xr:uid="{00000000-0005-0000-0000-0000751B0000}"/>
    <cellStyle name="Porcentual 150 17" xfId="2090" xr:uid="{00000000-0005-0000-0000-0000761B0000}"/>
    <cellStyle name="Porcentual 150 17 2" xfId="5752" xr:uid="{00000000-0005-0000-0000-0000771B0000}"/>
    <cellStyle name="Porcentual 150 17 3" xfId="8425" xr:uid="{00000000-0005-0000-0000-0000781B0000}"/>
    <cellStyle name="Porcentual 150 18" xfId="2091" xr:uid="{00000000-0005-0000-0000-0000791B0000}"/>
    <cellStyle name="Porcentual 150 18 2" xfId="5753" xr:uid="{00000000-0005-0000-0000-00007A1B0000}"/>
    <cellStyle name="Porcentual 150 18 3" xfId="8426" xr:uid="{00000000-0005-0000-0000-00007B1B0000}"/>
    <cellStyle name="Porcentual 150 19" xfId="2092" xr:uid="{00000000-0005-0000-0000-00007C1B0000}"/>
    <cellStyle name="Porcentual 150 19 2" xfId="5754" xr:uid="{00000000-0005-0000-0000-00007D1B0000}"/>
    <cellStyle name="Porcentual 150 19 3" xfId="8427" xr:uid="{00000000-0005-0000-0000-00007E1B0000}"/>
    <cellStyle name="Porcentual 150 2" xfId="2093" xr:uid="{00000000-0005-0000-0000-00007F1B0000}"/>
    <cellStyle name="Porcentual 150 2 2" xfId="5755" xr:uid="{00000000-0005-0000-0000-0000801B0000}"/>
    <cellStyle name="Porcentual 150 2 3" xfId="8428" xr:uid="{00000000-0005-0000-0000-0000811B0000}"/>
    <cellStyle name="Porcentual 150 20" xfId="2094" xr:uid="{00000000-0005-0000-0000-0000821B0000}"/>
    <cellStyle name="Porcentual 150 20 2" xfId="5756" xr:uid="{00000000-0005-0000-0000-0000831B0000}"/>
    <cellStyle name="Porcentual 150 20 3" xfId="8429" xr:uid="{00000000-0005-0000-0000-0000841B0000}"/>
    <cellStyle name="Porcentual 150 21" xfId="2095" xr:uid="{00000000-0005-0000-0000-0000851B0000}"/>
    <cellStyle name="Porcentual 150 21 2" xfId="5757" xr:uid="{00000000-0005-0000-0000-0000861B0000}"/>
    <cellStyle name="Porcentual 150 21 3" xfId="8430" xr:uid="{00000000-0005-0000-0000-0000871B0000}"/>
    <cellStyle name="Porcentual 150 22" xfId="2096" xr:uid="{00000000-0005-0000-0000-0000881B0000}"/>
    <cellStyle name="Porcentual 150 22 2" xfId="5758" xr:uid="{00000000-0005-0000-0000-0000891B0000}"/>
    <cellStyle name="Porcentual 150 22 3" xfId="8431" xr:uid="{00000000-0005-0000-0000-00008A1B0000}"/>
    <cellStyle name="Porcentual 150 23" xfId="2097" xr:uid="{00000000-0005-0000-0000-00008B1B0000}"/>
    <cellStyle name="Porcentual 150 23 2" xfId="5759" xr:uid="{00000000-0005-0000-0000-00008C1B0000}"/>
    <cellStyle name="Porcentual 150 23 3" xfId="8432" xr:uid="{00000000-0005-0000-0000-00008D1B0000}"/>
    <cellStyle name="Porcentual 150 24" xfId="2098" xr:uid="{00000000-0005-0000-0000-00008E1B0000}"/>
    <cellStyle name="Porcentual 150 24 2" xfId="5760" xr:uid="{00000000-0005-0000-0000-00008F1B0000}"/>
    <cellStyle name="Porcentual 150 24 3" xfId="8433" xr:uid="{00000000-0005-0000-0000-0000901B0000}"/>
    <cellStyle name="Porcentual 150 25" xfId="2099" xr:uid="{00000000-0005-0000-0000-0000911B0000}"/>
    <cellStyle name="Porcentual 150 25 2" xfId="5761" xr:uid="{00000000-0005-0000-0000-0000921B0000}"/>
    <cellStyle name="Porcentual 150 25 3" xfId="8434" xr:uid="{00000000-0005-0000-0000-0000931B0000}"/>
    <cellStyle name="Porcentual 150 26" xfId="2100" xr:uid="{00000000-0005-0000-0000-0000941B0000}"/>
    <cellStyle name="Porcentual 150 26 2" xfId="5762" xr:uid="{00000000-0005-0000-0000-0000951B0000}"/>
    <cellStyle name="Porcentual 150 26 3" xfId="8435" xr:uid="{00000000-0005-0000-0000-0000961B0000}"/>
    <cellStyle name="Porcentual 150 27" xfId="2101" xr:uid="{00000000-0005-0000-0000-0000971B0000}"/>
    <cellStyle name="Porcentual 150 27 2" xfId="5763" xr:uid="{00000000-0005-0000-0000-0000981B0000}"/>
    <cellStyle name="Porcentual 150 27 3" xfId="8436" xr:uid="{00000000-0005-0000-0000-0000991B0000}"/>
    <cellStyle name="Porcentual 150 28" xfId="2102" xr:uid="{00000000-0005-0000-0000-00009A1B0000}"/>
    <cellStyle name="Porcentual 150 28 2" xfId="5764" xr:uid="{00000000-0005-0000-0000-00009B1B0000}"/>
    <cellStyle name="Porcentual 150 28 3" xfId="8437" xr:uid="{00000000-0005-0000-0000-00009C1B0000}"/>
    <cellStyle name="Porcentual 150 3" xfId="2103" xr:uid="{00000000-0005-0000-0000-00009D1B0000}"/>
    <cellStyle name="Porcentual 150 3 2" xfId="5765" xr:uid="{00000000-0005-0000-0000-00009E1B0000}"/>
    <cellStyle name="Porcentual 150 3 3" xfId="8438" xr:uid="{00000000-0005-0000-0000-00009F1B0000}"/>
    <cellStyle name="Porcentual 150 4" xfId="2104" xr:uid="{00000000-0005-0000-0000-0000A01B0000}"/>
    <cellStyle name="Porcentual 150 4 2" xfId="5766" xr:uid="{00000000-0005-0000-0000-0000A11B0000}"/>
    <cellStyle name="Porcentual 150 4 3" xfId="8439" xr:uid="{00000000-0005-0000-0000-0000A21B0000}"/>
    <cellStyle name="Porcentual 150 5" xfId="2105" xr:uid="{00000000-0005-0000-0000-0000A31B0000}"/>
    <cellStyle name="Porcentual 150 5 2" xfId="5767" xr:uid="{00000000-0005-0000-0000-0000A41B0000}"/>
    <cellStyle name="Porcentual 150 5 3" xfId="8440" xr:uid="{00000000-0005-0000-0000-0000A51B0000}"/>
    <cellStyle name="Porcentual 150 6" xfId="2106" xr:uid="{00000000-0005-0000-0000-0000A61B0000}"/>
    <cellStyle name="Porcentual 150 6 2" xfId="5768" xr:uid="{00000000-0005-0000-0000-0000A71B0000}"/>
    <cellStyle name="Porcentual 150 6 3" xfId="8441" xr:uid="{00000000-0005-0000-0000-0000A81B0000}"/>
    <cellStyle name="Porcentual 150 7" xfId="2107" xr:uid="{00000000-0005-0000-0000-0000A91B0000}"/>
    <cellStyle name="Porcentual 150 7 2" xfId="5769" xr:uid="{00000000-0005-0000-0000-0000AA1B0000}"/>
    <cellStyle name="Porcentual 150 7 3" xfId="8442" xr:uid="{00000000-0005-0000-0000-0000AB1B0000}"/>
    <cellStyle name="Porcentual 150 8" xfId="2108" xr:uid="{00000000-0005-0000-0000-0000AC1B0000}"/>
    <cellStyle name="Porcentual 150 8 2" xfId="5770" xr:uid="{00000000-0005-0000-0000-0000AD1B0000}"/>
    <cellStyle name="Porcentual 150 8 3" xfId="8443" xr:uid="{00000000-0005-0000-0000-0000AE1B0000}"/>
    <cellStyle name="Porcentual 150 9" xfId="2109" xr:uid="{00000000-0005-0000-0000-0000AF1B0000}"/>
    <cellStyle name="Porcentual 150 9 2" xfId="5771" xr:uid="{00000000-0005-0000-0000-0000B01B0000}"/>
    <cellStyle name="Porcentual 150 9 3" xfId="8444" xr:uid="{00000000-0005-0000-0000-0000B11B0000}"/>
    <cellStyle name="Porcentual 151 10" xfId="2110" xr:uid="{00000000-0005-0000-0000-0000B21B0000}"/>
    <cellStyle name="Porcentual 151 10 2" xfId="5772" xr:uid="{00000000-0005-0000-0000-0000B31B0000}"/>
    <cellStyle name="Porcentual 151 10 3" xfId="8445" xr:uid="{00000000-0005-0000-0000-0000B41B0000}"/>
    <cellStyle name="Porcentual 151 11" xfId="2111" xr:uid="{00000000-0005-0000-0000-0000B51B0000}"/>
    <cellStyle name="Porcentual 151 11 2" xfId="5773" xr:uid="{00000000-0005-0000-0000-0000B61B0000}"/>
    <cellStyle name="Porcentual 151 11 3" xfId="8446" xr:uid="{00000000-0005-0000-0000-0000B71B0000}"/>
    <cellStyle name="Porcentual 151 12" xfId="2112" xr:uid="{00000000-0005-0000-0000-0000B81B0000}"/>
    <cellStyle name="Porcentual 151 12 2" xfId="5774" xr:uid="{00000000-0005-0000-0000-0000B91B0000}"/>
    <cellStyle name="Porcentual 151 12 3" xfId="8447" xr:uid="{00000000-0005-0000-0000-0000BA1B0000}"/>
    <cellStyle name="Porcentual 151 13" xfId="2113" xr:uid="{00000000-0005-0000-0000-0000BB1B0000}"/>
    <cellStyle name="Porcentual 151 13 2" xfId="5775" xr:uid="{00000000-0005-0000-0000-0000BC1B0000}"/>
    <cellStyle name="Porcentual 151 13 3" xfId="8448" xr:uid="{00000000-0005-0000-0000-0000BD1B0000}"/>
    <cellStyle name="Porcentual 151 14" xfId="2114" xr:uid="{00000000-0005-0000-0000-0000BE1B0000}"/>
    <cellStyle name="Porcentual 151 14 2" xfId="5776" xr:uid="{00000000-0005-0000-0000-0000BF1B0000}"/>
    <cellStyle name="Porcentual 151 14 3" xfId="8449" xr:uid="{00000000-0005-0000-0000-0000C01B0000}"/>
    <cellStyle name="Porcentual 151 15" xfId="2115" xr:uid="{00000000-0005-0000-0000-0000C11B0000}"/>
    <cellStyle name="Porcentual 151 15 2" xfId="5777" xr:uid="{00000000-0005-0000-0000-0000C21B0000}"/>
    <cellStyle name="Porcentual 151 15 3" xfId="8450" xr:uid="{00000000-0005-0000-0000-0000C31B0000}"/>
    <cellStyle name="Porcentual 151 16" xfId="2116" xr:uid="{00000000-0005-0000-0000-0000C41B0000}"/>
    <cellStyle name="Porcentual 151 16 2" xfId="5778" xr:uid="{00000000-0005-0000-0000-0000C51B0000}"/>
    <cellStyle name="Porcentual 151 16 3" xfId="8451" xr:uid="{00000000-0005-0000-0000-0000C61B0000}"/>
    <cellStyle name="Porcentual 151 17" xfId="2117" xr:uid="{00000000-0005-0000-0000-0000C71B0000}"/>
    <cellStyle name="Porcentual 151 17 2" xfId="5779" xr:uid="{00000000-0005-0000-0000-0000C81B0000}"/>
    <cellStyle name="Porcentual 151 17 3" xfId="8452" xr:uid="{00000000-0005-0000-0000-0000C91B0000}"/>
    <cellStyle name="Porcentual 151 18" xfId="2118" xr:uid="{00000000-0005-0000-0000-0000CA1B0000}"/>
    <cellStyle name="Porcentual 151 18 2" xfId="5780" xr:uid="{00000000-0005-0000-0000-0000CB1B0000}"/>
    <cellStyle name="Porcentual 151 18 3" xfId="8453" xr:uid="{00000000-0005-0000-0000-0000CC1B0000}"/>
    <cellStyle name="Porcentual 151 19" xfId="2119" xr:uid="{00000000-0005-0000-0000-0000CD1B0000}"/>
    <cellStyle name="Porcentual 151 19 2" xfId="5781" xr:uid="{00000000-0005-0000-0000-0000CE1B0000}"/>
    <cellStyle name="Porcentual 151 19 3" xfId="8454" xr:uid="{00000000-0005-0000-0000-0000CF1B0000}"/>
    <cellStyle name="Porcentual 151 2" xfId="2120" xr:uid="{00000000-0005-0000-0000-0000D01B0000}"/>
    <cellStyle name="Porcentual 151 2 2" xfId="5782" xr:uid="{00000000-0005-0000-0000-0000D11B0000}"/>
    <cellStyle name="Porcentual 151 2 3" xfId="8455" xr:uid="{00000000-0005-0000-0000-0000D21B0000}"/>
    <cellStyle name="Porcentual 151 20" xfId="2121" xr:uid="{00000000-0005-0000-0000-0000D31B0000}"/>
    <cellStyle name="Porcentual 151 20 2" xfId="5783" xr:uid="{00000000-0005-0000-0000-0000D41B0000}"/>
    <cellStyle name="Porcentual 151 20 3" xfId="8456" xr:uid="{00000000-0005-0000-0000-0000D51B0000}"/>
    <cellStyle name="Porcentual 151 21" xfId="2122" xr:uid="{00000000-0005-0000-0000-0000D61B0000}"/>
    <cellStyle name="Porcentual 151 21 2" xfId="5784" xr:uid="{00000000-0005-0000-0000-0000D71B0000}"/>
    <cellStyle name="Porcentual 151 21 3" xfId="8457" xr:uid="{00000000-0005-0000-0000-0000D81B0000}"/>
    <cellStyle name="Porcentual 151 22" xfId="2123" xr:uid="{00000000-0005-0000-0000-0000D91B0000}"/>
    <cellStyle name="Porcentual 151 22 2" xfId="5785" xr:uid="{00000000-0005-0000-0000-0000DA1B0000}"/>
    <cellStyle name="Porcentual 151 22 3" xfId="8458" xr:uid="{00000000-0005-0000-0000-0000DB1B0000}"/>
    <cellStyle name="Porcentual 151 23" xfId="2124" xr:uid="{00000000-0005-0000-0000-0000DC1B0000}"/>
    <cellStyle name="Porcentual 151 23 2" xfId="5786" xr:uid="{00000000-0005-0000-0000-0000DD1B0000}"/>
    <cellStyle name="Porcentual 151 23 3" xfId="8459" xr:uid="{00000000-0005-0000-0000-0000DE1B0000}"/>
    <cellStyle name="Porcentual 151 24" xfId="2125" xr:uid="{00000000-0005-0000-0000-0000DF1B0000}"/>
    <cellStyle name="Porcentual 151 24 2" xfId="5787" xr:uid="{00000000-0005-0000-0000-0000E01B0000}"/>
    <cellStyle name="Porcentual 151 24 3" xfId="8460" xr:uid="{00000000-0005-0000-0000-0000E11B0000}"/>
    <cellStyle name="Porcentual 151 25" xfId="2126" xr:uid="{00000000-0005-0000-0000-0000E21B0000}"/>
    <cellStyle name="Porcentual 151 25 2" xfId="5788" xr:uid="{00000000-0005-0000-0000-0000E31B0000}"/>
    <cellStyle name="Porcentual 151 25 3" xfId="8461" xr:uid="{00000000-0005-0000-0000-0000E41B0000}"/>
    <cellStyle name="Porcentual 151 26" xfId="2127" xr:uid="{00000000-0005-0000-0000-0000E51B0000}"/>
    <cellStyle name="Porcentual 151 26 2" xfId="5789" xr:uid="{00000000-0005-0000-0000-0000E61B0000}"/>
    <cellStyle name="Porcentual 151 26 3" xfId="8462" xr:uid="{00000000-0005-0000-0000-0000E71B0000}"/>
    <cellStyle name="Porcentual 151 27" xfId="2128" xr:uid="{00000000-0005-0000-0000-0000E81B0000}"/>
    <cellStyle name="Porcentual 151 27 2" xfId="5790" xr:uid="{00000000-0005-0000-0000-0000E91B0000}"/>
    <cellStyle name="Porcentual 151 27 3" xfId="8463" xr:uid="{00000000-0005-0000-0000-0000EA1B0000}"/>
    <cellStyle name="Porcentual 151 28" xfId="2129" xr:uid="{00000000-0005-0000-0000-0000EB1B0000}"/>
    <cellStyle name="Porcentual 151 28 2" xfId="5791" xr:uid="{00000000-0005-0000-0000-0000EC1B0000}"/>
    <cellStyle name="Porcentual 151 28 3" xfId="8464" xr:uid="{00000000-0005-0000-0000-0000ED1B0000}"/>
    <cellStyle name="Porcentual 151 3" xfId="2130" xr:uid="{00000000-0005-0000-0000-0000EE1B0000}"/>
    <cellStyle name="Porcentual 151 3 2" xfId="5792" xr:uid="{00000000-0005-0000-0000-0000EF1B0000}"/>
    <cellStyle name="Porcentual 151 3 3" xfId="8465" xr:uid="{00000000-0005-0000-0000-0000F01B0000}"/>
    <cellStyle name="Porcentual 151 4" xfId="2131" xr:uid="{00000000-0005-0000-0000-0000F11B0000}"/>
    <cellStyle name="Porcentual 151 4 2" xfId="5793" xr:uid="{00000000-0005-0000-0000-0000F21B0000}"/>
    <cellStyle name="Porcentual 151 4 3" xfId="8466" xr:uid="{00000000-0005-0000-0000-0000F31B0000}"/>
    <cellStyle name="Porcentual 151 5" xfId="2132" xr:uid="{00000000-0005-0000-0000-0000F41B0000}"/>
    <cellStyle name="Porcentual 151 5 2" xfId="5794" xr:uid="{00000000-0005-0000-0000-0000F51B0000}"/>
    <cellStyle name="Porcentual 151 5 3" xfId="8467" xr:uid="{00000000-0005-0000-0000-0000F61B0000}"/>
    <cellStyle name="Porcentual 151 6" xfId="2133" xr:uid="{00000000-0005-0000-0000-0000F71B0000}"/>
    <cellStyle name="Porcentual 151 6 2" xfId="5795" xr:uid="{00000000-0005-0000-0000-0000F81B0000}"/>
    <cellStyle name="Porcentual 151 6 3" xfId="8468" xr:uid="{00000000-0005-0000-0000-0000F91B0000}"/>
    <cellStyle name="Porcentual 151 7" xfId="2134" xr:uid="{00000000-0005-0000-0000-0000FA1B0000}"/>
    <cellStyle name="Porcentual 151 7 2" xfId="5796" xr:uid="{00000000-0005-0000-0000-0000FB1B0000}"/>
    <cellStyle name="Porcentual 151 7 3" xfId="8469" xr:uid="{00000000-0005-0000-0000-0000FC1B0000}"/>
    <cellStyle name="Porcentual 151 8" xfId="2135" xr:uid="{00000000-0005-0000-0000-0000FD1B0000}"/>
    <cellStyle name="Porcentual 151 8 2" xfId="5797" xr:uid="{00000000-0005-0000-0000-0000FE1B0000}"/>
    <cellStyle name="Porcentual 151 8 3" xfId="8470" xr:uid="{00000000-0005-0000-0000-0000FF1B0000}"/>
    <cellStyle name="Porcentual 151 9" xfId="2136" xr:uid="{00000000-0005-0000-0000-0000001C0000}"/>
    <cellStyle name="Porcentual 151 9 2" xfId="5798" xr:uid="{00000000-0005-0000-0000-0000011C0000}"/>
    <cellStyle name="Porcentual 151 9 3" xfId="8471" xr:uid="{00000000-0005-0000-0000-0000021C0000}"/>
    <cellStyle name="Porcentual 152 10" xfId="2137" xr:uid="{00000000-0005-0000-0000-0000031C0000}"/>
    <cellStyle name="Porcentual 152 10 2" xfId="5799" xr:uid="{00000000-0005-0000-0000-0000041C0000}"/>
    <cellStyle name="Porcentual 152 10 3" xfId="8472" xr:uid="{00000000-0005-0000-0000-0000051C0000}"/>
    <cellStyle name="Porcentual 152 11" xfId="2138" xr:uid="{00000000-0005-0000-0000-0000061C0000}"/>
    <cellStyle name="Porcentual 152 11 2" xfId="5800" xr:uid="{00000000-0005-0000-0000-0000071C0000}"/>
    <cellStyle name="Porcentual 152 11 3" xfId="8473" xr:uid="{00000000-0005-0000-0000-0000081C0000}"/>
    <cellStyle name="Porcentual 152 12" xfId="2139" xr:uid="{00000000-0005-0000-0000-0000091C0000}"/>
    <cellStyle name="Porcentual 152 12 2" xfId="5801" xr:uid="{00000000-0005-0000-0000-00000A1C0000}"/>
    <cellStyle name="Porcentual 152 12 3" xfId="8474" xr:uid="{00000000-0005-0000-0000-00000B1C0000}"/>
    <cellStyle name="Porcentual 152 13" xfId="2140" xr:uid="{00000000-0005-0000-0000-00000C1C0000}"/>
    <cellStyle name="Porcentual 152 13 2" xfId="5802" xr:uid="{00000000-0005-0000-0000-00000D1C0000}"/>
    <cellStyle name="Porcentual 152 13 3" xfId="8475" xr:uid="{00000000-0005-0000-0000-00000E1C0000}"/>
    <cellStyle name="Porcentual 152 14" xfId="2141" xr:uid="{00000000-0005-0000-0000-00000F1C0000}"/>
    <cellStyle name="Porcentual 152 14 2" xfId="5803" xr:uid="{00000000-0005-0000-0000-0000101C0000}"/>
    <cellStyle name="Porcentual 152 14 3" xfId="8476" xr:uid="{00000000-0005-0000-0000-0000111C0000}"/>
    <cellStyle name="Porcentual 152 15" xfId="2142" xr:uid="{00000000-0005-0000-0000-0000121C0000}"/>
    <cellStyle name="Porcentual 152 15 2" xfId="5804" xr:uid="{00000000-0005-0000-0000-0000131C0000}"/>
    <cellStyle name="Porcentual 152 15 3" xfId="8477" xr:uid="{00000000-0005-0000-0000-0000141C0000}"/>
    <cellStyle name="Porcentual 152 16" xfId="2143" xr:uid="{00000000-0005-0000-0000-0000151C0000}"/>
    <cellStyle name="Porcentual 152 16 2" xfId="5805" xr:uid="{00000000-0005-0000-0000-0000161C0000}"/>
    <cellStyle name="Porcentual 152 16 3" xfId="8478" xr:uid="{00000000-0005-0000-0000-0000171C0000}"/>
    <cellStyle name="Porcentual 152 17" xfId="2144" xr:uid="{00000000-0005-0000-0000-0000181C0000}"/>
    <cellStyle name="Porcentual 152 17 2" xfId="5806" xr:uid="{00000000-0005-0000-0000-0000191C0000}"/>
    <cellStyle name="Porcentual 152 17 3" xfId="8479" xr:uid="{00000000-0005-0000-0000-00001A1C0000}"/>
    <cellStyle name="Porcentual 152 18" xfId="2145" xr:uid="{00000000-0005-0000-0000-00001B1C0000}"/>
    <cellStyle name="Porcentual 152 18 2" xfId="5807" xr:uid="{00000000-0005-0000-0000-00001C1C0000}"/>
    <cellStyle name="Porcentual 152 18 3" xfId="8480" xr:uid="{00000000-0005-0000-0000-00001D1C0000}"/>
    <cellStyle name="Porcentual 152 19" xfId="2146" xr:uid="{00000000-0005-0000-0000-00001E1C0000}"/>
    <cellStyle name="Porcentual 152 19 2" xfId="5808" xr:uid="{00000000-0005-0000-0000-00001F1C0000}"/>
    <cellStyle name="Porcentual 152 19 3" xfId="8481" xr:uid="{00000000-0005-0000-0000-0000201C0000}"/>
    <cellStyle name="Porcentual 152 2" xfId="2147" xr:uid="{00000000-0005-0000-0000-0000211C0000}"/>
    <cellStyle name="Porcentual 152 2 2" xfId="5809" xr:uid="{00000000-0005-0000-0000-0000221C0000}"/>
    <cellStyle name="Porcentual 152 2 3" xfId="8482" xr:uid="{00000000-0005-0000-0000-0000231C0000}"/>
    <cellStyle name="Porcentual 152 20" xfId="2148" xr:uid="{00000000-0005-0000-0000-0000241C0000}"/>
    <cellStyle name="Porcentual 152 20 2" xfId="5810" xr:uid="{00000000-0005-0000-0000-0000251C0000}"/>
    <cellStyle name="Porcentual 152 20 3" xfId="8483" xr:uid="{00000000-0005-0000-0000-0000261C0000}"/>
    <cellStyle name="Porcentual 152 21" xfId="2149" xr:uid="{00000000-0005-0000-0000-0000271C0000}"/>
    <cellStyle name="Porcentual 152 21 2" xfId="5811" xr:uid="{00000000-0005-0000-0000-0000281C0000}"/>
    <cellStyle name="Porcentual 152 21 3" xfId="8484" xr:uid="{00000000-0005-0000-0000-0000291C0000}"/>
    <cellStyle name="Porcentual 152 22" xfId="2150" xr:uid="{00000000-0005-0000-0000-00002A1C0000}"/>
    <cellStyle name="Porcentual 152 22 2" xfId="5812" xr:uid="{00000000-0005-0000-0000-00002B1C0000}"/>
    <cellStyle name="Porcentual 152 22 3" xfId="8485" xr:uid="{00000000-0005-0000-0000-00002C1C0000}"/>
    <cellStyle name="Porcentual 152 23" xfId="2151" xr:uid="{00000000-0005-0000-0000-00002D1C0000}"/>
    <cellStyle name="Porcentual 152 23 2" xfId="5813" xr:uid="{00000000-0005-0000-0000-00002E1C0000}"/>
    <cellStyle name="Porcentual 152 23 3" xfId="8486" xr:uid="{00000000-0005-0000-0000-00002F1C0000}"/>
    <cellStyle name="Porcentual 152 24" xfId="2152" xr:uid="{00000000-0005-0000-0000-0000301C0000}"/>
    <cellStyle name="Porcentual 152 24 2" xfId="5814" xr:uid="{00000000-0005-0000-0000-0000311C0000}"/>
    <cellStyle name="Porcentual 152 24 3" xfId="8487" xr:uid="{00000000-0005-0000-0000-0000321C0000}"/>
    <cellStyle name="Porcentual 152 25" xfId="2153" xr:uid="{00000000-0005-0000-0000-0000331C0000}"/>
    <cellStyle name="Porcentual 152 25 2" xfId="5815" xr:uid="{00000000-0005-0000-0000-0000341C0000}"/>
    <cellStyle name="Porcentual 152 25 3" xfId="8488" xr:uid="{00000000-0005-0000-0000-0000351C0000}"/>
    <cellStyle name="Porcentual 152 26" xfId="2154" xr:uid="{00000000-0005-0000-0000-0000361C0000}"/>
    <cellStyle name="Porcentual 152 26 2" xfId="5816" xr:uid="{00000000-0005-0000-0000-0000371C0000}"/>
    <cellStyle name="Porcentual 152 26 3" xfId="8489" xr:uid="{00000000-0005-0000-0000-0000381C0000}"/>
    <cellStyle name="Porcentual 152 27" xfId="2155" xr:uid="{00000000-0005-0000-0000-0000391C0000}"/>
    <cellStyle name="Porcentual 152 27 2" xfId="5817" xr:uid="{00000000-0005-0000-0000-00003A1C0000}"/>
    <cellStyle name="Porcentual 152 27 3" xfId="8490" xr:uid="{00000000-0005-0000-0000-00003B1C0000}"/>
    <cellStyle name="Porcentual 152 28" xfId="2156" xr:uid="{00000000-0005-0000-0000-00003C1C0000}"/>
    <cellStyle name="Porcentual 152 28 2" xfId="5818" xr:uid="{00000000-0005-0000-0000-00003D1C0000}"/>
    <cellStyle name="Porcentual 152 28 3" xfId="8491" xr:uid="{00000000-0005-0000-0000-00003E1C0000}"/>
    <cellStyle name="Porcentual 152 3" xfId="2157" xr:uid="{00000000-0005-0000-0000-00003F1C0000}"/>
    <cellStyle name="Porcentual 152 3 2" xfId="5819" xr:uid="{00000000-0005-0000-0000-0000401C0000}"/>
    <cellStyle name="Porcentual 152 3 3" xfId="8492" xr:uid="{00000000-0005-0000-0000-0000411C0000}"/>
    <cellStyle name="Porcentual 152 4" xfId="2158" xr:uid="{00000000-0005-0000-0000-0000421C0000}"/>
    <cellStyle name="Porcentual 152 4 2" xfId="5820" xr:uid="{00000000-0005-0000-0000-0000431C0000}"/>
    <cellStyle name="Porcentual 152 4 3" xfId="8493" xr:uid="{00000000-0005-0000-0000-0000441C0000}"/>
    <cellStyle name="Porcentual 152 5" xfId="2159" xr:uid="{00000000-0005-0000-0000-0000451C0000}"/>
    <cellStyle name="Porcentual 152 5 2" xfId="5821" xr:uid="{00000000-0005-0000-0000-0000461C0000}"/>
    <cellStyle name="Porcentual 152 5 3" xfId="8494" xr:uid="{00000000-0005-0000-0000-0000471C0000}"/>
    <cellStyle name="Porcentual 152 6" xfId="2160" xr:uid="{00000000-0005-0000-0000-0000481C0000}"/>
    <cellStyle name="Porcentual 152 6 2" xfId="5822" xr:uid="{00000000-0005-0000-0000-0000491C0000}"/>
    <cellStyle name="Porcentual 152 6 3" xfId="8495" xr:uid="{00000000-0005-0000-0000-00004A1C0000}"/>
    <cellStyle name="Porcentual 152 7" xfId="2161" xr:uid="{00000000-0005-0000-0000-00004B1C0000}"/>
    <cellStyle name="Porcentual 152 7 2" xfId="5823" xr:uid="{00000000-0005-0000-0000-00004C1C0000}"/>
    <cellStyle name="Porcentual 152 7 3" xfId="8496" xr:uid="{00000000-0005-0000-0000-00004D1C0000}"/>
    <cellStyle name="Porcentual 152 8" xfId="2162" xr:uid="{00000000-0005-0000-0000-00004E1C0000}"/>
    <cellStyle name="Porcentual 152 8 2" xfId="5824" xr:uid="{00000000-0005-0000-0000-00004F1C0000}"/>
    <cellStyle name="Porcentual 152 8 3" xfId="8497" xr:uid="{00000000-0005-0000-0000-0000501C0000}"/>
    <cellStyle name="Porcentual 152 9" xfId="2163" xr:uid="{00000000-0005-0000-0000-0000511C0000}"/>
    <cellStyle name="Porcentual 152 9 2" xfId="5825" xr:uid="{00000000-0005-0000-0000-0000521C0000}"/>
    <cellStyle name="Porcentual 152 9 3" xfId="8498" xr:uid="{00000000-0005-0000-0000-0000531C0000}"/>
    <cellStyle name="Porcentual 153 10" xfId="2164" xr:uid="{00000000-0005-0000-0000-0000541C0000}"/>
    <cellStyle name="Porcentual 153 10 2" xfId="5826" xr:uid="{00000000-0005-0000-0000-0000551C0000}"/>
    <cellStyle name="Porcentual 153 10 3" xfId="8499" xr:uid="{00000000-0005-0000-0000-0000561C0000}"/>
    <cellStyle name="Porcentual 153 11" xfId="2165" xr:uid="{00000000-0005-0000-0000-0000571C0000}"/>
    <cellStyle name="Porcentual 153 11 2" xfId="5827" xr:uid="{00000000-0005-0000-0000-0000581C0000}"/>
    <cellStyle name="Porcentual 153 11 3" xfId="8500" xr:uid="{00000000-0005-0000-0000-0000591C0000}"/>
    <cellStyle name="Porcentual 153 12" xfId="2166" xr:uid="{00000000-0005-0000-0000-00005A1C0000}"/>
    <cellStyle name="Porcentual 153 12 2" xfId="5828" xr:uid="{00000000-0005-0000-0000-00005B1C0000}"/>
    <cellStyle name="Porcentual 153 12 3" xfId="8501" xr:uid="{00000000-0005-0000-0000-00005C1C0000}"/>
    <cellStyle name="Porcentual 153 13" xfId="2167" xr:uid="{00000000-0005-0000-0000-00005D1C0000}"/>
    <cellStyle name="Porcentual 153 13 2" xfId="5829" xr:uid="{00000000-0005-0000-0000-00005E1C0000}"/>
    <cellStyle name="Porcentual 153 13 3" xfId="8502" xr:uid="{00000000-0005-0000-0000-00005F1C0000}"/>
    <cellStyle name="Porcentual 153 14" xfId="2168" xr:uid="{00000000-0005-0000-0000-0000601C0000}"/>
    <cellStyle name="Porcentual 153 14 2" xfId="5830" xr:uid="{00000000-0005-0000-0000-0000611C0000}"/>
    <cellStyle name="Porcentual 153 14 3" xfId="8503" xr:uid="{00000000-0005-0000-0000-0000621C0000}"/>
    <cellStyle name="Porcentual 153 15" xfId="2169" xr:uid="{00000000-0005-0000-0000-0000631C0000}"/>
    <cellStyle name="Porcentual 153 15 2" xfId="5831" xr:uid="{00000000-0005-0000-0000-0000641C0000}"/>
    <cellStyle name="Porcentual 153 15 3" xfId="8504" xr:uid="{00000000-0005-0000-0000-0000651C0000}"/>
    <cellStyle name="Porcentual 153 16" xfId="2170" xr:uid="{00000000-0005-0000-0000-0000661C0000}"/>
    <cellStyle name="Porcentual 153 16 2" xfId="5832" xr:uid="{00000000-0005-0000-0000-0000671C0000}"/>
    <cellStyle name="Porcentual 153 16 3" xfId="8505" xr:uid="{00000000-0005-0000-0000-0000681C0000}"/>
    <cellStyle name="Porcentual 153 17" xfId="2171" xr:uid="{00000000-0005-0000-0000-0000691C0000}"/>
    <cellStyle name="Porcentual 153 17 2" xfId="5833" xr:uid="{00000000-0005-0000-0000-00006A1C0000}"/>
    <cellStyle name="Porcentual 153 17 3" xfId="8506" xr:uid="{00000000-0005-0000-0000-00006B1C0000}"/>
    <cellStyle name="Porcentual 153 18" xfId="2172" xr:uid="{00000000-0005-0000-0000-00006C1C0000}"/>
    <cellStyle name="Porcentual 153 18 2" xfId="5834" xr:uid="{00000000-0005-0000-0000-00006D1C0000}"/>
    <cellStyle name="Porcentual 153 18 3" xfId="8507" xr:uid="{00000000-0005-0000-0000-00006E1C0000}"/>
    <cellStyle name="Porcentual 153 19" xfId="2173" xr:uid="{00000000-0005-0000-0000-00006F1C0000}"/>
    <cellStyle name="Porcentual 153 19 2" xfId="5835" xr:uid="{00000000-0005-0000-0000-0000701C0000}"/>
    <cellStyle name="Porcentual 153 19 3" xfId="8508" xr:uid="{00000000-0005-0000-0000-0000711C0000}"/>
    <cellStyle name="Porcentual 153 2" xfId="2174" xr:uid="{00000000-0005-0000-0000-0000721C0000}"/>
    <cellStyle name="Porcentual 153 2 2" xfId="5836" xr:uid="{00000000-0005-0000-0000-0000731C0000}"/>
    <cellStyle name="Porcentual 153 2 3" xfId="8509" xr:uid="{00000000-0005-0000-0000-0000741C0000}"/>
    <cellStyle name="Porcentual 153 20" xfId="2175" xr:uid="{00000000-0005-0000-0000-0000751C0000}"/>
    <cellStyle name="Porcentual 153 20 2" xfId="5837" xr:uid="{00000000-0005-0000-0000-0000761C0000}"/>
    <cellStyle name="Porcentual 153 20 3" xfId="8510" xr:uid="{00000000-0005-0000-0000-0000771C0000}"/>
    <cellStyle name="Porcentual 153 21" xfId="2176" xr:uid="{00000000-0005-0000-0000-0000781C0000}"/>
    <cellStyle name="Porcentual 153 21 2" xfId="5838" xr:uid="{00000000-0005-0000-0000-0000791C0000}"/>
    <cellStyle name="Porcentual 153 21 3" xfId="8511" xr:uid="{00000000-0005-0000-0000-00007A1C0000}"/>
    <cellStyle name="Porcentual 153 22" xfId="2177" xr:uid="{00000000-0005-0000-0000-00007B1C0000}"/>
    <cellStyle name="Porcentual 153 22 2" xfId="5839" xr:uid="{00000000-0005-0000-0000-00007C1C0000}"/>
    <cellStyle name="Porcentual 153 22 3" xfId="8512" xr:uid="{00000000-0005-0000-0000-00007D1C0000}"/>
    <cellStyle name="Porcentual 153 23" xfId="2178" xr:uid="{00000000-0005-0000-0000-00007E1C0000}"/>
    <cellStyle name="Porcentual 153 23 2" xfId="5840" xr:uid="{00000000-0005-0000-0000-00007F1C0000}"/>
    <cellStyle name="Porcentual 153 23 3" xfId="8513" xr:uid="{00000000-0005-0000-0000-0000801C0000}"/>
    <cellStyle name="Porcentual 153 24" xfId="2179" xr:uid="{00000000-0005-0000-0000-0000811C0000}"/>
    <cellStyle name="Porcentual 153 24 2" xfId="5841" xr:uid="{00000000-0005-0000-0000-0000821C0000}"/>
    <cellStyle name="Porcentual 153 24 3" xfId="8514" xr:uid="{00000000-0005-0000-0000-0000831C0000}"/>
    <cellStyle name="Porcentual 153 25" xfId="2180" xr:uid="{00000000-0005-0000-0000-0000841C0000}"/>
    <cellStyle name="Porcentual 153 25 2" xfId="5842" xr:uid="{00000000-0005-0000-0000-0000851C0000}"/>
    <cellStyle name="Porcentual 153 25 3" xfId="8515" xr:uid="{00000000-0005-0000-0000-0000861C0000}"/>
    <cellStyle name="Porcentual 153 26" xfId="2181" xr:uid="{00000000-0005-0000-0000-0000871C0000}"/>
    <cellStyle name="Porcentual 153 26 2" xfId="5843" xr:uid="{00000000-0005-0000-0000-0000881C0000}"/>
    <cellStyle name="Porcentual 153 26 3" xfId="8516" xr:uid="{00000000-0005-0000-0000-0000891C0000}"/>
    <cellStyle name="Porcentual 153 27" xfId="2182" xr:uid="{00000000-0005-0000-0000-00008A1C0000}"/>
    <cellStyle name="Porcentual 153 27 2" xfId="5844" xr:uid="{00000000-0005-0000-0000-00008B1C0000}"/>
    <cellStyle name="Porcentual 153 27 3" xfId="8517" xr:uid="{00000000-0005-0000-0000-00008C1C0000}"/>
    <cellStyle name="Porcentual 153 28" xfId="2183" xr:uid="{00000000-0005-0000-0000-00008D1C0000}"/>
    <cellStyle name="Porcentual 153 28 2" xfId="5845" xr:uid="{00000000-0005-0000-0000-00008E1C0000}"/>
    <cellStyle name="Porcentual 153 28 3" xfId="8518" xr:uid="{00000000-0005-0000-0000-00008F1C0000}"/>
    <cellStyle name="Porcentual 153 3" xfId="2184" xr:uid="{00000000-0005-0000-0000-0000901C0000}"/>
    <cellStyle name="Porcentual 153 3 2" xfId="5846" xr:uid="{00000000-0005-0000-0000-0000911C0000}"/>
    <cellStyle name="Porcentual 153 3 3" xfId="8519" xr:uid="{00000000-0005-0000-0000-0000921C0000}"/>
    <cellStyle name="Porcentual 153 4" xfId="2185" xr:uid="{00000000-0005-0000-0000-0000931C0000}"/>
    <cellStyle name="Porcentual 153 4 2" xfId="5847" xr:uid="{00000000-0005-0000-0000-0000941C0000}"/>
    <cellStyle name="Porcentual 153 4 3" xfId="8520" xr:uid="{00000000-0005-0000-0000-0000951C0000}"/>
    <cellStyle name="Porcentual 153 5" xfId="2186" xr:uid="{00000000-0005-0000-0000-0000961C0000}"/>
    <cellStyle name="Porcentual 153 5 2" xfId="5848" xr:uid="{00000000-0005-0000-0000-0000971C0000}"/>
    <cellStyle name="Porcentual 153 5 3" xfId="8521" xr:uid="{00000000-0005-0000-0000-0000981C0000}"/>
    <cellStyle name="Porcentual 153 6" xfId="2187" xr:uid="{00000000-0005-0000-0000-0000991C0000}"/>
    <cellStyle name="Porcentual 153 6 2" xfId="5849" xr:uid="{00000000-0005-0000-0000-00009A1C0000}"/>
    <cellStyle name="Porcentual 153 6 3" xfId="8522" xr:uid="{00000000-0005-0000-0000-00009B1C0000}"/>
    <cellStyle name="Porcentual 153 7" xfId="2188" xr:uid="{00000000-0005-0000-0000-00009C1C0000}"/>
    <cellStyle name="Porcentual 153 7 2" xfId="5850" xr:uid="{00000000-0005-0000-0000-00009D1C0000}"/>
    <cellStyle name="Porcentual 153 7 3" xfId="8523" xr:uid="{00000000-0005-0000-0000-00009E1C0000}"/>
    <cellStyle name="Porcentual 153 8" xfId="2189" xr:uid="{00000000-0005-0000-0000-00009F1C0000}"/>
    <cellStyle name="Porcentual 153 8 2" xfId="5851" xr:uid="{00000000-0005-0000-0000-0000A01C0000}"/>
    <cellStyle name="Porcentual 153 8 3" xfId="8524" xr:uid="{00000000-0005-0000-0000-0000A11C0000}"/>
    <cellStyle name="Porcentual 153 9" xfId="2190" xr:uid="{00000000-0005-0000-0000-0000A21C0000}"/>
    <cellStyle name="Porcentual 153 9 2" xfId="5852" xr:uid="{00000000-0005-0000-0000-0000A31C0000}"/>
    <cellStyle name="Porcentual 153 9 3" xfId="8525" xr:uid="{00000000-0005-0000-0000-0000A41C0000}"/>
    <cellStyle name="Porcentual 154 10" xfId="2191" xr:uid="{00000000-0005-0000-0000-0000A51C0000}"/>
    <cellStyle name="Porcentual 154 10 2" xfId="5853" xr:uid="{00000000-0005-0000-0000-0000A61C0000}"/>
    <cellStyle name="Porcentual 154 10 3" xfId="8526" xr:uid="{00000000-0005-0000-0000-0000A71C0000}"/>
    <cellStyle name="Porcentual 154 11" xfId="2192" xr:uid="{00000000-0005-0000-0000-0000A81C0000}"/>
    <cellStyle name="Porcentual 154 11 2" xfId="5854" xr:uid="{00000000-0005-0000-0000-0000A91C0000}"/>
    <cellStyle name="Porcentual 154 11 3" xfId="8527" xr:uid="{00000000-0005-0000-0000-0000AA1C0000}"/>
    <cellStyle name="Porcentual 154 12" xfId="2193" xr:uid="{00000000-0005-0000-0000-0000AB1C0000}"/>
    <cellStyle name="Porcentual 154 12 2" xfId="5855" xr:uid="{00000000-0005-0000-0000-0000AC1C0000}"/>
    <cellStyle name="Porcentual 154 12 3" xfId="8528" xr:uid="{00000000-0005-0000-0000-0000AD1C0000}"/>
    <cellStyle name="Porcentual 154 13" xfId="2194" xr:uid="{00000000-0005-0000-0000-0000AE1C0000}"/>
    <cellStyle name="Porcentual 154 13 2" xfId="5856" xr:uid="{00000000-0005-0000-0000-0000AF1C0000}"/>
    <cellStyle name="Porcentual 154 13 3" xfId="8529" xr:uid="{00000000-0005-0000-0000-0000B01C0000}"/>
    <cellStyle name="Porcentual 154 14" xfId="2195" xr:uid="{00000000-0005-0000-0000-0000B11C0000}"/>
    <cellStyle name="Porcentual 154 14 2" xfId="5857" xr:uid="{00000000-0005-0000-0000-0000B21C0000}"/>
    <cellStyle name="Porcentual 154 14 3" xfId="8530" xr:uid="{00000000-0005-0000-0000-0000B31C0000}"/>
    <cellStyle name="Porcentual 154 15" xfId="2196" xr:uid="{00000000-0005-0000-0000-0000B41C0000}"/>
    <cellStyle name="Porcentual 154 15 2" xfId="5858" xr:uid="{00000000-0005-0000-0000-0000B51C0000}"/>
    <cellStyle name="Porcentual 154 15 3" xfId="8531" xr:uid="{00000000-0005-0000-0000-0000B61C0000}"/>
    <cellStyle name="Porcentual 154 16" xfId="2197" xr:uid="{00000000-0005-0000-0000-0000B71C0000}"/>
    <cellStyle name="Porcentual 154 16 2" xfId="5859" xr:uid="{00000000-0005-0000-0000-0000B81C0000}"/>
    <cellStyle name="Porcentual 154 16 3" xfId="8532" xr:uid="{00000000-0005-0000-0000-0000B91C0000}"/>
    <cellStyle name="Porcentual 154 17" xfId="2198" xr:uid="{00000000-0005-0000-0000-0000BA1C0000}"/>
    <cellStyle name="Porcentual 154 17 2" xfId="5860" xr:uid="{00000000-0005-0000-0000-0000BB1C0000}"/>
    <cellStyle name="Porcentual 154 17 3" xfId="8533" xr:uid="{00000000-0005-0000-0000-0000BC1C0000}"/>
    <cellStyle name="Porcentual 154 18" xfId="2199" xr:uid="{00000000-0005-0000-0000-0000BD1C0000}"/>
    <cellStyle name="Porcentual 154 18 2" xfId="5861" xr:uid="{00000000-0005-0000-0000-0000BE1C0000}"/>
    <cellStyle name="Porcentual 154 18 3" xfId="8534" xr:uid="{00000000-0005-0000-0000-0000BF1C0000}"/>
    <cellStyle name="Porcentual 154 19" xfId="2200" xr:uid="{00000000-0005-0000-0000-0000C01C0000}"/>
    <cellStyle name="Porcentual 154 19 2" xfId="5862" xr:uid="{00000000-0005-0000-0000-0000C11C0000}"/>
    <cellStyle name="Porcentual 154 19 3" xfId="8535" xr:uid="{00000000-0005-0000-0000-0000C21C0000}"/>
    <cellStyle name="Porcentual 154 2" xfId="2201" xr:uid="{00000000-0005-0000-0000-0000C31C0000}"/>
    <cellStyle name="Porcentual 154 2 2" xfId="5863" xr:uid="{00000000-0005-0000-0000-0000C41C0000}"/>
    <cellStyle name="Porcentual 154 2 3" xfId="8536" xr:uid="{00000000-0005-0000-0000-0000C51C0000}"/>
    <cellStyle name="Porcentual 154 20" xfId="2202" xr:uid="{00000000-0005-0000-0000-0000C61C0000}"/>
    <cellStyle name="Porcentual 154 20 2" xfId="5864" xr:uid="{00000000-0005-0000-0000-0000C71C0000}"/>
    <cellStyle name="Porcentual 154 20 3" xfId="8537" xr:uid="{00000000-0005-0000-0000-0000C81C0000}"/>
    <cellStyle name="Porcentual 154 21" xfId="2203" xr:uid="{00000000-0005-0000-0000-0000C91C0000}"/>
    <cellStyle name="Porcentual 154 21 2" xfId="5865" xr:uid="{00000000-0005-0000-0000-0000CA1C0000}"/>
    <cellStyle name="Porcentual 154 21 3" xfId="8538" xr:uid="{00000000-0005-0000-0000-0000CB1C0000}"/>
    <cellStyle name="Porcentual 154 22" xfId="2204" xr:uid="{00000000-0005-0000-0000-0000CC1C0000}"/>
    <cellStyle name="Porcentual 154 22 2" xfId="5866" xr:uid="{00000000-0005-0000-0000-0000CD1C0000}"/>
    <cellStyle name="Porcentual 154 22 3" xfId="8539" xr:uid="{00000000-0005-0000-0000-0000CE1C0000}"/>
    <cellStyle name="Porcentual 154 23" xfId="2205" xr:uid="{00000000-0005-0000-0000-0000CF1C0000}"/>
    <cellStyle name="Porcentual 154 23 2" xfId="5867" xr:uid="{00000000-0005-0000-0000-0000D01C0000}"/>
    <cellStyle name="Porcentual 154 23 3" xfId="8540" xr:uid="{00000000-0005-0000-0000-0000D11C0000}"/>
    <cellStyle name="Porcentual 154 24" xfId="2206" xr:uid="{00000000-0005-0000-0000-0000D21C0000}"/>
    <cellStyle name="Porcentual 154 24 2" xfId="5868" xr:uid="{00000000-0005-0000-0000-0000D31C0000}"/>
    <cellStyle name="Porcentual 154 24 3" xfId="8541" xr:uid="{00000000-0005-0000-0000-0000D41C0000}"/>
    <cellStyle name="Porcentual 154 25" xfId="2207" xr:uid="{00000000-0005-0000-0000-0000D51C0000}"/>
    <cellStyle name="Porcentual 154 25 2" xfId="5869" xr:uid="{00000000-0005-0000-0000-0000D61C0000}"/>
    <cellStyle name="Porcentual 154 25 3" xfId="8542" xr:uid="{00000000-0005-0000-0000-0000D71C0000}"/>
    <cellStyle name="Porcentual 154 26" xfId="2208" xr:uid="{00000000-0005-0000-0000-0000D81C0000}"/>
    <cellStyle name="Porcentual 154 26 2" xfId="5870" xr:uid="{00000000-0005-0000-0000-0000D91C0000}"/>
    <cellStyle name="Porcentual 154 26 3" xfId="8543" xr:uid="{00000000-0005-0000-0000-0000DA1C0000}"/>
    <cellStyle name="Porcentual 154 27" xfId="2209" xr:uid="{00000000-0005-0000-0000-0000DB1C0000}"/>
    <cellStyle name="Porcentual 154 27 2" xfId="5871" xr:uid="{00000000-0005-0000-0000-0000DC1C0000}"/>
    <cellStyle name="Porcentual 154 27 3" xfId="8544" xr:uid="{00000000-0005-0000-0000-0000DD1C0000}"/>
    <cellStyle name="Porcentual 154 28" xfId="2210" xr:uid="{00000000-0005-0000-0000-0000DE1C0000}"/>
    <cellStyle name="Porcentual 154 28 2" xfId="5872" xr:uid="{00000000-0005-0000-0000-0000DF1C0000}"/>
    <cellStyle name="Porcentual 154 28 3" xfId="8545" xr:uid="{00000000-0005-0000-0000-0000E01C0000}"/>
    <cellStyle name="Porcentual 154 3" xfId="2211" xr:uid="{00000000-0005-0000-0000-0000E11C0000}"/>
    <cellStyle name="Porcentual 154 3 2" xfId="5873" xr:uid="{00000000-0005-0000-0000-0000E21C0000}"/>
    <cellStyle name="Porcentual 154 3 3" xfId="8546" xr:uid="{00000000-0005-0000-0000-0000E31C0000}"/>
    <cellStyle name="Porcentual 154 4" xfId="2212" xr:uid="{00000000-0005-0000-0000-0000E41C0000}"/>
    <cellStyle name="Porcentual 154 4 2" xfId="5874" xr:uid="{00000000-0005-0000-0000-0000E51C0000}"/>
    <cellStyle name="Porcentual 154 4 3" xfId="8547" xr:uid="{00000000-0005-0000-0000-0000E61C0000}"/>
    <cellStyle name="Porcentual 154 5" xfId="2213" xr:uid="{00000000-0005-0000-0000-0000E71C0000}"/>
    <cellStyle name="Porcentual 154 5 2" xfId="5875" xr:uid="{00000000-0005-0000-0000-0000E81C0000}"/>
    <cellStyle name="Porcentual 154 5 3" xfId="8548" xr:uid="{00000000-0005-0000-0000-0000E91C0000}"/>
    <cellStyle name="Porcentual 154 6" xfId="2214" xr:uid="{00000000-0005-0000-0000-0000EA1C0000}"/>
    <cellStyle name="Porcentual 154 6 2" xfId="5876" xr:uid="{00000000-0005-0000-0000-0000EB1C0000}"/>
    <cellStyle name="Porcentual 154 6 3" xfId="8549" xr:uid="{00000000-0005-0000-0000-0000EC1C0000}"/>
    <cellStyle name="Porcentual 154 7" xfId="2215" xr:uid="{00000000-0005-0000-0000-0000ED1C0000}"/>
    <cellStyle name="Porcentual 154 7 2" xfId="5877" xr:uid="{00000000-0005-0000-0000-0000EE1C0000}"/>
    <cellStyle name="Porcentual 154 7 3" xfId="8550" xr:uid="{00000000-0005-0000-0000-0000EF1C0000}"/>
    <cellStyle name="Porcentual 154 8" xfId="2216" xr:uid="{00000000-0005-0000-0000-0000F01C0000}"/>
    <cellStyle name="Porcentual 154 8 2" xfId="5878" xr:uid="{00000000-0005-0000-0000-0000F11C0000}"/>
    <cellStyle name="Porcentual 154 8 3" xfId="8551" xr:uid="{00000000-0005-0000-0000-0000F21C0000}"/>
    <cellStyle name="Porcentual 154 9" xfId="2217" xr:uid="{00000000-0005-0000-0000-0000F31C0000}"/>
    <cellStyle name="Porcentual 154 9 2" xfId="5879" xr:uid="{00000000-0005-0000-0000-0000F41C0000}"/>
    <cellStyle name="Porcentual 154 9 3" xfId="8552" xr:uid="{00000000-0005-0000-0000-0000F51C0000}"/>
    <cellStyle name="Porcentual 155 10" xfId="2218" xr:uid="{00000000-0005-0000-0000-0000F61C0000}"/>
    <cellStyle name="Porcentual 155 10 2" xfId="5880" xr:uid="{00000000-0005-0000-0000-0000F71C0000}"/>
    <cellStyle name="Porcentual 155 10 3" xfId="8553" xr:uid="{00000000-0005-0000-0000-0000F81C0000}"/>
    <cellStyle name="Porcentual 155 11" xfId="2219" xr:uid="{00000000-0005-0000-0000-0000F91C0000}"/>
    <cellStyle name="Porcentual 155 11 2" xfId="5881" xr:uid="{00000000-0005-0000-0000-0000FA1C0000}"/>
    <cellStyle name="Porcentual 155 11 3" xfId="8554" xr:uid="{00000000-0005-0000-0000-0000FB1C0000}"/>
    <cellStyle name="Porcentual 155 12" xfId="2220" xr:uid="{00000000-0005-0000-0000-0000FC1C0000}"/>
    <cellStyle name="Porcentual 155 12 2" xfId="5882" xr:uid="{00000000-0005-0000-0000-0000FD1C0000}"/>
    <cellStyle name="Porcentual 155 12 3" xfId="8555" xr:uid="{00000000-0005-0000-0000-0000FE1C0000}"/>
    <cellStyle name="Porcentual 155 13" xfId="2221" xr:uid="{00000000-0005-0000-0000-0000FF1C0000}"/>
    <cellStyle name="Porcentual 155 13 2" xfId="5883" xr:uid="{00000000-0005-0000-0000-0000001D0000}"/>
    <cellStyle name="Porcentual 155 13 3" xfId="8556" xr:uid="{00000000-0005-0000-0000-0000011D0000}"/>
    <cellStyle name="Porcentual 155 14" xfId="2222" xr:uid="{00000000-0005-0000-0000-0000021D0000}"/>
    <cellStyle name="Porcentual 155 14 2" xfId="5884" xr:uid="{00000000-0005-0000-0000-0000031D0000}"/>
    <cellStyle name="Porcentual 155 14 3" xfId="8557" xr:uid="{00000000-0005-0000-0000-0000041D0000}"/>
    <cellStyle name="Porcentual 155 15" xfId="2223" xr:uid="{00000000-0005-0000-0000-0000051D0000}"/>
    <cellStyle name="Porcentual 155 15 2" xfId="5885" xr:uid="{00000000-0005-0000-0000-0000061D0000}"/>
    <cellStyle name="Porcentual 155 15 3" xfId="8558" xr:uid="{00000000-0005-0000-0000-0000071D0000}"/>
    <cellStyle name="Porcentual 155 16" xfId="2224" xr:uid="{00000000-0005-0000-0000-0000081D0000}"/>
    <cellStyle name="Porcentual 155 16 2" xfId="5886" xr:uid="{00000000-0005-0000-0000-0000091D0000}"/>
    <cellStyle name="Porcentual 155 16 3" xfId="8559" xr:uid="{00000000-0005-0000-0000-00000A1D0000}"/>
    <cellStyle name="Porcentual 155 17" xfId="2225" xr:uid="{00000000-0005-0000-0000-00000B1D0000}"/>
    <cellStyle name="Porcentual 155 17 2" xfId="5887" xr:uid="{00000000-0005-0000-0000-00000C1D0000}"/>
    <cellStyle name="Porcentual 155 17 3" xfId="8560" xr:uid="{00000000-0005-0000-0000-00000D1D0000}"/>
    <cellStyle name="Porcentual 155 18" xfId="2226" xr:uid="{00000000-0005-0000-0000-00000E1D0000}"/>
    <cellStyle name="Porcentual 155 18 2" xfId="5888" xr:uid="{00000000-0005-0000-0000-00000F1D0000}"/>
    <cellStyle name="Porcentual 155 18 3" xfId="8561" xr:uid="{00000000-0005-0000-0000-0000101D0000}"/>
    <cellStyle name="Porcentual 155 19" xfId="2227" xr:uid="{00000000-0005-0000-0000-0000111D0000}"/>
    <cellStyle name="Porcentual 155 19 2" xfId="5889" xr:uid="{00000000-0005-0000-0000-0000121D0000}"/>
    <cellStyle name="Porcentual 155 19 3" xfId="8562" xr:uid="{00000000-0005-0000-0000-0000131D0000}"/>
    <cellStyle name="Porcentual 155 2" xfId="2228" xr:uid="{00000000-0005-0000-0000-0000141D0000}"/>
    <cellStyle name="Porcentual 155 2 2" xfId="5890" xr:uid="{00000000-0005-0000-0000-0000151D0000}"/>
    <cellStyle name="Porcentual 155 2 3" xfId="8563" xr:uid="{00000000-0005-0000-0000-0000161D0000}"/>
    <cellStyle name="Porcentual 155 20" xfId="2229" xr:uid="{00000000-0005-0000-0000-0000171D0000}"/>
    <cellStyle name="Porcentual 155 20 2" xfId="5891" xr:uid="{00000000-0005-0000-0000-0000181D0000}"/>
    <cellStyle name="Porcentual 155 20 3" xfId="8564" xr:uid="{00000000-0005-0000-0000-0000191D0000}"/>
    <cellStyle name="Porcentual 155 21" xfId="2230" xr:uid="{00000000-0005-0000-0000-00001A1D0000}"/>
    <cellStyle name="Porcentual 155 21 2" xfId="5892" xr:uid="{00000000-0005-0000-0000-00001B1D0000}"/>
    <cellStyle name="Porcentual 155 21 3" xfId="8565" xr:uid="{00000000-0005-0000-0000-00001C1D0000}"/>
    <cellStyle name="Porcentual 155 22" xfId="2231" xr:uid="{00000000-0005-0000-0000-00001D1D0000}"/>
    <cellStyle name="Porcentual 155 22 2" xfId="5893" xr:uid="{00000000-0005-0000-0000-00001E1D0000}"/>
    <cellStyle name="Porcentual 155 22 3" xfId="8566" xr:uid="{00000000-0005-0000-0000-00001F1D0000}"/>
    <cellStyle name="Porcentual 155 23" xfId="2232" xr:uid="{00000000-0005-0000-0000-0000201D0000}"/>
    <cellStyle name="Porcentual 155 23 2" xfId="5894" xr:uid="{00000000-0005-0000-0000-0000211D0000}"/>
    <cellStyle name="Porcentual 155 23 3" xfId="8567" xr:uid="{00000000-0005-0000-0000-0000221D0000}"/>
    <cellStyle name="Porcentual 155 24" xfId="2233" xr:uid="{00000000-0005-0000-0000-0000231D0000}"/>
    <cellStyle name="Porcentual 155 24 2" xfId="5895" xr:uid="{00000000-0005-0000-0000-0000241D0000}"/>
    <cellStyle name="Porcentual 155 24 3" xfId="8568" xr:uid="{00000000-0005-0000-0000-0000251D0000}"/>
    <cellStyle name="Porcentual 155 25" xfId="2234" xr:uid="{00000000-0005-0000-0000-0000261D0000}"/>
    <cellStyle name="Porcentual 155 25 2" xfId="5896" xr:uid="{00000000-0005-0000-0000-0000271D0000}"/>
    <cellStyle name="Porcentual 155 25 3" xfId="8569" xr:uid="{00000000-0005-0000-0000-0000281D0000}"/>
    <cellStyle name="Porcentual 155 26" xfId="2235" xr:uid="{00000000-0005-0000-0000-0000291D0000}"/>
    <cellStyle name="Porcentual 155 26 2" xfId="5897" xr:uid="{00000000-0005-0000-0000-00002A1D0000}"/>
    <cellStyle name="Porcentual 155 26 3" xfId="8570" xr:uid="{00000000-0005-0000-0000-00002B1D0000}"/>
    <cellStyle name="Porcentual 155 27" xfId="2236" xr:uid="{00000000-0005-0000-0000-00002C1D0000}"/>
    <cellStyle name="Porcentual 155 27 2" xfId="5898" xr:uid="{00000000-0005-0000-0000-00002D1D0000}"/>
    <cellStyle name="Porcentual 155 27 3" xfId="8571" xr:uid="{00000000-0005-0000-0000-00002E1D0000}"/>
    <cellStyle name="Porcentual 155 28" xfId="2237" xr:uid="{00000000-0005-0000-0000-00002F1D0000}"/>
    <cellStyle name="Porcentual 155 28 2" xfId="5899" xr:uid="{00000000-0005-0000-0000-0000301D0000}"/>
    <cellStyle name="Porcentual 155 28 3" xfId="8572" xr:uid="{00000000-0005-0000-0000-0000311D0000}"/>
    <cellStyle name="Porcentual 155 3" xfId="2238" xr:uid="{00000000-0005-0000-0000-0000321D0000}"/>
    <cellStyle name="Porcentual 155 3 2" xfId="5900" xr:uid="{00000000-0005-0000-0000-0000331D0000}"/>
    <cellStyle name="Porcentual 155 3 3" xfId="8573" xr:uid="{00000000-0005-0000-0000-0000341D0000}"/>
    <cellStyle name="Porcentual 155 4" xfId="2239" xr:uid="{00000000-0005-0000-0000-0000351D0000}"/>
    <cellStyle name="Porcentual 155 4 2" xfId="5901" xr:uid="{00000000-0005-0000-0000-0000361D0000}"/>
    <cellStyle name="Porcentual 155 4 3" xfId="8574" xr:uid="{00000000-0005-0000-0000-0000371D0000}"/>
    <cellStyle name="Porcentual 155 5" xfId="2240" xr:uid="{00000000-0005-0000-0000-0000381D0000}"/>
    <cellStyle name="Porcentual 155 5 2" xfId="5902" xr:uid="{00000000-0005-0000-0000-0000391D0000}"/>
    <cellStyle name="Porcentual 155 5 3" xfId="8575" xr:uid="{00000000-0005-0000-0000-00003A1D0000}"/>
    <cellStyle name="Porcentual 155 6" xfId="2241" xr:uid="{00000000-0005-0000-0000-00003B1D0000}"/>
    <cellStyle name="Porcentual 155 6 2" xfId="5903" xr:uid="{00000000-0005-0000-0000-00003C1D0000}"/>
    <cellStyle name="Porcentual 155 6 3" xfId="8576" xr:uid="{00000000-0005-0000-0000-00003D1D0000}"/>
    <cellStyle name="Porcentual 155 7" xfId="2242" xr:uid="{00000000-0005-0000-0000-00003E1D0000}"/>
    <cellStyle name="Porcentual 155 7 2" xfId="5904" xr:uid="{00000000-0005-0000-0000-00003F1D0000}"/>
    <cellStyle name="Porcentual 155 7 3" xfId="8577" xr:uid="{00000000-0005-0000-0000-0000401D0000}"/>
    <cellStyle name="Porcentual 155 8" xfId="2243" xr:uid="{00000000-0005-0000-0000-0000411D0000}"/>
    <cellStyle name="Porcentual 155 8 2" xfId="5905" xr:uid="{00000000-0005-0000-0000-0000421D0000}"/>
    <cellStyle name="Porcentual 155 8 3" xfId="8578" xr:uid="{00000000-0005-0000-0000-0000431D0000}"/>
    <cellStyle name="Porcentual 155 9" xfId="2244" xr:uid="{00000000-0005-0000-0000-0000441D0000}"/>
    <cellStyle name="Porcentual 155 9 2" xfId="5906" xr:uid="{00000000-0005-0000-0000-0000451D0000}"/>
    <cellStyle name="Porcentual 155 9 3" xfId="8579" xr:uid="{00000000-0005-0000-0000-0000461D0000}"/>
    <cellStyle name="Porcentual 156 10" xfId="2245" xr:uid="{00000000-0005-0000-0000-0000471D0000}"/>
    <cellStyle name="Porcentual 156 10 2" xfId="5907" xr:uid="{00000000-0005-0000-0000-0000481D0000}"/>
    <cellStyle name="Porcentual 156 10 3" xfId="8580" xr:uid="{00000000-0005-0000-0000-0000491D0000}"/>
    <cellStyle name="Porcentual 156 11" xfId="2246" xr:uid="{00000000-0005-0000-0000-00004A1D0000}"/>
    <cellStyle name="Porcentual 156 11 2" xfId="5908" xr:uid="{00000000-0005-0000-0000-00004B1D0000}"/>
    <cellStyle name="Porcentual 156 11 3" xfId="8581" xr:uid="{00000000-0005-0000-0000-00004C1D0000}"/>
    <cellStyle name="Porcentual 156 12" xfId="2247" xr:uid="{00000000-0005-0000-0000-00004D1D0000}"/>
    <cellStyle name="Porcentual 156 12 2" xfId="5909" xr:uid="{00000000-0005-0000-0000-00004E1D0000}"/>
    <cellStyle name="Porcentual 156 12 3" xfId="8582" xr:uid="{00000000-0005-0000-0000-00004F1D0000}"/>
    <cellStyle name="Porcentual 156 13" xfId="2248" xr:uid="{00000000-0005-0000-0000-0000501D0000}"/>
    <cellStyle name="Porcentual 156 13 2" xfId="5910" xr:uid="{00000000-0005-0000-0000-0000511D0000}"/>
    <cellStyle name="Porcentual 156 13 3" xfId="8583" xr:uid="{00000000-0005-0000-0000-0000521D0000}"/>
    <cellStyle name="Porcentual 156 14" xfId="2249" xr:uid="{00000000-0005-0000-0000-0000531D0000}"/>
    <cellStyle name="Porcentual 156 14 2" xfId="5911" xr:uid="{00000000-0005-0000-0000-0000541D0000}"/>
    <cellStyle name="Porcentual 156 14 3" xfId="8584" xr:uid="{00000000-0005-0000-0000-0000551D0000}"/>
    <cellStyle name="Porcentual 156 15" xfId="2250" xr:uid="{00000000-0005-0000-0000-0000561D0000}"/>
    <cellStyle name="Porcentual 156 15 2" xfId="5912" xr:uid="{00000000-0005-0000-0000-0000571D0000}"/>
    <cellStyle name="Porcentual 156 15 3" xfId="8585" xr:uid="{00000000-0005-0000-0000-0000581D0000}"/>
    <cellStyle name="Porcentual 156 16" xfId="2251" xr:uid="{00000000-0005-0000-0000-0000591D0000}"/>
    <cellStyle name="Porcentual 156 16 2" xfId="5913" xr:uid="{00000000-0005-0000-0000-00005A1D0000}"/>
    <cellStyle name="Porcentual 156 16 3" xfId="8586" xr:uid="{00000000-0005-0000-0000-00005B1D0000}"/>
    <cellStyle name="Porcentual 156 17" xfId="2252" xr:uid="{00000000-0005-0000-0000-00005C1D0000}"/>
    <cellStyle name="Porcentual 156 17 2" xfId="5914" xr:uid="{00000000-0005-0000-0000-00005D1D0000}"/>
    <cellStyle name="Porcentual 156 17 3" xfId="8587" xr:uid="{00000000-0005-0000-0000-00005E1D0000}"/>
    <cellStyle name="Porcentual 156 18" xfId="2253" xr:uid="{00000000-0005-0000-0000-00005F1D0000}"/>
    <cellStyle name="Porcentual 156 18 2" xfId="5915" xr:uid="{00000000-0005-0000-0000-0000601D0000}"/>
    <cellStyle name="Porcentual 156 18 3" xfId="8588" xr:uid="{00000000-0005-0000-0000-0000611D0000}"/>
    <cellStyle name="Porcentual 156 19" xfId="2254" xr:uid="{00000000-0005-0000-0000-0000621D0000}"/>
    <cellStyle name="Porcentual 156 19 2" xfId="5916" xr:uid="{00000000-0005-0000-0000-0000631D0000}"/>
    <cellStyle name="Porcentual 156 19 3" xfId="8589" xr:uid="{00000000-0005-0000-0000-0000641D0000}"/>
    <cellStyle name="Porcentual 156 2" xfId="2255" xr:uid="{00000000-0005-0000-0000-0000651D0000}"/>
    <cellStyle name="Porcentual 156 2 2" xfId="5917" xr:uid="{00000000-0005-0000-0000-0000661D0000}"/>
    <cellStyle name="Porcentual 156 2 3" xfId="8590" xr:uid="{00000000-0005-0000-0000-0000671D0000}"/>
    <cellStyle name="Porcentual 156 20" xfId="2256" xr:uid="{00000000-0005-0000-0000-0000681D0000}"/>
    <cellStyle name="Porcentual 156 20 2" xfId="5918" xr:uid="{00000000-0005-0000-0000-0000691D0000}"/>
    <cellStyle name="Porcentual 156 20 3" xfId="8591" xr:uid="{00000000-0005-0000-0000-00006A1D0000}"/>
    <cellStyle name="Porcentual 156 21" xfId="2257" xr:uid="{00000000-0005-0000-0000-00006B1D0000}"/>
    <cellStyle name="Porcentual 156 21 2" xfId="5919" xr:uid="{00000000-0005-0000-0000-00006C1D0000}"/>
    <cellStyle name="Porcentual 156 21 3" xfId="8592" xr:uid="{00000000-0005-0000-0000-00006D1D0000}"/>
    <cellStyle name="Porcentual 156 22" xfId="2258" xr:uid="{00000000-0005-0000-0000-00006E1D0000}"/>
    <cellStyle name="Porcentual 156 22 2" xfId="5920" xr:uid="{00000000-0005-0000-0000-00006F1D0000}"/>
    <cellStyle name="Porcentual 156 22 3" xfId="8593" xr:uid="{00000000-0005-0000-0000-0000701D0000}"/>
    <cellStyle name="Porcentual 156 23" xfId="2259" xr:uid="{00000000-0005-0000-0000-0000711D0000}"/>
    <cellStyle name="Porcentual 156 23 2" xfId="5921" xr:uid="{00000000-0005-0000-0000-0000721D0000}"/>
    <cellStyle name="Porcentual 156 23 3" xfId="8594" xr:uid="{00000000-0005-0000-0000-0000731D0000}"/>
    <cellStyle name="Porcentual 156 24" xfId="2260" xr:uid="{00000000-0005-0000-0000-0000741D0000}"/>
    <cellStyle name="Porcentual 156 24 2" xfId="5922" xr:uid="{00000000-0005-0000-0000-0000751D0000}"/>
    <cellStyle name="Porcentual 156 24 3" xfId="8595" xr:uid="{00000000-0005-0000-0000-0000761D0000}"/>
    <cellStyle name="Porcentual 156 25" xfId="2261" xr:uid="{00000000-0005-0000-0000-0000771D0000}"/>
    <cellStyle name="Porcentual 156 25 2" xfId="5923" xr:uid="{00000000-0005-0000-0000-0000781D0000}"/>
    <cellStyle name="Porcentual 156 25 3" xfId="8596" xr:uid="{00000000-0005-0000-0000-0000791D0000}"/>
    <cellStyle name="Porcentual 156 26" xfId="2262" xr:uid="{00000000-0005-0000-0000-00007A1D0000}"/>
    <cellStyle name="Porcentual 156 26 2" xfId="5924" xr:uid="{00000000-0005-0000-0000-00007B1D0000}"/>
    <cellStyle name="Porcentual 156 26 3" xfId="8597" xr:uid="{00000000-0005-0000-0000-00007C1D0000}"/>
    <cellStyle name="Porcentual 156 27" xfId="2263" xr:uid="{00000000-0005-0000-0000-00007D1D0000}"/>
    <cellStyle name="Porcentual 156 27 2" xfId="5925" xr:uid="{00000000-0005-0000-0000-00007E1D0000}"/>
    <cellStyle name="Porcentual 156 27 3" xfId="8598" xr:uid="{00000000-0005-0000-0000-00007F1D0000}"/>
    <cellStyle name="Porcentual 156 28" xfId="2264" xr:uid="{00000000-0005-0000-0000-0000801D0000}"/>
    <cellStyle name="Porcentual 156 28 2" xfId="5926" xr:uid="{00000000-0005-0000-0000-0000811D0000}"/>
    <cellStyle name="Porcentual 156 28 3" xfId="8599" xr:uid="{00000000-0005-0000-0000-0000821D0000}"/>
    <cellStyle name="Porcentual 156 3" xfId="2265" xr:uid="{00000000-0005-0000-0000-0000831D0000}"/>
    <cellStyle name="Porcentual 156 3 2" xfId="5927" xr:uid="{00000000-0005-0000-0000-0000841D0000}"/>
    <cellStyle name="Porcentual 156 3 3" xfId="8600" xr:uid="{00000000-0005-0000-0000-0000851D0000}"/>
    <cellStyle name="Porcentual 156 4" xfId="2266" xr:uid="{00000000-0005-0000-0000-0000861D0000}"/>
    <cellStyle name="Porcentual 156 4 2" xfId="5928" xr:uid="{00000000-0005-0000-0000-0000871D0000}"/>
    <cellStyle name="Porcentual 156 4 3" xfId="8601" xr:uid="{00000000-0005-0000-0000-0000881D0000}"/>
    <cellStyle name="Porcentual 156 5" xfId="2267" xr:uid="{00000000-0005-0000-0000-0000891D0000}"/>
    <cellStyle name="Porcentual 156 5 2" xfId="5929" xr:uid="{00000000-0005-0000-0000-00008A1D0000}"/>
    <cellStyle name="Porcentual 156 5 3" xfId="8602" xr:uid="{00000000-0005-0000-0000-00008B1D0000}"/>
    <cellStyle name="Porcentual 156 6" xfId="2268" xr:uid="{00000000-0005-0000-0000-00008C1D0000}"/>
    <cellStyle name="Porcentual 156 6 2" xfId="5930" xr:uid="{00000000-0005-0000-0000-00008D1D0000}"/>
    <cellStyle name="Porcentual 156 6 3" xfId="8603" xr:uid="{00000000-0005-0000-0000-00008E1D0000}"/>
    <cellStyle name="Porcentual 156 7" xfId="2269" xr:uid="{00000000-0005-0000-0000-00008F1D0000}"/>
    <cellStyle name="Porcentual 156 7 2" xfId="5931" xr:uid="{00000000-0005-0000-0000-0000901D0000}"/>
    <cellStyle name="Porcentual 156 7 3" xfId="8604" xr:uid="{00000000-0005-0000-0000-0000911D0000}"/>
    <cellStyle name="Porcentual 156 8" xfId="2270" xr:uid="{00000000-0005-0000-0000-0000921D0000}"/>
    <cellStyle name="Porcentual 156 8 2" xfId="5932" xr:uid="{00000000-0005-0000-0000-0000931D0000}"/>
    <cellStyle name="Porcentual 156 8 3" xfId="8605" xr:uid="{00000000-0005-0000-0000-0000941D0000}"/>
    <cellStyle name="Porcentual 156 9" xfId="2271" xr:uid="{00000000-0005-0000-0000-0000951D0000}"/>
    <cellStyle name="Porcentual 156 9 2" xfId="5933" xr:uid="{00000000-0005-0000-0000-0000961D0000}"/>
    <cellStyle name="Porcentual 156 9 3" xfId="8606" xr:uid="{00000000-0005-0000-0000-0000971D0000}"/>
    <cellStyle name="Porcentual 157 10" xfId="2272" xr:uid="{00000000-0005-0000-0000-0000981D0000}"/>
    <cellStyle name="Porcentual 157 10 2" xfId="5934" xr:uid="{00000000-0005-0000-0000-0000991D0000}"/>
    <cellStyle name="Porcentual 157 10 3" xfId="8607" xr:uid="{00000000-0005-0000-0000-00009A1D0000}"/>
    <cellStyle name="Porcentual 157 11" xfId="2273" xr:uid="{00000000-0005-0000-0000-00009B1D0000}"/>
    <cellStyle name="Porcentual 157 11 2" xfId="5935" xr:uid="{00000000-0005-0000-0000-00009C1D0000}"/>
    <cellStyle name="Porcentual 157 11 3" xfId="8608" xr:uid="{00000000-0005-0000-0000-00009D1D0000}"/>
    <cellStyle name="Porcentual 157 12" xfId="2274" xr:uid="{00000000-0005-0000-0000-00009E1D0000}"/>
    <cellStyle name="Porcentual 157 12 2" xfId="5936" xr:uid="{00000000-0005-0000-0000-00009F1D0000}"/>
    <cellStyle name="Porcentual 157 12 3" xfId="8609" xr:uid="{00000000-0005-0000-0000-0000A01D0000}"/>
    <cellStyle name="Porcentual 157 13" xfId="2275" xr:uid="{00000000-0005-0000-0000-0000A11D0000}"/>
    <cellStyle name="Porcentual 157 13 2" xfId="5937" xr:uid="{00000000-0005-0000-0000-0000A21D0000}"/>
    <cellStyle name="Porcentual 157 13 3" xfId="8610" xr:uid="{00000000-0005-0000-0000-0000A31D0000}"/>
    <cellStyle name="Porcentual 157 14" xfId="2276" xr:uid="{00000000-0005-0000-0000-0000A41D0000}"/>
    <cellStyle name="Porcentual 157 14 2" xfId="5938" xr:uid="{00000000-0005-0000-0000-0000A51D0000}"/>
    <cellStyle name="Porcentual 157 14 3" xfId="8611" xr:uid="{00000000-0005-0000-0000-0000A61D0000}"/>
    <cellStyle name="Porcentual 157 15" xfId="2277" xr:uid="{00000000-0005-0000-0000-0000A71D0000}"/>
    <cellStyle name="Porcentual 157 15 2" xfId="5939" xr:uid="{00000000-0005-0000-0000-0000A81D0000}"/>
    <cellStyle name="Porcentual 157 15 3" xfId="8612" xr:uid="{00000000-0005-0000-0000-0000A91D0000}"/>
    <cellStyle name="Porcentual 157 16" xfId="2278" xr:uid="{00000000-0005-0000-0000-0000AA1D0000}"/>
    <cellStyle name="Porcentual 157 16 2" xfId="5940" xr:uid="{00000000-0005-0000-0000-0000AB1D0000}"/>
    <cellStyle name="Porcentual 157 16 3" xfId="8613" xr:uid="{00000000-0005-0000-0000-0000AC1D0000}"/>
    <cellStyle name="Porcentual 157 17" xfId="2279" xr:uid="{00000000-0005-0000-0000-0000AD1D0000}"/>
    <cellStyle name="Porcentual 157 17 2" xfId="5941" xr:uid="{00000000-0005-0000-0000-0000AE1D0000}"/>
    <cellStyle name="Porcentual 157 17 3" xfId="8614" xr:uid="{00000000-0005-0000-0000-0000AF1D0000}"/>
    <cellStyle name="Porcentual 157 18" xfId="2280" xr:uid="{00000000-0005-0000-0000-0000B01D0000}"/>
    <cellStyle name="Porcentual 157 18 2" xfId="5942" xr:uid="{00000000-0005-0000-0000-0000B11D0000}"/>
    <cellStyle name="Porcentual 157 18 3" xfId="8615" xr:uid="{00000000-0005-0000-0000-0000B21D0000}"/>
    <cellStyle name="Porcentual 157 19" xfId="2281" xr:uid="{00000000-0005-0000-0000-0000B31D0000}"/>
    <cellStyle name="Porcentual 157 19 2" xfId="5943" xr:uid="{00000000-0005-0000-0000-0000B41D0000}"/>
    <cellStyle name="Porcentual 157 19 3" xfId="8616" xr:uid="{00000000-0005-0000-0000-0000B51D0000}"/>
    <cellStyle name="Porcentual 157 2" xfId="2282" xr:uid="{00000000-0005-0000-0000-0000B61D0000}"/>
    <cellStyle name="Porcentual 157 2 2" xfId="5944" xr:uid="{00000000-0005-0000-0000-0000B71D0000}"/>
    <cellStyle name="Porcentual 157 2 3" xfId="8617" xr:uid="{00000000-0005-0000-0000-0000B81D0000}"/>
    <cellStyle name="Porcentual 157 20" xfId="2283" xr:uid="{00000000-0005-0000-0000-0000B91D0000}"/>
    <cellStyle name="Porcentual 157 20 2" xfId="5945" xr:uid="{00000000-0005-0000-0000-0000BA1D0000}"/>
    <cellStyle name="Porcentual 157 20 3" xfId="8618" xr:uid="{00000000-0005-0000-0000-0000BB1D0000}"/>
    <cellStyle name="Porcentual 157 21" xfId="2284" xr:uid="{00000000-0005-0000-0000-0000BC1D0000}"/>
    <cellStyle name="Porcentual 157 21 2" xfId="5946" xr:uid="{00000000-0005-0000-0000-0000BD1D0000}"/>
    <cellStyle name="Porcentual 157 21 3" xfId="8619" xr:uid="{00000000-0005-0000-0000-0000BE1D0000}"/>
    <cellStyle name="Porcentual 157 22" xfId="2285" xr:uid="{00000000-0005-0000-0000-0000BF1D0000}"/>
    <cellStyle name="Porcentual 157 22 2" xfId="5947" xr:uid="{00000000-0005-0000-0000-0000C01D0000}"/>
    <cellStyle name="Porcentual 157 22 3" xfId="8620" xr:uid="{00000000-0005-0000-0000-0000C11D0000}"/>
    <cellStyle name="Porcentual 157 23" xfId="2286" xr:uid="{00000000-0005-0000-0000-0000C21D0000}"/>
    <cellStyle name="Porcentual 157 23 2" xfId="5948" xr:uid="{00000000-0005-0000-0000-0000C31D0000}"/>
    <cellStyle name="Porcentual 157 23 3" xfId="8621" xr:uid="{00000000-0005-0000-0000-0000C41D0000}"/>
    <cellStyle name="Porcentual 157 24" xfId="2287" xr:uid="{00000000-0005-0000-0000-0000C51D0000}"/>
    <cellStyle name="Porcentual 157 24 2" xfId="5949" xr:uid="{00000000-0005-0000-0000-0000C61D0000}"/>
    <cellStyle name="Porcentual 157 24 3" xfId="8622" xr:uid="{00000000-0005-0000-0000-0000C71D0000}"/>
    <cellStyle name="Porcentual 157 25" xfId="2288" xr:uid="{00000000-0005-0000-0000-0000C81D0000}"/>
    <cellStyle name="Porcentual 157 25 2" xfId="5950" xr:uid="{00000000-0005-0000-0000-0000C91D0000}"/>
    <cellStyle name="Porcentual 157 25 3" xfId="8623" xr:uid="{00000000-0005-0000-0000-0000CA1D0000}"/>
    <cellStyle name="Porcentual 157 26" xfId="2289" xr:uid="{00000000-0005-0000-0000-0000CB1D0000}"/>
    <cellStyle name="Porcentual 157 26 2" xfId="5951" xr:uid="{00000000-0005-0000-0000-0000CC1D0000}"/>
    <cellStyle name="Porcentual 157 26 3" xfId="8624" xr:uid="{00000000-0005-0000-0000-0000CD1D0000}"/>
    <cellStyle name="Porcentual 157 27" xfId="2290" xr:uid="{00000000-0005-0000-0000-0000CE1D0000}"/>
    <cellStyle name="Porcentual 157 27 2" xfId="5952" xr:uid="{00000000-0005-0000-0000-0000CF1D0000}"/>
    <cellStyle name="Porcentual 157 27 3" xfId="8625" xr:uid="{00000000-0005-0000-0000-0000D01D0000}"/>
    <cellStyle name="Porcentual 157 28" xfId="2291" xr:uid="{00000000-0005-0000-0000-0000D11D0000}"/>
    <cellStyle name="Porcentual 157 28 2" xfId="5953" xr:uid="{00000000-0005-0000-0000-0000D21D0000}"/>
    <cellStyle name="Porcentual 157 28 3" xfId="8626" xr:uid="{00000000-0005-0000-0000-0000D31D0000}"/>
    <cellStyle name="Porcentual 157 3" xfId="2292" xr:uid="{00000000-0005-0000-0000-0000D41D0000}"/>
    <cellStyle name="Porcentual 157 3 2" xfId="5954" xr:uid="{00000000-0005-0000-0000-0000D51D0000}"/>
    <cellStyle name="Porcentual 157 3 3" xfId="8627" xr:uid="{00000000-0005-0000-0000-0000D61D0000}"/>
    <cellStyle name="Porcentual 157 4" xfId="2293" xr:uid="{00000000-0005-0000-0000-0000D71D0000}"/>
    <cellStyle name="Porcentual 157 4 2" xfId="5955" xr:uid="{00000000-0005-0000-0000-0000D81D0000}"/>
    <cellStyle name="Porcentual 157 4 3" xfId="8628" xr:uid="{00000000-0005-0000-0000-0000D91D0000}"/>
    <cellStyle name="Porcentual 157 5" xfId="2294" xr:uid="{00000000-0005-0000-0000-0000DA1D0000}"/>
    <cellStyle name="Porcentual 157 5 2" xfId="5956" xr:uid="{00000000-0005-0000-0000-0000DB1D0000}"/>
    <cellStyle name="Porcentual 157 5 3" xfId="8629" xr:uid="{00000000-0005-0000-0000-0000DC1D0000}"/>
    <cellStyle name="Porcentual 157 6" xfId="2295" xr:uid="{00000000-0005-0000-0000-0000DD1D0000}"/>
    <cellStyle name="Porcentual 157 6 2" xfId="5957" xr:uid="{00000000-0005-0000-0000-0000DE1D0000}"/>
    <cellStyle name="Porcentual 157 6 3" xfId="8630" xr:uid="{00000000-0005-0000-0000-0000DF1D0000}"/>
    <cellStyle name="Porcentual 157 7" xfId="2296" xr:uid="{00000000-0005-0000-0000-0000E01D0000}"/>
    <cellStyle name="Porcentual 157 7 2" xfId="5958" xr:uid="{00000000-0005-0000-0000-0000E11D0000}"/>
    <cellStyle name="Porcentual 157 7 3" xfId="8631" xr:uid="{00000000-0005-0000-0000-0000E21D0000}"/>
    <cellStyle name="Porcentual 157 8" xfId="2297" xr:uid="{00000000-0005-0000-0000-0000E31D0000}"/>
    <cellStyle name="Porcentual 157 8 2" xfId="5959" xr:uid="{00000000-0005-0000-0000-0000E41D0000}"/>
    <cellStyle name="Porcentual 157 8 3" xfId="8632" xr:uid="{00000000-0005-0000-0000-0000E51D0000}"/>
    <cellStyle name="Porcentual 157 9" xfId="2298" xr:uid="{00000000-0005-0000-0000-0000E61D0000}"/>
    <cellStyle name="Porcentual 157 9 2" xfId="5960" xr:uid="{00000000-0005-0000-0000-0000E71D0000}"/>
    <cellStyle name="Porcentual 157 9 3" xfId="8633" xr:uid="{00000000-0005-0000-0000-0000E81D0000}"/>
    <cellStyle name="Porcentual 16" xfId="2299" xr:uid="{00000000-0005-0000-0000-0000E91D0000}"/>
    <cellStyle name="Porcentual 16 10" xfId="2300" xr:uid="{00000000-0005-0000-0000-0000EA1D0000}"/>
    <cellStyle name="Porcentual 16 10 2" xfId="5961" xr:uid="{00000000-0005-0000-0000-0000EB1D0000}"/>
    <cellStyle name="Porcentual 16 10 3" xfId="8635" xr:uid="{00000000-0005-0000-0000-0000EC1D0000}"/>
    <cellStyle name="Porcentual 16 11" xfId="2301" xr:uid="{00000000-0005-0000-0000-0000ED1D0000}"/>
    <cellStyle name="Porcentual 16 11 2" xfId="5962" xr:uid="{00000000-0005-0000-0000-0000EE1D0000}"/>
    <cellStyle name="Porcentual 16 11 3" xfId="8636" xr:uid="{00000000-0005-0000-0000-0000EF1D0000}"/>
    <cellStyle name="Porcentual 16 12" xfId="2302" xr:uid="{00000000-0005-0000-0000-0000F01D0000}"/>
    <cellStyle name="Porcentual 16 12 2" xfId="5963" xr:uid="{00000000-0005-0000-0000-0000F11D0000}"/>
    <cellStyle name="Porcentual 16 12 3" xfId="8637" xr:uid="{00000000-0005-0000-0000-0000F21D0000}"/>
    <cellStyle name="Porcentual 16 13" xfId="2303" xr:uid="{00000000-0005-0000-0000-0000F31D0000}"/>
    <cellStyle name="Porcentual 16 13 2" xfId="5964" xr:uid="{00000000-0005-0000-0000-0000F41D0000}"/>
    <cellStyle name="Porcentual 16 13 3" xfId="8638" xr:uid="{00000000-0005-0000-0000-0000F51D0000}"/>
    <cellStyle name="Porcentual 16 14" xfId="2304" xr:uid="{00000000-0005-0000-0000-0000F61D0000}"/>
    <cellStyle name="Porcentual 16 14 2" xfId="5965" xr:uid="{00000000-0005-0000-0000-0000F71D0000}"/>
    <cellStyle name="Porcentual 16 14 3" xfId="8639" xr:uid="{00000000-0005-0000-0000-0000F81D0000}"/>
    <cellStyle name="Porcentual 16 15" xfId="2305" xr:uid="{00000000-0005-0000-0000-0000F91D0000}"/>
    <cellStyle name="Porcentual 16 15 2" xfId="5966" xr:uid="{00000000-0005-0000-0000-0000FA1D0000}"/>
    <cellStyle name="Porcentual 16 15 3" xfId="8640" xr:uid="{00000000-0005-0000-0000-0000FB1D0000}"/>
    <cellStyle name="Porcentual 16 16" xfId="2306" xr:uid="{00000000-0005-0000-0000-0000FC1D0000}"/>
    <cellStyle name="Porcentual 16 16 2" xfId="5967" xr:uid="{00000000-0005-0000-0000-0000FD1D0000}"/>
    <cellStyle name="Porcentual 16 16 3" xfId="8641" xr:uid="{00000000-0005-0000-0000-0000FE1D0000}"/>
    <cellStyle name="Porcentual 16 17" xfId="2307" xr:uid="{00000000-0005-0000-0000-0000FF1D0000}"/>
    <cellStyle name="Porcentual 16 17 2" xfId="5968" xr:uid="{00000000-0005-0000-0000-0000001E0000}"/>
    <cellStyle name="Porcentual 16 17 3" xfId="8642" xr:uid="{00000000-0005-0000-0000-0000011E0000}"/>
    <cellStyle name="Porcentual 16 18" xfId="2308" xr:uid="{00000000-0005-0000-0000-0000021E0000}"/>
    <cellStyle name="Porcentual 16 18 2" xfId="5969" xr:uid="{00000000-0005-0000-0000-0000031E0000}"/>
    <cellStyle name="Porcentual 16 18 3" xfId="8643" xr:uid="{00000000-0005-0000-0000-0000041E0000}"/>
    <cellStyle name="Porcentual 16 19" xfId="2309" xr:uid="{00000000-0005-0000-0000-0000051E0000}"/>
    <cellStyle name="Porcentual 16 19 2" xfId="5970" xr:uid="{00000000-0005-0000-0000-0000061E0000}"/>
    <cellStyle name="Porcentual 16 19 3" xfId="8644" xr:uid="{00000000-0005-0000-0000-0000071E0000}"/>
    <cellStyle name="Porcentual 16 2" xfId="2310" xr:uid="{00000000-0005-0000-0000-0000081E0000}"/>
    <cellStyle name="Porcentual 16 2 2" xfId="5971" xr:uid="{00000000-0005-0000-0000-0000091E0000}"/>
    <cellStyle name="Porcentual 16 2 3" xfId="8645" xr:uid="{00000000-0005-0000-0000-00000A1E0000}"/>
    <cellStyle name="Porcentual 16 20" xfId="2311" xr:uid="{00000000-0005-0000-0000-00000B1E0000}"/>
    <cellStyle name="Porcentual 16 20 2" xfId="5972" xr:uid="{00000000-0005-0000-0000-00000C1E0000}"/>
    <cellStyle name="Porcentual 16 20 3" xfId="8646" xr:uid="{00000000-0005-0000-0000-00000D1E0000}"/>
    <cellStyle name="Porcentual 16 21" xfId="2312" xr:uid="{00000000-0005-0000-0000-00000E1E0000}"/>
    <cellStyle name="Porcentual 16 21 2" xfId="5973" xr:uid="{00000000-0005-0000-0000-00000F1E0000}"/>
    <cellStyle name="Porcentual 16 21 3" xfId="8647" xr:uid="{00000000-0005-0000-0000-0000101E0000}"/>
    <cellStyle name="Porcentual 16 22" xfId="2313" xr:uid="{00000000-0005-0000-0000-0000111E0000}"/>
    <cellStyle name="Porcentual 16 22 2" xfId="5974" xr:uid="{00000000-0005-0000-0000-0000121E0000}"/>
    <cellStyle name="Porcentual 16 22 3" xfId="8648" xr:uid="{00000000-0005-0000-0000-0000131E0000}"/>
    <cellStyle name="Porcentual 16 23" xfId="2314" xr:uid="{00000000-0005-0000-0000-0000141E0000}"/>
    <cellStyle name="Porcentual 16 23 2" xfId="5975" xr:uid="{00000000-0005-0000-0000-0000151E0000}"/>
    <cellStyle name="Porcentual 16 23 3" xfId="8649" xr:uid="{00000000-0005-0000-0000-0000161E0000}"/>
    <cellStyle name="Porcentual 16 24" xfId="2315" xr:uid="{00000000-0005-0000-0000-0000171E0000}"/>
    <cellStyle name="Porcentual 16 24 2" xfId="5976" xr:uid="{00000000-0005-0000-0000-0000181E0000}"/>
    <cellStyle name="Porcentual 16 24 3" xfId="8650" xr:uid="{00000000-0005-0000-0000-0000191E0000}"/>
    <cellStyle name="Porcentual 16 25" xfId="2316" xr:uid="{00000000-0005-0000-0000-00001A1E0000}"/>
    <cellStyle name="Porcentual 16 25 2" xfId="5977" xr:uid="{00000000-0005-0000-0000-00001B1E0000}"/>
    <cellStyle name="Porcentual 16 25 3" xfId="8651" xr:uid="{00000000-0005-0000-0000-00001C1E0000}"/>
    <cellStyle name="Porcentual 16 26" xfId="2317" xr:uid="{00000000-0005-0000-0000-00001D1E0000}"/>
    <cellStyle name="Porcentual 16 26 2" xfId="5978" xr:uid="{00000000-0005-0000-0000-00001E1E0000}"/>
    <cellStyle name="Porcentual 16 26 3" xfId="8652" xr:uid="{00000000-0005-0000-0000-00001F1E0000}"/>
    <cellStyle name="Porcentual 16 27" xfId="2318" xr:uid="{00000000-0005-0000-0000-0000201E0000}"/>
    <cellStyle name="Porcentual 16 27 2" xfId="5979" xr:uid="{00000000-0005-0000-0000-0000211E0000}"/>
    <cellStyle name="Porcentual 16 27 3" xfId="8653" xr:uid="{00000000-0005-0000-0000-0000221E0000}"/>
    <cellStyle name="Porcentual 16 28" xfId="2319" xr:uid="{00000000-0005-0000-0000-0000231E0000}"/>
    <cellStyle name="Porcentual 16 28 2" xfId="5980" xr:uid="{00000000-0005-0000-0000-0000241E0000}"/>
    <cellStyle name="Porcentual 16 28 3" xfId="8654" xr:uid="{00000000-0005-0000-0000-0000251E0000}"/>
    <cellStyle name="Porcentual 16 29" xfId="5981" xr:uid="{00000000-0005-0000-0000-0000261E0000}"/>
    <cellStyle name="Porcentual 16 3" xfId="2320" xr:uid="{00000000-0005-0000-0000-0000271E0000}"/>
    <cellStyle name="Porcentual 16 3 2" xfId="5982" xr:uid="{00000000-0005-0000-0000-0000281E0000}"/>
    <cellStyle name="Porcentual 16 3 3" xfId="8655" xr:uid="{00000000-0005-0000-0000-0000291E0000}"/>
    <cellStyle name="Porcentual 16 30" xfId="8634" xr:uid="{00000000-0005-0000-0000-00002A1E0000}"/>
    <cellStyle name="Porcentual 16 4" xfId="2321" xr:uid="{00000000-0005-0000-0000-00002B1E0000}"/>
    <cellStyle name="Porcentual 16 4 2" xfId="5983" xr:uid="{00000000-0005-0000-0000-00002C1E0000}"/>
    <cellStyle name="Porcentual 16 4 3" xfId="8656" xr:uid="{00000000-0005-0000-0000-00002D1E0000}"/>
    <cellStyle name="Porcentual 16 5" xfId="2322" xr:uid="{00000000-0005-0000-0000-00002E1E0000}"/>
    <cellStyle name="Porcentual 16 5 2" xfId="5984" xr:uid="{00000000-0005-0000-0000-00002F1E0000}"/>
    <cellStyle name="Porcentual 16 5 3" xfId="8657" xr:uid="{00000000-0005-0000-0000-0000301E0000}"/>
    <cellStyle name="Porcentual 16 6" xfId="2323" xr:uid="{00000000-0005-0000-0000-0000311E0000}"/>
    <cellStyle name="Porcentual 16 6 2" xfId="5985" xr:uid="{00000000-0005-0000-0000-0000321E0000}"/>
    <cellStyle name="Porcentual 16 6 3" xfId="8658" xr:uid="{00000000-0005-0000-0000-0000331E0000}"/>
    <cellStyle name="Porcentual 16 7" xfId="2324" xr:uid="{00000000-0005-0000-0000-0000341E0000}"/>
    <cellStyle name="Porcentual 16 7 2" xfId="5986" xr:uid="{00000000-0005-0000-0000-0000351E0000}"/>
    <cellStyle name="Porcentual 16 7 3" xfId="8659" xr:uid="{00000000-0005-0000-0000-0000361E0000}"/>
    <cellStyle name="Porcentual 16 8" xfId="2325" xr:uid="{00000000-0005-0000-0000-0000371E0000}"/>
    <cellStyle name="Porcentual 16 8 2" xfId="5987" xr:uid="{00000000-0005-0000-0000-0000381E0000}"/>
    <cellStyle name="Porcentual 16 8 3" xfId="8660" xr:uid="{00000000-0005-0000-0000-0000391E0000}"/>
    <cellStyle name="Porcentual 16 9" xfId="2326" xr:uid="{00000000-0005-0000-0000-00003A1E0000}"/>
    <cellStyle name="Porcentual 16 9 2" xfId="5988" xr:uid="{00000000-0005-0000-0000-00003B1E0000}"/>
    <cellStyle name="Porcentual 16 9 3" xfId="8661" xr:uid="{00000000-0005-0000-0000-00003C1E0000}"/>
    <cellStyle name="Porcentual 17" xfId="2327" xr:uid="{00000000-0005-0000-0000-00003D1E0000}"/>
    <cellStyle name="Porcentual 17 10" xfId="2328" xr:uid="{00000000-0005-0000-0000-00003E1E0000}"/>
    <cellStyle name="Porcentual 17 10 2" xfId="5989" xr:uid="{00000000-0005-0000-0000-00003F1E0000}"/>
    <cellStyle name="Porcentual 17 10 3" xfId="8663" xr:uid="{00000000-0005-0000-0000-0000401E0000}"/>
    <cellStyle name="Porcentual 17 11" xfId="2329" xr:uid="{00000000-0005-0000-0000-0000411E0000}"/>
    <cellStyle name="Porcentual 17 11 2" xfId="5990" xr:uid="{00000000-0005-0000-0000-0000421E0000}"/>
    <cellStyle name="Porcentual 17 11 3" xfId="8664" xr:uid="{00000000-0005-0000-0000-0000431E0000}"/>
    <cellStyle name="Porcentual 17 12" xfId="2330" xr:uid="{00000000-0005-0000-0000-0000441E0000}"/>
    <cellStyle name="Porcentual 17 12 2" xfId="5991" xr:uid="{00000000-0005-0000-0000-0000451E0000}"/>
    <cellStyle name="Porcentual 17 12 3" xfId="8665" xr:uid="{00000000-0005-0000-0000-0000461E0000}"/>
    <cellStyle name="Porcentual 17 13" xfId="2331" xr:uid="{00000000-0005-0000-0000-0000471E0000}"/>
    <cellStyle name="Porcentual 17 13 2" xfId="5992" xr:uid="{00000000-0005-0000-0000-0000481E0000}"/>
    <cellStyle name="Porcentual 17 13 3" xfId="8666" xr:uid="{00000000-0005-0000-0000-0000491E0000}"/>
    <cellStyle name="Porcentual 17 14" xfId="2332" xr:uid="{00000000-0005-0000-0000-00004A1E0000}"/>
    <cellStyle name="Porcentual 17 14 2" xfId="5993" xr:uid="{00000000-0005-0000-0000-00004B1E0000}"/>
    <cellStyle name="Porcentual 17 14 3" xfId="8667" xr:uid="{00000000-0005-0000-0000-00004C1E0000}"/>
    <cellStyle name="Porcentual 17 15" xfId="2333" xr:uid="{00000000-0005-0000-0000-00004D1E0000}"/>
    <cellStyle name="Porcentual 17 15 2" xfId="5994" xr:uid="{00000000-0005-0000-0000-00004E1E0000}"/>
    <cellStyle name="Porcentual 17 15 3" xfId="8668" xr:uid="{00000000-0005-0000-0000-00004F1E0000}"/>
    <cellStyle name="Porcentual 17 16" xfId="2334" xr:uid="{00000000-0005-0000-0000-0000501E0000}"/>
    <cellStyle name="Porcentual 17 16 2" xfId="5995" xr:uid="{00000000-0005-0000-0000-0000511E0000}"/>
    <cellStyle name="Porcentual 17 16 3" xfId="8669" xr:uid="{00000000-0005-0000-0000-0000521E0000}"/>
    <cellStyle name="Porcentual 17 17" xfId="2335" xr:uid="{00000000-0005-0000-0000-0000531E0000}"/>
    <cellStyle name="Porcentual 17 17 2" xfId="5996" xr:uid="{00000000-0005-0000-0000-0000541E0000}"/>
    <cellStyle name="Porcentual 17 17 3" xfId="8670" xr:uid="{00000000-0005-0000-0000-0000551E0000}"/>
    <cellStyle name="Porcentual 17 18" xfId="2336" xr:uid="{00000000-0005-0000-0000-0000561E0000}"/>
    <cellStyle name="Porcentual 17 18 2" xfId="5997" xr:uid="{00000000-0005-0000-0000-0000571E0000}"/>
    <cellStyle name="Porcentual 17 18 3" xfId="8671" xr:uid="{00000000-0005-0000-0000-0000581E0000}"/>
    <cellStyle name="Porcentual 17 19" xfId="2337" xr:uid="{00000000-0005-0000-0000-0000591E0000}"/>
    <cellStyle name="Porcentual 17 19 2" xfId="5998" xr:uid="{00000000-0005-0000-0000-00005A1E0000}"/>
    <cellStyle name="Porcentual 17 19 3" xfId="8672" xr:uid="{00000000-0005-0000-0000-00005B1E0000}"/>
    <cellStyle name="Porcentual 17 2" xfId="2338" xr:uid="{00000000-0005-0000-0000-00005C1E0000}"/>
    <cellStyle name="Porcentual 17 2 2" xfId="5999" xr:uid="{00000000-0005-0000-0000-00005D1E0000}"/>
    <cellStyle name="Porcentual 17 2 3" xfId="8673" xr:uid="{00000000-0005-0000-0000-00005E1E0000}"/>
    <cellStyle name="Porcentual 17 20" xfId="2339" xr:uid="{00000000-0005-0000-0000-00005F1E0000}"/>
    <cellStyle name="Porcentual 17 20 2" xfId="6000" xr:uid="{00000000-0005-0000-0000-0000601E0000}"/>
    <cellStyle name="Porcentual 17 20 3" xfId="8674" xr:uid="{00000000-0005-0000-0000-0000611E0000}"/>
    <cellStyle name="Porcentual 17 21" xfId="2340" xr:uid="{00000000-0005-0000-0000-0000621E0000}"/>
    <cellStyle name="Porcentual 17 21 2" xfId="6001" xr:uid="{00000000-0005-0000-0000-0000631E0000}"/>
    <cellStyle name="Porcentual 17 21 3" xfId="8675" xr:uid="{00000000-0005-0000-0000-0000641E0000}"/>
    <cellStyle name="Porcentual 17 22" xfId="2341" xr:uid="{00000000-0005-0000-0000-0000651E0000}"/>
    <cellStyle name="Porcentual 17 22 2" xfId="6002" xr:uid="{00000000-0005-0000-0000-0000661E0000}"/>
    <cellStyle name="Porcentual 17 22 3" xfId="8676" xr:uid="{00000000-0005-0000-0000-0000671E0000}"/>
    <cellStyle name="Porcentual 17 23" xfId="2342" xr:uid="{00000000-0005-0000-0000-0000681E0000}"/>
    <cellStyle name="Porcentual 17 23 2" xfId="6003" xr:uid="{00000000-0005-0000-0000-0000691E0000}"/>
    <cellStyle name="Porcentual 17 23 3" xfId="8677" xr:uid="{00000000-0005-0000-0000-00006A1E0000}"/>
    <cellStyle name="Porcentual 17 24" xfId="2343" xr:uid="{00000000-0005-0000-0000-00006B1E0000}"/>
    <cellStyle name="Porcentual 17 24 2" xfId="6004" xr:uid="{00000000-0005-0000-0000-00006C1E0000}"/>
    <cellStyle name="Porcentual 17 24 3" xfId="8678" xr:uid="{00000000-0005-0000-0000-00006D1E0000}"/>
    <cellStyle name="Porcentual 17 25" xfId="2344" xr:uid="{00000000-0005-0000-0000-00006E1E0000}"/>
    <cellStyle name="Porcentual 17 25 2" xfId="6005" xr:uid="{00000000-0005-0000-0000-00006F1E0000}"/>
    <cellStyle name="Porcentual 17 25 3" xfId="8679" xr:uid="{00000000-0005-0000-0000-0000701E0000}"/>
    <cellStyle name="Porcentual 17 26" xfId="2345" xr:uid="{00000000-0005-0000-0000-0000711E0000}"/>
    <cellStyle name="Porcentual 17 26 2" xfId="6006" xr:uid="{00000000-0005-0000-0000-0000721E0000}"/>
    <cellStyle name="Porcentual 17 26 3" xfId="8680" xr:uid="{00000000-0005-0000-0000-0000731E0000}"/>
    <cellStyle name="Porcentual 17 27" xfId="2346" xr:uid="{00000000-0005-0000-0000-0000741E0000}"/>
    <cellStyle name="Porcentual 17 27 2" xfId="6007" xr:uid="{00000000-0005-0000-0000-0000751E0000}"/>
    <cellStyle name="Porcentual 17 27 3" xfId="8681" xr:uid="{00000000-0005-0000-0000-0000761E0000}"/>
    <cellStyle name="Porcentual 17 28" xfId="2347" xr:uid="{00000000-0005-0000-0000-0000771E0000}"/>
    <cellStyle name="Porcentual 17 28 2" xfId="6008" xr:uid="{00000000-0005-0000-0000-0000781E0000}"/>
    <cellStyle name="Porcentual 17 28 3" xfId="8682" xr:uid="{00000000-0005-0000-0000-0000791E0000}"/>
    <cellStyle name="Porcentual 17 29" xfId="6009" xr:uid="{00000000-0005-0000-0000-00007A1E0000}"/>
    <cellStyle name="Porcentual 17 3" xfId="2348" xr:uid="{00000000-0005-0000-0000-00007B1E0000}"/>
    <cellStyle name="Porcentual 17 3 2" xfId="6010" xr:uid="{00000000-0005-0000-0000-00007C1E0000}"/>
    <cellStyle name="Porcentual 17 3 3" xfId="8683" xr:uid="{00000000-0005-0000-0000-00007D1E0000}"/>
    <cellStyle name="Porcentual 17 30" xfId="8662" xr:uid="{00000000-0005-0000-0000-00007E1E0000}"/>
    <cellStyle name="Porcentual 17 4" xfId="2349" xr:uid="{00000000-0005-0000-0000-00007F1E0000}"/>
    <cellStyle name="Porcentual 17 4 2" xfId="6011" xr:uid="{00000000-0005-0000-0000-0000801E0000}"/>
    <cellStyle name="Porcentual 17 4 3" xfId="8684" xr:uid="{00000000-0005-0000-0000-0000811E0000}"/>
    <cellStyle name="Porcentual 17 5" xfId="2350" xr:uid="{00000000-0005-0000-0000-0000821E0000}"/>
    <cellStyle name="Porcentual 17 5 2" xfId="6012" xr:uid="{00000000-0005-0000-0000-0000831E0000}"/>
    <cellStyle name="Porcentual 17 5 3" xfId="8685" xr:uid="{00000000-0005-0000-0000-0000841E0000}"/>
    <cellStyle name="Porcentual 17 6" xfId="2351" xr:uid="{00000000-0005-0000-0000-0000851E0000}"/>
    <cellStyle name="Porcentual 17 6 2" xfId="6013" xr:uid="{00000000-0005-0000-0000-0000861E0000}"/>
    <cellStyle name="Porcentual 17 6 3" xfId="8686" xr:uid="{00000000-0005-0000-0000-0000871E0000}"/>
    <cellStyle name="Porcentual 17 7" xfId="2352" xr:uid="{00000000-0005-0000-0000-0000881E0000}"/>
    <cellStyle name="Porcentual 17 7 2" xfId="6014" xr:uid="{00000000-0005-0000-0000-0000891E0000}"/>
    <cellStyle name="Porcentual 17 7 3" xfId="8687" xr:uid="{00000000-0005-0000-0000-00008A1E0000}"/>
    <cellStyle name="Porcentual 17 8" xfId="2353" xr:uid="{00000000-0005-0000-0000-00008B1E0000}"/>
    <cellStyle name="Porcentual 17 8 2" xfId="6015" xr:uid="{00000000-0005-0000-0000-00008C1E0000}"/>
    <cellStyle name="Porcentual 17 8 3" xfId="8688" xr:uid="{00000000-0005-0000-0000-00008D1E0000}"/>
    <cellStyle name="Porcentual 17 9" xfId="2354" xr:uid="{00000000-0005-0000-0000-00008E1E0000}"/>
    <cellStyle name="Porcentual 17 9 2" xfId="6016" xr:uid="{00000000-0005-0000-0000-00008F1E0000}"/>
    <cellStyle name="Porcentual 17 9 3" xfId="8689" xr:uid="{00000000-0005-0000-0000-0000901E0000}"/>
    <cellStyle name="Porcentual 18" xfId="2355" xr:uid="{00000000-0005-0000-0000-0000911E0000}"/>
    <cellStyle name="Porcentual 18 10" xfId="2356" xr:uid="{00000000-0005-0000-0000-0000921E0000}"/>
    <cellStyle name="Porcentual 18 10 2" xfId="6017" xr:uid="{00000000-0005-0000-0000-0000931E0000}"/>
    <cellStyle name="Porcentual 18 10 3" xfId="8691" xr:uid="{00000000-0005-0000-0000-0000941E0000}"/>
    <cellStyle name="Porcentual 18 11" xfId="2357" xr:uid="{00000000-0005-0000-0000-0000951E0000}"/>
    <cellStyle name="Porcentual 18 11 2" xfId="6018" xr:uid="{00000000-0005-0000-0000-0000961E0000}"/>
    <cellStyle name="Porcentual 18 11 3" xfId="8692" xr:uid="{00000000-0005-0000-0000-0000971E0000}"/>
    <cellStyle name="Porcentual 18 12" xfId="2358" xr:uid="{00000000-0005-0000-0000-0000981E0000}"/>
    <cellStyle name="Porcentual 18 12 2" xfId="6019" xr:uid="{00000000-0005-0000-0000-0000991E0000}"/>
    <cellStyle name="Porcentual 18 12 3" xfId="8693" xr:uid="{00000000-0005-0000-0000-00009A1E0000}"/>
    <cellStyle name="Porcentual 18 13" xfId="2359" xr:uid="{00000000-0005-0000-0000-00009B1E0000}"/>
    <cellStyle name="Porcentual 18 13 2" xfId="6020" xr:uid="{00000000-0005-0000-0000-00009C1E0000}"/>
    <cellStyle name="Porcentual 18 13 3" xfId="8694" xr:uid="{00000000-0005-0000-0000-00009D1E0000}"/>
    <cellStyle name="Porcentual 18 14" xfId="2360" xr:uid="{00000000-0005-0000-0000-00009E1E0000}"/>
    <cellStyle name="Porcentual 18 14 2" xfId="6021" xr:uid="{00000000-0005-0000-0000-00009F1E0000}"/>
    <cellStyle name="Porcentual 18 14 3" xfId="8695" xr:uid="{00000000-0005-0000-0000-0000A01E0000}"/>
    <cellStyle name="Porcentual 18 15" xfId="2361" xr:uid="{00000000-0005-0000-0000-0000A11E0000}"/>
    <cellStyle name="Porcentual 18 15 2" xfId="6022" xr:uid="{00000000-0005-0000-0000-0000A21E0000}"/>
    <cellStyle name="Porcentual 18 15 3" xfId="8696" xr:uid="{00000000-0005-0000-0000-0000A31E0000}"/>
    <cellStyle name="Porcentual 18 16" xfId="2362" xr:uid="{00000000-0005-0000-0000-0000A41E0000}"/>
    <cellStyle name="Porcentual 18 16 2" xfId="6023" xr:uid="{00000000-0005-0000-0000-0000A51E0000}"/>
    <cellStyle name="Porcentual 18 16 3" xfId="8697" xr:uid="{00000000-0005-0000-0000-0000A61E0000}"/>
    <cellStyle name="Porcentual 18 17" xfId="2363" xr:uid="{00000000-0005-0000-0000-0000A71E0000}"/>
    <cellStyle name="Porcentual 18 17 2" xfId="6024" xr:uid="{00000000-0005-0000-0000-0000A81E0000}"/>
    <cellStyle name="Porcentual 18 17 3" xfId="8698" xr:uid="{00000000-0005-0000-0000-0000A91E0000}"/>
    <cellStyle name="Porcentual 18 18" xfId="2364" xr:uid="{00000000-0005-0000-0000-0000AA1E0000}"/>
    <cellStyle name="Porcentual 18 18 2" xfId="6025" xr:uid="{00000000-0005-0000-0000-0000AB1E0000}"/>
    <cellStyle name="Porcentual 18 18 3" xfId="8699" xr:uid="{00000000-0005-0000-0000-0000AC1E0000}"/>
    <cellStyle name="Porcentual 18 19" xfId="2365" xr:uid="{00000000-0005-0000-0000-0000AD1E0000}"/>
    <cellStyle name="Porcentual 18 19 2" xfId="6026" xr:uid="{00000000-0005-0000-0000-0000AE1E0000}"/>
    <cellStyle name="Porcentual 18 19 3" xfId="8700" xr:uid="{00000000-0005-0000-0000-0000AF1E0000}"/>
    <cellStyle name="Porcentual 18 2" xfId="2366" xr:uid="{00000000-0005-0000-0000-0000B01E0000}"/>
    <cellStyle name="Porcentual 18 2 2" xfId="6027" xr:uid="{00000000-0005-0000-0000-0000B11E0000}"/>
    <cellStyle name="Porcentual 18 2 3" xfId="8701" xr:uid="{00000000-0005-0000-0000-0000B21E0000}"/>
    <cellStyle name="Porcentual 18 20" xfId="2367" xr:uid="{00000000-0005-0000-0000-0000B31E0000}"/>
    <cellStyle name="Porcentual 18 20 2" xfId="6028" xr:uid="{00000000-0005-0000-0000-0000B41E0000}"/>
    <cellStyle name="Porcentual 18 20 3" xfId="8702" xr:uid="{00000000-0005-0000-0000-0000B51E0000}"/>
    <cellStyle name="Porcentual 18 21" xfId="2368" xr:uid="{00000000-0005-0000-0000-0000B61E0000}"/>
    <cellStyle name="Porcentual 18 21 2" xfId="6029" xr:uid="{00000000-0005-0000-0000-0000B71E0000}"/>
    <cellStyle name="Porcentual 18 21 3" xfId="8703" xr:uid="{00000000-0005-0000-0000-0000B81E0000}"/>
    <cellStyle name="Porcentual 18 22" xfId="2369" xr:uid="{00000000-0005-0000-0000-0000B91E0000}"/>
    <cellStyle name="Porcentual 18 22 2" xfId="6030" xr:uid="{00000000-0005-0000-0000-0000BA1E0000}"/>
    <cellStyle name="Porcentual 18 22 3" xfId="8704" xr:uid="{00000000-0005-0000-0000-0000BB1E0000}"/>
    <cellStyle name="Porcentual 18 23" xfId="2370" xr:uid="{00000000-0005-0000-0000-0000BC1E0000}"/>
    <cellStyle name="Porcentual 18 23 2" xfId="6031" xr:uid="{00000000-0005-0000-0000-0000BD1E0000}"/>
    <cellStyle name="Porcentual 18 23 3" xfId="8705" xr:uid="{00000000-0005-0000-0000-0000BE1E0000}"/>
    <cellStyle name="Porcentual 18 24" xfId="2371" xr:uid="{00000000-0005-0000-0000-0000BF1E0000}"/>
    <cellStyle name="Porcentual 18 24 2" xfId="6032" xr:uid="{00000000-0005-0000-0000-0000C01E0000}"/>
    <cellStyle name="Porcentual 18 24 3" xfId="8706" xr:uid="{00000000-0005-0000-0000-0000C11E0000}"/>
    <cellStyle name="Porcentual 18 25" xfId="2372" xr:uid="{00000000-0005-0000-0000-0000C21E0000}"/>
    <cellStyle name="Porcentual 18 25 2" xfId="6033" xr:uid="{00000000-0005-0000-0000-0000C31E0000}"/>
    <cellStyle name="Porcentual 18 25 3" xfId="8707" xr:uid="{00000000-0005-0000-0000-0000C41E0000}"/>
    <cellStyle name="Porcentual 18 26" xfId="2373" xr:uid="{00000000-0005-0000-0000-0000C51E0000}"/>
    <cellStyle name="Porcentual 18 26 2" xfId="6034" xr:uid="{00000000-0005-0000-0000-0000C61E0000}"/>
    <cellStyle name="Porcentual 18 26 3" xfId="8708" xr:uid="{00000000-0005-0000-0000-0000C71E0000}"/>
    <cellStyle name="Porcentual 18 27" xfId="2374" xr:uid="{00000000-0005-0000-0000-0000C81E0000}"/>
    <cellStyle name="Porcentual 18 27 2" xfId="6035" xr:uid="{00000000-0005-0000-0000-0000C91E0000}"/>
    <cellStyle name="Porcentual 18 27 3" xfId="8709" xr:uid="{00000000-0005-0000-0000-0000CA1E0000}"/>
    <cellStyle name="Porcentual 18 28" xfId="2375" xr:uid="{00000000-0005-0000-0000-0000CB1E0000}"/>
    <cellStyle name="Porcentual 18 28 2" xfId="6036" xr:uid="{00000000-0005-0000-0000-0000CC1E0000}"/>
    <cellStyle name="Porcentual 18 28 3" xfId="8710" xr:uid="{00000000-0005-0000-0000-0000CD1E0000}"/>
    <cellStyle name="Porcentual 18 29" xfId="6037" xr:uid="{00000000-0005-0000-0000-0000CE1E0000}"/>
    <cellStyle name="Porcentual 18 3" xfId="2376" xr:uid="{00000000-0005-0000-0000-0000CF1E0000}"/>
    <cellStyle name="Porcentual 18 3 2" xfId="6038" xr:uid="{00000000-0005-0000-0000-0000D01E0000}"/>
    <cellStyle name="Porcentual 18 3 3" xfId="8711" xr:uid="{00000000-0005-0000-0000-0000D11E0000}"/>
    <cellStyle name="Porcentual 18 30" xfId="8690" xr:uid="{00000000-0005-0000-0000-0000D21E0000}"/>
    <cellStyle name="Porcentual 18 4" xfId="2377" xr:uid="{00000000-0005-0000-0000-0000D31E0000}"/>
    <cellStyle name="Porcentual 18 4 2" xfId="6039" xr:uid="{00000000-0005-0000-0000-0000D41E0000}"/>
    <cellStyle name="Porcentual 18 4 3" xfId="8712" xr:uid="{00000000-0005-0000-0000-0000D51E0000}"/>
    <cellStyle name="Porcentual 18 5" xfId="2378" xr:uid="{00000000-0005-0000-0000-0000D61E0000}"/>
    <cellStyle name="Porcentual 18 5 2" xfId="6040" xr:uid="{00000000-0005-0000-0000-0000D71E0000}"/>
    <cellStyle name="Porcentual 18 5 3" xfId="8713" xr:uid="{00000000-0005-0000-0000-0000D81E0000}"/>
    <cellStyle name="Porcentual 18 6" xfId="2379" xr:uid="{00000000-0005-0000-0000-0000D91E0000}"/>
    <cellStyle name="Porcentual 18 6 2" xfId="6041" xr:uid="{00000000-0005-0000-0000-0000DA1E0000}"/>
    <cellStyle name="Porcentual 18 6 3" xfId="8714" xr:uid="{00000000-0005-0000-0000-0000DB1E0000}"/>
    <cellStyle name="Porcentual 18 7" xfId="2380" xr:uid="{00000000-0005-0000-0000-0000DC1E0000}"/>
    <cellStyle name="Porcentual 18 7 2" xfId="6042" xr:uid="{00000000-0005-0000-0000-0000DD1E0000}"/>
    <cellStyle name="Porcentual 18 7 3" xfId="8715" xr:uid="{00000000-0005-0000-0000-0000DE1E0000}"/>
    <cellStyle name="Porcentual 18 8" xfId="2381" xr:uid="{00000000-0005-0000-0000-0000DF1E0000}"/>
    <cellStyle name="Porcentual 18 8 2" xfId="6043" xr:uid="{00000000-0005-0000-0000-0000E01E0000}"/>
    <cellStyle name="Porcentual 18 8 3" xfId="8716" xr:uid="{00000000-0005-0000-0000-0000E11E0000}"/>
    <cellStyle name="Porcentual 18 9" xfId="2382" xr:uid="{00000000-0005-0000-0000-0000E21E0000}"/>
    <cellStyle name="Porcentual 18 9 2" xfId="6044" xr:uid="{00000000-0005-0000-0000-0000E31E0000}"/>
    <cellStyle name="Porcentual 18 9 3" xfId="8717" xr:uid="{00000000-0005-0000-0000-0000E41E0000}"/>
    <cellStyle name="Porcentual 19" xfId="2383" xr:uid="{00000000-0005-0000-0000-0000E51E0000}"/>
    <cellStyle name="Porcentual 19 10" xfId="2384" xr:uid="{00000000-0005-0000-0000-0000E61E0000}"/>
    <cellStyle name="Porcentual 19 10 2" xfId="6045" xr:uid="{00000000-0005-0000-0000-0000E71E0000}"/>
    <cellStyle name="Porcentual 19 10 3" xfId="8719" xr:uid="{00000000-0005-0000-0000-0000E81E0000}"/>
    <cellStyle name="Porcentual 19 11" xfId="2385" xr:uid="{00000000-0005-0000-0000-0000E91E0000}"/>
    <cellStyle name="Porcentual 19 11 2" xfId="6046" xr:uid="{00000000-0005-0000-0000-0000EA1E0000}"/>
    <cellStyle name="Porcentual 19 11 3" xfId="8720" xr:uid="{00000000-0005-0000-0000-0000EB1E0000}"/>
    <cellStyle name="Porcentual 19 12" xfId="2386" xr:uid="{00000000-0005-0000-0000-0000EC1E0000}"/>
    <cellStyle name="Porcentual 19 12 2" xfId="6047" xr:uid="{00000000-0005-0000-0000-0000ED1E0000}"/>
    <cellStyle name="Porcentual 19 12 3" xfId="8721" xr:uid="{00000000-0005-0000-0000-0000EE1E0000}"/>
    <cellStyle name="Porcentual 19 13" xfId="2387" xr:uid="{00000000-0005-0000-0000-0000EF1E0000}"/>
    <cellStyle name="Porcentual 19 13 2" xfId="6048" xr:uid="{00000000-0005-0000-0000-0000F01E0000}"/>
    <cellStyle name="Porcentual 19 13 3" xfId="8722" xr:uid="{00000000-0005-0000-0000-0000F11E0000}"/>
    <cellStyle name="Porcentual 19 14" xfId="2388" xr:uid="{00000000-0005-0000-0000-0000F21E0000}"/>
    <cellStyle name="Porcentual 19 14 2" xfId="6049" xr:uid="{00000000-0005-0000-0000-0000F31E0000}"/>
    <cellStyle name="Porcentual 19 14 3" xfId="8723" xr:uid="{00000000-0005-0000-0000-0000F41E0000}"/>
    <cellStyle name="Porcentual 19 15" xfId="2389" xr:uid="{00000000-0005-0000-0000-0000F51E0000}"/>
    <cellStyle name="Porcentual 19 15 2" xfId="6050" xr:uid="{00000000-0005-0000-0000-0000F61E0000}"/>
    <cellStyle name="Porcentual 19 15 3" xfId="8724" xr:uid="{00000000-0005-0000-0000-0000F71E0000}"/>
    <cellStyle name="Porcentual 19 16" xfId="2390" xr:uid="{00000000-0005-0000-0000-0000F81E0000}"/>
    <cellStyle name="Porcentual 19 16 2" xfId="6051" xr:uid="{00000000-0005-0000-0000-0000F91E0000}"/>
    <cellStyle name="Porcentual 19 16 3" xfId="8725" xr:uid="{00000000-0005-0000-0000-0000FA1E0000}"/>
    <cellStyle name="Porcentual 19 17" xfId="2391" xr:uid="{00000000-0005-0000-0000-0000FB1E0000}"/>
    <cellStyle name="Porcentual 19 17 2" xfId="6052" xr:uid="{00000000-0005-0000-0000-0000FC1E0000}"/>
    <cellStyle name="Porcentual 19 17 3" xfId="8726" xr:uid="{00000000-0005-0000-0000-0000FD1E0000}"/>
    <cellStyle name="Porcentual 19 18" xfId="2392" xr:uid="{00000000-0005-0000-0000-0000FE1E0000}"/>
    <cellStyle name="Porcentual 19 18 2" xfId="6053" xr:uid="{00000000-0005-0000-0000-0000FF1E0000}"/>
    <cellStyle name="Porcentual 19 18 3" xfId="8727" xr:uid="{00000000-0005-0000-0000-0000001F0000}"/>
    <cellStyle name="Porcentual 19 19" xfId="2393" xr:uid="{00000000-0005-0000-0000-0000011F0000}"/>
    <cellStyle name="Porcentual 19 19 2" xfId="6054" xr:uid="{00000000-0005-0000-0000-0000021F0000}"/>
    <cellStyle name="Porcentual 19 19 3" xfId="8728" xr:uid="{00000000-0005-0000-0000-0000031F0000}"/>
    <cellStyle name="Porcentual 19 2" xfId="2394" xr:uid="{00000000-0005-0000-0000-0000041F0000}"/>
    <cellStyle name="Porcentual 19 2 2" xfId="6055" xr:uid="{00000000-0005-0000-0000-0000051F0000}"/>
    <cellStyle name="Porcentual 19 2 3" xfId="8729" xr:uid="{00000000-0005-0000-0000-0000061F0000}"/>
    <cellStyle name="Porcentual 19 20" xfId="2395" xr:uid="{00000000-0005-0000-0000-0000071F0000}"/>
    <cellStyle name="Porcentual 19 20 2" xfId="6056" xr:uid="{00000000-0005-0000-0000-0000081F0000}"/>
    <cellStyle name="Porcentual 19 20 3" xfId="8730" xr:uid="{00000000-0005-0000-0000-0000091F0000}"/>
    <cellStyle name="Porcentual 19 21" xfId="2396" xr:uid="{00000000-0005-0000-0000-00000A1F0000}"/>
    <cellStyle name="Porcentual 19 21 2" xfId="6057" xr:uid="{00000000-0005-0000-0000-00000B1F0000}"/>
    <cellStyle name="Porcentual 19 21 3" xfId="8731" xr:uid="{00000000-0005-0000-0000-00000C1F0000}"/>
    <cellStyle name="Porcentual 19 22" xfId="2397" xr:uid="{00000000-0005-0000-0000-00000D1F0000}"/>
    <cellStyle name="Porcentual 19 22 2" xfId="6058" xr:uid="{00000000-0005-0000-0000-00000E1F0000}"/>
    <cellStyle name="Porcentual 19 22 3" xfId="8732" xr:uid="{00000000-0005-0000-0000-00000F1F0000}"/>
    <cellStyle name="Porcentual 19 23" xfId="2398" xr:uid="{00000000-0005-0000-0000-0000101F0000}"/>
    <cellStyle name="Porcentual 19 23 2" xfId="6059" xr:uid="{00000000-0005-0000-0000-0000111F0000}"/>
    <cellStyle name="Porcentual 19 23 3" xfId="8733" xr:uid="{00000000-0005-0000-0000-0000121F0000}"/>
    <cellStyle name="Porcentual 19 24" xfId="2399" xr:uid="{00000000-0005-0000-0000-0000131F0000}"/>
    <cellStyle name="Porcentual 19 24 2" xfId="6060" xr:uid="{00000000-0005-0000-0000-0000141F0000}"/>
    <cellStyle name="Porcentual 19 24 3" xfId="8734" xr:uid="{00000000-0005-0000-0000-0000151F0000}"/>
    <cellStyle name="Porcentual 19 25" xfId="2400" xr:uid="{00000000-0005-0000-0000-0000161F0000}"/>
    <cellStyle name="Porcentual 19 25 2" xfId="6061" xr:uid="{00000000-0005-0000-0000-0000171F0000}"/>
    <cellStyle name="Porcentual 19 25 3" xfId="8735" xr:uid="{00000000-0005-0000-0000-0000181F0000}"/>
    <cellStyle name="Porcentual 19 26" xfId="2401" xr:uid="{00000000-0005-0000-0000-0000191F0000}"/>
    <cellStyle name="Porcentual 19 26 2" xfId="6062" xr:uid="{00000000-0005-0000-0000-00001A1F0000}"/>
    <cellStyle name="Porcentual 19 26 3" xfId="8736" xr:uid="{00000000-0005-0000-0000-00001B1F0000}"/>
    <cellStyle name="Porcentual 19 27" xfId="2402" xr:uid="{00000000-0005-0000-0000-00001C1F0000}"/>
    <cellStyle name="Porcentual 19 27 2" xfId="6063" xr:uid="{00000000-0005-0000-0000-00001D1F0000}"/>
    <cellStyle name="Porcentual 19 27 3" xfId="8737" xr:uid="{00000000-0005-0000-0000-00001E1F0000}"/>
    <cellStyle name="Porcentual 19 28" xfId="2403" xr:uid="{00000000-0005-0000-0000-00001F1F0000}"/>
    <cellStyle name="Porcentual 19 28 2" xfId="6064" xr:uid="{00000000-0005-0000-0000-0000201F0000}"/>
    <cellStyle name="Porcentual 19 28 3" xfId="8738" xr:uid="{00000000-0005-0000-0000-0000211F0000}"/>
    <cellStyle name="Porcentual 19 29" xfId="6065" xr:uid="{00000000-0005-0000-0000-0000221F0000}"/>
    <cellStyle name="Porcentual 19 3" xfId="2404" xr:uid="{00000000-0005-0000-0000-0000231F0000}"/>
    <cellStyle name="Porcentual 19 3 2" xfId="6066" xr:uid="{00000000-0005-0000-0000-0000241F0000}"/>
    <cellStyle name="Porcentual 19 3 3" xfId="8739" xr:uid="{00000000-0005-0000-0000-0000251F0000}"/>
    <cellStyle name="Porcentual 19 30" xfId="8718" xr:uid="{00000000-0005-0000-0000-0000261F0000}"/>
    <cellStyle name="Porcentual 19 4" xfId="2405" xr:uid="{00000000-0005-0000-0000-0000271F0000}"/>
    <cellStyle name="Porcentual 19 4 2" xfId="6067" xr:uid="{00000000-0005-0000-0000-0000281F0000}"/>
    <cellStyle name="Porcentual 19 4 3" xfId="8740" xr:uid="{00000000-0005-0000-0000-0000291F0000}"/>
    <cellStyle name="Porcentual 19 5" xfId="2406" xr:uid="{00000000-0005-0000-0000-00002A1F0000}"/>
    <cellStyle name="Porcentual 19 5 2" xfId="6068" xr:uid="{00000000-0005-0000-0000-00002B1F0000}"/>
    <cellStyle name="Porcentual 19 5 3" xfId="8741" xr:uid="{00000000-0005-0000-0000-00002C1F0000}"/>
    <cellStyle name="Porcentual 19 6" xfId="2407" xr:uid="{00000000-0005-0000-0000-00002D1F0000}"/>
    <cellStyle name="Porcentual 19 6 2" xfId="6069" xr:uid="{00000000-0005-0000-0000-00002E1F0000}"/>
    <cellStyle name="Porcentual 19 6 3" xfId="8742" xr:uid="{00000000-0005-0000-0000-00002F1F0000}"/>
    <cellStyle name="Porcentual 19 7" xfId="2408" xr:uid="{00000000-0005-0000-0000-0000301F0000}"/>
    <cellStyle name="Porcentual 19 7 2" xfId="6070" xr:uid="{00000000-0005-0000-0000-0000311F0000}"/>
    <cellStyle name="Porcentual 19 7 3" xfId="8743" xr:uid="{00000000-0005-0000-0000-0000321F0000}"/>
    <cellStyle name="Porcentual 19 8" xfId="2409" xr:uid="{00000000-0005-0000-0000-0000331F0000}"/>
    <cellStyle name="Porcentual 19 8 2" xfId="6071" xr:uid="{00000000-0005-0000-0000-0000341F0000}"/>
    <cellStyle name="Porcentual 19 8 3" xfId="8744" xr:uid="{00000000-0005-0000-0000-0000351F0000}"/>
    <cellStyle name="Porcentual 19 9" xfId="2410" xr:uid="{00000000-0005-0000-0000-0000361F0000}"/>
    <cellStyle name="Porcentual 19 9 2" xfId="6072" xr:uid="{00000000-0005-0000-0000-0000371F0000}"/>
    <cellStyle name="Porcentual 19 9 3" xfId="8745" xr:uid="{00000000-0005-0000-0000-0000381F0000}"/>
    <cellStyle name="Porcentual 2" xfId="27" xr:uid="{00000000-0005-0000-0000-0000391F0000}"/>
    <cellStyle name="Porcentual 2 10" xfId="2411" xr:uid="{00000000-0005-0000-0000-00003A1F0000}"/>
    <cellStyle name="Porcentual 2 10 10" xfId="2412" xr:uid="{00000000-0005-0000-0000-00003B1F0000}"/>
    <cellStyle name="Porcentual 2 10 10 2" xfId="6073" xr:uid="{00000000-0005-0000-0000-00003C1F0000}"/>
    <cellStyle name="Porcentual 2 10 11" xfId="2413" xr:uid="{00000000-0005-0000-0000-00003D1F0000}"/>
    <cellStyle name="Porcentual 2 10 11 2" xfId="6074" xr:uid="{00000000-0005-0000-0000-00003E1F0000}"/>
    <cellStyle name="Porcentual 2 10 12" xfId="2414" xr:uid="{00000000-0005-0000-0000-00003F1F0000}"/>
    <cellStyle name="Porcentual 2 10 12 2" xfId="6075" xr:uid="{00000000-0005-0000-0000-0000401F0000}"/>
    <cellStyle name="Porcentual 2 10 13" xfId="2415" xr:uid="{00000000-0005-0000-0000-0000411F0000}"/>
    <cellStyle name="Porcentual 2 10 13 2" xfId="6076" xr:uid="{00000000-0005-0000-0000-0000421F0000}"/>
    <cellStyle name="Porcentual 2 10 14" xfId="2416" xr:uid="{00000000-0005-0000-0000-0000431F0000}"/>
    <cellStyle name="Porcentual 2 10 14 2" xfId="6077" xr:uid="{00000000-0005-0000-0000-0000441F0000}"/>
    <cellStyle name="Porcentual 2 10 15" xfId="2417" xr:uid="{00000000-0005-0000-0000-0000451F0000}"/>
    <cellStyle name="Porcentual 2 10 15 2" xfId="6078" xr:uid="{00000000-0005-0000-0000-0000461F0000}"/>
    <cellStyle name="Porcentual 2 10 16" xfId="2418" xr:uid="{00000000-0005-0000-0000-0000471F0000}"/>
    <cellStyle name="Porcentual 2 10 16 2" xfId="6079" xr:uid="{00000000-0005-0000-0000-0000481F0000}"/>
    <cellStyle name="Porcentual 2 10 17" xfId="2419" xr:uid="{00000000-0005-0000-0000-0000491F0000}"/>
    <cellStyle name="Porcentual 2 10 17 2" xfId="6080" xr:uid="{00000000-0005-0000-0000-00004A1F0000}"/>
    <cellStyle name="Porcentual 2 10 18" xfId="2420" xr:uid="{00000000-0005-0000-0000-00004B1F0000}"/>
    <cellStyle name="Porcentual 2 10 18 2" xfId="6081" xr:uid="{00000000-0005-0000-0000-00004C1F0000}"/>
    <cellStyle name="Porcentual 2 10 19" xfId="2421" xr:uid="{00000000-0005-0000-0000-00004D1F0000}"/>
    <cellStyle name="Porcentual 2 10 19 2" xfId="6082" xr:uid="{00000000-0005-0000-0000-00004E1F0000}"/>
    <cellStyle name="Porcentual 2 10 2" xfId="2422" xr:uid="{00000000-0005-0000-0000-00004F1F0000}"/>
    <cellStyle name="Porcentual 2 10 2 2" xfId="6083" xr:uid="{00000000-0005-0000-0000-0000501F0000}"/>
    <cellStyle name="Porcentual 2 10 20" xfId="2423" xr:uid="{00000000-0005-0000-0000-0000511F0000}"/>
    <cellStyle name="Porcentual 2 10 20 2" xfId="6084" xr:uid="{00000000-0005-0000-0000-0000521F0000}"/>
    <cellStyle name="Porcentual 2 10 21" xfId="2424" xr:uid="{00000000-0005-0000-0000-0000531F0000}"/>
    <cellStyle name="Porcentual 2 10 21 2" xfId="6085" xr:uid="{00000000-0005-0000-0000-0000541F0000}"/>
    <cellStyle name="Porcentual 2 10 22" xfId="2425" xr:uid="{00000000-0005-0000-0000-0000551F0000}"/>
    <cellStyle name="Porcentual 2 10 22 2" xfId="6086" xr:uid="{00000000-0005-0000-0000-0000561F0000}"/>
    <cellStyle name="Porcentual 2 10 23" xfId="2426" xr:uid="{00000000-0005-0000-0000-0000571F0000}"/>
    <cellStyle name="Porcentual 2 10 23 2" xfId="6087" xr:uid="{00000000-0005-0000-0000-0000581F0000}"/>
    <cellStyle name="Porcentual 2 10 24" xfId="2427" xr:uid="{00000000-0005-0000-0000-0000591F0000}"/>
    <cellStyle name="Porcentual 2 10 24 2" xfId="6088" xr:uid="{00000000-0005-0000-0000-00005A1F0000}"/>
    <cellStyle name="Porcentual 2 10 25" xfId="2428" xr:uid="{00000000-0005-0000-0000-00005B1F0000}"/>
    <cellStyle name="Porcentual 2 10 25 2" xfId="6089" xr:uid="{00000000-0005-0000-0000-00005C1F0000}"/>
    <cellStyle name="Porcentual 2 10 26" xfId="2429" xr:uid="{00000000-0005-0000-0000-00005D1F0000}"/>
    <cellStyle name="Porcentual 2 10 26 2" xfId="6090" xr:uid="{00000000-0005-0000-0000-00005E1F0000}"/>
    <cellStyle name="Porcentual 2 10 27" xfId="2430" xr:uid="{00000000-0005-0000-0000-00005F1F0000}"/>
    <cellStyle name="Porcentual 2 10 27 2" xfId="6091" xr:uid="{00000000-0005-0000-0000-0000601F0000}"/>
    <cellStyle name="Porcentual 2 10 28" xfId="2431" xr:uid="{00000000-0005-0000-0000-0000611F0000}"/>
    <cellStyle name="Porcentual 2 10 28 2" xfId="6092" xr:uid="{00000000-0005-0000-0000-0000621F0000}"/>
    <cellStyle name="Porcentual 2 10 29" xfId="6093" xr:uid="{00000000-0005-0000-0000-0000631F0000}"/>
    <cellStyle name="Porcentual 2 10 3" xfId="2432" xr:uid="{00000000-0005-0000-0000-0000641F0000}"/>
    <cellStyle name="Porcentual 2 10 3 2" xfId="6094" xr:uid="{00000000-0005-0000-0000-0000651F0000}"/>
    <cellStyle name="Porcentual 2 10 4" xfId="2433" xr:uid="{00000000-0005-0000-0000-0000661F0000}"/>
    <cellStyle name="Porcentual 2 10 4 2" xfId="6095" xr:uid="{00000000-0005-0000-0000-0000671F0000}"/>
    <cellStyle name="Porcentual 2 10 5" xfId="2434" xr:uid="{00000000-0005-0000-0000-0000681F0000}"/>
    <cellStyle name="Porcentual 2 10 5 2" xfId="6096" xr:uid="{00000000-0005-0000-0000-0000691F0000}"/>
    <cellStyle name="Porcentual 2 10 6" xfId="2435" xr:uid="{00000000-0005-0000-0000-00006A1F0000}"/>
    <cellStyle name="Porcentual 2 10 6 2" xfId="6097" xr:uid="{00000000-0005-0000-0000-00006B1F0000}"/>
    <cellStyle name="Porcentual 2 10 7" xfId="2436" xr:uid="{00000000-0005-0000-0000-00006C1F0000}"/>
    <cellStyle name="Porcentual 2 10 7 2" xfId="6098" xr:uid="{00000000-0005-0000-0000-00006D1F0000}"/>
    <cellStyle name="Porcentual 2 10 8" xfId="2437" xr:uid="{00000000-0005-0000-0000-00006E1F0000}"/>
    <cellStyle name="Porcentual 2 10 8 2" xfId="6099" xr:uid="{00000000-0005-0000-0000-00006F1F0000}"/>
    <cellStyle name="Porcentual 2 10 9" xfId="2438" xr:uid="{00000000-0005-0000-0000-0000701F0000}"/>
    <cellStyle name="Porcentual 2 10 9 2" xfId="6100" xr:uid="{00000000-0005-0000-0000-0000711F0000}"/>
    <cellStyle name="Porcentual 2 100" xfId="2439" xr:uid="{00000000-0005-0000-0000-0000721F0000}"/>
    <cellStyle name="Porcentual 2 100 2" xfId="8746" xr:uid="{00000000-0005-0000-0000-0000731F0000}"/>
    <cellStyle name="Porcentual 2 101" xfId="2440" xr:uid="{00000000-0005-0000-0000-0000741F0000}"/>
    <cellStyle name="Porcentual 2 101 2" xfId="8747" xr:uid="{00000000-0005-0000-0000-0000751F0000}"/>
    <cellStyle name="Porcentual 2 102" xfId="2441" xr:uid="{00000000-0005-0000-0000-0000761F0000}"/>
    <cellStyle name="Porcentual 2 102 2" xfId="8748" xr:uid="{00000000-0005-0000-0000-0000771F0000}"/>
    <cellStyle name="Porcentual 2 103" xfId="2442" xr:uid="{00000000-0005-0000-0000-0000781F0000}"/>
    <cellStyle name="Porcentual 2 103 2" xfId="8749" xr:uid="{00000000-0005-0000-0000-0000791F0000}"/>
    <cellStyle name="Porcentual 2 104" xfId="2443" xr:uid="{00000000-0005-0000-0000-00007A1F0000}"/>
    <cellStyle name="Porcentual 2 104 2" xfId="8750" xr:uid="{00000000-0005-0000-0000-00007B1F0000}"/>
    <cellStyle name="Porcentual 2 105" xfId="2444" xr:uid="{00000000-0005-0000-0000-00007C1F0000}"/>
    <cellStyle name="Porcentual 2 105 2" xfId="8751" xr:uid="{00000000-0005-0000-0000-00007D1F0000}"/>
    <cellStyle name="Porcentual 2 106" xfId="2445" xr:uid="{00000000-0005-0000-0000-00007E1F0000}"/>
    <cellStyle name="Porcentual 2 106 2" xfId="8752" xr:uid="{00000000-0005-0000-0000-00007F1F0000}"/>
    <cellStyle name="Porcentual 2 107" xfId="2446" xr:uid="{00000000-0005-0000-0000-0000801F0000}"/>
    <cellStyle name="Porcentual 2 107 2" xfId="8753" xr:uid="{00000000-0005-0000-0000-0000811F0000}"/>
    <cellStyle name="Porcentual 2 108" xfId="2447" xr:uid="{00000000-0005-0000-0000-0000821F0000}"/>
    <cellStyle name="Porcentual 2 108 2" xfId="8754" xr:uid="{00000000-0005-0000-0000-0000831F0000}"/>
    <cellStyle name="Porcentual 2 109" xfId="2448" xr:uid="{00000000-0005-0000-0000-0000841F0000}"/>
    <cellStyle name="Porcentual 2 109 2" xfId="8755" xr:uid="{00000000-0005-0000-0000-0000851F0000}"/>
    <cellStyle name="Porcentual 2 11" xfId="2449" xr:uid="{00000000-0005-0000-0000-0000861F0000}"/>
    <cellStyle name="Porcentual 2 11 10" xfId="2450" xr:uid="{00000000-0005-0000-0000-0000871F0000}"/>
    <cellStyle name="Porcentual 2 11 10 2" xfId="6101" xr:uid="{00000000-0005-0000-0000-0000881F0000}"/>
    <cellStyle name="Porcentual 2 11 11" xfId="2451" xr:uid="{00000000-0005-0000-0000-0000891F0000}"/>
    <cellStyle name="Porcentual 2 11 11 2" xfId="6102" xr:uid="{00000000-0005-0000-0000-00008A1F0000}"/>
    <cellStyle name="Porcentual 2 11 12" xfId="2452" xr:uid="{00000000-0005-0000-0000-00008B1F0000}"/>
    <cellStyle name="Porcentual 2 11 12 2" xfId="6103" xr:uid="{00000000-0005-0000-0000-00008C1F0000}"/>
    <cellStyle name="Porcentual 2 11 13" xfId="2453" xr:uid="{00000000-0005-0000-0000-00008D1F0000}"/>
    <cellStyle name="Porcentual 2 11 13 2" xfId="6104" xr:uid="{00000000-0005-0000-0000-00008E1F0000}"/>
    <cellStyle name="Porcentual 2 11 14" xfId="2454" xr:uid="{00000000-0005-0000-0000-00008F1F0000}"/>
    <cellStyle name="Porcentual 2 11 14 2" xfId="6105" xr:uid="{00000000-0005-0000-0000-0000901F0000}"/>
    <cellStyle name="Porcentual 2 11 15" xfId="2455" xr:uid="{00000000-0005-0000-0000-0000911F0000}"/>
    <cellStyle name="Porcentual 2 11 15 2" xfId="6106" xr:uid="{00000000-0005-0000-0000-0000921F0000}"/>
    <cellStyle name="Porcentual 2 11 16" xfId="2456" xr:uid="{00000000-0005-0000-0000-0000931F0000}"/>
    <cellStyle name="Porcentual 2 11 16 2" xfId="6107" xr:uid="{00000000-0005-0000-0000-0000941F0000}"/>
    <cellStyle name="Porcentual 2 11 17" xfId="2457" xr:uid="{00000000-0005-0000-0000-0000951F0000}"/>
    <cellStyle name="Porcentual 2 11 17 2" xfId="6108" xr:uid="{00000000-0005-0000-0000-0000961F0000}"/>
    <cellStyle name="Porcentual 2 11 18" xfId="2458" xr:uid="{00000000-0005-0000-0000-0000971F0000}"/>
    <cellStyle name="Porcentual 2 11 18 2" xfId="6109" xr:uid="{00000000-0005-0000-0000-0000981F0000}"/>
    <cellStyle name="Porcentual 2 11 19" xfId="2459" xr:uid="{00000000-0005-0000-0000-0000991F0000}"/>
    <cellStyle name="Porcentual 2 11 19 2" xfId="6110" xr:uid="{00000000-0005-0000-0000-00009A1F0000}"/>
    <cellStyle name="Porcentual 2 11 2" xfId="2460" xr:uid="{00000000-0005-0000-0000-00009B1F0000}"/>
    <cellStyle name="Porcentual 2 11 2 2" xfId="6111" xr:uid="{00000000-0005-0000-0000-00009C1F0000}"/>
    <cellStyle name="Porcentual 2 11 20" xfId="2461" xr:uid="{00000000-0005-0000-0000-00009D1F0000}"/>
    <cellStyle name="Porcentual 2 11 20 2" xfId="6112" xr:uid="{00000000-0005-0000-0000-00009E1F0000}"/>
    <cellStyle name="Porcentual 2 11 21" xfId="2462" xr:uid="{00000000-0005-0000-0000-00009F1F0000}"/>
    <cellStyle name="Porcentual 2 11 21 2" xfId="6113" xr:uid="{00000000-0005-0000-0000-0000A01F0000}"/>
    <cellStyle name="Porcentual 2 11 22" xfId="2463" xr:uid="{00000000-0005-0000-0000-0000A11F0000}"/>
    <cellStyle name="Porcentual 2 11 22 2" xfId="6114" xr:uid="{00000000-0005-0000-0000-0000A21F0000}"/>
    <cellStyle name="Porcentual 2 11 23" xfId="2464" xr:uid="{00000000-0005-0000-0000-0000A31F0000}"/>
    <cellStyle name="Porcentual 2 11 23 2" xfId="6115" xr:uid="{00000000-0005-0000-0000-0000A41F0000}"/>
    <cellStyle name="Porcentual 2 11 24" xfId="2465" xr:uid="{00000000-0005-0000-0000-0000A51F0000}"/>
    <cellStyle name="Porcentual 2 11 24 2" xfId="6116" xr:uid="{00000000-0005-0000-0000-0000A61F0000}"/>
    <cellStyle name="Porcentual 2 11 25" xfId="2466" xr:uid="{00000000-0005-0000-0000-0000A71F0000}"/>
    <cellStyle name="Porcentual 2 11 25 2" xfId="6117" xr:uid="{00000000-0005-0000-0000-0000A81F0000}"/>
    <cellStyle name="Porcentual 2 11 26" xfId="2467" xr:uid="{00000000-0005-0000-0000-0000A91F0000}"/>
    <cellStyle name="Porcentual 2 11 26 2" xfId="6118" xr:uid="{00000000-0005-0000-0000-0000AA1F0000}"/>
    <cellStyle name="Porcentual 2 11 27" xfId="2468" xr:uid="{00000000-0005-0000-0000-0000AB1F0000}"/>
    <cellStyle name="Porcentual 2 11 27 2" xfId="6119" xr:uid="{00000000-0005-0000-0000-0000AC1F0000}"/>
    <cellStyle name="Porcentual 2 11 28" xfId="2469" xr:uid="{00000000-0005-0000-0000-0000AD1F0000}"/>
    <cellStyle name="Porcentual 2 11 28 2" xfId="6120" xr:uid="{00000000-0005-0000-0000-0000AE1F0000}"/>
    <cellStyle name="Porcentual 2 11 29" xfId="6121" xr:uid="{00000000-0005-0000-0000-0000AF1F0000}"/>
    <cellStyle name="Porcentual 2 11 3" xfId="2470" xr:uid="{00000000-0005-0000-0000-0000B01F0000}"/>
    <cellStyle name="Porcentual 2 11 3 2" xfId="6122" xr:uid="{00000000-0005-0000-0000-0000B11F0000}"/>
    <cellStyle name="Porcentual 2 11 4" xfId="2471" xr:uid="{00000000-0005-0000-0000-0000B21F0000}"/>
    <cellStyle name="Porcentual 2 11 4 2" xfId="6123" xr:uid="{00000000-0005-0000-0000-0000B31F0000}"/>
    <cellStyle name="Porcentual 2 11 5" xfId="2472" xr:uid="{00000000-0005-0000-0000-0000B41F0000}"/>
    <cellStyle name="Porcentual 2 11 5 2" xfId="6124" xr:uid="{00000000-0005-0000-0000-0000B51F0000}"/>
    <cellStyle name="Porcentual 2 11 6" xfId="2473" xr:uid="{00000000-0005-0000-0000-0000B61F0000}"/>
    <cellStyle name="Porcentual 2 11 6 2" xfId="6125" xr:uid="{00000000-0005-0000-0000-0000B71F0000}"/>
    <cellStyle name="Porcentual 2 11 7" xfId="2474" xr:uid="{00000000-0005-0000-0000-0000B81F0000}"/>
    <cellStyle name="Porcentual 2 11 7 2" xfId="6126" xr:uid="{00000000-0005-0000-0000-0000B91F0000}"/>
    <cellStyle name="Porcentual 2 11 8" xfId="2475" xr:uid="{00000000-0005-0000-0000-0000BA1F0000}"/>
    <cellStyle name="Porcentual 2 11 8 2" xfId="6127" xr:uid="{00000000-0005-0000-0000-0000BB1F0000}"/>
    <cellStyle name="Porcentual 2 11 9" xfId="2476" xr:uid="{00000000-0005-0000-0000-0000BC1F0000}"/>
    <cellStyle name="Porcentual 2 11 9 2" xfId="6128" xr:uid="{00000000-0005-0000-0000-0000BD1F0000}"/>
    <cellStyle name="Porcentual 2 110" xfId="4062" xr:uid="{00000000-0005-0000-0000-0000BE1F0000}"/>
    <cellStyle name="Porcentual 2 110 2" xfId="9564" xr:uid="{00000000-0005-0000-0000-0000BF1F0000}"/>
    <cellStyle name="Porcentual 2 110 2 2" xfId="10267" xr:uid="{00000000-0005-0000-0000-0000C01F0000}"/>
    <cellStyle name="Porcentual 2 110 2 2 2" xfId="12002" xr:uid="{00000000-0005-0000-0000-0000C11F0000}"/>
    <cellStyle name="Porcentual 2 110 2 3" xfId="11355" xr:uid="{00000000-0005-0000-0000-0000C21F0000}"/>
    <cellStyle name="Porcentual 2 110 3" xfId="9970" xr:uid="{00000000-0005-0000-0000-0000C31F0000}"/>
    <cellStyle name="Porcentual 2 110 3 2" xfId="11706" xr:uid="{00000000-0005-0000-0000-0000C41F0000}"/>
    <cellStyle name="Porcentual 2 110 4" xfId="10928" xr:uid="{00000000-0005-0000-0000-0000C51F0000}"/>
    <cellStyle name="Porcentual 2 111" xfId="4181" xr:uid="{00000000-0005-0000-0000-0000C61F0000}"/>
    <cellStyle name="Porcentual 2 111 2" xfId="9617" xr:uid="{00000000-0005-0000-0000-0000C71F0000}"/>
    <cellStyle name="Porcentual 2 111 2 2" xfId="10318" xr:uid="{00000000-0005-0000-0000-0000C81F0000}"/>
    <cellStyle name="Porcentual 2 111 2 2 2" xfId="12053" xr:uid="{00000000-0005-0000-0000-0000C91F0000}"/>
    <cellStyle name="Porcentual 2 111 2 3" xfId="11406" xr:uid="{00000000-0005-0000-0000-0000CA1F0000}"/>
    <cellStyle name="Porcentual 2 111 3" xfId="10021" xr:uid="{00000000-0005-0000-0000-0000CB1F0000}"/>
    <cellStyle name="Porcentual 2 111 3 2" xfId="11757" xr:uid="{00000000-0005-0000-0000-0000CC1F0000}"/>
    <cellStyle name="Porcentual 2 111 4" xfId="10993" xr:uid="{00000000-0005-0000-0000-0000CD1F0000}"/>
    <cellStyle name="Porcentual 2 112" xfId="4289" xr:uid="{00000000-0005-0000-0000-0000CE1F0000}"/>
    <cellStyle name="Porcentual 2 112 2" xfId="9721" xr:uid="{00000000-0005-0000-0000-0000CF1F0000}"/>
    <cellStyle name="Porcentual 2 112 2 2" xfId="10421" xr:uid="{00000000-0005-0000-0000-0000D01F0000}"/>
    <cellStyle name="Porcentual 2 112 2 2 2" xfId="12156" xr:uid="{00000000-0005-0000-0000-0000D11F0000}"/>
    <cellStyle name="Porcentual 2 112 2 3" xfId="11509" xr:uid="{00000000-0005-0000-0000-0000D21F0000}"/>
    <cellStyle name="Porcentual 2 112 3" xfId="10124" xr:uid="{00000000-0005-0000-0000-0000D31F0000}"/>
    <cellStyle name="Porcentual 2 112 3 2" xfId="11860" xr:uid="{00000000-0005-0000-0000-0000D41F0000}"/>
    <cellStyle name="Porcentual 2 112 4" xfId="11098" xr:uid="{00000000-0005-0000-0000-0000D51F0000}"/>
    <cellStyle name="Porcentual 2 113" xfId="4299" xr:uid="{00000000-0005-0000-0000-0000D61F0000}"/>
    <cellStyle name="Porcentual 2 113 2" xfId="9725" xr:uid="{00000000-0005-0000-0000-0000D71F0000}"/>
    <cellStyle name="Porcentual 2 113 2 2" xfId="10425" xr:uid="{00000000-0005-0000-0000-0000D81F0000}"/>
    <cellStyle name="Porcentual 2 113 2 2 2" xfId="12160" xr:uid="{00000000-0005-0000-0000-0000D91F0000}"/>
    <cellStyle name="Porcentual 2 113 2 3" xfId="11513" xr:uid="{00000000-0005-0000-0000-0000DA1F0000}"/>
    <cellStyle name="Porcentual 2 113 3" xfId="10128" xr:uid="{00000000-0005-0000-0000-0000DB1F0000}"/>
    <cellStyle name="Porcentual 2 113 3 2" xfId="11864" xr:uid="{00000000-0005-0000-0000-0000DC1F0000}"/>
    <cellStyle name="Porcentual 2 113 4" xfId="11108" xr:uid="{00000000-0005-0000-0000-0000DD1F0000}"/>
    <cellStyle name="Porcentual 2 114" xfId="4305" xr:uid="{00000000-0005-0000-0000-0000DE1F0000}"/>
    <cellStyle name="Porcentual 2 114 2" xfId="9731" xr:uid="{00000000-0005-0000-0000-0000DF1F0000}"/>
    <cellStyle name="Porcentual 2 114 2 2" xfId="10431" xr:uid="{00000000-0005-0000-0000-0000E01F0000}"/>
    <cellStyle name="Porcentual 2 114 2 2 2" xfId="12166" xr:uid="{00000000-0005-0000-0000-0000E11F0000}"/>
    <cellStyle name="Porcentual 2 114 2 3" xfId="11519" xr:uid="{00000000-0005-0000-0000-0000E21F0000}"/>
    <cellStyle name="Porcentual 2 114 3" xfId="10134" xr:uid="{00000000-0005-0000-0000-0000E31F0000}"/>
    <cellStyle name="Porcentual 2 114 3 2" xfId="11870" xr:uid="{00000000-0005-0000-0000-0000E41F0000}"/>
    <cellStyle name="Porcentual 2 114 4" xfId="11114" xr:uid="{00000000-0005-0000-0000-0000E51F0000}"/>
    <cellStyle name="Porcentual 2 115" xfId="4364" xr:uid="{00000000-0005-0000-0000-0000E61F0000}"/>
    <cellStyle name="Porcentual 2 115 2" xfId="9772" xr:uid="{00000000-0005-0000-0000-0000E71F0000}"/>
    <cellStyle name="Porcentual 2 115 2 2" xfId="10470" xr:uid="{00000000-0005-0000-0000-0000E81F0000}"/>
    <cellStyle name="Porcentual 2 115 2 2 2" xfId="12205" xr:uid="{00000000-0005-0000-0000-0000E91F0000}"/>
    <cellStyle name="Porcentual 2 115 2 3" xfId="11558" xr:uid="{00000000-0005-0000-0000-0000EA1F0000}"/>
    <cellStyle name="Porcentual 2 115 3" xfId="10175" xr:uid="{00000000-0005-0000-0000-0000EB1F0000}"/>
    <cellStyle name="Porcentual 2 115 3 2" xfId="11911" xr:uid="{00000000-0005-0000-0000-0000EC1F0000}"/>
    <cellStyle name="Porcentual 2 115 4" xfId="11168" xr:uid="{00000000-0005-0000-0000-0000ED1F0000}"/>
    <cellStyle name="Porcentual 2 12" xfId="2477" xr:uid="{00000000-0005-0000-0000-0000EE1F0000}"/>
    <cellStyle name="Porcentual 2 12 10" xfId="2478" xr:uid="{00000000-0005-0000-0000-0000EF1F0000}"/>
    <cellStyle name="Porcentual 2 12 10 2" xfId="6129" xr:uid="{00000000-0005-0000-0000-0000F01F0000}"/>
    <cellStyle name="Porcentual 2 12 11" xfId="2479" xr:uid="{00000000-0005-0000-0000-0000F11F0000}"/>
    <cellStyle name="Porcentual 2 12 11 2" xfId="6130" xr:uid="{00000000-0005-0000-0000-0000F21F0000}"/>
    <cellStyle name="Porcentual 2 12 12" xfId="2480" xr:uid="{00000000-0005-0000-0000-0000F31F0000}"/>
    <cellStyle name="Porcentual 2 12 12 2" xfId="6131" xr:uid="{00000000-0005-0000-0000-0000F41F0000}"/>
    <cellStyle name="Porcentual 2 12 13" xfId="2481" xr:uid="{00000000-0005-0000-0000-0000F51F0000}"/>
    <cellStyle name="Porcentual 2 12 13 2" xfId="6132" xr:uid="{00000000-0005-0000-0000-0000F61F0000}"/>
    <cellStyle name="Porcentual 2 12 14" xfId="2482" xr:uid="{00000000-0005-0000-0000-0000F71F0000}"/>
    <cellStyle name="Porcentual 2 12 14 2" xfId="6133" xr:uid="{00000000-0005-0000-0000-0000F81F0000}"/>
    <cellStyle name="Porcentual 2 12 15" xfId="2483" xr:uid="{00000000-0005-0000-0000-0000F91F0000}"/>
    <cellStyle name="Porcentual 2 12 15 2" xfId="6134" xr:uid="{00000000-0005-0000-0000-0000FA1F0000}"/>
    <cellStyle name="Porcentual 2 12 16" xfId="2484" xr:uid="{00000000-0005-0000-0000-0000FB1F0000}"/>
    <cellStyle name="Porcentual 2 12 16 2" xfId="6135" xr:uid="{00000000-0005-0000-0000-0000FC1F0000}"/>
    <cellStyle name="Porcentual 2 12 17" xfId="2485" xr:uid="{00000000-0005-0000-0000-0000FD1F0000}"/>
    <cellStyle name="Porcentual 2 12 17 2" xfId="6136" xr:uid="{00000000-0005-0000-0000-0000FE1F0000}"/>
    <cellStyle name="Porcentual 2 12 18" xfId="2486" xr:uid="{00000000-0005-0000-0000-0000FF1F0000}"/>
    <cellStyle name="Porcentual 2 12 18 2" xfId="6137" xr:uid="{00000000-0005-0000-0000-000000200000}"/>
    <cellStyle name="Porcentual 2 12 19" xfId="2487" xr:uid="{00000000-0005-0000-0000-000001200000}"/>
    <cellStyle name="Porcentual 2 12 19 2" xfId="6138" xr:uid="{00000000-0005-0000-0000-000002200000}"/>
    <cellStyle name="Porcentual 2 12 2" xfId="2488" xr:uid="{00000000-0005-0000-0000-000003200000}"/>
    <cellStyle name="Porcentual 2 12 2 2" xfId="6139" xr:uid="{00000000-0005-0000-0000-000004200000}"/>
    <cellStyle name="Porcentual 2 12 20" xfId="2489" xr:uid="{00000000-0005-0000-0000-000005200000}"/>
    <cellStyle name="Porcentual 2 12 20 2" xfId="6140" xr:uid="{00000000-0005-0000-0000-000006200000}"/>
    <cellStyle name="Porcentual 2 12 21" xfId="2490" xr:uid="{00000000-0005-0000-0000-000007200000}"/>
    <cellStyle name="Porcentual 2 12 21 2" xfId="6141" xr:uid="{00000000-0005-0000-0000-000008200000}"/>
    <cellStyle name="Porcentual 2 12 22" xfId="2491" xr:uid="{00000000-0005-0000-0000-000009200000}"/>
    <cellStyle name="Porcentual 2 12 22 2" xfId="6142" xr:uid="{00000000-0005-0000-0000-00000A200000}"/>
    <cellStyle name="Porcentual 2 12 23" xfId="2492" xr:uid="{00000000-0005-0000-0000-00000B200000}"/>
    <cellStyle name="Porcentual 2 12 23 2" xfId="6143" xr:uid="{00000000-0005-0000-0000-00000C200000}"/>
    <cellStyle name="Porcentual 2 12 24" xfId="2493" xr:uid="{00000000-0005-0000-0000-00000D200000}"/>
    <cellStyle name="Porcentual 2 12 24 2" xfId="6144" xr:uid="{00000000-0005-0000-0000-00000E200000}"/>
    <cellStyle name="Porcentual 2 12 25" xfId="2494" xr:uid="{00000000-0005-0000-0000-00000F200000}"/>
    <cellStyle name="Porcentual 2 12 25 2" xfId="6145" xr:uid="{00000000-0005-0000-0000-000010200000}"/>
    <cellStyle name="Porcentual 2 12 26" xfId="2495" xr:uid="{00000000-0005-0000-0000-000011200000}"/>
    <cellStyle name="Porcentual 2 12 26 2" xfId="6146" xr:uid="{00000000-0005-0000-0000-000012200000}"/>
    <cellStyle name="Porcentual 2 12 27" xfId="2496" xr:uid="{00000000-0005-0000-0000-000013200000}"/>
    <cellStyle name="Porcentual 2 12 27 2" xfId="6147" xr:uid="{00000000-0005-0000-0000-000014200000}"/>
    <cellStyle name="Porcentual 2 12 28" xfId="2497" xr:uid="{00000000-0005-0000-0000-000015200000}"/>
    <cellStyle name="Porcentual 2 12 28 2" xfId="6148" xr:uid="{00000000-0005-0000-0000-000016200000}"/>
    <cellStyle name="Porcentual 2 12 29" xfId="6149" xr:uid="{00000000-0005-0000-0000-000017200000}"/>
    <cellStyle name="Porcentual 2 12 3" xfId="2498" xr:uid="{00000000-0005-0000-0000-000018200000}"/>
    <cellStyle name="Porcentual 2 12 3 2" xfId="6150" xr:uid="{00000000-0005-0000-0000-000019200000}"/>
    <cellStyle name="Porcentual 2 12 4" xfId="2499" xr:uid="{00000000-0005-0000-0000-00001A200000}"/>
    <cellStyle name="Porcentual 2 12 4 2" xfId="6151" xr:uid="{00000000-0005-0000-0000-00001B200000}"/>
    <cellStyle name="Porcentual 2 12 5" xfId="2500" xr:uid="{00000000-0005-0000-0000-00001C200000}"/>
    <cellStyle name="Porcentual 2 12 5 2" xfId="6152" xr:uid="{00000000-0005-0000-0000-00001D200000}"/>
    <cellStyle name="Porcentual 2 12 6" xfId="2501" xr:uid="{00000000-0005-0000-0000-00001E200000}"/>
    <cellStyle name="Porcentual 2 12 6 2" xfId="6153" xr:uid="{00000000-0005-0000-0000-00001F200000}"/>
    <cellStyle name="Porcentual 2 12 7" xfId="2502" xr:uid="{00000000-0005-0000-0000-000020200000}"/>
    <cellStyle name="Porcentual 2 12 7 2" xfId="6154" xr:uid="{00000000-0005-0000-0000-000021200000}"/>
    <cellStyle name="Porcentual 2 12 8" xfId="2503" xr:uid="{00000000-0005-0000-0000-000022200000}"/>
    <cellStyle name="Porcentual 2 12 8 2" xfId="6155" xr:uid="{00000000-0005-0000-0000-000023200000}"/>
    <cellStyle name="Porcentual 2 12 9" xfId="2504" xr:uid="{00000000-0005-0000-0000-000024200000}"/>
    <cellStyle name="Porcentual 2 12 9 2" xfId="6156" xr:uid="{00000000-0005-0000-0000-000025200000}"/>
    <cellStyle name="Porcentual 2 13" xfId="2505" xr:uid="{00000000-0005-0000-0000-000026200000}"/>
    <cellStyle name="Porcentual 2 13 10" xfId="2506" xr:uid="{00000000-0005-0000-0000-000027200000}"/>
    <cellStyle name="Porcentual 2 13 10 2" xfId="6157" xr:uid="{00000000-0005-0000-0000-000028200000}"/>
    <cellStyle name="Porcentual 2 13 11" xfId="2507" xr:uid="{00000000-0005-0000-0000-000029200000}"/>
    <cellStyle name="Porcentual 2 13 11 2" xfId="6158" xr:uid="{00000000-0005-0000-0000-00002A200000}"/>
    <cellStyle name="Porcentual 2 13 12" xfId="2508" xr:uid="{00000000-0005-0000-0000-00002B200000}"/>
    <cellStyle name="Porcentual 2 13 12 2" xfId="6159" xr:uid="{00000000-0005-0000-0000-00002C200000}"/>
    <cellStyle name="Porcentual 2 13 13" xfId="2509" xr:uid="{00000000-0005-0000-0000-00002D200000}"/>
    <cellStyle name="Porcentual 2 13 13 2" xfId="6160" xr:uid="{00000000-0005-0000-0000-00002E200000}"/>
    <cellStyle name="Porcentual 2 13 14" xfId="2510" xr:uid="{00000000-0005-0000-0000-00002F200000}"/>
    <cellStyle name="Porcentual 2 13 14 2" xfId="6161" xr:uid="{00000000-0005-0000-0000-000030200000}"/>
    <cellStyle name="Porcentual 2 13 15" xfId="2511" xr:uid="{00000000-0005-0000-0000-000031200000}"/>
    <cellStyle name="Porcentual 2 13 15 2" xfId="6162" xr:uid="{00000000-0005-0000-0000-000032200000}"/>
    <cellStyle name="Porcentual 2 13 16" xfId="2512" xr:uid="{00000000-0005-0000-0000-000033200000}"/>
    <cellStyle name="Porcentual 2 13 16 2" xfId="6163" xr:uid="{00000000-0005-0000-0000-000034200000}"/>
    <cellStyle name="Porcentual 2 13 17" xfId="2513" xr:uid="{00000000-0005-0000-0000-000035200000}"/>
    <cellStyle name="Porcentual 2 13 17 2" xfId="6164" xr:uid="{00000000-0005-0000-0000-000036200000}"/>
    <cellStyle name="Porcentual 2 13 18" xfId="2514" xr:uid="{00000000-0005-0000-0000-000037200000}"/>
    <cellStyle name="Porcentual 2 13 18 2" xfId="6165" xr:uid="{00000000-0005-0000-0000-000038200000}"/>
    <cellStyle name="Porcentual 2 13 19" xfId="2515" xr:uid="{00000000-0005-0000-0000-000039200000}"/>
    <cellStyle name="Porcentual 2 13 19 2" xfId="6166" xr:uid="{00000000-0005-0000-0000-00003A200000}"/>
    <cellStyle name="Porcentual 2 13 2" xfId="2516" xr:uid="{00000000-0005-0000-0000-00003B200000}"/>
    <cellStyle name="Porcentual 2 13 2 2" xfId="6167" xr:uid="{00000000-0005-0000-0000-00003C200000}"/>
    <cellStyle name="Porcentual 2 13 20" xfId="2517" xr:uid="{00000000-0005-0000-0000-00003D200000}"/>
    <cellStyle name="Porcentual 2 13 20 2" xfId="6168" xr:uid="{00000000-0005-0000-0000-00003E200000}"/>
    <cellStyle name="Porcentual 2 13 21" xfId="2518" xr:uid="{00000000-0005-0000-0000-00003F200000}"/>
    <cellStyle name="Porcentual 2 13 21 2" xfId="6169" xr:uid="{00000000-0005-0000-0000-000040200000}"/>
    <cellStyle name="Porcentual 2 13 22" xfId="2519" xr:uid="{00000000-0005-0000-0000-000041200000}"/>
    <cellStyle name="Porcentual 2 13 22 2" xfId="6170" xr:uid="{00000000-0005-0000-0000-000042200000}"/>
    <cellStyle name="Porcentual 2 13 23" xfId="2520" xr:uid="{00000000-0005-0000-0000-000043200000}"/>
    <cellStyle name="Porcentual 2 13 23 2" xfId="6171" xr:uid="{00000000-0005-0000-0000-000044200000}"/>
    <cellStyle name="Porcentual 2 13 24" xfId="2521" xr:uid="{00000000-0005-0000-0000-000045200000}"/>
    <cellStyle name="Porcentual 2 13 24 2" xfId="6172" xr:uid="{00000000-0005-0000-0000-000046200000}"/>
    <cellStyle name="Porcentual 2 13 25" xfId="2522" xr:uid="{00000000-0005-0000-0000-000047200000}"/>
    <cellStyle name="Porcentual 2 13 25 2" xfId="6173" xr:uid="{00000000-0005-0000-0000-000048200000}"/>
    <cellStyle name="Porcentual 2 13 26" xfId="2523" xr:uid="{00000000-0005-0000-0000-000049200000}"/>
    <cellStyle name="Porcentual 2 13 26 2" xfId="6174" xr:uid="{00000000-0005-0000-0000-00004A200000}"/>
    <cellStyle name="Porcentual 2 13 27" xfId="2524" xr:uid="{00000000-0005-0000-0000-00004B200000}"/>
    <cellStyle name="Porcentual 2 13 27 2" xfId="6175" xr:uid="{00000000-0005-0000-0000-00004C200000}"/>
    <cellStyle name="Porcentual 2 13 28" xfId="2525" xr:uid="{00000000-0005-0000-0000-00004D200000}"/>
    <cellStyle name="Porcentual 2 13 28 2" xfId="6176" xr:uid="{00000000-0005-0000-0000-00004E200000}"/>
    <cellStyle name="Porcentual 2 13 29" xfId="6177" xr:uid="{00000000-0005-0000-0000-00004F200000}"/>
    <cellStyle name="Porcentual 2 13 3" xfId="2526" xr:uid="{00000000-0005-0000-0000-000050200000}"/>
    <cellStyle name="Porcentual 2 13 3 2" xfId="6178" xr:uid="{00000000-0005-0000-0000-000051200000}"/>
    <cellStyle name="Porcentual 2 13 4" xfId="2527" xr:uid="{00000000-0005-0000-0000-000052200000}"/>
    <cellStyle name="Porcentual 2 13 4 2" xfId="6179" xr:uid="{00000000-0005-0000-0000-000053200000}"/>
    <cellStyle name="Porcentual 2 13 5" xfId="2528" xr:uid="{00000000-0005-0000-0000-000054200000}"/>
    <cellStyle name="Porcentual 2 13 5 2" xfId="6180" xr:uid="{00000000-0005-0000-0000-000055200000}"/>
    <cellStyle name="Porcentual 2 13 6" xfId="2529" xr:uid="{00000000-0005-0000-0000-000056200000}"/>
    <cellStyle name="Porcentual 2 13 6 2" xfId="6181" xr:uid="{00000000-0005-0000-0000-000057200000}"/>
    <cellStyle name="Porcentual 2 13 7" xfId="2530" xr:uid="{00000000-0005-0000-0000-000058200000}"/>
    <cellStyle name="Porcentual 2 13 7 2" xfId="6182" xr:uid="{00000000-0005-0000-0000-000059200000}"/>
    <cellStyle name="Porcentual 2 13 8" xfId="2531" xr:uid="{00000000-0005-0000-0000-00005A200000}"/>
    <cellStyle name="Porcentual 2 13 8 2" xfId="6183" xr:uid="{00000000-0005-0000-0000-00005B200000}"/>
    <cellStyle name="Porcentual 2 13 9" xfId="2532" xr:uid="{00000000-0005-0000-0000-00005C200000}"/>
    <cellStyle name="Porcentual 2 13 9 2" xfId="6184" xr:uid="{00000000-0005-0000-0000-00005D200000}"/>
    <cellStyle name="Porcentual 2 14" xfId="2533" xr:uid="{00000000-0005-0000-0000-00005E200000}"/>
    <cellStyle name="Porcentual 2 14 10" xfId="2534" xr:uid="{00000000-0005-0000-0000-00005F200000}"/>
    <cellStyle name="Porcentual 2 14 10 2" xfId="6185" xr:uid="{00000000-0005-0000-0000-000060200000}"/>
    <cellStyle name="Porcentual 2 14 11" xfId="2535" xr:uid="{00000000-0005-0000-0000-000061200000}"/>
    <cellStyle name="Porcentual 2 14 11 2" xfId="6186" xr:uid="{00000000-0005-0000-0000-000062200000}"/>
    <cellStyle name="Porcentual 2 14 12" xfId="2536" xr:uid="{00000000-0005-0000-0000-000063200000}"/>
    <cellStyle name="Porcentual 2 14 12 2" xfId="6187" xr:uid="{00000000-0005-0000-0000-000064200000}"/>
    <cellStyle name="Porcentual 2 14 13" xfId="2537" xr:uid="{00000000-0005-0000-0000-000065200000}"/>
    <cellStyle name="Porcentual 2 14 13 2" xfId="6188" xr:uid="{00000000-0005-0000-0000-000066200000}"/>
    <cellStyle name="Porcentual 2 14 14" xfId="2538" xr:uid="{00000000-0005-0000-0000-000067200000}"/>
    <cellStyle name="Porcentual 2 14 14 2" xfId="6189" xr:uid="{00000000-0005-0000-0000-000068200000}"/>
    <cellStyle name="Porcentual 2 14 15" xfId="2539" xr:uid="{00000000-0005-0000-0000-000069200000}"/>
    <cellStyle name="Porcentual 2 14 15 2" xfId="6190" xr:uid="{00000000-0005-0000-0000-00006A200000}"/>
    <cellStyle name="Porcentual 2 14 16" xfId="2540" xr:uid="{00000000-0005-0000-0000-00006B200000}"/>
    <cellStyle name="Porcentual 2 14 16 2" xfId="6191" xr:uid="{00000000-0005-0000-0000-00006C200000}"/>
    <cellStyle name="Porcentual 2 14 17" xfId="2541" xr:uid="{00000000-0005-0000-0000-00006D200000}"/>
    <cellStyle name="Porcentual 2 14 17 2" xfId="6192" xr:uid="{00000000-0005-0000-0000-00006E200000}"/>
    <cellStyle name="Porcentual 2 14 18" xfId="2542" xr:uid="{00000000-0005-0000-0000-00006F200000}"/>
    <cellStyle name="Porcentual 2 14 18 2" xfId="6193" xr:uid="{00000000-0005-0000-0000-000070200000}"/>
    <cellStyle name="Porcentual 2 14 19" xfId="2543" xr:uid="{00000000-0005-0000-0000-000071200000}"/>
    <cellStyle name="Porcentual 2 14 19 2" xfId="6194" xr:uid="{00000000-0005-0000-0000-000072200000}"/>
    <cellStyle name="Porcentual 2 14 2" xfId="2544" xr:uid="{00000000-0005-0000-0000-000073200000}"/>
    <cellStyle name="Porcentual 2 14 2 2" xfId="6195" xr:uid="{00000000-0005-0000-0000-000074200000}"/>
    <cellStyle name="Porcentual 2 14 20" xfId="2545" xr:uid="{00000000-0005-0000-0000-000075200000}"/>
    <cellStyle name="Porcentual 2 14 20 2" xfId="6196" xr:uid="{00000000-0005-0000-0000-000076200000}"/>
    <cellStyle name="Porcentual 2 14 21" xfId="2546" xr:uid="{00000000-0005-0000-0000-000077200000}"/>
    <cellStyle name="Porcentual 2 14 21 2" xfId="6197" xr:uid="{00000000-0005-0000-0000-000078200000}"/>
    <cellStyle name="Porcentual 2 14 22" xfId="2547" xr:uid="{00000000-0005-0000-0000-000079200000}"/>
    <cellStyle name="Porcentual 2 14 22 2" xfId="6198" xr:uid="{00000000-0005-0000-0000-00007A200000}"/>
    <cellStyle name="Porcentual 2 14 23" xfId="2548" xr:uid="{00000000-0005-0000-0000-00007B200000}"/>
    <cellStyle name="Porcentual 2 14 23 2" xfId="6199" xr:uid="{00000000-0005-0000-0000-00007C200000}"/>
    <cellStyle name="Porcentual 2 14 24" xfId="2549" xr:uid="{00000000-0005-0000-0000-00007D200000}"/>
    <cellStyle name="Porcentual 2 14 24 2" xfId="6200" xr:uid="{00000000-0005-0000-0000-00007E200000}"/>
    <cellStyle name="Porcentual 2 14 25" xfId="2550" xr:uid="{00000000-0005-0000-0000-00007F200000}"/>
    <cellStyle name="Porcentual 2 14 25 2" xfId="6201" xr:uid="{00000000-0005-0000-0000-000080200000}"/>
    <cellStyle name="Porcentual 2 14 26" xfId="2551" xr:uid="{00000000-0005-0000-0000-000081200000}"/>
    <cellStyle name="Porcentual 2 14 26 2" xfId="6202" xr:uid="{00000000-0005-0000-0000-000082200000}"/>
    <cellStyle name="Porcentual 2 14 27" xfId="2552" xr:uid="{00000000-0005-0000-0000-000083200000}"/>
    <cellStyle name="Porcentual 2 14 27 2" xfId="6203" xr:uid="{00000000-0005-0000-0000-000084200000}"/>
    <cellStyle name="Porcentual 2 14 28" xfId="2553" xr:uid="{00000000-0005-0000-0000-000085200000}"/>
    <cellStyle name="Porcentual 2 14 28 2" xfId="6204" xr:uid="{00000000-0005-0000-0000-000086200000}"/>
    <cellStyle name="Porcentual 2 14 29" xfId="6205" xr:uid="{00000000-0005-0000-0000-000087200000}"/>
    <cellStyle name="Porcentual 2 14 3" xfId="2554" xr:uid="{00000000-0005-0000-0000-000088200000}"/>
    <cellStyle name="Porcentual 2 14 3 2" xfId="6206" xr:uid="{00000000-0005-0000-0000-000089200000}"/>
    <cellStyle name="Porcentual 2 14 4" xfId="2555" xr:uid="{00000000-0005-0000-0000-00008A200000}"/>
    <cellStyle name="Porcentual 2 14 4 2" xfId="6207" xr:uid="{00000000-0005-0000-0000-00008B200000}"/>
    <cellStyle name="Porcentual 2 14 5" xfId="2556" xr:uid="{00000000-0005-0000-0000-00008C200000}"/>
    <cellStyle name="Porcentual 2 14 5 2" xfId="6208" xr:uid="{00000000-0005-0000-0000-00008D200000}"/>
    <cellStyle name="Porcentual 2 14 6" xfId="2557" xr:uid="{00000000-0005-0000-0000-00008E200000}"/>
    <cellStyle name="Porcentual 2 14 6 2" xfId="6209" xr:uid="{00000000-0005-0000-0000-00008F200000}"/>
    <cellStyle name="Porcentual 2 14 7" xfId="2558" xr:uid="{00000000-0005-0000-0000-000090200000}"/>
    <cellStyle name="Porcentual 2 14 7 2" xfId="6210" xr:uid="{00000000-0005-0000-0000-000091200000}"/>
    <cellStyle name="Porcentual 2 14 8" xfId="2559" xr:uid="{00000000-0005-0000-0000-000092200000}"/>
    <cellStyle name="Porcentual 2 14 8 2" xfId="6211" xr:uid="{00000000-0005-0000-0000-000093200000}"/>
    <cellStyle name="Porcentual 2 14 9" xfId="2560" xr:uid="{00000000-0005-0000-0000-000094200000}"/>
    <cellStyle name="Porcentual 2 14 9 2" xfId="6212" xr:uid="{00000000-0005-0000-0000-000095200000}"/>
    <cellStyle name="Porcentual 2 15" xfId="2561" xr:uid="{00000000-0005-0000-0000-000096200000}"/>
    <cellStyle name="Porcentual 2 15 10" xfId="2562" xr:uid="{00000000-0005-0000-0000-000097200000}"/>
    <cellStyle name="Porcentual 2 15 10 2" xfId="6213" xr:uid="{00000000-0005-0000-0000-000098200000}"/>
    <cellStyle name="Porcentual 2 15 11" xfId="2563" xr:uid="{00000000-0005-0000-0000-000099200000}"/>
    <cellStyle name="Porcentual 2 15 11 2" xfId="6214" xr:uid="{00000000-0005-0000-0000-00009A200000}"/>
    <cellStyle name="Porcentual 2 15 12" xfId="2564" xr:uid="{00000000-0005-0000-0000-00009B200000}"/>
    <cellStyle name="Porcentual 2 15 12 2" xfId="6215" xr:uid="{00000000-0005-0000-0000-00009C200000}"/>
    <cellStyle name="Porcentual 2 15 13" xfId="2565" xr:uid="{00000000-0005-0000-0000-00009D200000}"/>
    <cellStyle name="Porcentual 2 15 13 2" xfId="6216" xr:uid="{00000000-0005-0000-0000-00009E200000}"/>
    <cellStyle name="Porcentual 2 15 14" xfId="2566" xr:uid="{00000000-0005-0000-0000-00009F200000}"/>
    <cellStyle name="Porcentual 2 15 14 2" xfId="6217" xr:uid="{00000000-0005-0000-0000-0000A0200000}"/>
    <cellStyle name="Porcentual 2 15 15" xfId="2567" xr:uid="{00000000-0005-0000-0000-0000A1200000}"/>
    <cellStyle name="Porcentual 2 15 15 2" xfId="6218" xr:uid="{00000000-0005-0000-0000-0000A2200000}"/>
    <cellStyle name="Porcentual 2 15 16" xfId="2568" xr:uid="{00000000-0005-0000-0000-0000A3200000}"/>
    <cellStyle name="Porcentual 2 15 16 2" xfId="6219" xr:uid="{00000000-0005-0000-0000-0000A4200000}"/>
    <cellStyle name="Porcentual 2 15 17" xfId="2569" xr:uid="{00000000-0005-0000-0000-0000A5200000}"/>
    <cellStyle name="Porcentual 2 15 17 2" xfId="6220" xr:uid="{00000000-0005-0000-0000-0000A6200000}"/>
    <cellStyle name="Porcentual 2 15 18" xfId="2570" xr:uid="{00000000-0005-0000-0000-0000A7200000}"/>
    <cellStyle name="Porcentual 2 15 18 2" xfId="6221" xr:uid="{00000000-0005-0000-0000-0000A8200000}"/>
    <cellStyle name="Porcentual 2 15 19" xfId="2571" xr:uid="{00000000-0005-0000-0000-0000A9200000}"/>
    <cellStyle name="Porcentual 2 15 19 2" xfId="6222" xr:uid="{00000000-0005-0000-0000-0000AA200000}"/>
    <cellStyle name="Porcentual 2 15 2" xfId="2572" xr:uid="{00000000-0005-0000-0000-0000AB200000}"/>
    <cellStyle name="Porcentual 2 15 2 2" xfId="6223" xr:uid="{00000000-0005-0000-0000-0000AC200000}"/>
    <cellStyle name="Porcentual 2 15 20" xfId="2573" xr:uid="{00000000-0005-0000-0000-0000AD200000}"/>
    <cellStyle name="Porcentual 2 15 20 2" xfId="6224" xr:uid="{00000000-0005-0000-0000-0000AE200000}"/>
    <cellStyle name="Porcentual 2 15 21" xfId="2574" xr:uid="{00000000-0005-0000-0000-0000AF200000}"/>
    <cellStyle name="Porcentual 2 15 21 2" xfId="6225" xr:uid="{00000000-0005-0000-0000-0000B0200000}"/>
    <cellStyle name="Porcentual 2 15 22" xfId="2575" xr:uid="{00000000-0005-0000-0000-0000B1200000}"/>
    <cellStyle name="Porcentual 2 15 22 2" xfId="6226" xr:uid="{00000000-0005-0000-0000-0000B2200000}"/>
    <cellStyle name="Porcentual 2 15 23" xfId="2576" xr:uid="{00000000-0005-0000-0000-0000B3200000}"/>
    <cellStyle name="Porcentual 2 15 23 2" xfId="6227" xr:uid="{00000000-0005-0000-0000-0000B4200000}"/>
    <cellStyle name="Porcentual 2 15 24" xfId="2577" xr:uid="{00000000-0005-0000-0000-0000B5200000}"/>
    <cellStyle name="Porcentual 2 15 24 2" xfId="6228" xr:uid="{00000000-0005-0000-0000-0000B6200000}"/>
    <cellStyle name="Porcentual 2 15 25" xfId="2578" xr:uid="{00000000-0005-0000-0000-0000B7200000}"/>
    <cellStyle name="Porcentual 2 15 25 2" xfId="6229" xr:uid="{00000000-0005-0000-0000-0000B8200000}"/>
    <cellStyle name="Porcentual 2 15 26" xfId="2579" xr:uid="{00000000-0005-0000-0000-0000B9200000}"/>
    <cellStyle name="Porcentual 2 15 26 2" xfId="6230" xr:uid="{00000000-0005-0000-0000-0000BA200000}"/>
    <cellStyle name="Porcentual 2 15 27" xfId="2580" xr:uid="{00000000-0005-0000-0000-0000BB200000}"/>
    <cellStyle name="Porcentual 2 15 27 2" xfId="6231" xr:uid="{00000000-0005-0000-0000-0000BC200000}"/>
    <cellStyle name="Porcentual 2 15 28" xfId="2581" xr:uid="{00000000-0005-0000-0000-0000BD200000}"/>
    <cellStyle name="Porcentual 2 15 28 2" xfId="6232" xr:uid="{00000000-0005-0000-0000-0000BE200000}"/>
    <cellStyle name="Porcentual 2 15 29" xfId="6233" xr:uid="{00000000-0005-0000-0000-0000BF200000}"/>
    <cellStyle name="Porcentual 2 15 3" xfId="2582" xr:uid="{00000000-0005-0000-0000-0000C0200000}"/>
    <cellStyle name="Porcentual 2 15 3 2" xfId="6234" xr:uid="{00000000-0005-0000-0000-0000C1200000}"/>
    <cellStyle name="Porcentual 2 15 4" xfId="2583" xr:uid="{00000000-0005-0000-0000-0000C2200000}"/>
    <cellStyle name="Porcentual 2 15 4 2" xfId="6235" xr:uid="{00000000-0005-0000-0000-0000C3200000}"/>
    <cellStyle name="Porcentual 2 15 5" xfId="2584" xr:uid="{00000000-0005-0000-0000-0000C4200000}"/>
    <cellStyle name="Porcentual 2 15 5 2" xfId="6236" xr:uid="{00000000-0005-0000-0000-0000C5200000}"/>
    <cellStyle name="Porcentual 2 15 6" xfId="2585" xr:uid="{00000000-0005-0000-0000-0000C6200000}"/>
    <cellStyle name="Porcentual 2 15 6 2" xfId="6237" xr:uid="{00000000-0005-0000-0000-0000C7200000}"/>
    <cellStyle name="Porcentual 2 15 7" xfId="2586" xr:uid="{00000000-0005-0000-0000-0000C8200000}"/>
    <cellStyle name="Porcentual 2 15 7 2" xfId="6238" xr:uid="{00000000-0005-0000-0000-0000C9200000}"/>
    <cellStyle name="Porcentual 2 15 8" xfId="2587" xr:uid="{00000000-0005-0000-0000-0000CA200000}"/>
    <cellStyle name="Porcentual 2 15 8 2" xfId="6239" xr:uid="{00000000-0005-0000-0000-0000CB200000}"/>
    <cellStyle name="Porcentual 2 15 9" xfId="2588" xr:uid="{00000000-0005-0000-0000-0000CC200000}"/>
    <cellStyle name="Porcentual 2 15 9 2" xfId="6240" xr:uid="{00000000-0005-0000-0000-0000CD200000}"/>
    <cellStyle name="Porcentual 2 16" xfId="2589" xr:uid="{00000000-0005-0000-0000-0000CE200000}"/>
    <cellStyle name="Porcentual 2 16 10" xfId="2590" xr:uid="{00000000-0005-0000-0000-0000CF200000}"/>
    <cellStyle name="Porcentual 2 16 10 2" xfId="6241" xr:uid="{00000000-0005-0000-0000-0000D0200000}"/>
    <cellStyle name="Porcentual 2 16 11" xfId="2591" xr:uid="{00000000-0005-0000-0000-0000D1200000}"/>
    <cellStyle name="Porcentual 2 16 11 2" xfId="6242" xr:uid="{00000000-0005-0000-0000-0000D2200000}"/>
    <cellStyle name="Porcentual 2 16 12" xfId="2592" xr:uid="{00000000-0005-0000-0000-0000D3200000}"/>
    <cellStyle name="Porcentual 2 16 12 2" xfId="6243" xr:uid="{00000000-0005-0000-0000-0000D4200000}"/>
    <cellStyle name="Porcentual 2 16 13" xfId="2593" xr:uid="{00000000-0005-0000-0000-0000D5200000}"/>
    <cellStyle name="Porcentual 2 16 13 2" xfId="6244" xr:uid="{00000000-0005-0000-0000-0000D6200000}"/>
    <cellStyle name="Porcentual 2 16 14" xfId="2594" xr:uid="{00000000-0005-0000-0000-0000D7200000}"/>
    <cellStyle name="Porcentual 2 16 14 2" xfId="6245" xr:uid="{00000000-0005-0000-0000-0000D8200000}"/>
    <cellStyle name="Porcentual 2 16 15" xfId="2595" xr:uid="{00000000-0005-0000-0000-0000D9200000}"/>
    <cellStyle name="Porcentual 2 16 15 2" xfId="6246" xr:uid="{00000000-0005-0000-0000-0000DA200000}"/>
    <cellStyle name="Porcentual 2 16 16" xfId="2596" xr:uid="{00000000-0005-0000-0000-0000DB200000}"/>
    <cellStyle name="Porcentual 2 16 16 2" xfId="6247" xr:uid="{00000000-0005-0000-0000-0000DC200000}"/>
    <cellStyle name="Porcentual 2 16 17" xfId="2597" xr:uid="{00000000-0005-0000-0000-0000DD200000}"/>
    <cellStyle name="Porcentual 2 16 17 2" xfId="6248" xr:uid="{00000000-0005-0000-0000-0000DE200000}"/>
    <cellStyle name="Porcentual 2 16 18" xfId="2598" xr:uid="{00000000-0005-0000-0000-0000DF200000}"/>
    <cellStyle name="Porcentual 2 16 18 2" xfId="6249" xr:uid="{00000000-0005-0000-0000-0000E0200000}"/>
    <cellStyle name="Porcentual 2 16 19" xfId="2599" xr:uid="{00000000-0005-0000-0000-0000E1200000}"/>
    <cellStyle name="Porcentual 2 16 19 2" xfId="6250" xr:uid="{00000000-0005-0000-0000-0000E2200000}"/>
    <cellStyle name="Porcentual 2 16 2" xfId="2600" xr:uid="{00000000-0005-0000-0000-0000E3200000}"/>
    <cellStyle name="Porcentual 2 16 2 2" xfId="6251" xr:uid="{00000000-0005-0000-0000-0000E4200000}"/>
    <cellStyle name="Porcentual 2 16 20" xfId="2601" xr:uid="{00000000-0005-0000-0000-0000E5200000}"/>
    <cellStyle name="Porcentual 2 16 20 2" xfId="6252" xr:uid="{00000000-0005-0000-0000-0000E6200000}"/>
    <cellStyle name="Porcentual 2 16 21" xfId="2602" xr:uid="{00000000-0005-0000-0000-0000E7200000}"/>
    <cellStyle name="Porcentual 2 16 21 2" xfId="6253" xr:uid="{00000000-0005-0000-0000-0000E8200000}"/>
    <cellStyle name="Porcentual 2 16 22" xfId="2603" xr:uid="{00000000-0005-0000-0000-0000E9200000}"/>
    <cellStyle name="Porcentual 2 16 22 2" xfId="6254" xr:uid="{00000000-0005-0000-0000-0000EA200000}"/>
    <cellStyle name="Porcentual 2 16 23" xfId="2604" xr:uid="{00000000-0005-0000-0000-0000EB200000}"/>
    <cellStyle name="Porcentual 2 16 23 2" xfId="6255" xr:uid="{00000000-0005-0000-0000-0000EC200000}"/>
    <cellStyle name="Porcentual 2 16 24" xfId="2605" xr:uid="{00000000-0005-0000-0000-0000ED200000}"/>
    <cellStyle name="Porcentual 2 16 24 2" xfId="6256" xr:uid="{00000000-0005-0000-0000-0000EE200000}"/>
    <cellStyle name="Porcentual 2 16 25" xfId="2606" xr:uid="{00000000-0005-0000-0000-0000EF200000}"/>
    <cellStyle name="Porcentual 2 16 25 2" xfId="6257" xr:uid="{00000000-0005-0000-0000-0000F0200000}"/>
    <cellStyle name="Porcentual 2 16 26" xfId="2607" xr:uid="{00000000-0005-0000-0000-0000F1200000}"/>
    <cellStyle name="Porcentual 2 16 26 2" xfId="6258" xr:uid="{00000000-0005-0000-0000-0000F2200000}"/>
    <cellStyle name="Porcentual 2 16 27" xfId="2608" xr:uid="{00000000-0005-0000-0000-0000F3200000}"/>
    <cellStyle name="Porcentual 2 16 27 2" xfId="6259" xr:uid="{00000000-0005-0000-0000-0000F4200000}"/>
    <cellStyle name="Porcentual 2 16 28" xfId="2609" xr:uid="{00000000-0005-0000-0000-0000F5200000}"/>
    <cellStyle name="Porcentual 2 16 28 2" xfId="6260" xr:uid="{00000000-0005-0000-0000-0000F6200000}"/>
    <cellStyle name="Porcentual 2 16 29" xfId="6261" xr:uid="{00000000-0005-0000-0000-0000F7200000}"/>
    <cellStyle name="Porcentual 2 16 3" xfId="2610" xr:uid="{00000000-0005-0000-0000-0000F8200000}"/>
    <cellStyle name="Porcentual 2 16 3 2" xfId="6262" xr:uid="{00000000-0005-0000-0000-0000F9200000}"/>
    <cellStyle name="Porcentual 2 16 4" xfId="2611" xr:uid="{00000000-0005-0000-0000-0000FA200000}"/>
    <cellStyle name="Porcentual 2 16 4 2" xfId="6263" xr:uid="{00000000-0005-0000-0000-0000FB200000}"/>
    <cellStyle name="Porcentual 2 16 5" xfId="2612" xr:uid="{00000000-0005-0000-0000-0000FC200000}"/>
    <cellStyle name="Porcentual 2 16 5 2" xfId="6264" xr:uid="{00000000-0005-0000-0000-0000FD200000}"/>
    <cellStyle name="Porcentual 2 16 6" xfId="2613" xr:uid="{00000000-0005-0000-0000-0000FE200000}"/>
    <cellStyle name="Porcentual 2 16 6 2" xfId="6265" xr:uid="{00000000-0005-0000-0000-0000FF200000}"/>
    <cellStyle name="Porcentual 2 16 7" xfId="2614" xr:uid="{00000000-0005-0000-0000-000000210000}"/>
    <cellStyle name="Porcentual 2 16 7 2" xfId="6266" xr:uid="{00000000-0005-0000-0000-000001210000}"/>
    <cellStyle name="Porcentual 2 16 8" xfId="2615" xr:uid="{00000000-0005-0000-0000-000002210000}"/>
    <cellStyle name="Porcentual 2 16 8 2" xfId="6267" xr:uid="{00000000-0005-0000-0000-000003210000}"/>
    <cellStyle name="Porcentual 2 16 9" xfId="2616" xr:uid="{00000000-0005-0000-0000-000004210000}"/>
    <cellStyle name="Porcentual 2 16 9 2" xfId="6268" xr:uid="{00000000-0005-0000-0000-000005210000}"/>
    <cellStyle name="Porcentual 2 17" xfId="2617" xr:uid="{00000000-0005-0000-0000-000006210000}"/>
    <cellStyle name="Porcentual 2 17 10" xfId="2618" xr:uid="{00000000-0005-0000-0000-000007210000}"/>
    <cellStyle name="Porcentual 2 17 10 2" xfId="6269" xr:uid="{00000000-0005-0000-0000-000008210000}"/>
    <cellStyle name="Porcentual 2 17 11" xfId="2619" xr:uid="{00000000-0005-0000-0000-000009210000}"/>
    <cellStyle name="Porcentual 2 17 11 2" xfId="6270" xr:uid="{00000000-0005-0000-0000-00000A210000}"/>
    <cellStyle name="Porcentual 2 17 12" xfId="2620" xr:uid="{00000000-0005-0000-0000-00000B210000}"/>
    <cellStyle name="Porcentual 2 17 12 2" xfId="6271" xr:uid="{00000000-0005-0000-0000-00000C210000}"/>
    <cellStyle name="Porcentual 2 17 13" xfId="2621" xr:uid="{00000000-0005-0000-0000-00000D210000}"/>
    <cellStyle name="Porcentual 2 17 13 2" xfId="6272" xr:uid="{00000000-0005-0000-0000-00000E210000}"/>
    <cellStyle name="Porcentual 2 17 14" xfId="2622" xr:uid="{00000000-0005-0000-0000-00000F210000}"/>
    <cellStyle name="Porcentual 2 17 14 2" xfId="6273" xr:uid="{00000000-0005-0000-0000-000010210000}"/>
    <cellStyle name="Porcentual 2 17 15" xfId="2623" xr:uid="{00000000-0005-0000-0000-000011210000}"/>
    <cellStyle name="Porcentual 2 17 15 2" xfId="6274" xr:uid="{00000000-0005-0000-0000-000012210000}"/>
    <cellStyle name="Porcentual 2 17 16" xfId="2624" xr:uid="{00000000-0005-0000-0000-000013210000}"/>
    <cellStyle name="Porcentual 2 17 16 2" xfId="6275" xr:uid="{00000000-0005-0000-0000-000014210000}"/>
    <cellStyle name="Porcentual 2 17 17" xfId="2625" xr:uid="{00000000-0005-0000-0000-000015210000}"/>
    <cellStyle name="Porcentual 2 17 17 2" xfId="6276" xr:uid="{00000000-0005-0000-0000-000016210000}"/>
    <cellStyle name="Porcentual 2 17 18" xfId="2626" xr:uid="{00000000-0005-0000-0000-000017210000}"/>
    <cellStyle name="Porcentual 2 17 18 2" xfId="6277" xr:uid="{00000000-0005-0000-0000-000018210000}"/>
    <cellStyle name="Porcentual 2 17 19" xfId="2627" xr:uid="{00000000-0005-0000-0000-000019210000}"/>
    <cellStyle name="Porcentual 2 17 19 2" xfId="6278" xr:uid="{00000000-0005-0000-0000-00001A210000}"/>
    <cellStyle name="Porcentual 2 17 2" xfId="2628" xr:uid="{00000000-0005-0000-0000-00001B210000}"/>
    <cellStyle name="Porcentual 2 17 2 2" xfId="6279" xr:uid="{00000000-0005-0000-0000-00001C210000}"/>
    <cellStyle name="Porcentual 2 17 20" xfId="2629" xr:uid="{00000000-0005-0000-0000-00001D210000}"/>
    <cellStyle name="Porcentual 2 17 20 2" xfId="6280" xr:uid="{00000000-0005-0000-0000-00001E210000}"/>
    <cellStyle name="Porcentual 2 17 21" xfId="2630" xr:uid="{00000000-0005-0000-0000-00001F210000}"/>
    <cellStyle name="Porcentual 2 17 21 2" xfId="6281" xr:uid="{00000000-0005-0000-0000-000020210000}"/>
    <cellStyle name="Porcentual 2 17 22" xfId="2631" xr:uid="{00000000-0005-0000-0000-000021210000}"/>
    <cellStyle name="Porcentual 2 17 22 2" xfId="6282" xr:uid="{00000000-0005-0000-0000-000022210000}"/>
    <cellStyle name="Porcentual 2 17 23" xfId="2632" xr:uid="{00000000-0005-0000-0000-000023210000}"/>
    <cellStyle name="Porcentual 2 17 23 2" xfId="6283" xr:uid="{00000000-0005-0000-0000-000024210000}"/>
    <cellStyle name="Porcentual 2 17 24" xfId="2633" xr:uid="{00000000-0005-0000-0000-000025210000}"/>
    <cellStyle name="Porcentual 2 17 24 2" xfId="6284" xr:uid="{00000000-0005-0000-0000-000026210000}"/>
    <cellStyle name="Porcentual 2 17 25" xfId="2634" xr:uid="{00000000-0005-0000-0000-000027210000}"/>
    <cellStyle name="Porcentual 2 17 25 2" xfId="6285" xr:uid="{00000000-0005-0000-0000-000028210000}"/>
    <cellStyle name="Porcentual 2 17 26" xfId="2635" xr:uid="{00000000-0005-0000-0000-000029210000}"/>
    <cellStyle name="Porcentual 2 17 26 2" xfId="6286" xr:uid="{00000000-0005-0000-0000-00002A210000}"/>
    <cellStyle name="Porcentual 2 17 27" xfId="2636" xr:uid="{00000000-0005-0000-0000-00002B210000}"/>
    <cellStyle name="Porcentual 2 17 27 2" xfId="6287" xr:uid="{00000000-0005-0000-0000-00002C210000}"/>
    <cellStyle name="Porcentual 2 17 28" xfId="2637" xr:uid="{00000000-0005-0000-0000-00002D210000}"/>
    <cellStyle name="Porcentual 2 17 28 2" xfId="6288" xr:uid="{00000000-0005-0000-0000-00002E210000}"/>
    <cellStyle name="Porcentual 2 17 29" xfId="6289" xr:uid="{00000000-0005-0000-0000-00002F210000}"/>
    <cellStyle name="Porcentual 2 17 3" xfId="2638" xr:uid="{00000000-0005-0000-0000-000030210000}"/>
    <cellStyle name="Porcentual 2 17 3 2" xfId="6290" xr:uid="{00000000-0005-0000-0000-000031210000}"/>
    <cellStyle name="Porcentual 2 17 4" xfId="2639" xr:uid="{00000000-0005-0000-0000-000032210000}"/>
    <cellStyle name="Porcentual 2 17 4 2" xfId="6291" xr:uid="{00000000-0005-0000-0000-000033210000}"/>
    <cellStyle name="Porcentual 2 17 5" xfId="2640" xr:uid="{00000000-0005-0000-0000-000034210000}"/>
    <cellStyle name="Porcentual 2 17 5 2" xfId="6292" xr:uid="{00000000-0005-0000-0000-000035210000}"/>
    <cellStyle name="Porcentual 2 17 6" xfId="2641" xr:uid="{00000000-0005-0000-0000-000036210000}"/>
    <cellStyle name="Porcentual 2 17 6 2" xfId="6293" xr:uid="{00000000-0005-0000-0000-000037210000}"/>
    <cellStyle name="Porcentual 2 17 7" xfId="2642" xr:uid="{00000000-0005-0000-0000-000038210000}"/>
    <cellStyle name="Porcentual 2 17 7 2" xfId="6294" xr:uid="{00000000-0005-0000-0000-000039210000}"/>
    <cellStyle name="Porcentual 2 17 8" xfId="2643" xr:uid="{00000000-0005-0000-0000-00003A210000}"/>
    <cellStyle name="Porcentual 2 17 8 2" xfId="6295" xr:uid="{00000000-0005-0000-0000-00003B210000}"/>
    <cellStyle name="Porcentual 2 17 9" xfId="2644" xr:uid="{00000000-0005-0000-0000-00003C210000}"/>
    <cellStyle name="Porcentual 2 17 9 2" xfId="6296" xr:uid="{00000000-0005-0000-0000-00003D210000}"/>
    <cellStyle name="Porcentual 2 18" xfId="2645" xr:uid="{00000000-0005-0000-0000-00003E210000}"/>
    <cellStyle name="Porcentual 2 18 10" xfId="2646" xr:uid="{00000000-0005-0000-0000-00003F210000}"/>
    <cellStyle name="Porcentual 2 18 10 2" xfId="6297" xr:uid="{00000000-0005-0000-0000-000040210000}"/>
    <cellStyle name="Porcentual 2 18 11" xfId="2647" xr:uid="{00000000-0005-0000-0000-000041210000}"/>
    <cellStyle name="Porcentual 2 18 11 2" xfId="6298" xr:uid="{00000000-0005-0000-0000-000042210000}"/>
    <cellStyle name="Porcentual 2 18 12" xfId="2648" xr:uid="{00000000-0005-0000-0000-000043210000}"/>
    <cellStyle name="Porcentual 2 18 12 2" xfId="6299" xr:uid="{00000000-0005-0000-0000-000044210000}"/>
    <cellStyle name="Porcentual 2 18 13" xfId="2649" xr:uid="{00000000-0005-0000-0000-000045210000}"/>
    <cellStyle name="Porcentual 2 18 13 2" xfId="6300" xr:uid="{00000000-0005-0000-0000-000046210000}"/>
    <cellStyle name="Porcentual 2 18 14" xfId="2650" xr:uid="{00000000-0005-0000-0000-000047210000}"/>
    <cellStyle name="Porcentual 2 18 14 2" xfId="6301" xr:uid="{00000000-0005-0000-0000-000048210000}"/>
    <cellStyle name="Porcentual 2 18 15" xfId="2651" xr:uid="{00000000-0005-0000-0000-000049210000}"/>
    <cellStyle name="Porcentual 2 18 15 2" xfId="6302" xr:uid="{00000000-0005-0000-0000-00004A210000}"/>
    <cellStyle name="Porcentual 2 18 16" xfId="2652" xr:uid="{00000000-0005-0000-0000-00004B210000}"/>
    <cellStyle name="Porcentual 2 18 16 2" xfId="6303" xr:uid="{00000000-0005-0000-0000-00004C210000}"/>
    <cellStyle name="Porcentual 2 18 17" xfId="2653" xr:uid="{00000000-0005-0000-0000-00004D210000}"/>
    <cellStyle name="Porcentual 2 18 17 2" xfId="6304" xr:uid="{00000000-0005-0000-0000-00004E210000}"/>
    <cellStyle name="Porcentual 2 18 18" xfId="2654" xr:uid="{00000000-0005-0000-0000-00004F210000}"/>
    <cellStyle name="Porcentual 2 18 18 2" xfId="6305" xr:uid="{00000000-0005-0000-0000-000050210000}"/>
    <cellStyle name="Porcentual 2 18 19" xfId="2655" xr:uid="{00000000-0005-0000-0000-000051210000}"/>
    <cellStyle name="Porcentual 2 18 19 2" xfId="6306" xr:uid="{00000000-0005-0000-0000-000052210000}"/>
    <cellStyle name="Porcentual 2 18 2" xfId="2656" xr:uid="{00000000-0005-0000-0000-000053210000}"/>
    <cellStyle name="Porcentual 2 18 2 2" xfId="6307" xr:uid="{00000000-0005-0000-0000-000054210000}"/>
    <cellStyle name="Porcentual 2 18 20" xfId="2657" xr:uid="{00000000-0005-0000-0000-000055210000}"/>
    <cellStyle name="Porcentual 2 18 20 2" xfId="6308" xr:uid="{00000000-0005-0000-0000-000056210000}"/>
    <cellStyle name="Porcentual 2 18 21" xfId="2658" xr:uid="{00000000-0005-0000-0000-000057210000}"/>
    <cellStyle name="Porcentual 2 18 21 2" xfId="6309" xr:uid="{00000000-0005-0000-0000-000058210000}"/>
    <cellStyle name="Porcentual 2 18 22" xfId="2659" xr:uid="{00000000-0005-0000-0000-000059210000}"/>
    <cellStyle name="Porcentual 2 18 22 2" xfId="6310" xr:uid="{00000000-0005-0000-0000-00005A210000}"/>
    <cellStyle name="Porcentual 2 18 23" xfId="2660" xr:uid="{00000000-0005-0000-0000-00005B210000}"/>
    <cellStyle name="Porcentual 2 18 23 2" xfId="6311" xr:uid="{00000000-0005-0000-0000-00005C210000}"/>
    <cellStyle name="Porcentual 2 18 24" xfId="2661" xr:uid="{00000000-0005-0000-0000-00005D210000}"/>
    <cellStyle name="Porcentual 2 18 24 2" xfId="6312" xr:uid="{00000000-0005-0000-0000-00005E210000}"/>
    <cellStyle name="Porcentual 2 18 25" xfId="2662" xr:uid="{00000000-0005-0000-0000-00005F210000}"/>
    <cellStyle name="Porcentual 2 18 25 2" xfId="6313" xr:uid="{00000000-0005-0000-0000-000060210000}"/>
    <cellStyle name="Porcentual 2 18 26" xfId="2663" xr:uid="{00000000-0005-0000-0000-000061210000}"/>
    <cellStyle name="Porcentual 2 18 26 2" xfId="6314" xr:uid="{00000000-0005-0000-0000-000062210000}"/>
    <cellStyle name="Porcentual 2 18 27" xfId="2664" xr:uid="{00000000-0005-0000-0000-000063210000}"/>
    <cellStyle name="Porcentual 2 18 27 2" xfId="6315" xr:uid="{00000000-0005-0000-0000-000064210000}"/>
    <cellStyle name="Porcentual 2 18 28" xfId="2665" xr:uid="{00000000-0005-0000-0000-000065210000}"/>
    <cellStyle name="Porcentual 2 18 28 2" xfId="6316" xr:uid="{00000000-0005-0000-0000-000066210000}"/>
    <cellStyle name="Porcentual 2 18 29" xfId="6317" xr:uid="{00000000-0005-0000-0000-000067210000}"/>
    <cellStyle name="Porcentual 2 18 3" xfId="2666" xr:uid="{00000000-0005-0000-0000-000068210000}"/>
    <cellStyle name="Porcentual 2 18 3 2" xfId="6318" xr:uid="{00000000-0005-0000-0000-000069210000}"/>
    <cellStyle name="Porcentual 2 18 4" xfId="2667" xr:uid="{00000000-0005-0000-0000-00006A210000}"/>
    <cellStyle name="Porcentual 2 18 4 2" xfId="6319" xr:uid="{00000000-0005-0000-0000-00006B210000}"/>
    <cellStyle name="Porcentual 2 18 5" xfId="2668" xr:uid="{00000000-0005-0000-0000-00006C210000}"/>
    <cellStyle name="Porcentual 2 18 5 2" xfId="6320" xr:uid="{00000000-0005-0000-0000-00006D210000}"/>
    <cellStyle name="Porcentual 2 18 6" xfId="2669" xr:uid="{00000000-0005-0000-0000-00006E210000}"/>
    <cellStyle name="Porcentual 2 18 6 2" xfId="6321" xr:uid="{00000000-0005-0000-0000-00006F210000}"/>
    <cellStyle name="Porcentual 2 18 7" xfId="2670" xr:uid="{00000000-0005-0000-0000-000070210000}"/>
    <cellStyle name="Porcentual 2 18 7 2" xfId="6322" xr:uid="{00000000-0005-0000-0000-000071210000}"/>
    <cellStyle name="Porcentual 2 18 8" xfId="2671" xr:uid="{00000000-0005-0000-0000-000072210000}"/>
    <cellStyle name="Porcentual 2 18 8 2" xfId="6323" xr:uid="{00000000-0005-0000-0000-000073210000}"/>
    <cellStyle name="Porcentual 2 18 9" xfId="2672" xr:uid="{00000000-0005-0000-0000-000074210000}"/>
    <cellStyle name="Porcentual 2 18 9 2" xfId="6324" xr:uid="{00000000-0005-0000-0000-000075210000}"/>
    <cellStyle name="Porcentual 2 19" xfId="2673" xr:uid="{00000000-0005-0000-0000-000076210000}"/>
    <cellStyle name="Porcentual 2 19 10" xfId="2674" xr:uid="{00000000-0005-0000-0000-000077210000}"/>
    <cellStyle name="Porcentual 2 19 10 2" xfId="6325" xr:uid="{00000000-0005-0000-0000-000078210000}"/>
    <cellStyle name="Porcentual 2 19 11" xfId="2675" xr:uid="{00000000-0005-0000-0000-000079210000}"/>
    <cellStyle name="Porcentual 2 19 11 2" xfId="6326" xr:uid="{00000000-0005-0000-0000-00007A210000}"/>
    <cellStyle name="Porcentual 2 19 12" xfId="2676" xr:uid="{00000000-0005-0000-0000-00007B210000}"/>
    <cellStyle name="Porcentual 2 19 12 2" xfId="6327" xr:uid="{00000000-0005-0000-0000-00007C210000}"/>
    <cellStyle name="Porcentual 2 19 13" xfId="2677" xr:uid="{00000000-0005-0000-0000-00007D210000}"/>
    <cellStyle name="Porcentual 2 19 13 2" xfId="6328" xr:uid="{00000000-0005-0000-0000-00007E210000}"/>
    <cellStyle name="Porcentual 2 19 14" xfId="2678" xr:uid="{00000000-0005-0000-0000-00007F210000}"/>
    <cellStyle name="Porcentual 2 19 14 2" xfId="6329" xr:uid="{00000000-0005-0000-0000-000080210000}"/>
    <cellStyle name="Porcentual 2 19 15" xfId="2679" xr:uid="{00000000-0005-0000-0000-000081210000}"/>
    <cellStyle name="Porcentual 2 19 15 2" xfId="6330" xr:uid="{00000000-0005-0000-0000-000082210000}"/>
    <cellStyle name="Porcentual 2 19 16" xfId="2680" xr:uid="{00000000-0005-0000-0000-000083210000}"/>
    <cellStyle name="Porcentual 2 19 16 2" xfId="6331" xr:uid="{00000000-0005-0000-0000-000084210000}"/>
    <cellStyle name="Porcentual 2 19 17" xfId="2681" xr:uid="{00000000-0005-0000-0000-000085210000}"/>
    <cellStyle name="Porcentual 2 19 17 2" xfId="6332" xr:uid="{00000000-0005-0000-0000-000086210000}"/>
    <cellStyle name="Porcentual 2 19 18" xfId="2682" xr:uid="{00000000-0005-0000-0000-000087210000}"/>
    <cellStyle name="Porcentual 2 19 18 2" xfId="6333" xr:uid="{00000000-0005-0000-0000-000088210000}"/>
    <cellStyle name="Porcentual 2 19 19" xfId="2683" xr:uid="{00000000-0005-0000-0000-000089210000}"/>
    <cellStyle name="Porcentual 2 19 19 2" xfId="6334" xr:uid="{00000000-0005-0000-0000-00008A210000}"/>
    <cellStyle name="Porcentual 2 19 2" xfId="2684" xr:uid="{00000000-0005-0000-0000-00008B210000}"/>
    <cellStyle name="Porcentual 2 19 2 2" xfId="6335" xr:uid="{00000000-0005-0000-0000-00008C210000}"/>
    <cellStyle name="Porcentual 2 19 20" xfId="2685" xr:uid="{00000000-0005-0000-0000-00008D210000}"/>
    <cellStyle name="Porcentual 2 19 20 2" xfId="6336" xr:uid="{00000000-0005-0000-0000-00008E210000}"/>
    <cellStyle name="Porcentual 2 19 21" xfId="2686" xr:uid="{00000000-0005-0000-0000-00008F210000}"/>
    <cellStyle name="Porcentual 2 19 21 2" xfId="6337" xr:uid="{00000000-0005-0000-0000-000090210000}"/>
    <cellStyle name="Porcentual 2 19 22" xfId="2687" xr:uid="{00000000-0005-0000-0000-000091210000}"/>
    <cellStyle name="Porcentual 2 19 22 2" xfId="6338" xr:uid="{00000000-0005-0000-0000-000092210000}"/>
    <cellStyle name="Porcentual 2 19 23" xfId="2688" xr:uid="{00000000-0005-0000-0000-000093210000}"/>
    <cellStyle name="Porcentual 2 19 23 2" xfId="6339" xr:uid="{00000000-0005-0000-0000-000094210000}"/>
    <cellStyle name="Porcentual 2 19 24" xfId="2689" xr:uid="{00000000-0005-0000-0000-000095210000}"/>
    <cellStyle name="Porcentual 2 19 24 2" xfId="6340" xr:uid="{00000000-0005-0000-0000-000096210000}"/>
    <cellStyle name="Porcentual 2 19 25" xfId="2690" xr:uid="{00000000-0005-0000-0000-000097210000}"/>
    <cellStyle name="Porcentual 2 19 25 2" xfId="6341" xr:uid="{00000000-0005-0000-0000-000098210000}"/>
    <cellStyle name="Porcentual 2 19 26" xfId="2691" xr:uid="{00000000-0005-0000-0000-000099210000}"/>
    <cellStyle name="Porcentual 2 19 26 2" xfId="6342" xr:uid="{00000000-0005-0000-0000-00009A210000}"/>
    <cellStyle name="Porcentual 2 19 27" xfId="2692" xr:uid="{00000000-0005-0000-0000-00009B210000}"/>
    <cellStyle name="Porcentual 2 19 27 2" xfId="6343" xr:uid="{00000000-0005-0000-0000-00009C210000}"/>
    <cellStyle name="Porcentual 2 19 28" xfId="2693" xr:uid="{00000000-0005-0000-0000-00009D210000}"/>
    <cellStyle name="Porcentual 2 19 28 2" xfId="6344" xr:uid="{00000000-0005-0000-0000-00009E210000}"/>
    <cellStyle name="Porcentual 2 19 29" xfId="6345" xr:uid="{00000000-0005-0000-0000-00009F210000}"/>
    <cellStyle name="Porcentual 2 19 3" xfId="2694" xr:uid="{00000000-0005-0000-0000-0000A0210000}"/>
    <cellStyle name="Porcentual 2 19 3 2" xfId="6346" xr:uid="{00000000-0005-0000-0000-0000A1210000}"/>
    <cellStyle name="Porcentual 2 19 4" xfId="2695" xr:uid="{00000000-0005-0000-0000-0000A2210000}"/>
    <cellStyle name="Porcentual 2 19 4 2" xfId="6347" xr:uid="{00000000-0005-0000-0000-0000A3210000}"/>
    <cellStyle name="Porcentual 2 19 5" xfId="2696" xr:uid="{00000000-0005-0000-0000-0000A4210000}"/>
    <cellStyle name="Porcentual 2 19 5 2" xfId="6348" xr:uid="{00000000-0005-0000-0000-0000A5210000}"/>
    <cellStyle name="Porcentual 2 19 6" xfId="2697" xr:uid="{00000000-0005-0000-0000-0000A6210000}"/>
    <cellStyle name="Porcentual 2 19 6 2" xfId="6349" xr:uid="{00000000-0005-0000-0000-0000A7210000}"/>
    <cellStyle name="Porcentual 2 19 7" xfId="2698" xr:uid="{00000000-0005-0000-0000-0000A8210000}"/>
    <cellStyle name="Porcentual 2 19 7 2" xfId="6350" xr:uid="{00000000-0005-0000-0000-0000A9210000}"/>
    <cellStyle name="Porcentual 2 19 8" xfId="2699" xr:uid="{00000000-0005-0000-0000-0000AA210000}"/>
    <cellStyle name="Porcentual 2 19 8 2" xfId="6351" xr:uid="{00000000-0005-0000-0000-0000AB210000}"/>
    <cellStyle name="Porcentual 2 19 9" xfId="2700" xr:uid="{00000000-0005-0000-0000-0000AC210000}"/>
    <cellStyle name="Porcentual 2 19 9 2" xfId="6352" xr:uid="{00000000-0005-0000-0000-0000AD210000}"/>
    <cellStyle name="Porcentual 2 2" xfId="121" xr:uid="{00000000-0005-0000-0000-0000AE210000}"/>
    <cellStyle name="Porcentual 2 2 10" xfId="2702" xr:uid="{00000000-0005-0000-0000-0000AF210000}"/>
    <cellStyle name="Porcentual 2 2 10 2" xfId="6353" xr:uid="{00000000-0005-0000-0000-0000B0210000}"/>
    <cellStyle name="Porcentual 2 2 10 3" xfId="8756" xr:uid="{00000000-0005-0000-0000-0000B1210000}"/>
    <cellStyle name="Porcentual 2 2 11" xfId="2703" xr:uid="{00000000-0005-0000-0000-0000B2210000}"/>
    <cellStyle name="Porcentual 2 2 11 2" xfId="6354" xr:uid="{00000000-0005-0000-0000-0000B3210000}"/>
    <cellStyle name="Porcentual 2 2 11 3" xfId="8757" xr:uid="{00000000-0005-0000-0000-0000B4210000}"/>
    <cellStyle name="Porcentual 2 2 12" xfId="2704" xr:uid="{00000000-0005-0000-0000-0000B5210000}"/>
    <cellStyle name="Porcentual 2 2 12 2" xfId="6355" xr:uid="{00000000-0005-0000-0000-0000B6210000}"/>
    <cellStyle name="Porcentual 2 2 12 3" xfId="8758" xr:uid="{00000000-0005-0000-0000-0000B7210000}"/>
    <cellStyle name="Porcentual 2 2 13" xfId="2705" xr:uid="{00000000-0005-0000-0000-0000B8210000}"/>
    <cellStyle name="Porcentual 2 2 13 2" xfId="6356" xr:uid="{00000000-0005-0000-0000-0000B9210000}"/>
    <cellStyle name="Porcentual 2 2 13 3" xfId="8759" xr:uid="{00000000-0005-0000-0000-0000BA210000}"/>
    <cellStyle name="Porcentual 2 2 14" xfId="2706" xr:uid="{00000000-0005-0000-0000-0000BB210000}"/>
    <cellStyle name="Porcentual 2 2 14 2" xfId="6357" xr:uid="{00000000-0005-0000-0000-0000BC210000}"/>
    <cellStyle name="Porcentual 2 2 14 3" xfId="8760" xr:uid="{00000000-0005-0000-0000-0000BD210000}"/>
    <cellStyle name="Porcentual 2 2 15" xfId="2707" xr:uid="{00000000-0005-0000-0000-0000BE210000}"/>
    <cellStyle name="Porcentual 2 2 15 2" xfId="6358" xr:uid="{00000000-0005-0000-0000-0000BF210000}"/>
    <cellStyle name="Porcentual 2 2 15 3" xfId="8761" xr:uid="{00000000-0005-0000-0000-0000C0210000}"/>
    <cellStyle name="Porcentual 2 2 16" xfId="2708" xr:uid="{00000000-0005-0000-0000-0000C1210000}"/>
    <cellStyle name="Porcentual 2 2 16 2" xfId="6359" xr:uid="{00000000-0005-0000-0000-0000C2210000}"/>
    <cellStyle name="Porcentual 2 2 16 3" xfId="8762" xr:uid="{00000000-0005-0000-0000-0000C3210000}"/>
    <cellStyle name="Porcentual 2 2 17" xfId="2709" xr:uid="{00000000-0005-0000-0000-0000C4210000}"/>
    <cellStyle name="Porcentual 2 2 17 2" xfId="6360" xr:uid="{00000000-0005-0000-0000-0000C5210000}"/>
    <cellStyle name="Porcentual 2 2 17 3" xfId="8763" xr:uid="{00000000-0005-0000-0000-0000C6210000}"/>
    <cellStyle name="Porcentual 2 2 18" xfId="2710" xr:uid="{00000000-0005-0000-0000-0000C7210000}"/>
    <cellStyle name="Porcentual 2 2 18 2" xfId="6361" xr:uid="{00000000-0005-0000-0000-0000C8210000}"/>
    <cellStyle name="Porcentual 2 2 18 3" xfId="8764" xr:uid="{00000000-0005-0000-0000-0000C9210000}"/>
    <cellStyle name="Porcentual 2 2 19" xfId="2711" xr:uid="{00000000-0005-0000-0000-0000CA210000}"/>
    <cellStyle name="Porcentual 2 2 19 2" xfId="6362" xr:uid="{00000000-0005-0000-0000-0000CB210000}"/>
    <cellStyle name="Porcentual 2 2 19 3" xfId="8765" xr:uid="{00000000-0005-0000-0000-0000CC210000}"/>
    <cellStyle name="Porcentual 2 2 2" xfId="2712" xr:uid="{00000000-0005-0000-0000-0000CD210000}"/>
    <cellStyle name="Porcentual 2 2 2 10" xfId="4219" xr:uid="{00000000-0005-0000-0000-0000CE210000}"/>
    <cellStyle name="Porcentual 2 2 2 10 2" xfId="9654" xr:uid="{00000000-0005-0000-0000-0000CF210000}"/>
    <cellStyle name="Porcentual 2 2 2 10 2 2" xfId="10355" xr:uid="{00000000-0005-0000-0000-0000D0210000}"/>
    <cellStyle name="Porcentual 2 2 2 10 2 2 2" xfId="12090" xr:uid="{00000000-0005-0000-0000-0000D1210000}"/>
    <cellStyle name="Porcentual 2 2 2 10 2 3" xfId="11443" xr:uid="{00000000-0005-0000-0000-0000D2210000}"/>
    <cellStyle name="Porcentual 2 2 2 10 3" xfId="10058" xr:uid="{00000000-0005-0000-0000-0000D3210000}"/>
    <cellStyle name="Porcentual 2 2 2 10 3 2" xfId="11794" xr:uid="{00000000-0005-0000-0000-0000D4210000}"/>
    <cellStyle name="Porcentual 2 2 2 10 4" xfId="11030" xr:uid="{00000000-0005-0000-0000-0000D5210000}"/>
    <cellStyle name="Porcentual 2 2 2 11" xfId="4344" xr:uid="{00000000-0005-0000-0000-0000D6210000}"/>
    <cellStyle name="Porcentual 2 2 2 11 2" xfId="9755" xr:uid="{00000000-0005-0000-0000-0000D7210000}"/>
    <cellStyle name="Porcentual 2 2 2 11 2 2" xfId="10453" xr:uid="{00000000-0005-0000-0000-0000D8210000}"/>
    <cellStyle name="Porcentual 2 2 2 11 2 2 2" xfId="12188" xr:uid="{00000000-0005-0000-0000-0000D9210000}"/>
    <cellStyle name="Porcentual 2 2 2 11 2 3" xfId="11541" xr:uid="{00000000-0005-0000-0000-0000DA210000}"/>
    <cellStyle name="Porcentual 2 2 2 11 3" xfId="10156" xr:uid="{00000000-0005-0000-0000-0000DB210000}"/>
    <cellStyle name="Porcentual 2 2 2 11 3 2" xfId="11892" xr:uid="{00000000-0005-0000-0000-0000DC210000}"/>
    <cellStyle name="Porcentual 2 2 2 11 4" xfId="11149" xr:uid="{00000000-0005-0000-0000-0000DD210000}"/>
    <cellStyle name="Porcentual 2 2 2 2" xfId="2713" xr:uid="{00000000-0005-0000-0000-0000DE210000}"/>
    <cellStyle name="Porcentual 2 2 2 2 2" xfId="4270" xr:uid="{00000000-0005-0000-0000-0000DF210000}"/>
    <cellStyle name="Porcentual 2 2 2 2 2 2" xfId="9705" xr:uid="{00000000-0005-0000-0000-0000E0210000}"/>
    <cellStyle name="Porcentual 2 2 2 2 2 2 2" xfId="10406" xr:uid="{00000000-0005-0000-0000-0000E1210000}"/>
    <cellStyle name="Porcentual 2 2 2 2 2 2 2 2" xfId="12141" xr:uid="{00000000-0005-0000-0000-0000E2210000}"/>
    <cellStyle name="Porcentual 2 2 2 2 2 2 3" xfId="11494" xr:uid="{00000000-0005-0000-0000-0000E3210000}"/>
    <cellStyle name="Porcentual 2 2 2 2 2 3" xfId="10109" xr:uid="{00000000-0005-0000-0000-0000E4210000}"/>
    <cellStyle name="Porcentual 2 2 2 2 2 3 2" xfId="11845" xr:uid="{00000000-0005-0000-0000-0000E5210000}"/>
    <cellStyle name="Porcentual 2 2 2 2 2 4" xfId="11081" xr:uid="{00000000-0005-0000-0000-0000E6210000}"/>
    <cellStyle name="Porcentual 2 2 2 2 3" xfId="8766" xr:uid="{00000000-0005-0000-0000-0000E7210000}"/>
    <cellStyle name="Porcentual 2 2 2 3" xfId="2714" xr:uid="{00000000-0005-0000-0000-0000E8210000}"/>
    <cellStyle name="Porcentual 2 2 2 3 2" xfId="8767" xr:uid="{00000000-0005-0000-0000-0000E9210000}"/>
    <cellStyle name="Porcentual 2 2 2 4" xfId="2715" xr:uid="{00000000-0005-0000-0000-0000EA210000}"/>
    <cellStyle name="Porcentual 2 2 2 4 2" xfId="8768" xr:uid="{00000000-0005-0000-0000-0000EB210000}"/>
    <cellStyle name="Porcentual 2 2 2 5" xfId="2716" xr:uid="{00000000-0005-0000-0000-0000EC210000}"/>
    <cellStyle name="Porcentual 2 2 2 5 2" xfId="8769" xr:uid="{00000000-0005-0000-0000-0000ED210000}"/>
    <cellStyle name="Porcentual 2 2 2 6" xfId="2717" xr:uid="{00000000-0005-0000-0000-0000EE210000}"/>
    <cellStyle name="Porcentual 2 2 2 6 2" xfId="8770" xr:uid="{00000000-0005-0000-0000-0000EF210000}"/>
    <cellStyle name="Porcentual 2 2 2 7" xfId="2718" xr:uid="{00000000-0005-0000-0000-0000F0210000}"/>
    <cellStyle name="Porcentual 2 2 2 7 2" xfId="8771" xr:uid="{00000000-0005-0000-0000-0000F1210000}"/>
    <cellStyle name="Porcentual 2 2 2 8" xfId="2719" xr:uid="{00000000-0005-0000-0000-0000F2210000}"/>
    <cellStyle name="Porcentual 2 2 2 8 2" xfId="8772" xr:uid="{00000000-0005-0000-0000-0000F3210000}"/>
    <cellStyle name="Porcentual 2 2 2 9" xfId="4144" xr:uid="{00000000-0005-0000-0000-0000F4210000}"/>
    <cellStyle name="Porcentual 2 2 2 9 2" xfId="9602" xr:uid="{00000000-0005-0000-0000-0000F5210000}"/>
    <cellStyle name="Porcentual 2 2 2 9 2 2" xfId="10304" xr:uid="{00000000-0005-0000-0000-0000F6210000}"/>
    <cellStyle name="Porcentual 2 2 2 9 2 2 2" xfId="12039" xr:uid="{00000000-0005-0000-0000-0000F7210000}"/>
    <cellStyle name="Porcentual 2 2 2 9 2 3" xfId="11392" xr:uid="{00000000-0005-0000-0000-0000F8210000}"/>
    <cellStyle name="Porcentual 2 2 2 9 3" xfId="10007" xr:uid="{00000000-0005-0000-0000-0000F9210000}"/>
    <cellStyle name="Porcentual 2 2 2 9 3 2" xfId="11743" xr:uid="{00000000-0005-0000-0000-0000FA210000}"/>
    <cellStyle name="Porcentual 2 2 2 9 4" xfId="10970" xr:uid="{00000000-0005-0000-0000-0000FB210000}"/>
    <cellStyle name="Porcentual 2 2 20" xfId="2720" xr:uid="{00000000-0005-0000-0000-0000FC210000}"/>
    <cellStyle name="Porcentual 2 2 20 2" xfId="6363" xr:uid="{00000000-0005-0000-0000-0000FD210000}"/>
    <cellStyle name="Porcentual 2 2 20 3" xfId="8773" xr:uid="{00000000-0005-0000-0000-0000FE210000}"/>
    <cellStyle name="Porcentual 2 2 21" xfId="2721" xr:uid="{00000000-0005-0000-0000-0000FF210000}"/>
    <cellStyle name="Porcentual 2 2 21 2" xfId="6364" xr:uid="{00000000-0005-0000-0000-000000220000}"/>
    <cellStyle name="Porcentual 2 2 21 3" xfId="8774" xr:uid="{00000000-0005-0000-0000-000001220000}"/>
    <cellStyle name="Porcentual 2 2 22" xfId="2722" xr:uid="{00000000-0005-0000-0000-000002220000}"/>
    <cellStyle name="Porcentual 2 2 22 2" xfId="6365" xr:uid="{00000000-0005-0000-0000-000003220000}"/>
    <cellStyle name="Porcentual 2 2 22 3" xfId="8775" xr:uid="{00000000-0005-0000-0000-000004220000}"/>
    <cellStyle name="Porcentual 2 2 23" xfId="2723" xr:uid="{00000000-0005-0000-0000-000005220000}"/>
    <cellStyle name="Porcentual 2 2 23 2" xfId="6366" xr:uid="{00000000-0005-0000-0000-000006220000}"/>
    <cellStyle name="Porcentual 2 2 23 3" xfId="8776" xr:uid="{00000000-0005-0000-0000-000007220000}"/>
    <cellStyle name="Porcentual 2 2 24" xfId="2724" xr:uid="{00000000-0005-0000-0000-000008220000}"/>
    <cellStyle name="Porcentual 2 2 24 2" xfId="6367" xr:uid="{00000000-0005-0000-0000-000009220000}"/>
    <cellStyle name="Porcentual 2 2 24 3" xfId="8777" xr:uid="{00000000-0005-0000-0000-00000A220000}"/>
    <cellStyle name="Porcentual 2 2 25" xfId="2725" xr:uid="{00000000-0005-0000-0000-00000B220000}"/>
    <cellStyle name="Porcentual 2 2 25 2" xfId="6368" xr:uid="{00000000-0005-0000-0000-00000C220000}"/>
    <cellStyle name="Porcentual 2 2 25 3" xfId="8778" xr:uid="{00000000-0005-0000-0000-00000D220000}"/>
    <cellStyle name="Porcentual 2 2 26" xfId="2726" xr:uid="{00000000-0005-0000-0000-00000E220000}"/>
    <cellStyle name="Porcentual 2 2 26 2" xfId="6369" xr:uid="{00000000-0005-0000-0000-00000F220000}"/>
    <cellStyle name="Porcentual 2 2 26 3" xfId="8779" xr:uid="{00000000-0005-0000-0000-000010220000}"/>
    <cellStyle name="Porcentual 2 2 27" xfId="2727" xr:uid="{00000000-0005-0000-0000-000011220000}"/>
    <cellStyle name="Porcentual 2 2 27 2" xfId="6370" xr:uid="{00000000-0005-0000-0000-000012220000}"/>
    <cellStyle name="Porcentual 2 2 27 3" xfId="8780" xr:uid="{00000000-0005-0000-0000-000013220000}"/>
    <cellStyle name="Porcentual 2 2 28" xfId="2728" xr:uid="{00000000-0005-0000-0000-000014220000}"/>
    <cellStyle name="Porcentual 2 2 28 2" xfId="6371" xr:uid="{00000000-0005-0000-0000-000015220000}"/>
    <cellStyle name="Porcentual 2 2 28 3" xfId="8781" xr:uid="{00000000-0005-0000-0000-000016220000}"/>
    <cellStyle name="Porcentual 2 2 29" xfId="2729" xr:uid="{00000000-0005-0000-0000-000017220000}"/>
    <cellStyle name="Porcentual 2 2 29 2" xfId="6372" xr:uid="{00000000-0005-0000-0000-000018220000}"/>
    <cellStyle name="Porcentual 2 2 29 3" xfId="8782" xr:uid="{00000000-0005-0000-0000-000019220000}"/>
    <cellStyle name="Porcentual 2 2 3" xfId="2730" xr:uid="{00000000-0005-0000-0000-00001A220000}"/>
    <cellStyle name="Porcentual 2 2 3 2" xfId="4104" xr:uid="{00000000-0005-0000-0000-00001B220000}"/>
    <cellStyle name="Porcentual 2 2 3 2 2" xfId="4252" xr:uid="{00000000-0005-0000-0000-00001C220000}"/>
    <cellStyle name="Porcentual 2 2 3 2 2 2" xfId="9687" xr:uid="{00000000-0005-0000-0000-00001D220000}"/>
    <cellStyle name="Porcentual 2 2 3 2 2 2 2" xfId="10388" xr:uid="{00000000-0005-0000-0000-00001E220000}"/>
    <cellStyle name="Porcentual 2 2 3 2 2 2 2 2" xfId="12123" xr:uid="{00000000-0005-0000-0000-00001F220000}"/>
    <cellStyle name="Porcentual 2 2 3 2 2 2 3" xfId="11476" xr:uid="{00000000-0005-0000-0000-000020220000}"/>
    <cellStyle name="Porcentual 2 2 3 2 2 3" xfId="10091" xr:uid="{00000000-0005-0000-0000-000021220000}"/>
    <cellStyle name="Porcentual 2 2 3 2 2 3 2" xfId="11827" xr:uid="{00000000-0005-0000-0000-000022220000}"/>
    <cellStyle name="Porcentual 2 2 3 2 2 4" xfId="11063" xr:uid="{00000000-0005-0000-0000-000023220000}"/>
    <cellStyle name="Porcentual 2 2 3 2 3" xfId="9583" xr:uid="{00000000-0005-0000-0000-000024220000}"/>
    <cellStyle name="Porcentual 2 2 3 2 3 2" xfId="10286" xr:uid="{00000000-0005-0000-0000-000025220000}"/>
    <cellStyle name="Porcentual 2 2 3 2 3 2 2" xfId="12021" xr:uid="{00000000-0005-0000-0000-000026220000}"/>
    <cellStyle name="Porcentual 2 2 3 2 3 3" xfId="11374" xr:uid="{00000000-0005-0000-0000-000027220000}"/>
    <cellStyle name="Porcentual 2 2 3 2 4" xfId="9989" xr:uid="{00000000-0005-0000-0000-000028220000}"/>
    <cellStyle name="Porcentual 2 2 3 2 4 2" xfId="11725" xr:uid="{00000000-0005-0000-0000-000029220000}"/>
    <cellStyle name="Porcentual 2 2 3 2 5" xfId="10949" xr:uid="{00000000-0005-0000-0000-00002A220000}"/>
    <cellStyle name="Porcentual 2 2 3 3" xfId="4201" xr:uid="{00000000-0005-0000-0000-00002B220000}"/>
    <cellStyle name="Porcentual 2 2 3 3 2" xfId="9636" xr:uid="{00000000-0005-0000-0000-00002C220000}"/>
    <cellStyle name="Porcentual 2 2 3 3 2 2" xfId="10337" xr:uid="{00000000-0005-0000-0000-00002D220000}"/>
    <cellStyle name="Porcentual 2 2 3 3 2 2 2" xfId="12072" xr:uid="{00000000-0005-0000-0000-00002E220000}"/>
    <cellStyle name="Porcentual 2 2 3 3 2 3" xfId="11425" xr:uid="{00000000-0005-0000-0000-00002F220000}"/>
    <cellStyle name="Porcentual 2 2 3 3 3" xfId="10040" xr:uid="{00000000-0005-0000-0000-000030220000}"/>
    <cellStyle name="Porcentual 2 2 3 3 3 2" xfId="11776" xr:uid="{00000000-0005-0000-0000-000031220000}"/>
    <cellStyle name="Porcentual 2 2 3 3 4" xfId="11012" xr:uid="{00000000-0005-0000-0000-000032220000}"/>
    <cellStyle name="Porcentual 2 2 3 4" xfId="8783" xr:uid="{00000000-0005-0000-0000-000033220000}"/>
    <cellStyle name="Porcentual 2 2 30" xfId="2731" xr:uid="{00000000-0005-0000-0000-000034220000}"/>
    <cellStyle name="Porcentual 2 2 30 2" xfId="6373" xr:uid="{00000000-0005-0000-0000-000035220000}"/>
    <cellStyle name="Porcentual 2 2 31" xfId="2732" xr:uid="{00000000-0005-0000-0000-000036220000}"/>
    <cellStyle name="Porcentual 2 2 31 2" xfId="6374" xr:uid="{00000000-0005-0000-0000-000037220000}"/>
    <cellStyle name="Porcentual 2 2 32" xfId="2733" xr:uid="{00000000-0005-0000-0000-000038220000}"/>
    <cellStyle name="Porcentual 2 2 32 2" xfId="6375" xr:uid="{00000000-0005-0000-0000-000039220000}"/>
    <cellStyle name="Porcentual 2 2 33" xfId="2734" xr:uid="{00000000-0005-0000-0000-00003A220000}"/>
    <cellStyle name="Porcentual 2 2 33 2" xfId="6376" xr:uid="{00000000-0005-0000-0000-00003B220000}"/>
    <cellStyle name="Porcentual 2 2 34" xfId="2735" xr:uid="{00000000-0005-0000-0000-00003C220000}"/>
    <cellStyle name="Porcentual 2 2 34 2" xfId="6377" xr:uid="{00000000-0005-0000-0000-00003D220000}"/>
    <cellStyle name="Porcentual 2 2 35" xfId="2736" xr:uid="{00000000-0005-0000-0000-00003E220000}"/>
    <cellStyle name="Porcentual 2 2 35 2" xfId="6378" xr:uid="{00000000-0005-0000-0000-00003F220000}"/>
    <cellStyle name="Porcentual 2 2 36" xfId="2737" xr:uid="{00000000-0005-0000-0000-000040220000}"/>
    <cellStyle name="Porcentual 2 2 36 2" xfId="6379" xr:uid="{00000000-0005-0000-0000-000041220000}"/>
    <cellStyle name="Porcentual 2 2 37" xfId="2738" xr:uid="{00000000-0005-0000-0000-000042220000}"/>
    <cellStyle name="Porcentual 2 2 37 2" xfId="6380" xr:uid="{00000000-0005-0000-0000-000043220000}"/>
    <cellStyle name="Porcentual 2 2 38" xfId="2739" xr:uid="{00000000-0005-0000-0000-000044220000}"/>
    <cellStyle name="Porcentual 2 2 38 2" xfId="6381" xr:uid="{00000000-0005-0000-0000-000045220000}"/>
    <cellStyle name="Porcentual 2 2 39" xfId="2740" xr:uid="{00000000-0005-0000-0000-000046220000}"/>
    <cellStyle name="Porcentual 2 2 39 2" xfId="6382" xr:uid="{00000000-0005-0000-0000-000047220000}"/>
    <cellStyle name="Porcentual 2 2 4" xfId="2741" xr:uid="{00000000-0005-0000-0000-000048220000}"/>
    <cellStyle name="Porcentual 2 2 4 2" xfId="4236" xr:uid="{00000000-0005-0000-0000-000049220000}"/>
    <cellStyle name="Porcentual 2 2 4 2 2" xfId="9671" xr:uid="{00000000-0005-0000-0000-00004A220000}"/>
    <cellStyle name="Porcentual 2 2 4 2 2 2" xfId="10372" xr:uid="{00000000-0005-0000-0000-00004B220000}"/>
    <cellStyle name="Porcentual 2 2 4 2 2 2 2" xfId="12107" xr:uid="{00000000-0005-0000-0000-00004C220000}"/>
    <cellStyle name="Porcentual 2 2 4 2 2 3" xfId="11460" xr:uid="{00000000-0005-0000-0000-00004D220000}"/>
    <cellStyle name="Porcentual 2 2 4 2 3" xfId="10075" xr:uid="{00000000-0005-0000-0000-00004E220000}"/>
    <cellStyle name="Porcentual 2 2 4 2 3 2" xfId="11811" xr:uid="{00000000-0005-0000-0000-00004F220000}"/>
    <cellStyle name="Porcentual 2 2 4 2 4" xfId="11047" xr:uid="{00000000-0005-0000-0000-000050220000}"/>
    <cellStyle name="Porcentual 2 2 4 3" xfId="8784" xr:uid="{00000000-0005-0000-0000-000051220000}"/>
    <cellStyle name="Porcentual 2 2 40" xfId="2742" xr:uid="{00000000-0005-0000-0000-000052220000}"/>
    <cellStyle name="Porcentual 2 2 40 2" xfId="6383" xr:uid="{00000000-0005-0000-0000-000053220000}"/>
    <cellStyle name="Porcentual 2 2 41" xfId="2743" xr:uid="{00000000-0005-0000-0000-000054220000}"/>
    <cellStyle name="Porcentual 2 2 41 2" xfId="6384" xr:uid="{00000000-0005-0000-0000-000055220000}"/>
    <cellStyle name="Porcentual 2 2 42" xfId="2744" xr:uid="{00000000-0005-0000-0000-000056220000}"/>
    <cellStyle name="Porcentual 2 2 42 2" xfId="6385" xr:uid="{00000000-0005-0000-0000-000057220000}"/>
    <cellStyle name="Porcentual 2 2 43" xfId="2745" xr:uid="{00000000-0005-0000-0000-000058220000}"/>
    <cellStyle name="Porcentual 2 2 43 2" xfId="6386" xr:uid="{00000000-0005-0000-0000-000059220000}"/>
    <cellStyle name="Porcentual 2 2 44" xfId="2746" xr:uid="{00000000-0005-0000-0000-00005A220000}"/>
    <cellStyle name="Porcentual 2 2 44 2" xfId="6387" xr:uid="{00000000-0005-0000-0000-00005B220000}"/>
    <cellStyle name="Porcentual 2 2 45" xfId="2747" xr:uid="{00000000-0005-0000-0000-00005C220000}"/>
    <cellStyle name="Porcentual 2 2 45 2" xfId="6388" xr:uid="{00000000-0005-0000-0000-00005D220000}"/>
    <cellStyle name="Porcentual 2 2 46" xfId="2748" xr:uid="{00000000-0005-0000-0000-00005E220000}"/>
    <cellStyle name="Porcentual 2 2 46 2" xfId="6389" xr:uid="{00000000-0005-0000-0000-00005F220000}"/>
    <cellStyle name="Porcentual 2 2 47" xfId="2749" xr:uid="{00000000-0005-0000-0000-000060220000}"/>
    <cellStyle name="Porcentual 2 2 47 2" xfId="6390" xr:uid="{00000000-0005-0000-0000-000061220000}"/>
    <cellStyle name="Porcentual 2 2 48" xfId="2750" xr:uid="{00000000-0005-0000-0000-000062220000}"/>
    <cellStyle name="Porcentual 2 2 48 2" xfId="6391" xr:uid="{00000000-0005-0000-0000-000063220000}"/>
    <cellStyle name="Porcentual 2 2 49" xfId="2751" xr:uid="{00000000-0005-0000-0000-000064220000}"/>
    <cellStyle name="Porcentual 2 2 49 2" xfId="6392" xr:uid="{00000000-0005-0000-0000-000065220000}"/>
    <cellStyle name="Porcentual 2 2 5" xfId="2752" xr:uid="{00000000-0005-0000-0000-000066220000}"/>
    <cellStyle name="Porcentual 2 2 5 2" xfId="6393" xr:uid="{00000000-0005-0000-0000-000067220000}"/>
    <cellStyle name="Porcentual 2 2 5 3" xfId="8785" xr:uid="{00000000-0005-0000-0000-000068220000}"/>
    <cellStyle name="Porcentual 2 2 50" xfId="2753" xr:uid="{00000000-0005-0000-0000-000069220000}"/>
    <cellStyle name="Porcentual 2 2 50 2" xfId="6394" xr:uid="{00000000-0005-0000-0000-00006A220000}"/>
    <cellStyle name="Porcentual 2 2 51" xfId="2754" xr:uid="{00000000-0005-0000-0000-00006B220000}"/>
    <cellStyle name="Porcentual 2 2 51 2" xfId="6395" xr:uid="{00000000-0005-0000-0000-00006C220000}"/>
    <cellStyle name="Porcentual 2 2 52" xfId="2755" xr:uid="{00000000-0005-0000-0000-00006D220000}"/>
    <cellStyle name="Porcentual 2 2 52 2" xfId="6396" xr:uid="{00000000-0005-0000-0000-00006E220000}"/>
    <cellStyle name="Porcentual 2 2 53" xfId="2756" xr:uid="{00000000-0005-0000-0000-00006F220000}"/>
    <cellStyle name="Porcentual 2 2 53 2" xfId="6397" xr:uid="{00000000-0005-0000-0000-000070220000}"/>
    <cellStyle name="Porcentual 2 2 54" xfId="2757" xr:uid="{00000000-0005-0000-0000-000071220000}"/>
    <cellStyle name="Porcentual 2 2 54 2" xfId="6398" xr:uid="{00000000-0005-0000-0000-000072220000}"/>
    <cellStyle name="Porcentual 2 2 55" xfId="2758" xr:uid="{00000000-0005-0000-0000-000073220000}"/>
    <cellStyle name="Porcentual 2 2 55 2" xfId="6399" xr:uid="{00000000-0005-0000-0000-000074220000}"/>
    <cellStyle name="Porcentual 2 2 56" xfId="2759" xr:uid="{00000000-0005-0000-0000-000075220000}"/>
    <cellStyle name="Porcentual 2 2 56 2" xfId="6400" xr:uid="{00000000-0005-0000-0000-000076220000}"/>
    <cellStyle name="Porcentual 2 2 57" xfId="2760" xr:uid="{00000000-0005-0000-0000-000077220000}"/>
    <cellStyle name="Porcentual 2 2 58" xfId="2761" xr:uid="{00000000-0005-0000-0000-000078220000}"/>
    <cellStyle name="Porcentual 2 2 59" xfId="2762" xr:uid="{00000000-0005-0000-0000-000079220000}"/>
    <cellStyle name="Porcentual 2 2 6" xfId="2763" xr:uid="{00000000-0005-0000-0000-00007A220000}"/>
    <cellStyle name="Porcentual 2 2 6 2" xfId="6401" xr:uid="{00000000-0005-0000-0000-00007B220000}"/>
    <cellStyle name="Porcentual 2 2 6 3" xfId="8786" xr:uid="{00000000-0005-0000-0000-00007C220000}"/>
    <cellStyle name="Porcentual 2 2 60" xfId="2764" xr:uid="{00000000-0005-0000-0000-00007D220000}"/>
    <cellStyle name="Porcentual 2 2 61" xfId="2765" xr:uid="{00000000-0005-0000-0000-00007E220000}"/>
    <cellStyle name="Porcentual 2 2 62" xfId="2766" xr:uid="{00000000-0005-0000-0000-00007F220000}"/>
    <cellStyle name="Porcentual 2 2 63" xfId="4070" xr:uid="{00000000-0005-0000-0000-000080220000}"/>
    <cellStyle name="Porcentual 2 2 63 2" xfId="9567" xr:uid="{00000000-0005-0000-0000-000081220000}"/>
    <cellStyle name="Porcentual 2 2 63 2 2" xfId="10270" xr:uid="{00000000-0005-0000-0000-000082220000}"/>
    <cellStyle name="Porcentual 2 2 63 2 2 2" xfId="12005" xr:uid="{00000000-0005-0000-0000-000083220000}"/>
    <cellStyle name="Porcentual 2 2 63 2 3" xfId="11358" xr:uid="{00000000-0005-0000-0000-000084220000}"/>
    <cellStyle name="Porcentual 2 2 63 3" xfId="9973" xr:uid="{00000000-0005-0000-0000-000085220000}"/>
    <cellStyle name="Porcentual 2 2 63 3 2" xfId="11709" xr:uid="{00000000-0005-0000-0000-000086220000}"/>
    <cellStyle name="Porcentual 2 2 63 4" xfId="10932" xr:uid="{00000000-0005-0000-0000-000087220000}"/>
    <cellStyle name="Porcentual 2 2 64" xfId="4185" xr:uid="{00000000-0005-0000-0000-000088220000}"/>
    <cellStyle name="Porcentual 2 2 64 2" xfId="9620" xr:uid="{00000000-0005-0000-0000-000089220000}"/>
    <cellStyle name="Porcentual 2 2 64 2 2" xfId="10321" xr:uid="{00000000-0005-0000-0000-00008A220000}"/>
    <cellStyle name="Porcentual 2 2 64 2 2 2" xfId="12056" xr:uid="{00000000-0005-0000-0000-00008B220000}"/>
    <cellStyle name="Porcentual 2 2 64 2 3" xfId="11409" xr:uid="{00000000-0005-0000-0000-00008C220000}"/>
    <cellStyle name="Porcentual 2 2 64 3" xfId="10024" xr:uid="{00000000-0005-0000-0000-00008D220000}"/>
    <cellStyle name="Porcentual 2 2 64 3 2" xfId="11760" xr:uid="{00000000-0005-0000-0000-00008E220000}"/>
    <cellStyle name="Porcentual 2 2 64 4" xfId="10996" xr:uid="{00000000-0005-0000-0000-00008F220000}"/>
    <cellStyle name="Porcentual 2 2 65" xfId="4323" xr:uid="{00000000-0005-0000-0000-000090220000}"/>
    <cellStyle name="Porcentual 2 2 65 2" xfId="9739" xr:uid="{00000000-0005-0000-0000-000091220000}"/>
    <cellStyle name="Porcentual 2 2 65 2 2" xfId="10438" xr:uid="{00000000-0005-0000-0000-000092220000}"/>
    <cellStyle name="Porcentual 2 2 65 2 2 2" xfId="12173" xr:uid="{00000000-0005-0000-0000-000093220000}"/>
    <cellStyle name="Porcentual 2 2 65 2 3" xfId="11526" xr:uid="{00000000-0005-0000-0000-000094220000}"/>
    <cellStyle name="Porcentual 2 2 65 3" xfId="10141" xr:uid="{00000000-0005-0000-0000-000095220000}"/>
    <cellStyle name="Porcentual 2 2 65 3 2" xfId="11877" xr:uid="{00000000-0005-0000-0000-000096220000}"/>
    <cellStyle name="Porcentual 2 2 65 4" xfId="11130" xr:uid="{00000000-0005-0000-0000-000097220000}"/>
    <cellStyle name="Porcentual 2 2 66" xfId="2701" xr:uid="{00000000-0005-0000-0000-000098220000}"/>
    <cellStyle name="Porcentual 2 2 7" xfId="2767" xr:uid="{00000000-0005-0000-0000-000099220000}"/>
    <cellStyle name="Porcentual 2 2 7 2" xfId="6402" xr:uid="{00000000-0005-0000-0000-00009A220000}"/>
    <cellStyle name="Porcentual 2 2 7 3" xfId="8787" xr:uid="{00000000-0005-0000-0000-00009B220000}"/>
    <cellStyle name="Porcentual 2 2 8" xfId="2768" xr:uid="{00000000-0005-0000-0000-00009C220000}"/>
    <cellStyle name="Porcentual 2 2 8 2" xfId="6403" xr:uid="{00000000-0005-0000-0000-00009D220000}"/>
    <cellStyle name="Porcentual 2 2 8 3" xfId="8788" xr:uid="{00000000-0005-0000-0000-00009E220000}"/>
    <cellStyle name="Porcentual 2 2 9" xfId="2769" xr:uid="{00000000-0005-0000-0000-00009F220000}"/>
    <cellStyle name="Porcentual 2 2 9 2" xfId="6404" xr:uid="{00000000-0005-0000-0000-0000A0220000}"/>
    <cellStyle name="Porcentual 2 2 9 3" xfId="8789" xr:uid="{00000000-0005-0000-0000-0000A1220000}"/>
    <cellStyle name="Porcentual 2 20" xfId="2770" xr:uid="{00000000-0005-0000-0000-0000A2220000}"/>
    <cellStyle name="Porcentual 2 20 10" xfId="2771" xr:uid="{00000000-0005-0000-0000-0000A3220000}"/>
    <cellStyle name="Porcentual 2 20 10 2" xfId="6405" xr:uid="{00000000-0005-0000-0000-0000A4220000}"/>
    <cellStyle name="Porcentual 2 20 11" xfId="2772" xr:uid="{00000000-0005-0000-0000-0000A5220000}"/>
    <cellStyle name="Porcentual 2 20 11 2" xfId="6406" xr:uid="{00000000-0005-0000-0000-0000A6220000}"/>
    <cellStyle name="Porcentual 2 20 12" xfId="2773" xr:uid="{00000000-0005-0000-0000-0000A7220000}"/>
    <cellStyle name="Porcentual 2 20 12 2" xfId="6407" xr:uid="{00000000-0005-0000-0000-0000A8220000}"/>
    <cellStyle name="Porcentual 2 20 13" xfId="2774" xr:uid="{00000000-0005-0000-0000-0000A9220000}"/>
    <cellStyle name="Porcentual 2 20 13 2" xfId="6408" xr:uid="{00000000-0005-0000-0000-0000AA220000}"/>
    <cellStyle name="Porcentual 2 20 14" xfId="2775" xr:uid="{00000000-0005-0000-0000-0000AB220000}"/>
    <cellStyle name="Porcentual 2 20 14 2" xfId="6409" xr:uid="{00000000-0005-0000-0000-0000AC220000}"/>
    <cellStyle name="Porcentual 2 20 15" xfId="2776" xr:uid="{00000000-0005-0000-0000-0000AD220000}"/>
    <cellStyle name="Porcentual 2 20 15 2" xfId="6410" xr:uid="{00000000-0005-0000-0000-0000AE220000}"/>
    <cellStyle name="Porcentual 2 20 16" xfId="2777" xr:uid="{00000000-0005-0000-0000-0000AF220000}"/>
    <cellStyle name="Porcentual 2 20 16 2" xfId="6411" xr:uid="{00000000-0005-0000-0000-0000B0220000}"/>
    <cellStyle name="Porcentual 2 20 17" xfId="2778" xr:uid="{00000000-0005-0000-0000-0000B1220000}"/>
    <cellStyle name="Porcentual 2 20 17 2" xfId="6412" xr:uid="{00000000-0005-0000-0000-0000B2220000}"/>
    <cellStyle name="Porcentual 2 20 18" xfId="2779" xr:uid="{00000000-0005-0000-0000-0000B3220000}"/>
    <cellStyle name="Porcentual 2 20 18 2" xfId="6413" xr:uid="{00000000-0005-0000-0000-0000B4220000}"/>
    <cellStyle name="Porcentual 2 20 19" xfId="2780" xr:uid="{00000000-0005-0000-0000-0000B5220000}"/>
    <cellStyle name="Porcentual 2 20 19 2" xfId="6414" xr:uid="{00000000-0005-0000-0000-0000B6220000}"/>
    <cellStyle name="Porcentual 2 20 2" xfId="2781" xr:uid="{00000000-0005-0000-0000-0000B7220000}"/>
    <cellStyle name="Porcentual 2 20 2 2" xfId="6415" xr:uid="{00000000-0005-0000-0000-0000B8220000}"/>
    <cellStyle name="Porcentual 2 20 20" xfId="2782" xr:uid="{00000000-0005-0000-0000-0000B9220000}"/>
    <cellStyle name="Porcentual 2 20 20 2" xfId="6416" xr:uid="{00000000-0005-0000-0000-0000BA220000}"/>
    <cellStyle name="Porcentual 2 20 21" xfId="2783" xr:uid="{00000000-0005-0000-0000-0000BB220000}"/>
    <cellStyle name="Porcentual 2 20 21 2" xfId="6417" xr:uid="{00000000-0005-0000-0000-0000BC220000}"/>
    <cellStyle name="Porcentual 2 20 22" xfId="2784" xr:uid="{00000000-0005-0000-0000-0000BD220000}"/>
    <cellStyle name="Porcentual 2 20 22 2" xfId="6418" xr:uid="{00000000-0005-0000-0000-0000BE220000}"/>
    <cellStyle name="Porcentual 2 20 23" xfId="2785" xr:uid="{00000000-0005-0000-0000-0000BF220000}"/>
    <cellStyle name="Porcentual 2 20 23 2" xfId="6419" xr:uid="{00000000-0005-0000-0000-0000C0220000}"/>
    <cellStyle name="Porcentual 2 20 24" xfId="2786" xr:uid="{00000000-0005-0000-0000-0000C1220000}"/>
    <cellStyle name="Porcentual 2 20 24 2" xfId="6420" xr:uid="{00000000-0005-0000-0000-0000C2220000}"/>
    <cellStyle name="Porcentual 2 20 25" xfId="2787" xr:uid="{00000000-0005-0000-0000-0000C3220000}"/>
    <cellStyle name="Porcentual 2 20 25 2" xfId="6421" xr:uid="{00000000-0005-0000-0000-0000C4220000}"/>
    <cellStyle name="Porcentual 2 20 26" xfId="2788" xr:uid="{00000000-0005-0000-0000-0000C5220000}"/>
    <cellStyle name="Porcentual 2 20 26 2" xfId="6422" xr:uid="{00000000-0005-0000-0000-0000C6220000}"/>
    <cellStyle name="Porcentual 2 20 27" xfId="2789" xr:uid="{00000000-0005-0000-0000-0000C7220000}"/>
    <cellStyle name="Porcentual 2 20 27 2" xfId="6423" xr:uid="{00000000-0005-0000-0000-0000C8220000}"/>
    <cellStyle name="Porcentual 2 20 28" xfId="2790" xr:uid="{00000000-0005-0000-0000-0000C9220000}"/>
    <cellStyle name="Porcentual 2 20 28 2" xfId="6424" xr:uid="{00000000-0005-0000-0000-0000CA220000}"/>
    <cellStyle name="Porcentual 2 20 29" xfId="6425" xr:uid="{00000000-0005-0000-0000-0000CB220000}"/>
    <cellStyle name="Porcentual 2 20 3" xfId="2791" xr:uid="{00000000-0005-0000-0000-0000CC220000}"/>
    <cellStyle name="Porcentual 2 20 3 2" xfId="6426" xr:uid="{00000000-0005-0000-0000-0000CD220000}"/>
    <cellStyle name="Porcentual 2 20 4" xfId="2792" xr:uid="{00000000-0005-0000-0000-0000CE220000}"/>
    <cellStyle name="Porcentual 2 20 4 2" xfId="6427" xr:uid="{00000000-0005-0000-0000-0000CF220000}"/>
    <cellStyle name="Porcentual 2 20 5" xfId="2793" xr:uid="{00000000-0005-0000-0000-0000D0220000}"/>
    <cellStyle name="Porcentual 2 20 5 2" xfId="6428" xr:uid="{00000000-0005-0000-0000-0000D1220000}"/>
    <cellStyle name="Porcentual 2 20 6" xfId="2794" xr:uid="{00000000-0005-0000-0000-0000D2220000}"/>
    <cellStyle name="Porcentual 2 20 6 2" xfId="6429" xr:uid="{00000000-0005-0000-0000-0000D3220000}"/>
    <cellStyle name="Porcentual 2 20 7" xfId="2795" xr:uid="{00000000-0005-0000-0000-0000D4220000}"/>
    <cellStyle name="Porcentual 2 20 7 2" xfId="6430" xr:uid="{00000000-0005-0000-0000-0000D5220000}"/>
    <cellStyle name="Porcentual 2 20 8" xfId="2796" xr:uid="{00000000-0005-0000-0000-0000D6220000}"/>
    <cellStyle name="Porcentual 2 20 8 2" xfId="6431" xr:uid="{00000000-0005-0000-0000-0000D7220000}"/>
    <cellStyle name="Porcentual 2 20 9" xfId="2797" xr:uid="{00000000-0005-0000-0000-0000D8220000}"/>
    <cellStyle name="Porcentual 2 20 9 2" xfId="6432" xr:uid="{00000000-0005-0000-0000-0000D9220000}"/>
    <cellStyle name="Porcentual 2 21" xfId="2798" xr:uid="{00000000-0005-0000-0000-0000DA220000}"/>
    <cellStyle name="Porcentual 2 21 10" xfId="2799" xr:uid="{00000000-0005-0000-0000-0000DB220000}"/>
    <cellStyle name="Porcentual 2 21 10 2" xfId="6433" xr:uid="{00000000-0005-0000-0000-0000DC220000}"/>
    <cellStyle name="Porcentual 2 21 11" xfId="2800" xr:uid="{00000000-0005-0000-0000-0000DD220000}"/>
    <cellStyle name="Porcentual 2 21 11 2" xfId="6434" xr:uid="{00000000-0005-0000-0000-0000DE220000}"/>
    <cellStyle name="Porcentual 2 21 12" xfId="2801" xr:uid="{00000000-0005-0000-0000-0000DF220000}"/>
    <cellStyle name="Porcentual 2 21 12 2" xfId="6435" xr:uid="{00000000-0005-0000-0000-0000E0220000}"/>
    <cellStyle name="Porcentual 2 21 13" xfId="2802" xr:uid="{00000000-0005-0000-0000-0000E1220000}"/>
    <cellStyle name="Porcentual 2 21 13 2" xfId="6436" xr:uid="{00000000-0005-0000-0000-0000E2220000}"/>
    <cellStyle name="Porcentual 2 21 14" xfId="2803" xr:uid="{00000000-0005-0000-0000-0000E3220000}"/>
    <cellStyle name="Porcentual 2 21 14 2" xfId="6437" xr:uid="{00000000-0005-0000-0000-0000E4220000}"/>
    <cellStyle name="Porcentual 2 21 15" xfId="2804" xr:uid="{00000000-0005-0000-0000-0000E5220000}"/>
    <cellStyle name="Porcentual 2 21 15 2" xfId="6438" xr:uid="{00000000-0005-0000-0000-0000E6220000}"/>
    <cellStyle name="Porcentual 2 21 16" xfId="2805" xr:uid="{00000000-0005-0000-0000-0000E7220000}"/>
    <cellStyle name="Porcentual 2 21 16 2" xfId="6439" xr:uid="{00000000-0005-0000-0000-0000E8220000}"/>
    <cellStyle name="Porcentual 2 21 17" xfId="2806" xr:uid="{00000000-0005-0000-0000-0000E9220000}"/>
    <cellStyle name="Porcentual 2 21 17 2" xfId="6440" xr:uid="{00000000-0005-0000-0000-0000EA220000}"/>
    <cellStyle name="Porcentual 2 21 18" xfId="2807" xr:uid="{00000000-0005-0000-0000-0000EB220000}"/>
    <cellStyle name="Porcentual 2 21 18 2" xfId="6441" xr:uid="{00000000-0005-0000-0000-0000EC220000}"/>
    <cellStyle name="Porcentual 2 21 19" xfId="2808" xr:uid="{00000000-0005-0000-0000-0000ED220000}"/>
    <cellStyle name="Porcentual 2 21 19 2" xfId="6442" xr:uid="{00000000-0005-0000-0000-0000EE220000}"/>
    <cellStyle name="Porcentual 2 21 2" xfId="2809" xr:uid="{00000000-0005-0000-0000-0000EF220000}"/>
    <cellStyle name="Porcentual 2 21 2 2" xfId="6443" xr:uid="{00000000-0005-0000-0000-0000F0220000}"/>
    <cellStyle name="Porcentual 2 21 20" xfId="2810" xr:uid="{00000000-0005-0000-0000-0000F1220000}"/>
    <cellStyle name="Porcentual 2 21 20 2" xfId="6444" xr:uid="{00000000-0005-0000-0000-0000F2220000}"/>
    <cellStyle name="Porcentual 2 21 21" xfId="2811" xr:uid="{00000000-0005-0000-0000-0000F3220000}"/>
    <cellStyle name="Porcentual 2 21 21 2" xfId="6445" xr:uid="{00000000-0005-0000-0000-0000F4220000}"/>
    <cellStyle name="Porcentual 2 21 22" xfId="2812" xr:uid="{00000000-0005-0000-0000-0000F5220000}"/>
    <cellStyle name="Porcentual 2 21 22 2" xfId="6446" xr:uid="{00000000-0005-0000-0000-0000F6220000}"/>
    <cellStyle name="Porcentual 2 21 23" xfId="2813" xr:uid="{00000000-0005-0000-0000-0000F7220000}"/>
    <cellStyle name="Porcentual 2 21 23 2" xfId="6447" xr:uid="{00000000-0005-0000-0000-0000F8220000}"/>
    <cellStyle name="Porcentual 2 21 24" xfId="2814" xr:uid="{00000000-0005-0000-0000-0000F9220000}"/>
    <cellStyle name="Porcentual 2 21 24 2" xfId="6448" xr:uid="{00000000-0005-0000-0000-0000FA220000}"/>
    <cellStyle name="Porcentual 2 21 25" xfId="2815" xr:uid="{00000000-0005-0000-0000-0000FB220000}"/>
    <cellStyle name="Porcentual 2 21 25 2" xfId="6449" xr:uid="{00000000-0005-0000-0000-0000FC220000}"/>
    <cellStyle name="Porcentual 2 21 26" xfId="2816" xr:uid="{00000000-0005-0000-0000-0000FD220000}"/>
    <cellStyle name="Porcentual 2 21 26 2" xfId="6450" xr:uid="{00000000-0005-0000-0000-0000FE220000}"/>
    <cellStyle name="Porcentual 2 21 27" xfId="2817" xr:uid="{00000000-0005-0000-0000-0000FF220000}"/>
    <cellStyle name="Porcentual 2 21 27 2" xfId="6451" xr:uid="{00000000-0005-0000-0000-000000230000}"/>
    <cellStyle name="Porcentual 2 21 28" xfId="2818" xr:uid="{00000000-0005-0000-0000-000001230000}"/>
    <cellStyle name="Porcentual 2 21 28 2" xfId="6452" xr:uid="{00000000-0005-0000-0000-000002230000}"/>
    <cellStyle name="Porcentual 2 21 29" xfId="6453" xr:uid="{00000000-0005-0000-0000-000003230000}"/>
    <cellStyle name="Porcentual 2 21 3" xfId="2819" xr:uid="{00000000-0005-0000-0000-000004230000}"/>
    <cellStyle name="Porcentual 2 21 3 2" xfId="6454" xr:uid="{00000000-0005-0000-0000-000005230000}"/>
    <cellStyle name="Porcentual 2 21 4" xfId="2820" xr:uid="{00000000-0005-0000-0000-000006230000}"/>
    <cellStyle name="Porcentual 2 21 4 2" xfId="6455" xr:uid="{00000000-0005-0000-0000-000007230000}"/>
    <cellStyle name="Porcentual 2 21 5" xfId="2821" xr:uid="{00000000-0005-0000-0000-000008230000}"/>
    <cellStyle name="Porcentual 2 21 5 2" xfId="6456" xr:uid="{00000000-0005-0000-0000-000009230000}"/>
    <cellStyle name="Porcentual 2 21 6" xfId="2822" xr:uid="{00000000-0005-0000-0000-00000A230000}"/>
    <cellStyle name="Porcentual 2 21 6 2" xfId="6457" xr:uid="{00000000-0005-0000-0000-00000B230000}"/>
    <cellStyle name="Porcentual 2 21 7" xfId="2823" xr:uid="{00000000-0005-0000-0000-00000C230000}"/>
    <cellStyle name="Porcentual 2 21 7 2" xfId="6458" xr:uid="{00000000-0005-0000-0000-00000D230000}"/>
    <cellStyle name="Porcentual 2 21 8" xfId="2824" xr:uid="{00000000-0005-0000-0000-00000E230000}"/>
    <cellStyle name="Porcentual 2 21 8 2" xfId="6459" xr:uid="{00000000-0005-0000-0000-00000F230000}"/>
    <cellStyle name="Porcentual 2 21 9" xfId="2825" xr:uid="{00000000-0005-0000-0000-000010230000}"/>
    <cellStyle name="Porcentual 2 21 9 2" xfId="6460" xr:uid="{00000000-0005-0000-0000-000011230000}"/>
    <cellStyle name="Porcentual 2 22" xfId="2826" xr:uid="{00000000-0005-0000-0000-000012230000}"/>
    <cellStyle name="Porcentual 2 22 10" xfId="2827" xr:uid="{00000000-0005-0000-0000-000013230000}"/>
    <cellStyle name="Porcentual 2 22 10 2" xfId="6461" xr:uid="{00000000-0005-0000-0000-000014230000}"/>
    <cellStyle name="Porcentual 2 22 11" xfId="2828" xr:uid="{00000000-0005-0000-0000-000015230000}"/>
    <cellStyle name="Porcentual 2 22 11 2" xfId="6462" xr:uid="{00000000-0005-0000-0000-000016230000}"/>
    <cellStyle name="Porcentual 2 22 12" xfId="2829" xr:uid="{00000000-0005-0000-0000-000017230000}"/>
    <cellStyle name="Porcentual 2 22 12 2" xfId="6463" xr:uid="{00000000-0005-0000-0000-000018230000}"/>
    <cellStyle name="Porcentual 2 22 13" xfId="2830" xr:uid="{00000000-0005-0000-0000-000019230000}"/>
    <cellStyle name="Porcentual 2 22 13 2" xfId="6464" xr:uid="{00000000-0005-0000-0000-00001A230000}"/>
    <cellStyle name="Porcentual 2 22 14" xfId="2831" xr:uid="{00000000-0005-0000-0000-00001B230000}"/>
    <cellStyle name="Porcentual 2 22 14 2" xfId="6465" xr:uid="{00000000-0005-0000-0000-00001C230000}"/>
    <cellStyle name="Porcentual 2 22 15" xfId="2832" xr:uid="{00000000-0005-0000-0000-00001D230000}"/>
    <cellStyle name="Porcentual 2 22 15 2" xfId="6466" xr:uid="{00000000-0005-0000-0000-00001E230000}"/>
    <cellStyle name="Porcentual 2 22 16" xfId="2833" xr:uid="{00000000-0005-0000-0000-00001F230000}"/>
    <cellStyle name="Porcentual 2 22 16 2" xfId="6467" xr:uid="{00000000-0005-0000-0000-000020230000}"/>
    <cellStyle name="Porcentual 2 22 17" xfId="2834" xr:uid="{00000000-0005-0000-0000-000021230000}"/>
    <cellStyle name="Porcentual 2 22 17 2" xfId="6468" xr:uid="{00000000-0005-0000-0000-000022230000}"/>
    <cellStyle name="Porcentual 2 22 18" xfId="2835" xr:uid="{00000000-0005-0000-0000-000023230000}"/>
    <cellStyle name="Porcentual 2 22 18 2" xfId="6469" xr:uid="{00000000-0005-0000-0000-000024230000}"/>
    <cellStyle name="Porcentual 2 22 19" xfId="2836" xr:uid="{00000000-0005-0000-0000-000025230000}"/>
    <cellStyle name="Porcentual 2 22 19 2" xfId="6470" xr:uid="{00000000-0005-0000-0000-000026230000}"/>
    <cellStyle name="Porcentual 2 22 2" xfId="2837" xr:uid="{00000000-0005-0000-0000-000027230000}"/>
    <cellStyle name="Porcentual 2 22 2 2" xfId="6471" xr:uid="{00000000-0005-0000-0000-000028230000}"/>
    <cellStyle name="Porcentual 2 22 20" xfId="2838" xr:uid="{00000000-0005-0000-0000-000029230000}"/>
    <cellStyle name="Porcentual 2 22 20 2" xfId="6472" xr:uid="{00000000-0005-0000-0000-00002A230000}"/>
    <cellStyle name="Porcentual 2 22 21" xfId="2839" xr:uid="{00000000-0005-0000-0000-00002B230000}"/>
    <cellStyle name="Porcentual 2 22 21 2" xfId="6473" xr:uid="{00000000-0005-0000-0000-00002C230000}"/>
    <cellStyle name="Porcentual 2 22 22" xfId="2840" xr:uid="{00000000-0005-0000-0000-00002D230000}"/>
    <cellStyle name="Porcentual 2 22 22 2" xfId="6474" xr:uid="{00000000-0005-0000-0000-00002E230000}"/>
    <cellStyle name="Porcentual 2 22 23" xfId="2841" xr:uid="{00000000-0005-0000-0000-00002F230000}"/>
    <cellStyle name="Porcentual 2 22 23 2" xfId="6475" xr:uid="{00000000-0005-0000-0000-000030230000}"/>
    <cellStyle name="Porcentual 2 22 24" xfId="2842" xr:uid="{00000000-0005-0000-0000-000031230000}"/>
    <cellStyle name="Porcentual 2 22 24 2" xfId="6476" xr:uid="{00000000-0005-0000-0000-000032230000}"/>
    <cellStyle name="Porcentual 2 22 25" xfId="2843" xr:uid="{00000000-0005-0000-0000-000033230000}"/>
    <cellStyle name="Porcentual 2 22 25 2" xfId="6477" xr:uid="{00000000-0005-0000-0000-000034230000}"/>
    <cellStyle name="Porcentual 2 22 26" xfId="2844" xr:uid="{00000000-0005-0000-0000-000035230000}"/>
    <cellStyle name="Porcentual 2 22 26 2" xfId="6478" xr:uid="{00000000-0005-0000-0000-000036230000}"/>
    <cellStyle name="Porcentual 2 22 27" xfId="2845" xr:uid="{00000000-0005-0000-0000-000037230000}"/>
    <cellStyle name="Porcentual 2 22 27 2" xfId="6479" xr:uid="{00000000-0005-0000-0000-000038230000}"/>
    <cellStyle name="Porcentual 2 22 28" xfId="2846" xr:uid="{00000000-0005-0000-0000-000039230000}"/>
    <cellStyle name="Porcentual 2 22 28 2" xfId="6480" xr:uid="{00000000-0005-0000-0000-00003A230000}"/>
    <cellStyle name="Porcentual 2 22 29" xfId="6481" xr:uid="{00000000-0005-0000-0000-00003B230000}"/>
    <cellStyle name="Porcentual 2 22 3" xfId="2847" xr:uid="{00000000-0005-0000-0000-00003C230000}"/>
    <cellStyle name="Porcentual 2 22 3 2" xfId="6482" xr:uid="{00000000-0005-0000-0000-00003D230000}"/>
    <cellStyle name="Porcentual 2 22 4" xfId="2848" xr:uid="{00000000-0005-0000-0000-00003E230000}"/>
    <cellStyle name="Porcentual 2 22 4 2" xfId="6483" xr:uid="{00000000-0005-0000-0000-00003F230000}"/>
    <cellStyle name="Porcentual 2 22 5" xfId="2849" xr:uid="{00000000-0005-0000-0000-000040230000}"/>
    <cellStyle name="Porcentual 2 22 5 2" xfId="6484" xr:uid="{00000000-0005-0000-0000-000041230000}"/>
    <cellStyle name="Porcentual 2 22 6" xfId="2850" xr:uid="{00000000-0005-0000-0000-000042230000}"/>
    <cellStyle name="Porcentual 2 22 6 2" xfId="6485" xr:uid="{00000000-0005-0000-0000-000043230000}"/>
    <cellStyle name="Porcentual 2 22 7" xfId="2851" xr:uid="{00000000-0005-0000-0000-000044230000}"/>
    <cellStyle name="Porcentual 2 22 7 2" xfId="6486" xr:uid="{00000000-0005-0000-0000-000045230000}"/>
    <cellStyle name="Porcentual 2 22 8" xfId="2852" xr:uid="{00000000-0005-0000-0000-000046230000}"/>
    <cellStyle name="Porcentual 2 22 8 2" xfId="6487" xr:uid="{00000000-0005-0000-0000-000047230000}"/>
    <cellStyle name="Porcentual 2 22 9" xfId="2853" xr:uid="{00000000-0005-0000-0000-000048230000}"/>
    <cellStyle name="Porcentual 2 22 9 2" xfId="6488" xr:uid="{00000000-0005-0000-0000-000049230000}"/>
    <cellStyle name="Porcentual 2 23" xfId="2854" xr:uid="{00000000-0005-0000-0000-00004A230000}"/>
    <cellStyle name="Porcentual 2 23 10" xfId="2855" xr:uid="{00000000-0005-0000-0000-00004B230000}"/>
    <cellStyle name="Porcentual 2 23 10 2" xfId="6489" xr:uid="{00000000-0005-0000-0000-00004C230000}"/>
    <cellStyle name="Porcentual 2 23 11" xfId="2856" xr:uid="{00000000-0005-0000-0000-00004D230000}"/>
    <cellStyle name="Porcentual 2 23 11 2" xfId="6490" xr:uid="{00000000-0005-0000-0000-00004E230000}"/>
    <cellStyle name="Porcentual 2 23 12" xfId="2857" xr:uid="{00000000-0005-0000-0000-00004F230000}"/>
    <cellStyle name="Porcentual 2 23 12 2" xfId="6491" xr:uid="{00000000-0005-0000-0000-000050230000}"/>
    <cellStyle name="Porcentual 2 23 13" xfId="2858" xr:uid="{00000000-0005-0000-0000-000051230000}"/>
    <cellStyle name="Porcentual 2 23 13 2" xfId="6492" xr:uid="{00000000-0005-0000-0000-000052230000}"/>
    <cellStyle name="Porcentual 2 23 14" xfId="2859" xr:uid="{00000000-0005-0000-0000-000053230000}"/>
    <cellStyle name="Porcentual 2 23 14 2" xfId="6493" xr:uid="{00000000-0005-0000-0000-000054230000}"/>
    <cellStyle name="Porcentual 2 23 15" xfId="2860" xr:uid="{00000000-0005-0000-0000-000055230000}"/>
    <cellStyle name="Porcentual 2 23 15 2" xfId="6494" xr:uid="{00000000-0005-0000-0000-000056230000}"/>
    <cellStyle name="Porcentual 2 23 16" xfId="2861" xr:uid="{00000000-0005-0000-0000-000057230000}"/>
    <cellStyle name="Porcentual 2 23 16 2" xfId="6495" xr:uid="{00000000-0005-0000-0000-000058230000}"/>
    <cellStyle name="Porcentual 2 23 17" xfId="2862" xr:uid="{00000000-0005-0000-0000-000059230000}"/>
    <cellStyle name="Porcentual 2 23 17 2" xfId="6496" xr:uid="{00000000-0005-0000-0000-00005A230000}"/>
    <cellStyle name="Porcentual 2 23 18" xfId="2863" xr:uid="{00000000-0005-0000-0000-00005B230000}"/>
    <cellStyle name="Porcentual 2 23 18 2" xfId="6497" xr:uid="{00000000-0005-0000-0000-00005C230000}"/>
    <cellStyle name="Porcentual 2 23 19" xfId="2864" xr:uid="{00000000-0005-0000-0000-00005D230000}"/>
    <cellStyle name="Porcentual 2 23 19 2" xfId="6498" xr:uid="{00000000-0005-0000-0000-00005E230000}"/>
    <cellStyle name="Porcentual 2 23 2" xfId="2865" xr:uid="{00000000-0005-0000-0000-00005F230000}"/>
    <cellStyle name="Porcentual 2 23 2 2" xfId="6499" xr:uid="{00000000-0005-0000-0000-000060230000}"/>
    <cellStyle name="Porcentual 2 23 20" xfId="2866" xr:uid="{00000000-0005-0000-0000-000061230000}"/>
    <cellStyle name="Porcentual 2 23 20 2" xfId="6500" xr:uid="{00000000-0005-0000-0000-000062230000}"/>
    <cellStyle name="Porcentual 2 23 21" xfId="2867" xr:uid="{00000000-0005-0000-0000-000063230000}"/>
    <cellStyle name="Porcentual 2 23 21 2" xfId="6501" xr:uid="{00000000-0005-0000-0000-000064230000}"/>
    <cellStyle name="Porcentual 2 23 22" xfId="2868" xr:uid="{00000000-0005-0000-0000-000065230000}"/>
    <cellStyle name="Porcentual 2 23 22 2" xfId="6502" xr:uid="{00000000-0005-0000-0000-000066230000}"/>
    <cellStyle name="Porcentual 2 23 23" xfId="2869" xr:uid="{00000000-0005-0000-0000-000067230000}"/>
    <cellStyle name="Porcentual 2 23 23 2" xfId="6503" xr:uid="{00000000-0005-0000-0000-000068230000}"/>
    <cellStyle name="Porcentual 2 23 24" xfId="2870" xr:uid="{00000000-0005-0000-0000-000069230000}"/>
    <cellStyle name="Porcentual 2 23 24 2" xfId="6504" xr:uid="{00000000-0005-0000-0000-00006A230000}"/>
    <cellStyle name="Porcentual 2 23 25" xfId="2871" xr:uid="{00000000-0005-0000-0000-00006B230000}"/>
    <cellStyle name="Porcentual 2 23 25 2" xfId="6505" xr:uid="{00000000-0005-0000-0000-00006C230000}"/>
    <cellStyle name="Porcentual 2 23 26" xfId="2872" xr:uid="{00000000-0005-0000-0000-00006D230000}"/>
    <cellStyle name="Porcentual 2 23 26 2" xfId="6506" xr:uid="{00000000-0005-0000-0000-00006E230000}"/>
    <cellStyle name="Porcentual 2 23 27" xfId="2873" xr:uid="{00000000-0005-0000-0000-00006F230000}"/>
    <cellStyle name="Porcentual 2 23 27 2" xfId="6507" xr:uid="{00000000-0005-0000-0000-000070230000}"/>
    <cellStyle name="Porcentual 2 23 28" xfId="2874" xr:uid="{00000000-0005-0000-0000-000071230000}"/>
    <cellStyle name="Porcentual 2 23 28 2" xfId="6508" xr:uid="{00000000-0005-0000-0000-000072230000}"/>
    <cellStyle name="Porcentual 2 23 29" xfId="6509" xr:uid="{00000000-0005-0000-0000-000073230000}"/>
    <cellStyle name="Porcentual 2 23 3" xfId="2875" xr:uid="{00000000-0005-0000-0000-000074230000}"/>
    <cellStyle name="Porcentual 2 23 3 2" xfId="6510" xr:uid="{00000000-0005-0000-0000-000075230000}"/>
    <cellStyle name="Porcentual 2 23 4" xfId="2876" xr:uid="{00000000-0005-0000-0000-000076230000}"/>
    <cellStyle name="Porcentual 2 23 4 2" xfId="6511" xr:uid="{00000000-0005-0000-0000-000077230000}"/>
    <cellStyle name="Porcentual 2 23 5" xfId="2877" xr:uid="{00000000-0005-0000-0000-000078230000}"/>
    <cellStyle name="Porcentual 2 23 5 2" xfId="6512" xr:uid="{00000000-0005-0000-0000-000079230000}"/>
    <cellStyle name="Porcentual 2 23 6" xfId="2878" xr:uid="{00000000-0005-0000-0000-00007A230000}"/>
    <cellStyle name="Porcentual 2 23 6 2" xfId="6513" xr:uid="{00000000-0005-0000-0000-00007B230000}"/>
    <cellStyle name="Porcentual 2 23 7" xfId="2879" xr:uid="{00000000-0005-0000-0000-00007C230000}"/>
    <cellStyle name="Porcentual 2 23 7 2" xfId="6514" xr:uid="{00000000-0005-0000-0000-00007D230000}"/>
    <cellStyle name="Porcentual 2 23 8" xfId="2880" xr:uid="{00000000-0005-0000-0000-00007E230000}"/>
    <cellStyle name="Porcentual 2 23 8 2" xfId="6515" xr:uid="{00000000-0005-0000-0000-00007F230000}"/>
    <cellStyle name="Porcentual 2 23 9" xfId="2881" xr:uid="{00000000-0005-0000-0000-000080230000}"/>
    <cellStyle name="Porcentual 2 23 9 2" xfId="6516" xr:uid="{00000000-0005-0000-0000-000081230000}"/>
    <cellStyle name="Porcentual 2 24" xfId="2882" xr:uid="{00000000-0005-0000-0000-000082230000}"/>
    <cellStyle name="Porcentual 2 24 10" xfId="2883" xr:uid="{00000000-0005-0000-0000-000083230000}"/>
    <cellStyle name="Porcentual 2 24 10 2" xfId="6517" xr:uid="{00000000-0005-0000-0000-000084230000}"/>
    <cellStyle name="Porcentual 2 24 11" xfId="2884" xr:uid="{00000000-0005-0000-0000-000085230000}"/>
    <cellStyle name="Porcentual 2 24 11 2" xfId="6518" xr:uid="{00000000-0005-0000-0000-000086230000}"/>
    <cellStyle name="Porcentual 2 24 12" xfId="2885" xr:uid="{00000000-0005-0000-0000-000087230000}"/>
    <cellStyle name="Porcentual 2 24 12 2" xfId="6519" xr:uid="{00000000-0005-0000-0000-000088230000}"/>
    <cellStyle name="Porcentual 2 24 13" xfId="2886" xr:uid="{00000000-0005-0000-0000-000089230000}"/>
    <cellStyle name="Porcentual 2 24 13 2" xfId="6520" xr:uid="{00000000-0005-0000-0000-00008A230000}"/>
    <cellStyle name="Porcentual 2 24 14" xfId="2887" xr:uid="{00000000-0005-0000-0000-00008B230000}"/>
    <cellStyle name="Porcentual 2 24 14 2" xfId="6521" xr:uid="{00000000-0005-0000-0000-00008C230000}"/>
    <cellStyle name="Porcentual 2 24 15" xfId="2888" xr:uid="{00000000-0005-0000-0000-00008D230000}"/>
    <cellStyle name="Porcentual 2 24 15 2" xfId="6522" xr:uid="{00000000-0005-0000-0000-00008E230000}"/>
    <cellStyle name="Porcentual 2 24 16" xfId="2889" xr:uid="{00000000-0005-0000-0000-00008F230000}"/>
    <cellStyle name="Porcentual 2 24 16 2" xfId="6523" xr:uid="{00000000-0005-0000-0000-000090230000}"/>
    <cellStyle name="Porcentual 2 24 17" xfId="2890" xr:uid="{00000000-0005-0000-0000-000091230000}"/>
    <cellStyle name="Porcentual 2 24 17 2" xfId="6524" xr:uid="{00000000-0005-0000-0000-000092230000}"/>
    <cellStyle name="Porcentual 2 24 18" xfId="2891" xr:uid="{00000000-0005-0000-0000-000093230000}"/>
    <cellStyle name="Porcentual 2 24 18 2" xfId="6525" xr:uid="{00000000-0005-0000-0000-000094230000}"/>
    <cellStyle name="Porcentual 2 24 19" xfId="2892" xr:uid="{00000000-0005-0000-0000-000095230000}"/>
    <cellStyle name="Porcentual 2 24 19 2" xfId="6526" xr:uid="{00000000-0005-0000-0000-000096230000}"/>
    <cellStyle name="Porcentual 2 24 2" xfId="2893" xr:uid="{00000000-0005-0000-0000-000097230000}"/>
    <cellStyle name="Porcentual 2 24 2 2" xfId="6527" xr:uid="{00000000-0005-0000-0000-000098230000}"/>
    <cellStyle name="Porcentual 2 24 20" xfId="2894" xr:uid="{00000000-0005-0000-0000-000099230000}"/>
    <cellStyle name="Porcentual 2 24 20 2" xfId="6528" xr:uid="{00000000-0005-0000-0000-00009A230000}"/>
    <cellStyle name="Porcentual 2 24 21" xfId="2895" xr:uid="{00000000-0005-0000-0000-00009B230000}"/>
    <cellStyle name="Porcentual 2 24 21 2" xfId="6529" xr:uid="{00000000-0005-0000-0000-00009C230000}"/>
    <cellStyle name="Porcentual 2 24 22" xfId="2896" xr:uid="{00000000-0005-0000-0000-00009D230000}"/>
    <cellStyle name="Porcentual 2 24 22 2" xfId="6530" xr:uid="{00000000-0005-0000-0000-00009E230000}"/>
    <cellStyle name="Porcentual 2 24 23" xfId="2897" xr:uid="{00000000-0005-0000-0000-00009F230000}"/>
    <cellStyle name="Porcentual 2 24 23 2" xfId="6531" xr:uid="{00000000-0005-0000-0000-0000A0230000}"/>
    <cellStyle name="Porcentual 2 24 24" xfId="2898" xr:uid="{00000000-0005-0000-0000-0000A1230000}"/>
    <cellStyle name="Porcentual 2 24 24 2" xfId="6532" xr:uid="{00000000-0005-0000-0000-0000A2230000}"/>
    <cellStyle name="Porcentual 2 24 25" xfId="2899" xr:uid="{00000000-0005-0000-0000-0000A3230000}"/>
    <cellStyle name="Porcentual 2 24 25 2" xfId="6533" xr:uid="{00000000-0005-0000-0000-0000A4230000}"/>
    <cellStyle name="Porcentual 2 24 26" xfId="2900" xr:uid="{00000000-0005-0000-0000-0000A5230000}"/>
    <cellStyle name="Porcentual 2 24 26 2" xfId="6534" xr:uid="{00000000-0005-0000-0000-0000A6230000}"/>
    <cellStyle name="Porcentual 2 24 27" xfId="2901" xr:uid="{00000000-0005-0000-0000-0000A7230000}"/>
    <cellStyle name="Porcentual 2 24 27 2" xfId="6535" xr:uid="{00000000-0005-0000-0000-0000A8230000}"/>
    <cellStyle name="Porcentual 2 24 28" xfId="2902" xr:uid="{00000000-0005-0000-0000-0000A9230000}"/>
    <cellStyle name="Porcentual 2 24 28 2" xfId="6536" xr:uid="{00000000-0005-0000-0000-0000AA230000}"/>
    <cellStyle name="Porcentual 2 24 29" xfId="6537" xr:uid="{00000000-0005-0000-0000-0000AB230000}"/>
    <cellStyle name="Porcentual 2 24 3" xfId="2903" xr:uid="{00000000-0005-0000-0000-0000AC230000}"/>
    <cellStyle name="Porcentual 2 24 3 2" xfId="6538" xr:uid="{00000000-0005-0000-0000-0000AD230000}"/>
    <cellStyle name="Porcentual 2 24 4" xfId="2904" xr:uid="{00000000-0005-0000-0000-0000AE230000}"/>
    <cellStyle name="Porcentual 2 24 4 2" xfId="6539" xr:uid="{00000000-0005-0000-0000-0000AF230000}"/>
    <cellStyle name="Porcentual 2 24 5" xfId="2905" xr:uid="{00000000-0005-0000-0000-0000B0230000}"/>
    <cellStyle name="Porcentual 2 24 5 2" xfId="6540" xr:uid="{00000000-0005-0000-0000-0000B1230000}"/>
    <cellStyle name="Porcentual 2 24 6" xfId="2906" xr:uid="{00000000-0005-0000-0000-0000B2230000}"/>
    <cellStyle name="Porcentual 2 24 6 2" xfId="6541" xr:uid="{00000000-0005-0000-0000-0000B3230000}"/>
    <cellStyle name="Porcentual 2 24 7" xfId="2907" xr:uid="{00000000-0005-0000-0000-0000B4230000}"/>
    <cellStyle name="Porcentual 2 24 7 2" xfId="6542" xr:uid="{00000000-0005-0000-0000-0000B5230000}"/>
    <cellStyle name="Porcentual 2 24 8" xfId="2908" xr:uid="{00000000-0005-0000-0000-0000B6230000}"/>
    <cellStyle name="Porcentual 2 24 8 2" xfId="6543" xr:uid="{00000000-0005-0000-0000-0000B7230000}"/>
    <cellStyle name="Porcentual 2 24 9" xfId="2909" xr:uid="{00000000-0005-0000-0000-0000B8230000}"/>
    <cellStyle name="Porcentual 2 24 9 2" xfId="6544" xr:uid="{00000000-0005-0000-0000-0000B9230000}"/>
    <cellStyle name="Porcentual 2 25" xfId="2910" xr:uid="{00000000-0005-0000-0000-0000BA230000}"/>
    <cellStyle name="Porcentual 2 25 10" xfId="2911" xr:uid="{00000000-0005-0000-0000-0000BB230000}"/>
    <cellStyle name="Porcentual 2 25 10 2" xfId="6545" xr:uid="{00000000-0005-0000-0000-0000BC230000}"/>
    <cellStyle name="Porcentual 2 25 11" xfId="2912" xr:uid="{00000000-0005-0000-0000-0000BD230000}"/>
    <cellStyle name="Porcentual 2 25 11 2" xfId="6546" xr:uid="{00000000-0005-0000-0000-0000BE230000}"/>
    <cellStyle name="Porcentual 2 25 12" xfId="2913" xr:uid="{00000000-0005-0000-0000-0000BF230000}"/>
    <cellStyle name="Porcentual 2 25 12 2" xfId="6547" xr:uid="{00000000-0005-0000-0000-0000C0230000}"/>
    <cellStyle name="Porcentual 2 25 13" xfId="2914" xr:uid="{00000000-0005-0000-0000-0000C1230000}"/>
    <cellStyle name="Porcentual 2 25 13 2" xfId="6548" xr:uid="{00000000-0005-0000-0000-0000C2230000}"/>
    <cellStyle name="Porcentual 2 25 14" xfId="2915" xr:uid="{00000000-0005-0000-0000-0000C3230000}"/>
    <cellStyle name="Porcentual 2 25 14 2" xfId="6549" xr:uid="{00000000-0005-0000-0000-0000C4230000}"/>
    <cellStyle name="Porcentual 2 25 15" xfId="2916" xr:uid="{00000000-0005-0000-0000-0000C5230000}"/>
    <cellStyle name="Porcentual 2 25 15 2" xfId="6550" xr:uid="{00000000-0005-0000-0000-0000C6230000}"/>
    <cellStyle name="Porcentual 2 25 16" xfId="2917" xr:uid="{00000000-0005-0000-0000-0000C7230000}"/>
    <cellStyle name="Porcentual 2 25 16 2" xfId="6551" xr:uid="{00000000-0005-0000-0000-0000C8230000}"/>
    <cellStyle name="Porcentual 2 25 17" xfId="2918" xr:uid="{00000000-0005-0000-0000-0000C9230000}"/>
    <cellStyle name="Porcentual 2 25 17 2" xfId="6552" xr:uid="{00000000-0005-0000-0000-0000CA230000}"/>
    <cellStyle name="Porcentual 2 25 18" xfId="2919" xr:uid="{00000000-0005-0000-0000-0000CB230000}"/>
    <cellStyle name="Porcentual 2 25 18 2" xfId="6553" xr:uid="{00000000-0005-0000-0000-0000CC230000}"/>
    <cellStyle name="Porcentual 2 25 19" xfId="2920" xr:uid="{00000000-0005-0000-0000-0000CD230000}"/>
    <cellStyle name="Porcentual 2 25 19 2" xfId="6554" xr:uid="{00000000-0005-0000-0000-0000CE230000}"/>
    <cellStyle name="Porcentual 2 25 2" xfId="2921" xr:uid="{00000000-0005-0000-0000-0000CF230000}"/>
    <cellStyle name="Porcentual 2 25 2 2" xfId="6555" xr:uid="{00000000-0005-0000-0000-0000D0230000}"/>
    <cellStyle name="Porcentual 2 25 20" xfId="2922" xr:uid="{00000000-0005-0000-0000-0000D1230000}"/>
    <cellStyle name="Porcentual 2 25 20 2" xfId="6556" xr:uid="{00000000-0005-0000-0000-0000D2230000}"/>
    <cellStyle name="Porcentual 2 25 21" xfId="2923" xr:uid="{00000000-0005-0000-0000-0000D3230000}"/>
    <cellStyle name="Porcentual 2 25 21 2" xfId="6557" xr:uid="{00000000-0005-0000-0000-0000D4230000}"/>
    <cellStyle name="Porcentual 2 25 22" xfId="2924" xr:uid="{00000000-0005-0000-0000-0000D5230000}"/>
    <cellStyle name="Porcentual 2 25 22 2" xfId="6558" xr:uid="{00000000-0005-0000-0000-0000D6230000}"/>
    <cellStyle name="Porcentual 2 25 23" xfId="2925" xr:uid="{00000000-0005-0000-0000-0000D7230000}"/>
    <cellStyle name="Porcentual 2 25 23 2" xfId="6559" xr:uid="{00000000-0005-0000-0000-0000D8230000}"/>
    <cellStyle name="Porcentual 2 25 24" xfId="2926" xr:uid="{00000000-0005-0000-0000-0000D9230000}"/>
    <cellStyle name="Porcentual 2 25 24 2" xfId="6560" xr:uid="{00000000-0005-0000-0000-0000DA230000}"/>
    <cellStyle name="Porcentual 2 25 25" xfId="2927" xr:uid="{00000000-0005-0000-0000-0000DB230000}"/>
    <cellStyle name="Porcentual 2 25 25 2" xfId="6561" xr:uid="{00000000-0005-0000-0000-0000DC230000}"/>
    <cellStyle name="Porcentual 2 25 26" xfId="2928" xr:uid="{00000000-0005-0000-0000-0000DD230000}"/>
    <cellStyle name="Porcentual 2 25 26 2" xfId="6562" xr:uid="{00000000-0005-0000-0000-0000DE230000}"/>
    <cellStyle name="Porcentual 2 25 27" xfId="2929" xr:uid="{00000000-0005-0000-0000-0000DF230000}"/>
    <cellStyle name="Porcentual 2 25 27 2" xfId="6563" xr:uid="{00000000-0005-0000-0000-0000E0230000}"/>
    <cellStyle name="Porcentual 2 25 28" xfId="2930" xr:uid="{00000000-0005-0000-0000-0000E1230000}"/>
    <cellStyle name="Porcentual 2 25 28 2" xfId="6564" xr:uid="{00000000-0005-0000-0000-0000E2230000}"/>
    <cellStyle name="Porcentual 2 25 29" xfId="6565" xr:uid="{00000000-0005-0000-0000-0000E3230000}"/>
    <cellStyle name="Porcentual 2 25 3" xfId="2931" xr:uid="{00000000-0005-0000-0000-0000E4230000}"/>
    <cellStyle name="Porcentual 2 25 3 2" xfId="6566" xr:uid="{00000000-0005-0000-0000-0000E5230000}"/>
    <cellStyle name="Porcentual 2 25 4" xfId="2932" xr:uid="{00000000-0005-0000-0000-0000E6230000}"/>
    <cellStyle name="Porcentual 2 25 4 2" xfId="6567" xr:uid="{00000000-0005-0000-0000-0000E7230000}"/>
    <cellStyle name="Porcentual 2 25 5" xfId="2933" xr:uid="{00000000-0005-0000-0000-0000E8230000}"/>
    <cellStyle name="Porcentual 2 25 5 2" xfId="6568" xr:uid="{00000000-0005-0000-0000-0000E9230000}"/>
    <cellStyle name="Porcentual 2 25 6" xfId="2934" xr:uid="{00000000-0005-0000-0000-0000EA230000}"/>
    <cellStyle name="Porcentual 2 25 6 2" xfId="6569" xr:uid="{00000000-0005-0000-0000-0000EB230000}"/>
    <cellStyle name="Porcentual 2 25 7" xfId="2935" xr:uid="{00000000-0005-0000-0000-0000EC230000}"/>
    <cellStyle name="Porcentual 2 25 7 2" xfId="6570" xr:uid="{00000000-0005-0000-0000-0000ED230000}"/>
    <cellStyle name="Porcentual 2 25 8" xfId="2936" xr:uid="{00000000-0005-0000-0000-0000EE230000}"/>
    <cellStyle name="Porcentual 2 25 8 2" xfId="6571" xr:uid="{00000000-0005-0000-0000-0000EF230000}"/>
    <cellStyle name="Porcentual 2 25 9" xfId="2937" xr:uid="{00000000-0005-0000-0000-0000F0230000}"/>
    <cellStyle name="Porcentual 2 25 9 2" xfId="6572" xr:uid="{00000000-0005-0000-0000-0000F1230000}"/>
    <cellStyle name="Porcentual 2 26" xfId="2938" xr:uid="{00000000-0005-0000-0000-0000F2230000}"/>
    <cellStyle name="Porcentual 2 26 10" xfId="2939" xr:uid="{00000000-0005-0000-0000-0000F3230000}"/>
    <cellStyle name="Porcentual 2 26 10 2" xfId="6573" xr:uid="{00000000-0005-0000-0000-0000F4230000}"/>
    <cellStyle name="Porcentual 2 26 11" xfId="2940" xr:uid="{00000000-0005-0000-0000-0000F5230000}"/>
    <cellStyle name="Porcentual 2 26 11 2" xfId="6574" xr:uid="{00000000-0005-0000-0000-0000F6230000}"/>
    <cellStyle name="Porcentual 2 26 12" xfId="2941" xr:uid="{00000000-0005-0000-0000-0000F7230000}"/>
    <cellStyle name="Porcentual 2 26 12 2" xfId="6575" xr:uid="{00000000-0005-0000-0000-0000F8230000}"/>
    <cellStyle name="Porcentual 2 26 13" xfId="2942" xr:uid="{00000000-0005-0000-0000-0000F9230000}"/>
    <cellStyle name="Porcentual 2 26 13 2" xfId="6576" xr:uid="{00000000-0005-0000-0000-0000FA230000}"/>
    <cellStyle name="Porcentual 2 26 14" xfId="2943" xr:uid="{00000000-0005-0000-0000-0000FB230000}"/>
    <cellStyle name="Porcentual 2 26 14 2" xfId="6577" xr:uid="{00000000-0005-0000-0000-0000FC230000}"/>
    <cellStyle name="Porcentual 2 26 15" xfId="2944" xr:uid="{00000000-0005-0000-0000-0000FD230000}"/>
    <cellStyle name="Porcentual 2 26 15 2" xfId="6578" xr:uid="{00000000-0005-0000-0000-0000FE230000}"/>
    <cellStyle name="Porcentual 2 26 16" xfId="2945" xr:uid="{00000000-0005-0000-0000-0000FF230000}"/>
    <cellStyle name="Porcentual 2 26 16 2" xfId="6579" xr:uid="{00000000-0005-0000-0000-000000240000}"/>
    <cellStyle name="Porcentual 2 26 17" xfId="2946" xr:uid="{00000000-0005-0000-0000-000001240000}"/>
    <cellStyle name="Porcentual 2 26 17 2" xfId="6580" xr:uid="{00000000-0005-0000-0000-000002240000}"/>
    <cellStyle name="Porcentual 2 26 18" xfId="2947" xr:uid="{00000000-0005-0000-0000-000003240000}"/>
    <cellStyle name="Porcentual 2 26 18 2" xfId="6581" xr:uid="{00000000-0005-0000-0000-000004240000}"/>
    <cellStyle name="Porcentual 2 26 19" xfId="2948" xr:uid="{00000000-0005-0000-0000-000005240000}"/>
    <cellStyle name="Porcentual 2 26 19 2" xfId="6582" xr:uid="{00000000-0005-0000-0000-000006240000}"/>
    <cellStyle name="Porcentual 2 26 2" xfId="2949" xr:uid="{00000000-0005-0000-0000-000007240000}"/>
    <cellStyle name="Porcentual 2 26 2 2" xfId="6583" xr:uid="{00000000-0005-0000-0000-000008240000}"/>
    <cellStyle name="Porcentual 2 26 20" xfId="2950" xr:uid="{00000000-0005-0000-0000-000009240000}"/>
    <cellStyle name="Porcentual 2 26 20 2" xfId="6584" xr:uid="{00000000-0005-0000-0000-00000A240000}"/>
    <cellStyle name="Porcentual 2 26 21" xfId="2951" xr:uid="{00000000-0005-0000-0000-00000B240000}"/>
    <cellStyle name="Porcentual 2 26 21 2" xfId="6585" xr:uid="{00000000-0005-0000-0000-00000C240000}"/>
    <cellStyle name="Porcentual 2 26 22" xfId="2952" xr:uid="{00000000-0005-0000-0000-00000D240000}"/>
    <cellStyle name="Porcentual 2 26 22 2" xfId="6586" xr:uid="{00000000-0005-0000-0000-00000E240000}"/>
    <cellStyle name="Porcentual 2 26 23" xfId="2953" xr:uid="{00000000-0005-0000-0000-00000F240000}"/>
    <cellStyle name="Porcentual 2 26 23 2" xfId="6587" xr:uid="{00000000-0005-0000-0000-000010240000}"/>
    <cellStyle name="Porcentual 2 26 24" xfId="2954" xr:uid="{00000000-0005-0000-0000-000011240000}"/>
    <cellStyle name="Porcentual 2 26 24 2" xfId="6588" xr:uid="{00000000-0005-0000-0000-000012240000}"/>
    <cellStyle name="Porcentual 2 26 25" xfId="2955" xr:uid="{00000000-0005-0000-0000-000013240000}"/>
    <cellStyle name="Porcentual 2 26 25 2" xfId="6589" xr:uid="{00000000-0005-0000-0000-000014240000}"/>
    <cellStyle name="Porcentual 2 26 26" xfId="2956" xr:uid="{00000000-0005-0000-0000-000015240000}"/>
    <cellStyle name="Porcentual 2 26 26 2" xfId="6590" xr:uid="{00000000-0005-0000-0000-000016240000}"/>
    <cellStyle name="Porcentual 2 26 27" xfId="2957" xr:uid="{00000000-0005-0000-0000-000017240000}"/>
    <cellStyle name="Porcentual 2 26 27 2" xfId="6591" xr:uid="{00000000-0005-0000-0000-000018240000}"/>
    <cellStyle name="Porcentual 2 26 28" xfId="2958" xr:uid="{00000000-0005-0000-0000-000019240000}"/>
    <cellStyle name="Porcentual 2 26 28 2" xfId="6592" xr:uid="{00000000-0005-0000-0000-00001A240000}"/>
    <cellStyle name="Porcentual 2 26 29" xfId="6593" xr:uid="{00000000-0005-0000-0000-00001B240000}"/>
    <cellStyle name="Porcentual 2 26 3" xfId="2959" xr:uid="{00000000-0005-0000-0000-00001C240000}"/>
    <cellStyle name="Porcentual 2 26 3 2" xfId="6594" xr:uid="{00000000-0005-0000-0000-00001D240000}"/>
    <cellStyle name="Porcentual 2 26 4" xfId="2960" xr:uid="{00000000-0005-0000-0000-00001E240000}"/>
    <cellStyle name="Porcentual 2 26 4 2" xfId="6595" xr:uid="{00000000-0005-0000-0000-00001F240000}"/>
    <cellStyle name="Porcentual 2 26 5" xfId="2961" xr:uid="{00000000-0005-0000-0000-000020240000}"/>
    <cellStyle name="Porcentual 2 26 5 2" xfId="6596" xr:uid="{00000000-0005-0000-0000-000021240000}"/>
    <cellStyle name="Porcentual 2 26 6" xfId="2962" xr:uid="{00000000-0005-0000-0000-000022240000}"/>
    <cellStyle name="Porcentual 2 26 6 2" xfId="6597" xr:uid="{00000000-0005-0000-0000-000023240000}"/>
    <cellStyle name="Porcentual 2 26 7" xfId="2963" xr:uid="{00000000-0005-0000-0000-000024240000}"/>
    <cellStyle name="Porcentual 2 26 7 2" xfId="6598" xr:uid="{00000000-0005-0000-0000-000025240000}"/>
    <cellStyle name="Porcentual 2 26 8" xfId="2964" xr:uid="{00000000-0005-0000-0000-000026240000}"/>
    <cellStyle name="Porcentual 2 26 8 2" xfId="6599" xr:uid="{00000000-0005-0000-0000-000027240000}"/>
    <cellStyle name="Porcentual 2 26 9" xfId="2965" xr:uid="{00000000-0005-0000-0000-000028240000}"/>
    <cellStyle name="Porcentual 2 26 9 2" xfId="6600" xr:uid="{00000000-0005-0000-0000-000029240000}"/>
    <cellStyle name="Porcentual 2 27" xfId="2966" xr:uid="{00000000-0005-0000-0000-00002A240000}"/>
    <cellStyle name="Porcentual 2 27 10" xfId="2967" xr:uid="{00000000-0005-0000-0000-00002B240000}"/>
    <cellStyle name="Porcentual 2 27 10 2" xfId="6601" xr:uid="{00000000-0005-0000-0000-00002C240000}"/>
    <cellStyle name="Porcentual 2 27 11" xfId="2968" xr:uid="{00000000-0005-0000-0000-00002D240000}"/>
    <cellStyle name="Porcentual 2 27 11 2" xfId="6602" xr:uid="{00000000-0005-0000-0000-00002E240000}"/>
    <cellStyle name="Porcentual 2 27 12" xfId="2969" xr:uid="{00000000-0005-0000-0000-00002F240000}"/>
    <cellStyle name="Porcentual 2 27 12 2" xfId="6603" xr:uid="{00000000-0005-0000-0000-000030240000}"/>
    <cellStyle name="Porcentual 2 27 13" xfId="2970" xr:uid="{00000000-0005-0000-0000-000031240000}"/>
    <cellStyle name="Porcentual 2 27 13 2" xfId="6604" xr:uid="{00000000-0005-0000-0000-000032240000}"/>
    <cellStyle name="Porcentual 2 27 14" xfId="2971" xr:uid="{00000000-0005-0000-0000-000033240000}"/>
    <cellStyle name="Porcentual 2 27 14 2" xfId="6605" xr:uid="{00000000-0005-0000-0000-000034240000}"/>
    <cellStyle name="Porcentual 2 27 15" xfId="2972" xr:uid="{00000000-0005-0000-0000-000035240000}"/>
    <cellStyle name="Porcentual 2 27 15 2" xfId="6606" xr:uid="{00000000-0005-0000-0000-000036240000}"/>
    <cellStyle name="Porcentual 2 27 16" xfId="2973" xr:uid="{00000000-0005-0000-0000-000037240000}"/>
    <cellStyle name="Porcentual 2 27 16 2" xfId="6607" xr:uid="{00000000-0005-0000-0000-000038240000}"/>
    <cellStyle name="Porcentual 2 27 17" xfId="2974" xr:uid="{00000000-0005-0000-0000-000039240000}"/>
    <cellStyle name="Porcentual 2 27 17 2" xfId="6608" xr:uid="{00000000-0005-0000-0000-00003A240000}"/>
    <cellStyle name="Porcentual 2 27 18" xfId="2975" xr:uid="{00000000-0005-0000-0000-00003B240000}"/>
    <cellStyle name="Porcentual 2 27 18 2" xfId="6609" xr:uid="{00000000-0005-0000-0000-00003C240000}"/>
    <cellStyle name="Porcentual 2 27 19" xfId="2976" xr:uid="{00000000-0005-0000-0000-00003D240000}"/>
    <cellStyle name="Porcentual 2 27 19 2" xfId="6610" xr:uid="{00000000-0005-0000-0000-00003E240000}"/>
    <cellStyle name="Porcentual 2 27 2" xfId="2977" xr:uid="{00000000-0005-0000-0000-00003F240000}"/>
    <cellStyle name="Porcentual 2 27 2 2" xfId="6611" xr:uid="{00000000-0005-0000-0000-000040240000}"/>
    <cellStyle name="Porcentual 2 27 20" xfId="2978" xr:uid="{00000000-0005-0000-0000-000041240000}"/>
    <cellStyle name="Porcentual 2 27 20 2" xfId="6612" xr:uid="{00000000-0005-0000-0000-000042240000}"/>
    <cellStyle name="Porcentual 2 27 21" xfId="2979" xr:uid="{00000000-0005-0000-0000-000043240000}"/>
    <cellStyle name="Porcentual 2 27 21 2" xfId="6613" xr:uid="{00000000-0005-0000-0000-000044240000}"/>
    <cellStyle name="Porcentual 2 27 22" xfId="2980" xr:uid="{00000000-0005-0000-0000-000045240000}"/>
    <cellStyle name="Porcentual 2 27 22 2" xfId="6614" xr:uid="{00000000-0005-0000-0000-000046240000}"/>
    <cellStyle name="Porcentual 2 27 23" xfId="2981" xr:uid="{00000000-0005-0000-0000-000047240000}"/>
    <cellStyle name="Porcentual 2 27 23 2" xfId="6615" xr:uid="{00000000-0005-0000-0000-000048240000}"/>
    <cellStyle name="Porcentual 2 27 24" xfId="2982" xr:uid="{00000000-0005-0000-0000-000049240000}"/>
    <cellStyle name="Porcentual 2 27 24 2" xfId="6616" xr:uid="{00000000-0005-0000-0000-00004A240000}"/>
    <cellStyle name="Porcentual 2 27 25" xfId="2983" xr:uid="{00000000-0005-0000-0000-00004B240000}"/>
    <cellStyle name="Porcentual 2 27 25 2" xfId="6617" xr:uid="{00000000-0005-0000-0000-00004C240000}"/>
    <cellStyle name="Porcentual 2 27 26" xfId="2984" xr:uid="{00000000-0005-0000-0000-00004D240000}"/>
    <cellStyle name="Porcentual 2 27 26 2" xfId="6618" xr:uid="{00000000-0005-0000-0000-00004E240000}"/>
    <cellStyle name="Porcentual 2 27 27" xfId="2985" xr:uid="{00000000-0005-0000-0000-00004F240000}"/>
    <cellStyle name="Porcentual 2 27 27 2" xfId="6619" xr:uid="{00000000-0005-0000-0000-000050240000}"/>
    <cellStyle name="Porcentual 2 27 28" xfId="2986" xr:uid="{00000000-0005-0000-0000-000051240000}"/>
    <cellStyle name="Porcentual 2 27 28 2" xfId="6620" xr:uid="{00000000-0005-0000-0000-000052240000}"/>
    <cellStyle name="Porcentual 2 27 29" xfId="6621" xr:uid="{00000000-0005-0000-0000-000053240000}"/>
    <cellStyle name="Porcentual 2 27 3" xfId="2987" xr:uid="{00000000-0005-0000-0000-000054240000}"/>
    <cellStyle name="Porcentual 2 27 3 2" xfId="6622" xr:uid="{00000000-0005-0000-0000-000055240000}"/>
    <cellStyle name="Porcentual 2 27 4" xfId="2988" xr:uid="{00000000-0005-0000-0000-000056240000}"/>
    <cellStyle name="Porcentual 2 27 4 2" xfId="6623" xr:uid="{00000000-0005-0000-0000-000057240000}"/>
    <cellStyle name="Porcentual 2 27 5" xfId="2989" xr:uid="{00000000-0005-0000-0000-000058240000}"/>
    <cellStyle name="Porcentual 2 27 5 2" xfId="6624" xr:uid="{00000000-0005-0000-0000-000059240000}"/>
    <cellStyle name="Porcentual 2 27 6" xfId="2990" xr:uid="{00000000-0005-0000-0000-00005A240000}"/>
    <cellStyle name="Porcentual 2 27 6 2" xfId="6625" xr:uid="{00000000-0005-0000-0000-00005B240000}"/>
    <cellStyle name="Porcentual 2 27 7" xfId="2991" xr:uid="{00000000-0005-0000-0000-00005C240000}"/>
    <cellStyle name="Porcentual 2 27 7 2" xfId="6626" xr:uid="{00000000-0005-0000-0000-00005D240000}"/>
    <cellStyle name="Porcentual 2 27 8" xfId="2992" xr:uid="{00000000-0005-0000-0000-00005E240000}"/>
    <cellStyle name="Porcentual 2 27 8 2" xfId="6627" xr:uid="{00000000-0005-0000-0000-00005F240000}"/>
    <cellStyle name="Porcentual 2 27 9" xfId="2993" xr:uid="{00000000-0005-0000-0000-000060240000}"/>
    <cellStyle name="Porcentual 2 27 9 2" xfId="6628" xr:uid="{00000000-0005-0000-0000-000061240000}"/>
    <cellStyle name="Porcentual 2 28" xfId="2994" xr:uid="{00000000-0005-0000-0000-000062240000}"/>
    <cellStyle name="Porcentual 2 28 10" xfId="2995" xr:uid="{00000000-0005-0000-0000-000063240000}"/>
    <cellStyle name="Porcentual 2 28 10 2" xfId="6629" xr:uid="{00000000-0005-0000-0000-000064240000}"/>
    <cellStyle name="Porcentual 2 28 11" xfId="2996" xr:uid="{00000000-0005-0000-0000-000065240000}"/>
    <cellStyle name="Porcentual 2 28 11 2" xfId="6630" xr:uid="{00000000-0005-0000-0000-000066240000}"/>
    <cellStyle name="Porcentual 2 28 12" xfId="2997" xr:uid="{00000000-0005-0000-0000-000067240000}"/>
    <cellStyle name="Porcentual 2 28 12 2" xfId="6631" xr:uid="{00000000-0005-0000-0000-000068240000}"/>
    <cellStyle name="Porcentual 2 28 13" xfId="2998" xr:uid="{00000000-0005-0000-0000-000069240000}"/>
    <cellStyle name="Porcentual 2 28 13 2" xfId="6632" xr:uid="{00000000-0005-0000-0000-00006A240000}"/>
    <cellStyle name="Porcentual 2 28 14" xfId="2999" xr:uid="{00000000-0005-0000-0000-00006B240000}"/>
    <cellStyle name="Porcentual 2 28 14 2" xfId="6633" xr:uid="{00000000-0005-0000-0000-00006C240000}"/>
    <cellStyle name="Porcentual 2 28 15" xfId="3000" xr:uid="{00000000-0005-0000-0000-00006D240000}"/>
    <cellStyle name="Porcentual 2 28 15 2" xfId="6634" xr:uid="{00000000-0005-0000-0000-00006E240000}"/>
    <cellStyle name="Porcentual 2 28 16" xfId="3001" xr:uid="{00000000-0005-0000-0000-00006F240000}"/>
    <cellStyle name="Porcentual 2 28 16 2" xfId="6635" xr:uid="{00000000-0005-0000-0000-000070240000}"/>
    <cellStyle name="Porcentual 2 28 17" xfId="3002" xr:uid="{00000000-0005-0000-0000-000071240000}"/>
    <cellStyle name="Porcentual 2 28 17 2" xfId="6636" xr:uid="{00000000-0005-0000-0000-000072240000}"/>
    <cellStyle name="Porcentual 2 28 18" xfId="3003" xr:uid="{00000000-0005-0000-0000-000073240000}"/>
    <cellStyle name="Porcentual 2 28 18 2" xfId="6637" xr:uid="{00000000-0005-0000-0000-000074240000}"/>
    <cellStyle name="Porcentual 2 28 19" xfId="3004" xr:uid="{00000000-0005-0000-0000-000075240000}"/>
    <cellStyle name="Porcentual 2 28 19 2" xfId="6638" xr:uid="{00000000-0005-0000-0000-000076240000}"/>
    <cellStyle name="Porcentual 2 28 2" xfId="3005" xr:uid="{00000000-0005-0000-0000-000077240000}"/>
    <cellStyle name="Porcentual 2 28 2 2" xfId="6639" xr:uid="{00000000-0005-0000-0000-000078240000}"/>
    <cellStyle name="Porcentual 2 28 20" xfId="3006" xr:uid="{00000000-0005-0000-0000-000079240000}"/>
    <cellStyle name="Porcentual 2 28 20 2" xfId="6640" xr:uid="{00000000-0005-0000-0000-00007A240000}"/>
    <cellStyle name="Porcentual 2 28 21" xfId="3007" xr:uid="{00000000-0005-0000-0000-00007B240000}"/>
    <cellStyle name="Porcentual 2 28 21 2" xfId="6641" xr:uid="{00000000-0005-0000-0000-00007C240000}"/>
    <cellStyle name="Porcentual 2 28 22" xfId="3008" xr:uid="{00000000-0005-0000-0000-00007D240000}"/>
    <cellStyle name="Porcentual 2 28 22 2" xfId="6642" xr:uid="{00000000-0005-0000-0000-00007E240000}"/>
    <cellStyle name="Porcentual 2 28 23" xfId="3009" xr:uid="{00000000-0005-0000-0000-00007F240000}"/>
    <cellStyle name="Porcentual 2 28 23 2" xfId="6643" xr:uid="{00000000-0005-0000-0000-000080240000}"/>
    <cellStyle name="Porcentual 2 28 24" xfId="3010" xr:uid="{00000000-0005-0000-0000-000081240000}"/>
    <cellStyle name="Porcentual 2 28 24 2" xfId="6644" xr:uid="{00000000-0005-0000-0000-000082240000}"/>
    <cellStyle name="Porcentual 2 28 25" xfId="3011" xr:uid="{00000000-0005-0000-0000-000083240000}"/>
    <cellStyle name="Porcentual 2 28 25 2" xfId="6645" xr:uid="{00000000-0005-0000-0000-000084240000}"/>
    <cellStyle name="Porcentual 2 28 26" xfId="3012" xr:uid="{00000000-0005-0000-0000-000085240000}"/>
    <cellStyle name="Porcentual 2 28 26 2" xfId="6646" xr:uid="{00000000-0005-0000-0000-000086240000}"/>
    <cellStyle name="Porcentual 2 28 27" xfId="3013" xr:uid="{00000000-0005-0000-0000-000087240000}"/>
    <cellStyle name="Porcentual 2 28 27 2" xfId="6647" xr:uid="{00000000-0005-0000-0000-000088240000}"/>
    <cellStyle name="Porcentual 2 28 28" xfId="3014" xr:uid="{00000000-0005-0000-0000-000089240000}"/>
    <cellStyle name="Porcentual 2 28 28 2" xfId="6648" xr:uid="{00000000-0005-0000-0000-00008A240000}"/>
    <cellStyle name="Porcentual 2 28 29" xfId="6649" xr:uid="{00000000-0005-0000-0000-00008B240000}"/>
    <cellStyle name="Porcentual 2 28 3" xfId="3015" xr:uid="{00000000-0005-0000-0000-00008C240000}"/>
    <cellStyle name="Porcentual 2 28 3 2" xfId="6650" xr:uid="{00000000-0005-0000-0000-00008D240000}"/>
    <cellStyle name="Porcentual 2 28 4" xfId="3016" xr:uid="{00000000-0005-0000-0000-00008E240000}"/>
    <cellStyle name="Porcentual 2 28 4 2" xfId="6651" xr:uid="{00000000-0005-0000-0000-00008F240000}"/>
    <cellStyle name="Porcentual 2 28 5" xfId="3017" xr:uid="{00000000-0005-0000-0000-000090240000}"/>
    <cellStyle name="Porcentual 2 28 5 2" xfId="6652" xr:uid="{00000000-0005-0000-0000-000091240000}"/>
    <cellStyle name="Porcentual 2 28 6" xfId="3018" xr:uid="{00000000-0005-0000-0000-000092240000}"/>
    <cellStyle name="Porcentual 2 28 6 2" xfId="6653" xr:uid="{00000000-0005-0000-0000-000093240000}"/>
    <cellStyle name="Porcentual 2 28 7" xfId="3019" xr:uid="{00000000-0005-0000-0000-000094240000}"/>
    <cellStyle name="Porcentual 2 28 7 2" xfId="6654" xr:uid="{00000000-0005-0000-0000-000095240000}"/>
    <cellStyle name="Porcentual 2 28 8" xfId="3020" xr:uid="{00000000-0005-0000-0000-000096240000}"/>
    <cellStyle name="Porcentual 2 28 8 2" xfId="6655" xr:uid="{00000000-0005-0000-0000-000097240000}"/>
    <cellStyle name="Porcentual 2 28 9" xfId="3021" xr:uid="{00000000-0005-0000-0000-000098240000}"/>
    <cellStyle name="Porcentual 2 28 9 2" xfId="6656" xr:uid="{00000000-0005-0000-0000-000099240000}"/>
    <cellStyle name="Porcentual 2 29" xfId="3022" xr:uid="{00000000-0005-0000-0000-00009A240000}"/>
    <cellStyle name="Porcentual 2 29 10" xfId="3023" xr:uid="{00000000-0005-0000-0000-00009B240000}"/>
    <cellStyle name="Porcentual 2 29 10 2" xfId="6657" xr:uid="{00000000-0005-0000-0000-00009C240000}"/>
    <cellStyle name="Porcentual 2 29 11" xfId="3024" xr:uid="{00000000-0005-0000-0000-00009D240000}"/>
    <cellStyle name="Porcentual 2 29 11 2" xfId="6658" xr:uid="{00000000-0005-0000-0000-00009E240000}"/>
    <cellStyle name="Porcentual 2 29 12" xfId="3025" xr:uid="{00000000-0005-0000-0000-00009F240000}"/>
    <cellStyle name="Porcentual 2 29 12 2" xfId="6659" xr:uid="{00000000-0005-0000-0000-0000A0240000}"/>
    <cellStyle name="Porcentual 2 29 13" xfId="3026" xr:uid="{00000000-0005-0000-0000-0000A1240000}"/>
    <cellStyle name="Porcentual 2 29 13 2" xfId="6660" xr:uid="{00000000-0005-0000-0000-0000A2240000}"/>
    <cellStyle name="Porcentual 2 29 14" xfId="3027" xr:uid="{00000000-0005-0000-0000-0000A3240000}"/>
    <cellStyle name="Porcentual 2 29 14 2" xfId="6661" xr:uid="{00000000-0005-0000-0000-0000A4240000}"/>
    <cellStyle name="Porcentual 2 29 15" xfId="3028" xr:uid="{00000000-0005-0000-0000-0000A5240000}"/>
    <cellStyle name="Porcentual 2 29 15 2" xfId="6662" xr:uid="{00000000-0005-0000-0000-0000A6240000}"/>
    <cellStyle name="Porcentual 2 29 16" xfId="3029" xr:uid="{00000000-0005-0000-0000-0000A7240000}"/>
    <cellStyle name="Porcentual 2 29 16 2" xfId="6663" xr:uid="{00000000-0005-0000-0000-0000A8240000}"/>
    <cellStyle name="Porcentual 2 29 17" xfId="3030" xr:uid="{00000000-0005-0000-0000-0000A9240000}"/>
    <cellStyle name="Porcentual 2 29 17 2" xfId="6664" xr:uid="{00000000-0005-0000-0000-0000AA240000}"/>
    <cellStyle name="Porcentual 2 29 18" xfId="3031" xr:uid="{00000000-0005-0000-0000-0000AB240000}"/>
    <cellStyle name="Porcentual 2 29 18 2" xfId="6665" xr:uid="{00000000-0005-0000-0000-0000AC240000}"/>
    <cellStyle name="Porcentual 2 29 19" xfId="3032" xr:uid="{00000000-0005-0000-0000-0000AD240000}"/>
    <cellStyle name="Porcentual 2 29 19 2" xfId="6666" xr:uid="{00000000-0005-0000-0000-0000AE240000}"/>
    <cellStyle name="Porcentual 2 29 2" xfId="3033" xr:uid="{00000000-0005-0000-0000-0000AF240000}"/>
    <cellStyle name="Porcentual 2 29 2 2" xfId="6667" xr:uid="{00000000-0005-0000-0000-0000B0240000}"/>
    <cellStyle name="Porcentual 2 29 20" xfId="3034" xr:uid="{00000000-0005-0000-0000-0000B1240000}"/>
    <cellStyle name="Porcentual 2 29 20 2" xfId="6668" xr:uid="{00000000-0005-0000-0000-0000B2240000}"/>
    <cellStyle name="Porcentual 2 29 21" xfId="3035" xr:uid="{00000000-0005-0000-0000-0000B3240000}"/>
    <cellStyle name="Porcentual 2 29 21 2" xfId="6669" xr:uid="{00000000-0005-0000-0000-0000B4240000}"/>
    <cellStyle name="Porcentual 2 29 22" xfId="3036" xr:uid="{00000000-0005-0000-0000-0000B5240000}"/>
    <cellStyle name="Porcentual 2 29 22 2" xfId="6670" xr:uid="{00000000-0005-0000-0000-0000B6240000}"/>
    <cellStyle name="Porcentual 2 29 23" xfId="3037" xr:uid="{00000000-0005-0000-0000-0000B7240000}"/>
    <cellStyle name="Porcentual 2 29 23 2" xfId="6671" xr:uid="{00000000-0005-0000-0000-0000B8240000}"/>
    <cellStyle name="Porcentual 2 29 24" xfId="3038" xr:uid="{00000000-0005-0000-0000-0000B9240000}"/>
    <cellStyle name="Porcentual 2 29 24 2" xfId="6672" xr:uid="{00000000-0005-0000-0000-0000BA240000}"/>
    <cellStyle name="Porcentual 2 29 25" xfId="3039" xr:uid="{00000000-0005-0000-0000-0000BB240000}"/>
    <cellStyle name="Porcentual 2 29 25 2" xfId="6673" xr:uid="{00000000-0005-0000-0000-0000BC240000}"/>
    <cellStyle name="Porcentual 2 29 26" xfId="3040" xr:uid="{00000000-0005-0000-0000-0000BD240000}"/>
    <cellStyle name="Porcentual 2 29 26 2" xfId="6674" xr:uid="{00000000-0005-0000-0000-0000BE240000}"/>
    <cellStyle name="Porcentual 2 29 27" xfId="3041" xr:uid="{00000000-0005-0000-0000-0000BF240000}"/>
    <cellStyle name="Porcentual 2 29 27 2" xfId="6675" xr:uid="{00000000-0005-0000-0000-0000C0240000}"/>
    <cellStyle name="Porcentual 2 29 28" xfId="3042" xr:uid="{00000000-0005-0000-0000-0000C1240000}"/>
    <cellStyle name="Porcentual 2 29 28 2" xfId="6676" xr:uid="{00000000-0005-0000-0000-0000C2240000}"/>
    <cellStyle name="Porcentual 2 29 29" xfId="6677" xr:uid="{00000000-0005-0000-0000-0000C3240000}"/>
    <cellStyle name="Porcentual 2 29 3" xfId="3043" xr:uid="{00000000-0005-0000-0000-0000C4240000}"/>
    <cellStyle name="Porcentual 2 29 3 2" xfId="6678" xr:uid="{00000000-0005-0000-0000-0000C5240000}"/>
    <cellStyle name="Porcentual 2 29 4" xfId="3044" xr:uid="{00000000-0005-0000-0000-0000C6240000}"/>
    <cellStyle name="Porcentual 2 29 4 2" xfId="6679" xr:uid="{00000000-0005-0000-0000-0000C7240000}"/>
    <cellStyle name="Porcentual 2 29 5" xfId="3045" xr:uid="{00000000-0005-0000-0000-0000C8240000}"/>
    <cellStyle name="Porcentual 2 29 5 2" xfId="6680" xr:uid="{00000000-0005-0000-0000-0000C9240000}"/>
    <cellStyle name="Porcentual 2 29 6" xfId="3046" xr:uid="{00000000-0005-0000-0000-0000CA240000}"/>
    <cellStyle name="Porcentual 2 29 6 2" xfId="6681" xr:uid="{00000000-0005-0000-0000-0000CB240000}"/>
    <cellStyle name="Porcentual 2 29 7" xfId="3047" xr:uid="{00000000-0005-0000-0000-0000CC240000}"/>
    <cellStyle name="Porcentual 2 29 7 2" xfId="6682" xr:uid="{00000000-0005-0000-0000-0000CD240000}"/>
    <cellStyle name="Porcentual 2 29 8" xfId="3048" xr:uid="{00000000-0005-0000-0000-0000CE240000}"/>
    <cellStyle name="Porcentual 2 29 8 2" xfId="6683" xr:uid="{00000000-0005-0000-0000-0000CF240000}"/>
    <cellStyle name="Porcentual 2 29 9" xfId="3049" xr:uid="{00000000-0005-0000-0000-0000D0240000}"/>
    <cellStyle name="Porcentual 2 29 9 2" xfId="6684" xr:uid="{00000000-0005-0000-0000-0000D1240000}"/>
    <cellStyle name="Porcentual 2 3" xfId="3050" xr:uid="{00000000-0005-0000-0000-0000D2240000}"/>
    <cellStyle name="Porcentual 2 3 10" xfId="3051" xr:uid="{00000000-0005-0000-0000-0000D3240000}"/>
    <cellStyle name="Porcentual 2 3 10 2" xfId="6685" xr:uid="{00000000-0005-0000-0000-0000D4240000}"/>
    <cellStyle name="Porcentual 2 3 11" xfId="3052" xr:uid="{00000000-0005-0000-0000-0000D5240000}"/>
    <cellStyle name="Porcentual 2 3 11 2" xfId="6686" xr:uid="{00000000-0005-0000-0000-0000D6240000}"/>
    <cellStyle name="Porcentual 2 3 12" xfId="3053" xr:uid="{00000000-0005-0000-0000-0000D7240000}"/>
    <cellStyle name="Porcentual 2 3 12 2" xfId="6687" xr:uid="{00000000-0005-0000-0000-0000D8240000}"/>
    <cellStyle name="Porcentual 2 3 13" xfId="3054" xr:uid="{00000000-0005-0000-0000-0000D9240000}"/>
    <cellStyle name="Porcentual 2 3 13 2" xfId="6688" xr:uid="{00000000-0005-0000-0000-0000DA240000}"/>
    <cellStyle name="Porcentual 2 3 14" xfId="3055" xr:uid="{00000000-0005-0000-0000-0000DB240000}"/>
    <cellStyle name="Porcentual 2 3 14 2" xfId="6689" xr:uid="{00000000-0005-0000-0000-0000DC240000}"/>
    <cellStyle name="Porcentual 2 3 15" xfId="3056" xr:uid="{00000000-0005-0000-0000-0000DD240000}"/>
    <cellStyle name="Porcentual 2 3 15 2" xfId="6690" xr:uid="{00000000-0005-0000-0000-0000DE240000}"/>
    <cellStyle name="Porcentual 2 3 16" xfId="3057" xr:uid="{00000000-0005-0000-0000-0000DF240000}"/>
    <cellStyle name="Porcentual 2 3 16 2" xfId="6691" xr:uid="{00000000-0005-0000-0000-0000E0240000}"/>
    <cellStyle name="Porcentual 2 3 17" xfId="3058" xr:uid="{00000000-0005-0000-0000-0000E1240000}"/>
    <cellStyle name="Porcentual 2 3 17 2" xfId="6692" xr:uid="{00000000-0005-0000-0000-0000E2240000}"/>
    <cellStyle name="Porcentual 2 3 18" xfId="3059" xr:uid="{00000000-0005-0000-0000-0000E3240000}"/>
    <cellStyle name="Porcentual 2 3 18 2" xfId="6693" xr:uid="{00000000-0005-0000-0000-0000E4240000}"/>
    <cellStyle name="Porcentual 2 3 19" xfId="3060" xr:uid="{00000000-0005-0000-0000-0000E5240000}"/>
    <cellStyle name="Porcentual 2 3 19 2" xfId="6694" xr:uid="{00000000-0005-0000-0000-0000E6240000}"/>
    <cellStyle name="Porcentual 2 3 2" xfId="3061" xr:uid="{00000000-0005-0000-0000-0000E7240000}"/>
    <cellStyle name="Porcentual 2 3 2 2" xfId="4267" xr:uid="{00000000-0005-0000-0000-0000E8240000}"/>
    <cellStyle name="Porcentual 2 3 2 2 2" xfId="9702" xr:uid="{00000000-0005-0000-0000-0000E9240000}"/>
    <cellStyle name="Porcentual 2 3 2 2 2 2" xfId="10403" xr:uid="{00000000-0005-0000-0000-0000EA240000}"/>
    <cellStyle name="Porcentual 2 3 2 2 2 2 2" xfId="12138" xr:uid="{00000000-0005-0000-0000-0000EB240000}"/>
    <cellStyle name="Porcentual 2 3 2 2 2 3" xfId="11491" xr:uid="{00000000-0005-0000-0000-0000EC240000}"/>
    <cellStyle name="Porcentual 2 3 2 2 3" xfId="10106" xr:uid="{00000000-0005-0000-0000-0000ED240000}"/>
    <cellStyle name="Porcentual 2 3 2 2 3 2" xfId="11842" xr:uid="{00000000-0005-0000-0000-0000EE240000}"/>
    <cellStyle name="Porcentual 2 3 2 2 4" xfId="11078" xr:uid="{00000000-0005-0000-0000-0000EF240000}"/>
    <cellStyle name="Porcentual 2 3 20" xfId="3062" xr:uid="{00000000-0005-0000-0000-0000F0240000}"/>
    <cellStyle name="Porcentual 2 3 20 2" xfId="6695" xr:uid="{00000000-0005-0000-0000-0000F1240000}"/>
    <cellStyle name="Porcentual 2 3 21" xfId="3063" xr:uid="{00000000-0005-0000-0000-0000F2240000}"/>
    <cellStyle name="Porcentual 2 3 21 2" xfId="6696" xr:uid="{00000000-0005-0000-0000-0000F3240000}"/>
    <cellStyle name="Porcentual 2 3 22" xfId="3064" xr:uid="{00000000-0005-0000-0000-0000F4240000}"/>
    <cellStyle name="Porcentual 2 3 22 2" xfId="6697" xr:uid="{00000000-0005-0000-0000-0000F5240000}"/>
    <cellStyle name="Porcentual 2 3 23" xfId="3065" xr:uid="{00000000-0005-0000-0000-0000F6240000}"/>
    <cellStyle name="Porcentual 2 3 23 2" xfId="6698" xr:uid="{00000000-0005-0000-0000-0000F7240000}"/>
    <cellStyle name="Porcentual 2 3 24" xfId="3066" xr:uid="{00000000-0005-0000-0000-0000F8240000}"/>
    <cellStyle name="Porcentual 2 3 24 2" xfId="6699" xr:uid="{00000000-0005-0000-0000-0000F9240000}"/>
    <cellStyle name="Porcentual 2 3 25" xfId="3067" xr:uid="{00000000-0005-0000-0000-0000FA240000}"/>
    <cellStyle name="Porcentual 2 3 25 2" xfId="6700" xr:uid="{00000000-0005-0000-0000-0000FB240000}"/>
    <cellStyle name="Porcentual 2 3 26" xfId="3068" xr:uid="{00000000-0005-0000-0000-0000FC240000}"/>
    <cellStyle name="Porcentual 2 3 26 2" xfId="6701" xr:uid="{00000000-0005-0000-0000-0000FD240000}"/>
    <cellStyle name="Porcentual 2 3 27" xfId="3069" xr:uid="{00000000-0005-0000-0000-0000FE240000}"/>
    <cellStyle name="Porcentual 2 3 27 2" xfId="6702" xr:uid="{00000000-0005-0000-0000-0000FF240000}"/>
    <cellStyle name="Porcentual 2 3 28" xfId="3070" xr:uid="{00000000-0005-0000-0000-000000250000}"/>
    <cellStyle name="Porcentual 2 3 28 2" xfId="6703" xr:uid="{00000000-0005-0000-0000-000001250000}"/>
    <cellStyle name="Porcentual 2 3 29" xfId="3071" xr:uid="{00000000-0005-0000-0000-000002250000}"/>
    <cellStyle name="Porcentual 2 3 3" xfId="3072" xr:uid="{00000000-0005-0000-0000-000003250000}"/>
    <cellStyle name="Porcentual 2 3 3 2" xfId="6704" xr:uid="{00000000-0005-0000-0000-000004250000}"/>
    <cellStyle name="Porcentual 2 3 30" xfId="3073" xr:uid="{00000000-0005-0000-0000-000005250000}"/>
    <cellStyle name="Porcentual 2 3 31" xfId="3074" xr:uid="{00000000-0005-0000-0000-000006250000}"/>
    <cellStyle name="Porcentual 2 3 32" xfId="3075" xr:uid="{00000000-0005-0000-0000-000007250000}"/>
    <cellStyle name="Porcentual 2 3 33" xfId="3076" xr:uid="{00000000-0005-0000-0000-000008250000}"/>
    <cellStyle name="Porcentual 2 3 34" xfId="3077" xr:uid="{00000000-0005-0000-0000-000009250000}"/>
    <cellStyle name="Porcentual 2 3 35" xfId="4135" xr:uid="{00000000-0005-0000-0000-00000A250000}"/>
    <cellStyle name="Porcentual 2 3 35 2" xfId="9599" xr:uid="{00000000-0005-0000-0000-00000B250000}"/>
    <cellStyle name="Porcentual 2 3 35 2 2" xfId="10301" xr:uid="{00000000-0005-0000-0000-00000C250000}"/>
    <cellStyle name="Porcentual 2 3 35 2 2 2" xfId="12036" xr:uid="{00000000-0005-0000-0000-00000D250000}"/>
    <cellStyle name="Porcentual 2 3 35 2 3" xfId="11389" xr:uid="{00000000-0005-0000-0000-00000E250000}"/>
    <cellStyle name="Porcentual 2 3 35 3" xfId="10004" xr:uid="{00000000-0005-0000-0000-00000F250000}"/>
    <cellStyle name="Porcentual 2 3 35 3 2" xfId="11740" xr:uid="{00000000-0005-0000-0000-000010250000}"/>
    <cellStyle name="Porcentual 2 3 35 4" xfId="10966" xr:uid="{00000000-0005-0000-0000-000011250000}"/>
    <cellStyle name="Porcentual 2 3 36" xfId="4216" xr:uid="{00000000-0005-0000-0000-000012250000}"/>
    <cellStyle name="Porcentual 2 3 36 2" xfId="9651" xr:uid="{00000000-0005-0000-0000-000013250000}"/>
    <cellStyle name="Porcentual 2 3 36 2 2" xfId="10352" xr:uid="{00000000-0005-0000-0000-000014250000}"/>
    <cellStyle name="Porcentual 2 3 36 2 2 2" xfId="12087" xr:uid="{00000000-0005-0000-0000-000015250000}"/>
    <cellStyle name="Porcentual 2 3 36 2 3" xfId="11440" xr:uid="{00000000-0005-0000-0000-000016250000}"/>
    <cellStyle name="Porcentual 2 3 36 3" xfId="10055" xr:uid="{00000000-0005-0000-0000-000017250000}"/>
    <cellStyle name="Porcentual 2 3 36 3 2" xfId="11791" xr:uid="{00000000-0005-0000-0000-000018250000}"/>
    <cellStyle name="Porcentual 2 3 36 4" xfId="11027" xr:uid="{00000000-0005-0000-0000-000019250000}"/>
    <cellStyle name="Porcentual 2 3 37" xfId="4340" xr:uid="{00000000-0005-0000-0000-00001A250000}"/>
    <cellStyle name="Porcentual 2 3 37 2" xfId="9751" xr:uid="{00000000-0005-0000-0000-00001B250000}"/>
    <cellStyle name="Porcentual 2 3 37 2 2" xfId="10449" xr:uid="{00000000-0005-0000-0000-00001C250000}"/>
    <cellStyle name="Porcentual 2 3 37 2 2 2" xfId="12184" xr:uid="{00000000-0005-0000-0000-00001D250000}"/>
    <cellStyle name="Porcentual 2 3 37 2 3" xfId="11537" xr:uid="{00000000-0005-0000-0000-00001E250000}"/>
    <cellStyle name="Porcentual 2 3 37 3" xfId="10152" xr:uid="{00000000-0005-0000-0000-00001F250000}"/>
    <cellStyle name="Porcentual 2 3 37 3 2" xfId="11888" xr:uid="{00000000-0005-0000-0000-000020250000}"/>
    <cellStyle name="Porcentual 2 3 37 4" xfId="11145" xr:uid="{00000000-0005-0000-0000-000021250000}"/>
    <cellStyle name="Porcentual 2 3 4" xfId="3078" xr:uid="{00000000-0005-0000-0000-000022250000}"/>
    <cellStyle name="Porcentual 2 3 4 2" xfId="6705" xr:uid="{00000000-0005-0000-0000-000023250000}"/>
    <cellStyle name="Porcentual 2 3 5" xfId="3079" xr:uid="{00000000-0005-0000-0000-000024250000}"/>
    <cellStyle name="Porcentual 2 3 5 2" xfId="6706" xr:uid="{00000000-0005-0000-0000-000025250000}"/>
    <cellStyle name="Porcentual 2 3 6" xfId="3080" xr:uid="{00000000-0005-0000-0000-000026250000}"/>
    <cellStyle name="Porcentual 2 3 6 2" xfId="6707" xr:uid="{00000000-0005-0000-0000-000027250000}"/>
    <cellStyle name="Porcentual 2 3 7" xfId="3081" xr:uid="{00000000-0005-0000-0000-000028250000}"/>
    <cellStyle name="Porcentual 2 3 7 2" xfId="6708" xr:uid="{00000000-0005-0000-0000-000029250000}"/>
    <cellStyle name="Porcentual 2 3 8" xfId="3082" xr:uid="{00000000-0005-0000-0000-00002A250000}"/>
    <cellStyle name="Porcentual 2 3 8 2" xfId="6709" xr:uid="{00000000-0005-0000-0000-00002B250000}"/>
    <cellStyle name="Porcentual 2 3 9" xfId="3083" xr:uid="{00000000-0005-0000-0000-00002C250000}"/>
    <cellStyle name="Porcentual 2 3 9 2" xfId="6710" xr:uid="{00000000-0005-0000-0000-00002D250000}"/>
    <cellStyle name="Porcentual 2 30" xfId="3084" xr:uid="{00000000-0005-0000-0000-00002E250000}"/>
    <cellStyle name="Porcentual 2 30 2" xfId="6711" xr:uid="{00000000-0005-0000-0000-00002F250000}"/>
    <cellStyle name="Porcentual 2 31" xfId="3085" xr:uid="{00000000-0005-0000-0000-000030250000}"/>
    <cellStyle name="Porcentual 2 31 2" xfId="6712" xr:uid="{00000000-0005-0000-0000-000031250000}"/>
    <cellStyle name="Porcentual 2 32" xfId="3086" xr:uid="{00000000-0005-0000-0000-000032250000}"/>
    <cellStyle name="Porcentual 2 33" xfId="3087" xr:uid="{00000000-0005-0000-0000-000033250000}"/>
    <cellStyle name="Porcentual 2 33 2" xfId="8790" xr:uid="{00000000-0005-0000-0000-000034250000}"/>
    <cellStyle name="Porcentual 2 34" xfId="3088" xr:uid="{00000000-0005-0000-0000-000035250000}"/>
    <cellStyle name="Porcentual 2 34 2" xfId="8791" xr:uid="{00000000-0005-0000-0000-000036250000}"/>
    <cellStyle name="Porcentual 2 35" xfId="3089" xr:uid="{00000000-0005-0000-0000-000037250000}"/>
    <cellStyle name="Porcentual 2 35 2" xfId="8792" xr:uid="{00000000-0005-0000-0000-000038250000}"/>
    <cellStyle name="Porcentual 2 36" xfId="3090" xr:uid="{00000000-0005-0000-0000-000039250000}"/>
    <cellStyle name="Porcentual 2 36 2" xfId="8793" xr:uid="{00000000-0005-0000-0000-00003A250000}"/>
    <cellStyle name="Porcentual 2 37" xfId="3091" xr:uid="{00000000-0005-0000-0000-00003B250000}"/>
    <cellStyle name="Porcentual 2 37 2" xfId="8794" xr:uid="{00000000-0005-0000-0000-00003C250000}"/>
    <cellStyle name="Porcentual 2 38" xfId="3092" xr:uid="{00000000-0005-0000-0000-00003D250000}"/>
    <cellStyle name="Porcentual 2 38 2" xfId="8795" xr:uid="{00000000-0005-0000-0000-00003E250000}"/>
    <cellStyle name="Porcentual 2 39" xfId="3093" xr:uid="{00000000-0005-0000-0000-00003F250000}"/>
    <cellStyle name="Porcentual 2 39 2" xfId="8796" xr:uid="{00000000-0005-0000-0000-000040250000}"/>
    <cellStyle name="Porcentual 2 4" xfId="3094" xr:uid="{00000000-0005-0000-0000-000041250000}"/>
    <cellStyle name="Porcentual 2 4 10" xfId="3095" xr:uid="{00000000-0005-0000-0000-000042250000}"/>
    <cellStyle name="Porcentual 2 4 10 2" xfId="6713" xr:uid="{00000000-0005-0000-0000-000043250000}"/>
    <cellStyle name="Porcentual 2 4 11" xfId="3096" xr:uid="{00000000-0005-0000-0000-000044250000}"/>
    <cellStyle name="Porcentual 2 4 11 2" xfId="6714" xr:uid="{00000000-0005-0000-0000-000045250000}"/>
    <cellStyle name="Porcentual 2 4 12" xfId="3097" xr:uid="{00000000-0005-0000-0000-000046250000}"/>
    <cellStyle name="Porcentual 2 4 12 2" xfId="6715" xr:uid="{00000000-0005-0000-0000-000047250000}"/>
    <cellStyle name="Porcentual 2 4 13" xfId="3098" xr:uid="{00000000-0005-0000-0000-000048250000}"/>
    <cellStyle name="Porcentual 2 4 13 2" xfId="6716" xr:uid="{00000000-0005-0000-0000-000049250000}"/>
    <cellStyle name="Porcentual 2 4 14" xfId="3099" xr:uid="{00000000-0005-0000-0000-00004A250000}"/>
    <cellStyle name="Porcentual 2 4 14 2" xfId="6717" xr:uid="{00000000-0005-0000-0000-00004B250000}"/>
    <cellStyle name="Porcentual 2 4 15" xfId="3100" xr:uid="{00000000-0005-0000-0000-00004C250000}"/>
    <cellStyle name="Porcentual 2 4 15 2" xfId="6718" xr:uid="{00000000-0005-0000-0000-00004D250000}"/>
    <cellStyle name="Porcentual 2 4 16" xfId="3101" xr:uid="{00000000-0005-0000-0000-00004E250000}"/>
    <cellStyle name="Porcentual 2 4 16 2" xfId="6719" xr:uid="{00000000-0005-0000-0000-00004F250000}"/>
    <cellStyle name="Porcentual 2 4 17" xfId="3102" xr:uid="{00000000-0005-0000-0000-000050250000}"/>
    <cellStyle name="Porcentual 2 4 17 2" xfId="6720" xr:uid="{00000000-0005-0000-0000-000051250000}"/>
    <cellStyle name="Porcentual 2 4 18" xfId="3103" xr:uid="{00000000-0005-0000-0000-000052250000}"/>
    <cellStyle name="Porcentual 2 4 18 2" xfId="6721" xr:uid="{00000000-0005-0000-0000-000053250000}"/>
    <cellStyle name="Porcentual 2 4 19" xfId="3104" xr:uid="{00000000-0005-0000-0000-000054250000}"/>
    <cellStyle name="Porcentual 2 4 19 2" xfId="6722" xr:uid="{00000000-0005-0000-0000-000055250000}"/>
    <cellStyle name="Porcentual 2 4 2" xfId="3105" xr:uid="{00000000-0005-0000-0000-000056250000}"/>
    <cellStyle name="Porcentual 2 4 2 2" xfId="4249" xr:uid="{00000000-0005-0000-0000-000057250000}"/>
    <cellStyle name="Porcentual 2 4 2 2 2" xfId="9684" xr:uid="{00000000-0005-0000-0000-000058250000}"/>
    <cellStyle name="Porcentual 2 4 2 2 2 2" xfId="10385" xr:uid="{00000000-0005-0000-0000-000059250000}"/>
    <cellStyle name="Porcentual 2 4 2 2 2 2 2" xfId="12120" xr:uid="{00000000-0005-0000-0000-00005A250000}"/>
    <cellStyle name="Porcentual 2 4 2 2 2 3" xfId="11473" xr:uid="{00000000-0005-0000-0000-00005B250000}"/>
    <cellStyle name="Porcentual 2 4 2 2 3" xfId="10088" xr:uid="{00000000-0005-0000-0000-00005C250000}"/>
    <cellStyle name="Porcentual 2 4 2 2 3 2" xfId="11824" xr:uid="{00000000-0005-0000-0000-00005D250000}"/>
    <cellStyle name="Porcentual 2 4 2 2 4" xfId="11060" xr:uid="{00000000-0005-0000-0000-00005E250000}"/>
    <cellStyle name="Porcentual 2 4 20" xfId="3106" xr:uid="{00000000-0005-0000-0000-00005F250000}"/>
    <cellStyle name="Porcentual 2 4 20 2" xfId="6723" xr:uid="{00000000-0005-0000-0000-000060250000}"/>
    <cellStyle name="Porcentual 2 4 21" xfId="3107" xr:uid="{00000000-0005-0000-0000-000061250000}"/>
    <cellStyle name="Porcentual 2 4 21 2" xfId="6724" xr:uid="{00000000-0005-0000-0000-000062250000}"/>
    <cellStyle name="Porcentual 2 4 22" xfId="3108" xr:uid="{00000000-0005-0000-0000-000063250000}"/>
    <cellStyle name="Porcentual 2 4 22 2" xfId="6725" xr:uid="{00000000-0005-0000-0000-000064250000}"/>
    <cellStyle name="Porcentual 2 4 23" xfId="3109" xr:uid="{00000000-0005-0000-0000-000065250000}"/>
    <cellStyle name="Porcentual 2 4 23 2" xfId="6726" xr:uid="{00000000-0005-0000-0000-000066250000}"/>
    <cellStyle name="Porcentual 2 4 24" xfId="3110" xr:uid="{00000000-0005-0000-0000-000067250000}"/>
    <cellStyle name="Porcentual 2 4 24 2" xfId="6727" xr:uid="{00000000-0005-0000-0000-000068250000}"/>
    <cellStyle name="Porcentual 2 4 25" xfId="3111" xr:uid="{00000000-0005-0000-0000-000069250000}"/>
    <cellStyle name="Porcentual 2 4 25 2" xfId="6728" xr:uid="{00000000-0005-0000-0000-00006A250000}"/>
    <cellStyle name="Porcentual 2 4 26" xfId="3112" xr:uid="{00000000-0005-0000-0000-00006B250000}"/>
    <cellStyle name="Porcentual 2 4 26 2" xfId="6729" xr:uid="{00000000-0005-0000-0000-00006C250000}"/>
    <cellStyle name="Porcentual 2 4 27" xfId="3113" xr:uid="{00000000-0005-0000-0000-00006D250000}"/>
    <cellStyle name="Porcentual 2 4 27 2" xfId="6730" xr:uid="{00000000-0005-0000-0000-00006E250000}"/>
    <cellStyle name="Porcentual 2 4 28" xfId="3114" xr:uid="{00000000-0005-0000-0000-00006F250000}"/>
    <cellStyle name="Porcentual 2 4 28 2" xfId="6731" xr:uid="{00000000-0005-0000-0000-000070250000}"/>
    <cellStyle name="Porcentual 2 4 29" xfId="3115" xr:uid="{00000000-0005-0000-0000-000071250000}"/>
    <cellStyle name="Porcentual 2 4 3" xfId="3116" xr:uid="{00000000-0005-0000-0000-000072250000}"/>
    <cellStyle name="Porcentual 2 4 3 2" xfId="6732" xr:uid="{00000000-0005-0000-0000-000073250000}"/>
    <cellStyle name="Porcentual 2 4 30" xfId="3117" xr:uid="{00000000-0005-0000-0000-000074250000}"/>
    <cellStyle name="Porcentual 2 4 31" xfId="3118" xr:uid="{00000000-0005-0000-0000-000075250000}"/>
    <cellStyle name="Porcentual 2 4 32" xfId="3119" xr:uid="{00000000-0005-0000-0000-000076250000}"/>
    <cellStyle name="Porcentual 2 4 33" xfId="3120" xr:uid="{00000000-0005-0000-0000-000077250000}"/>
    <cellStyle name="Porcentual 2 4 34" xfId="3121" xr:uid="{00000000-0005-0000-0000-000078250000}"/>
    <cellStyle name="Porcentual 2 4 35" xfId="4096" xr:uid="{00000000-0005-0000-0000-000079250000}"/>
    <cellStyle name="Porcentual 2 4 35 2" xfId="9580" xr:uid="{00000000-0005-0000-0000-00007A250000}"/>
    <cellStyle name="Porcentual 2 4 35 2 2" xfId="10283" xr:uid="{00000000-0005-0000-0000-00007B250000}"/>
    <cellStyle name="Porcentual 2 4 35 2 2 2" xfId="12018" xr:uid="{00000000-0005-0000-0000-00007C250000}"/>
    <cellStyle name="Porcentual 2 4 35 2 3" xfId="11371" xr:uid="{00000000-0005-0000-0000-00007D250000}"/>
    <cellStyle name="Porcentual 2 4 35 3" xfId="9986" xr:uid="{00000000-0005-0000-0000-00007E250000}"/>
    <cellStyle name="Porcentual 2 4 35 3 2" xfId="11722" xr:uid="{00000000-0005-0000-0000-00007F250000}"/>
    <cellStyle name="Porcentual 2 4 35 4" xfId="10945" xr:uid="{00000000-0005-0000-0000-000080250000}"/>
    <cellStyle name="Porcentual 2 4 36" xfId="4198" xr:uid="{00000000-0005-0000-0000-000081250000}"/>
    <cellStyle name="Porcentual 2 4 36 2" xfId="9633" xr:uid="{00000000-0005-0000-0000-000082250000}"/>
    <cellStyle name="Porcentual 2 4 36 2 2" xfId="10334" xr:uid="{00000000-0005-0000-0000-000083250000}"/>
    <cellStyle name="Porcentual 2 4 36 2 2 2" xfId="12069" xr:uid="{00000000-0005-0000-0000-000084250000}"/>
    <cellStyle name="Porcentual 2 4 36 2 3" xfId="11422" xr:uid="{00000000-0005-0000-0000-000085250000}"/>
    <cellStyle name="Porcentual 2 4 36 3" xfId="10037" xr:uid="{00000000-0005-0000-0000-000086250000}"/>
    <cellStyle name="Porcentual 2 4 36 3 2" xfId="11773" xr:uid="{00000000-0005-0000-0000-000087250000}"/>
    <cellStyle name="Porcentual 2 4 36 4" xfId="11009" xr:uid="{00000000-0005-0000-0000-000088250000}"/>
    <cellStyle name="Porcentual 2 4 4" xfId="3122" xr:uid="{00000000-0005-0000-0000-000089250000}"/>
    <cellStyle name="Porcentual 2 4 4 2" xfId="6733" xr:uid="{00000000-0005-0000-0000-00008A250000}"/>
    <cellStyle name="Porcentual 2 4 5" xfId="3123" xr:uid="{00000000-0005-0000-0000-00008B250000}"/>
    <cellStyle name="Porcentual 2 4 5 2" xfId="6734" xr:uid="{00000000-0005-0000-0000-00008C250000}"/>
    <cellStyle name="Porcentual 2 4 6" xfId="3124" xr:uid="{00000000-0005-0000-0000-00008D250000}"/>
    <cellStyle name="Porcentual 2 4 6 2" xfId="6735" xr:uid="{00000000-0005-0000-0000-00008E250000}"/>
    <cellStyle name="Porcentual 2 4 7" xfId="3125" xr:uid="{00000000-0005-0000-0000-00008F250000}"/>
    <cellStyle name="Porcentual 2 4 7 2" xfId="6736" xr:uid="{00000000-0005-0000-0000-000090250000}"/>
    <cellStyle name="Porcentual 2 4 8" xfId="3126" xr:uid="{00000000-0005-0000-0000-000091250000}"/>
    <cellStyle name="Porcentual 2 4 8 2" xfId="6737" xr:uid="{00000000-0005-0000-0000-000092250000}"/>
    <cellStyle name="Porcentual 2 4 9" xfId="3127" xr:uid="{00000000-0005-0000-0000-000093250000}"/>
    <cellStyle name="Porcentual 2 4 9 2" xfId="6738" xr:uid="{00000000-0005-0000-0000-000094250000}"/>
    <cellStyle name="Porcentual 2 40" xfId="3128" xr:uid="{00000000-0005-0000-0000-000095250000}"/>
    <cellStyle name="Porcentual 2 40 2" xfId="8797" xr:uid="{00000000-0005-0000-0000-000096250000}"/>
    <cellStyle name="Porcentual 2 41" xfId="3129" xr:uid="{00000000-0005-0000-0000-000097250000}"/>
    <cellStyle name="Porcentual 2 41 2" xfId="8798" xr:uid="{00000000-0005-0000-0000-000098250000}"/>
    <cellStyle name="Porcentual 2 42" xfId="3130" xr:uid="{00000000-0005-0000-0000-000099250000}"/>
    <cellStyle name="Porcentual 2 42 2" xfId="8799" xr:uid="{00000000-0005-0000-0000-00009A250000}"/>
    <cellStyle name="Porcentual 2 43" xfId="3131" xr:uid="{00000000-0005-0000-0000-00009B250000}"/>
    <cellStyle name="Porcentual 2 43 2" xfId="8800" xr:uid="{00000000-0005-0000-0000-00009C250000}"/>
    <cellStyle name="Porcentual 2 44" xfId="3132" xr:uid="{00000000-0005-0000-0000-00009D250000}"/>
    <cellStyle name="Porcentual 2 44 2" xfId="8801" xr:uid="{00000000-0005-0000-0000-00009E250000}"/>
    <cellStyle name="Porcentual 2 45" xfId="3133" xr:uid="{00000000-0005-0000-0000-00009F250000}"/>
    <cellStyle name="Porcentual 2 45 2" xfId="8802" xr:uid="{00000000-0005-0000-0000-0000A0250000}"/>
    <cellStyle name="Porcentual 2 46" xfId="3134" xr:uid="{00000000-0005-0000-0000-0000A1250000}"/>
    <cellStyle name="Porcentual 2 46 2" xfId="8803" xr:uid="{00000000-0005-0000-0000-0000A2250000}"/>
    <cellStyle name="Porcentual 2 47" xfId="3135" xr:uid="{00000000-0005-0000-0000-0000A3250000}"/>
    <cellStyle name="Porcentual 2 47 2" xfId="8804" xr:uid="{00000000-0005-0000-0000-0000A4250000}"/>
    <cellStyle name="Porcentual 2 48" xfId="3136" xr:uid="{00000000-0005-0000-0000-0000A5250000}"/>
    <cellStyle name="Porcentual 2 48 2" xfId="8805" xr:uid="{00000000-0005-0000-0000-0000A6250000}"/>
    <cellStyle name="Porcentual 2 49" xfId="3137" xr:uid="{00000000-0005-0000-0000-0000A7250000}"/>
    <cellStyle name="Porcentual 2 49 2" xfId="8806" xr:uid="{00000000-0005-0000-0000-0000A8250000}"/>
    <cellStyle name="Porcentual 2 5" xfId="3138" xr:uid="{00000000-0005-0000-0000-0000A9250000}"/>
    <cellStyle name="Porcentual 2 5 10" xfId="3139" xr:uid="{00000000-0005-0000-0000-0000AA250000}"/>
    <cellStyle name="Porcentual 2 5 10 2" xfId="6739" xr:uid="{00000000-0005-0000-0000-0000AB250000}"/>
    <cellStyle name="Porcentual 2 5 11" xfId="3140" xr:uid="{00000000-0005-0000-0000-0000AC250000}"/>
    <cellStyle name="Porcentual 2 5 11 2" xfId="6740" xr:uid="{00000000-0005-0000-0000-0000AD250000}"/>
    <cellStyle name="Porcentual 2 5 12" xfId="3141" xr:uid="{00000000-0005-0000-0000-0000AE250000}"/>
    <cellStyle name="Porcentual 2 5 12 2" xfId="6741" xr:uid="{00000000-0005-0000-0000-0000AF250000}"/>
    <cellStyle name="Porcentual 2 5 13" xfId="3142" xr:uid="{00000000-0005-0000-0000-0000B0250000}"/>
    <cellStyle name="Porcentual 2 5 13 2" xfId="6742" xr:uid="{00000000-0005-0000-0000-0000B1250000}"/>
    <cellStyle name="Porcentual 2 5 14" xfId="3143" xr:uid="{00000000-0005-0000-0000-0000B2250000}"/>
    <cellStyle name="Porcentual 2 5 14 2" xfId="6743" xr:uid="{00000000-0005-0000-0000-0000B3250000}"/>
    <cellStyle name="Porcentual 2 5 15" xfId="3144" xr:uid="{00000000-0005-0000-0000-0000B4250000}"/>
    <cellStyle name="Porcentual 2 5 15 2" xfId="6744" xr:uid="{00000000-0005-0000-0000-0000B5250000}"/>
    <cellStyle name="Porcentual 2 5 16" xfId="3145" xr:uid="{00000000-0005-0000-0000-0000B6250000}"/>
    <cellStyle name="Porcentual 2 5 16 2" xfId="6745" xr:uid="{00000000-0005-0000-0000-0000B7250000}"/>
    <cellStyle name="Porcentual 2 5 17" xfId="3146" xr:uid="{00000000-0005-0000-0000-0000B8250000}"/>
    <cellStyle name="Porcentual 2 5 17 2" xfId="6746" xr:uid="{00000000-0005-0000-0000-0000B9250000}"/>
    <cellStyle name="Porcentual 2 5 18" xfId="3147" xr:uid="{00000000-0005-0000-0000-0000BA250000}"/>
    <cellStyle name="Porcentual 2 5 18 2" xfId="6747" xr:uid="{00000000-0005-0000-0000-0000BB250000}"/>
    <cellStyle name="Porcentual 2 5 19" xfId="3148" xr:uid="{00000000-0005-0000-0000-0000BC250000}"/>
    <cellStyle name="Porcentual 2 5 19 2" xfId="6748" xr:uid="{00000000-0005-0000-0000-0000BD250000}"/>
    <cellStyle name="Porcentual 2 5 2" xfId="3149" xr:uid="{00000000-0005-0000-0000-0000BE250000}"/>
    <cellStyle name="Porcentual 2 5 2 2" xfId="6749" xr:uid="{00000000-0005-0000-0000-0000BF250000}"/>
    <cellStyle name="Porcentual 2 5 20" xfId="3150" xr:uid="{00000000-0005-0000-0000-0000C0250000}"/>
    <cellStyle name="Porcentual 2 5 20 2" xfId="6750" xr:uid="{00000000-0005-0000-0000-0000C1250000}"/>
    <cellStyle name="Porcentual 2 5 21" xfId="3151" xr:uid="{00000000-0005-0000-0000-0000C2250000}"/>
    <cellStyle name="Porcentual 2 5 21 2" xfId="6751" xr:uid="{00000000-0005-0000-0000-0000C3250000}"/>
    <cellStyle name="Porcentual 2 5 22" xfId="3152" xr:uid="{00000000-0005-0000-0000-0000C4250000}"/>
    <cellStyle name="Porcentual 2 5 22 2" xfId="6752" xr:uid="{00000000-0005-0000-0000-0000C5250000}"/>
    <cellStyle name="Porcentual 2 5 23" xfId="3153" xr:uid="{00000000-0005-0000-0000-0000C6250000}"/>
    <cellStyle name="Porcentual 2 5 23 2" xfId="6753" xr:uid="{00000000-0005-0000-0000-0000C7250000}"/>
    <cellStyle name="Porcentual 2 5 24" xfId="3154" xr:uid="{00000000-0005-0000-0000-0000C8250000}"/>
    <cellStyle name="Porcentual 2 5 24 2" xfId="6754" xr:uid="{00000000-0005-0000-0000-0000C9250000}"/>
    <cellStyle name="Porcentual 2 5 25" xfId="3155" xr:uid="{00000000-0005-0000-0000-0000CA250000}"/>
    <cellStyle name="Porcentual 2 5 25 2" xfId="6755" xr:uid="{00000000-0005-0000-0000-0000CB250000}"/>
    <cellStyle name="Porcentual 2 5 26" xfId="3156" xr:uid="{00000000-0005-0000-0000-0000CC250000}"/>
    <cellStyle name="Porcentual 2 5 26 2" xfId="6756" xr:uid="{00000000-0005-0000-0000-0000CD250000}"/>
    <cellStyle name="Porcentual 2 5 27" xfId="3157" xr:uid="{00000000-0005-0000-0000-0000CE250000}"/>
    <cellStyle name="Porcentual 2 5 27 2" xfId="6757" xr:uid="{00000000-0005-0000-0000-0000CF250000}"/>
    <cellStyle name="Porcentual 2 5 28" xfId="3158" xr:uid="{00000000-0005-0000-0000-0000D0250000}"/>
    <cellStyle name="Porcentual 2 5 28 2" xfId="6758" xr:uid="{00000000-0005-0000-0000-0000D1250000}"/>
    <cellStyle name="Porcentual 2 5 29" xfId="3159" xr:uid="{00000000-0005-0000-0000-0000D2250000}"/>
    <cellStyle name="Porcentual 2 5 3" xfId="3160" xr:uid="{00000000-0005-0000-0000-0000D3250000}"/>
    <cellStyle name="Porcentual 2 5 3 2" xfId="6759" xr:uid="{00000000-0005-0000-0000-0000D4250000}"/>
    <cellStyle name="Porcentual 2 5 30" xfId="3161" xr:uid="{00000000-0005-0000-0000-0000D5250000}"/>
    <cellStyle name="Porcentual 2 5 31" xfId="3162" xr:uid="{00000000-0005-0000-0000-0000D6250000}"/>
    <cellStyle name="Porcentual 2 5 32" xfId="3163" xr:uid="{00000000-0005-0000-0000-0000D7250000}"/>
    <cellStyle name="Porcentual 2 5 33" xfId="3164" xr:uid="{00000000-0005-0000-0000-0000D8250000}"/>
    <cellStyle name="Porcentual 2 5 34" xfId="3165" xr:uid="{00000000-0005-0000-0000-0000D9250000}"/>
    <cellStyle name="Porcentual 2 5 35" xfId="4233" xr:uid="{00000000-0005-0000-0000-0000DA250000}"/>
    <cellStyle name="Porcentual 2 5 35 2" xfId="9668" xr:uid="{00000000-0005-0000-0000-0000DB250000}"/>
    <cellStyle name="Porcentual 2 5 35 2 2" xfId="10369" xr:uid="{00000000-0005-0000-0000-0000DC250000}"/>
    <cellStyle name="Porcentual 2 5 35 2 2 2" xfId="12104" xr:uid="{00000000-0005-0000-0000-0000DD250000}"/>
    <cellStyle name="Porcentual 2 5 35 2 3" xfId="11457" xr:uid="{00000000-0005-0000-0000-0000DE250000}"/>
    <cellStyle name="Porcentual 2 5 35 3" xfId="10072" xr:uid="{00000000-0005-0000-0000-0000DF250000}"/>
    <cellStyle name="Porcentual 2 5 35 3 2" xfId="11808" xr:uid="{00000000-0005-0000-0000-0000E0250000}"/>
    <cellStyle name="Porcentual 2 5 35 4" xfId="11044" xr:uid="{00000000-0005-0000-0000-0000E1250000}"/>
    <cellStyle name="Porcentual 2 5 4" xfId="3166" xr:uid="{00000000-0005-0000-0000-0000E2250000}"/>
    <cellStyle name="Porcentual 2 5 4 2" xfId="6760" xr:uid="{00000000-0005-0000-0000-0000E3250000}"/>
    <cellStyle name="Porcentual 2 5 5" xfId="3167" xr:uid="{00000000-0005-0000-0000-0000E4250000}"/>
    <cellStyle name="Porcentual 2 5 5 2" xfId="6761" xr:uid="{00000000-0005-0000-0000-0000E5250000}"/>
    <cellStyle name="Porcentual 2 5 6" xfId="3168" xr:uid="{00000000-0005-0000-0000-0000E6250000}"/>
    <cellStyle name="Porcentual 2 5 6 2" xfId="6762" xr:uid="{00000000-0005-0000-0000-0000E7250000}"/>
    <cellStyle name="Porcentual 2 5 7" xfId="3169" xr:uid="{00000000-0005-0000-0000-0000E8250000}"/>
    <cellStyle name="Porcentual 2 5 7 2" xfId="6763" xr:uid="{00000000-0005-0000-0000-0000E9250000}"/>
    <cellStyle name="Porcentual 2 5 8" xfId="3170" xr:uid="{00000000-0005-0000-0000-0000EA250000}"/>
    <cellStyle name="Porcentual 2 5 8 2" xfId="6764" xr:uid="{00000000-0005-0000-0000-0000EB250000}"/>
    <cellStyle name="Porcentual 2 5 9" xfId="3171" xr:uid="{00000000-0005-0000-0000-0000EC250000}"/>
    <cellStyle name="Porcentual 2 5 9 2" xfId="6765" xr:uid="{00000000-0005-0000-0000-0000ED250000}"/>
    <cellStyle name="Porcentual 2 50" xfId="3172" xr:uid="{00000000-0005-0000-0000-0000EE250000}"/>
    <cellStyle name="Porcentual 2 50 2" xfId="8807" xr:uid="{00000000-0005-0000-0000-0000EF250000}"/>
    <cellStyle name="Porcentual 2 51" xfId="3173" xr:uid="{00000000-0005-0000-0000-0000F0250000}"/>
    <cellStyle name="Porcentual 2 51 2" xfId="8808" xr:uid="{00000000-0005-0000-0000-0000F1250000}"/>
    <cellStyle name="Porcentual 2 52" xfId="3174" xr:uid="{00000000-0005-0000-0000-0000F2250000}"/>
    <cellStyle name="Porcentual 2 52 2" xfId="8809" xr:uid="{00000000-0005-0000-0000-0000F3250000}"/>
    <cellStyle name="Porcentual 2 53" xfId="3175" xr:uid="{00000000-0005-0000-0000-0000F4250000}"/>
    <cellStyle name="Porcentual 2 53 2" xfId="8810" xr:uid="{00000000-0005-0000-0000-0000F5250000}"/>
    <cellStyle name="Porcentual 2 54" xfId="3176" xr:uid="{00000000-0005-0000-0000-0000F6250000}"/>
    <cellStyle name="Porcentual 2 54 2" xfId="8811" xr:uid="{00000000-0005-0000-0000-0000F7250000}"/>
    <cellStyle name="Porcentual 2 55" xfId="3177" xr:uid="{00000000-0005-0000-0000-0000F8250000}"/>
    <cellStyle name="Porcentual 2 55 2" xfId="8812" xr:uid="{00000000-0005-0000-0000-0000F9250000}"/>
    <cellStyle name="Porcentual 2 56" xfId="3178" xr:uid="{00000000-0005-0000-0000-0000FA250000}"/>
    <cellStyle name="Porcentual 2 56 2" xfId="8813" xr:uid="{00000000-0005-0000-0000-0000FB250000}"/>
    <cellStyle name="Porcentual 2 57" xfId="3179" xr:uid="{00000000-0005-0000-0000-0000FC250000}"/>
    <cellStyle name="Porcentual 2 57 2" xfId="8814" xr:uid="{00000000-0005-0000-0000-0000FD250000}"/>
    <cellStyle name="Porcentual 2 58" xfId="3180" xr:uid="{00000000-0005-0000-0000-0000FE250000}"/>
    <cellStyle name="Porcentual 2 58 2" xfId="8815" xr:uid="{00000000-0005-0000-0000-0000FF250000}"/>
    <cellStyle name="Porcentual 2 59" xfId="3181" xr:uid="{00000000-0005-0000-0000-000000260000}"/>
    <cellStyle name="Porcentual 2 59 2" xfId="8816" xr:uid="{00000000-0005-0000-0000-000001260000}"/>
    <cellStyle name="Porcentual 2 6" xfId="3182" xr:uid="{00000000-0005-0000-0000-000002260000}"/>
    <cellStyle name="Porcentual 2 6 10" xfId="3183" xr:uid="{00000000-0005-0000-0000-000003260000}"/>
    <cellStyle name="Porcentual 2 6 10 2" xfId="6766" xr:uid="{00000000-0005-0000-0000-000004260000}"/>
    <cellStyle name="Porcentual 2 6 11" xfId="3184" xr:uid="{00000000-0005-0000-0000-000005260000}"/>
    <cellStyle name="Porcentual 2 6 11 2" xfId="6767" xr:uid="{00000000-0005-0000-0000-000006260000}"/>
    <cellStyle name="Porcentual 2 6 12" xfId="3185" xr:uid="{00000000-0005-0000-0000-000007260000}"/>
    <cellStyle name="Porcentual 2 6 12 2" xfId="6768" xr:uid="{00000000-0005-0000-0000-000008260000}"/>
    <cellStyle name="Porcentual 2 6 13" xfId="3186" xr:uid="{00000000-0005-0000-0000-000009260000}"/>
    <cellStyle name="Porcentual 2 6 13 2" xfId="6769" xr:uid="{00000000-0005-0000-0000-00000A260000}"/>
    <cellStyle name="Porcentual 2 6 14" xfId="3187" xr:uid="{00000000-0005-0000-0000-00000B260000}"/>
    <cellStyle name="Porcentual 2 6 14 2" xfId="6770" xr:uid="{00000000-0005-0000-0000-00000C260000}"/>
    <cellStyle name="Porcentual 2 6 15" xfId="3188" xr:uid="{00000000-0005-0000-0000-00000D260000}"/>
    <cellStyle name="Porcentual 2 6 15 2" xfId="6771" xr:uid="{00000000-0005-0000-0000-00000E260000}"/>
    <cellStyle name="Porcentual 2 6 16" xfId="3189" xr:uid="{00000000-0005-0000-0000-00000F260000}"/>
    <cellStyle name="Porcentual 2 6 16 2" xfId="6772" xr:uid="{00000000-0005-0000-0000-000010260000}"/>
    <cellStyle name="Porcentual 2 6 17" xfId="3190" xr:uid="{00000000-0005-0000-0000-000011260000}"/>
    <cellStyle name="Porcentual 2 6 17 2" xfId="6773" xr:uid="{00000000-0005-0000-0000-000012260000}"/>
    <cellStyle name="Porcentual 2 6 18" xfId="3191" xr:uid="{00000000-0005-0000-0000-000013260000}"/>
    <cellStyle name="Porcentual 2 6 18 2" xfId="6774" xr:uid="{00000000-0005-0000-0000-000014260000}"/>
    <cellStyle name="Porcentual 2 6 19" xfId="3192" xr:uid="{00000000-0005-0000-0000-000015260000}"/>
    <cellStyle name="Porcentual 2 6 19 2" xfId="6775" xr:uid="{00000000-0005-0000-0000-000016260000}"/>
    <cellStyle name="Porcentual 2 6 2" xfId="3193" xr:uid="{00000000-0005-0000-0000-000017260000}"/>
    <cellStyle name="Porcentual 2 6 2 2" xfId="6776" xr:uid="{00000000-0005-0000-0000-000018260000}"/>
    <cellStyle name="Porcentual 2 6 20" xfId="3194" xr:uid="{00000000-0005-0000-0000-000019260000}"/>
    <cellStyle name="Porcentual 2 6 20 2" xfId="6777" xr:uid="{00000000-0005-0000-0000-00001A260000}"/>
    <cellStyle name="Porcentual 2 6 21" xfId="3195" xr:uid="{00000000-0005-0000-0000-00001B260000}"/>
    <cellStyle name="Porcentual 2 6 21 2" xfId="6778" xr:uid="{00000000-0005-0000-0000-00001C260000}"/>
    <cellStyle name="Porcentual 2 6 22" xfId="3196" xr:uid="{00000000-0005-0000-0000-00001D260000}"/>
    <cellStyle name="Porcentual 2 6 22 2" xfId="6779" xr:uid="{00000000-0005-0000-0000-00001E260000}"/>
    <cellStyle name="Porcentual 2 6 23" xfId="3197" xr:uid="{00000000-0005-0000-0000-00001F260000}"/>
    <cellStyle name="Porcentual 2 6 23 2" xfId="6780" xr:uid="{00000000-0005-0000-0000-000020260000}"/>
    <cellStyle name="Porcentual 2 6 24" xfId="3198" xr:uid="{00000000-0005-0000-0000-000021260000}"/>
    <cellStyle name="Porcentual 2 6 24 2" xfId="6781" xr:uid="{00000000-0005-0000-0000-000022260000}"/>
    <cellStyle name="Porcentual 2 6 25" xfId="3199" xr:uid="{00000000-0005-0000-0000-000023260000}"/>
    <cellStyle name="Porcentual 2 6 25 2" xfId="6782" xr:uid="{00000000-0005-0000-0000-000024260000}"/>
    <cellStyle name="Porcentual 2 6 26" xfId="3200" xr:uid="{00000000-0005-0000-0000-000025260000}"/>
    <cellStyle name="Porcentual 2 6 26 2" xfId="6783" xr:uid="{00000000-0005-0000-0000-000026260000}"/>
    <cellStyle name="Porcentual 2 6 27" xfId="3201" xr:uid="{00000000-0005-0000-0000-000027260000}"/>
    <cellStyle name="Porcentual 2 6 27 2" xfId="6784" xr:uid="{00000000-0005-0000-0000-000028260000}"/>
    <cellStyle name="Porcentual 2 6 28" xfId="3202" xr:uid="{00000000-0005-0000-0000-000029260000}"/>
    <cellStyle name="Porcentual 2 6 28 2" xfId="6785" xr:uid="{00000000-0005-0000-0000-00002A260000}"/>
    <cellStyle name="Porcentual 2 6 29" xfId="6786" xr:uid="{00000000-0005-0000-0000-00002B260000}"/>
    <cellStyle name="Porcentual 2 6 3" xfId="3203" xr:uid="{00000000-0005-0000-0000-00002C260000}"/>
    <cellStyle name="Porcentual 2 6 3 2" xfId="6787" xr:uid="{00000000-0005-0000-0000-00002D260000}"/>
    <cellStyle name="Porcentual 2 6 4" xfId="3204" xr:uid="{00000000-0005-0000-0000-00002E260000}"/>
    <cellStyle name="Porcentual 2 6 4 2" xfId="6788" xr:uid="{00000000-0005-0000-0000-00002F260000}"/>
    <cellStyle name="Porcentual 2 6 5" xfId="3205" xr:uid="{00000000-0005-0000-0000-000030260000}"/>
    <cellStyle name="Porcentual 2 6 5 2" xfId="6789" xr:uid="{00000000-0005-0000-0000-000031260000}"/>
    <cellStyle name="Porcentual 2 6 6" xfId="3206" xr:uid="{00000000-0005-0000-0000-000032260000}"/>
    <cellStyle name="Porcentual 2 6 6 2" xfId="6790" xr:uid="{00000000-0005-0000-0000-000033260000}"/>
    <cellStyle name="Porcentual 2 6 7" xfId="3207" xr:uid="{00000000-0005-0000-0000-000034260000}"/>
    <cellStyle name="Porcentual 2 6 7 2" xfId="6791" xr:uid="{00000000-0005-0000-0000-000035260000}"/>
    <cellStyle name="Porcentual 2 6 8" xfId="3208" xr:uid="{00000000-0005-0000-0000-000036260000}"/>
    <cellStyle name="Porcentual 2 6 8 2" xfId="6792" xr:uid="{00000000-0005-0000-0000-000037260000}"/>
    <cellStyle name="Porcentual 2 6 9" xfId="3209" xr:uid="{00000000-0005-0000-0000-000038260000}"/>
    <cellStyle name="Porcentual 2 6 9 2" xfId="6793" xr:uid="{00000000-0005-0000-0000-000039260000}"/>
    <cellStyle name="Porcentual 2 60" xfId="3210" xr:uid="{00000000-0005-0000-0000-00003A260000}"/>
    <cellStyle name="Porcentual 2 60 2" xfId="8817" xr:uid="{00000000-0005-0000-0000-00003B260000}"/>
    <cellStyle name="Porcentual 2 61" xfId="3211" xr:uid="{00000000-0005-0000-0000-00003C260000}"/>
    <cellStyle name="Porcentual 2 61 2" xfId="8818" xr:uid="{00000000-0005-0000-0000-00003D260000}"/>
    <cellStyle name="Porcentual 2 62" xfId="3212" xr:uid="{00000000-0005-0000-0000-00003E260000}"/>
    <cellStyle name="Porcentual 2 62 2" xfId="8819" xr:uid="{00000000-0005-0000-0000-00003F260000}"/>
    <cellStyle name="Porcentual 2 63" xfId="3213" xr:uid="{00000000-0005-0000-0000-000040260000}"/>
    <cellStyle name="Porcentual 2 63 2" xfId="8820" xr:uid="{00000000-0005-0000-0000-000041260000}"/>
    <cellStyle name="Porcentual 2 64" xfId="3214" xr:uid="{00000000-0005-0000-0000-000042260000}"/>
    <cellStyle name="Porcentual 2 64 2" xfId="8821" xr:uid="{00000000-0005-0000-0000-000043260000}"/>
    <cellStyle name="Porcentual 2 65" xfId="3215" xr:uid="{00000000-0005-0000-0000-000044260000}"/>
    <cellStyle name="Porcentual 2 65 2" xfId="8822" xr:uid="{00000000-0005-0000-0000-000045260000}"/>
    <cellStyle name="Porcentual 2 66" xfId="3216" xr:uid="{00000000-0005-0000-0000-000046260000}"/>
    <cellStyle name="Porcentual 2 66 2" xfId="8823" xr:uid="{00000000-0005-0000-0000-000047260000}"/>
    <cellStyle name="Porcentual 2 67" xfId="3217" xr:uid="{00000000-0005-0000-0000-000048260000}"/>
    <cellStyle name="Porcentual 2 67 2" xfId="8824" xr:uid="{00000000-0005-0000-0000-000049260000}"/>
    <cellStyle name="Porcentual 2 68" xfId="3218" xr:uid="{00000000-0005-0000-0000-00004A260000}"/>
    <cellStyle name="Porcentual 2 68 2" xfId="8825" xr:uid="{00000000-0005-0000-0000-00004B260000}"/>
    <cellStyle name="Porcentual 2 69" xfId="3219" xr:uid="{00000000-0005-0000-0000-00004C260000}"/>
    <cellStyle name="Porcentual 2 69 2" xfId="8826" xr:uid="{00000000-0005-0000-0000-00004D260000}"/>
    <cellStyle name="Porcentual 2 7" xfId="3220" xr:uid="{00000000-0005-0000-0000-00004E260000}"/>
    <cellStyle name="Porcentual 2 7 10" xfId="3221" xr:uid="{00000000-0005-0000-0000-00004F260000}"/>
    <cellStyle name="Porcentual 2 7 10 2" xfId="6794" xr:uid="{00000000-0005-0000-0000-000050260000}"/>
    <cellStyle name="Porcentual 2 7 11" xfId="3222" xr:uid="{00000000-0005-0000-0000-000051260000}"/>
    <cellStyle name="Porcentual 2 7 11 2" xfId="6795" xr:uid="{00000000-0005-0000-0000-000052260000}"/>
    <cellStyle name="Porcentual 2 7 12" xfId="3223" xr:uid="{00000000-0005-0000-0000-000053260000}"/>
    <cellStyle name="Porcentual 2 7 12 2" xfId="6796" xr:uid="{00000000-0005-0000-0000-000054260000}"/>
    <cellStyle name="Porcentual 2 7 13" xfId="3224" xr:uid="{00000000-0005-0000-0000-000055260000}"/>
    <cellStyle name="Porcentual 2 7 13 2" xfId="6797" xr:uid="{00000000-0005-0000-0000-000056260000}"/>
    <cellStyle name="Porcentual 2 7 14" xfId="3225" xr:uid="{00000000-0005-0000-0000-000057260000}"/>
    <cellStyle name="Porcentual 2 7 14 2" xfId="6798" xr:uid="{00000000-0005-0000-0000-000058260000}"/>
    <cellStyle name="Porcentual 2 7 15" xfId="3226" xr:uid="{00000000-0005-0000-0000-000059260000}"/>
    <cellStyle name="Porcentual 2 7 15 2" xfId="6799" xr:uid="{00000000-0005-0000-0000-00005A260000}"/>
    <cellStyle name="Porcentual 2 7 16" xfId="3227" xr:uid="{00000000-0005-0000-0000-00005B260000}"/>
    <cellStyle name="Porcentual 2 7 16 2" xfId="6800" xr:uid="{00000000-0005-0000-0000-00005C260000}"/>
    <cellStyle name="Porcentual 2 7 17" xfId="3228" xr:uid="{00000000-0005-0000-0000-00005D260000}"/>
    <cellStyle name="Porcentual 2 7 17 2" xfId="6801" xr:uid="{00000000-0005-0000-0000-00005E260000}"/>
    <cellStyle name="Porcentual 2 7 18" xfId="3229" xr:uid="{00000000-0005-0000-0000-00005F260000}"/>
    <cellStyle name="Porcentual 2 7 18 2" xfId="6802" xr:uid="{00000000-0005-0000-0000-000060260000}"/>
    <cellStyle name="Porcentual 2 7 19" xfId="3230" xr:uid="{00000000-0005-0000-0000-000061260000}"/>
    <cellStyle name="Porcentual 2 7 19 2" xfId="6803" xr:uid="{00000000-0005-0000-0000-000062260000}"/>
    <cellStyle name="Porcentual 2 7 2" xfId="3231" xr:uid="{00000000-0005-0000-0000-000063260000}"/>
    <cellStyle name="Porcentual 2 7 2 2" xfId="6804" xr:uid="{00000000-0005-0000-0000-000064260000}"/>
    <cellStyle name="Porcentual 2 7 20" xfId="3232" xr:uid="{00000000-0005-0000-0000-000065260000}"/>
    <cellStyle name="Porcentual 2 7 20 2" xfId="6805" xr:uid="{00000000-0005-0000-0000-000066260000}"/>
    <cellStyle name="Porcentual 2 7 21" xfId="3233" xr:uid="{00000000-0005-0000-0000-000067260000}"/>
    <cellStyle name="Porcentual 2 7 21 2" xfId="6806" xr:uid="{00000000-0005-0000-0000-000068260000}"/>
    <cellStyle name="Porcentual 2 7 22" xfId="3234" xr:uid="{00000000-0005-0000-0000-000069260000}"/>
    <cellStyle name="Porcentual 2 7 22 2" xfId="6807" xr:uid="{00000000-0005-0000-0000-00006A260000}"/>
    <cellStyle name="Porcentual 2 7 23" xfId="3235" xr:uid="{00000000-0005-0000-0000-00006B260000}"/>
    <cellStyle name="Porcentual 2 7 23 2" xfId="6808" xr:uid="{00000000-0005-0000-0000-00006C260000}"/>
    <cellStyle name="Porcentual 2 7 24" xfId="3236" xr:uid="{00000000-0005-0000-0000-00006D260000}"/>
    <cellStyle name="Porcentual 2 7 24 2" xfId="6809" xr:uid="{00000000-0005-0000-0000-00006E260000}"/>
    <cellStyle name="Porcentual 2 7 25" xfId="3237" xr:uid="{00000000-0005-0000-0000-00006F260000}"/>
    <cellStyle name="Porcentual 2 7 25 2" xfId="6810" xr:uid="{00000000-0005-0000-0000-000070260000}"/>
    <cellStyle name="Porcentual 2 7 26" xfId="3238" xr:uid="{00000000-0005-0000-0000-000071260000}"/>
    <cellStyle name="Porcentual 2 7 26 2" xfId="6811" xr:uid="{00000000-0005-0000-0000-000072260000}"/>
    <cellStyle name="Porcentual 2 7 27" xfId="3239" xr:uid="{00000000-0005-0000-0000-000073260000}"/>
    <cellStyle name="Porcentual 2 7 27 2" xfId="6812" xr:uid="{00000000-0005-0000-0000-000074260000}"/>
    <cellStyle name="Porcentual 2 7 28" xfId="3240" xr:uid="{00000000-0005-0000-0000-000075260000}"/>
    <cellStyle name="Porcentual 2 7 28 2" xfId="6813" xr:uid="{00000000-0005-0000-0000-000076260000}"/>
    <cellStyle name="Porcentual 2 7 29" xfId="6814" xr:uid="{00000000-0005-0000-0000-000077260000}"/>
    <cellStyle name="Porcentual 2 7 3" xfId="3241" xr:uid="{00000000-0005-0000-0000-000078260000}"/>
    <cellStyle name="Porcentual 2 7 3 2" xfId="6815" xr:uid="{00000000-0005-0000-0000-000079260000}"/>
    <cellStyle name="Porcentual 2 7 4" xfId="3242" xr:uid="{00000000-0005-0000-0000-00007A260000}"/>
    <cellStyle name="Porcentual 2 7 4 2" xfId="6816" xr:uid="{00000000-0005-0000-0000-00007B260000}"/>
    <cellStyle name="Porcentual 2 7 5" xfId="3243" xr:uid="{00000000-0005-0000-0000-00007C260000}"/>
    <cellStyle name="Porcentual 2 7 5 2" xfId="6817" xr:uid="{00000000-0005-0000-0000-00007D260000}"/>
    <cellStyle name="Porcentual 2 7 6" xfId="3244" xr:uid="{00000000-0005-0000-0000-00007E260000}"/>
    <cellStyle name="Porcentual 2 7 6 2" xfId="6818" xr:uid="{00000000-0005-0000-0000-00007F260000}"/>
    <cellStyle name="Porcentual 2 7 7" xfId="3245" xr:uid="{00000000-0005-0000-0000-000080260000}"/>
    <cellStyle name="Porcentual 2 7 7 2" xfId="6819" xr:uid="{00000000-0005-0000-0000-000081260000}"/>
    <cellStyle name="Porcentual 2 7 8" xfId="3246" xr:uid="{00000000-0005-0000-0000-000082260000}"/>
    <cellStyle name="Porcentual 2 7 8 2" xfId="6820" xr:uid="{00000000-0005-0000-0000-000083260000}"/>
    <cellStyle name="Porcentual 2 7 9" xfId="3247" xr:uid="{00000000-0005-0000-0000-000084260000}"/>
    <cellStyle name="Porcentual 2 7 9 2" xfId="6821" xr:uid="{00000000-0005-0000-0000-000085260000}"/>
    <cellStyle name="Porcentual 2 70" xfId="3248" xr:uid="{00000000-0005-0000-0000-000086260000}"/>
    <cellStyle name="Porcentual 2 70 2" xfId="8827" xr:uid="{00000000-0005-0000-0000-000087260000}"/>
    <cellStyle name="Porcentual 2 71" xfId="3249" xr:uid="{00000000-0005-0000-0000-000088260000}"/>
    <cellStyle name="Porcentual 2 71 2" xfId="8828" xr:uid="{00000000-0005-0000-0000-000089260000}"/>
    <cellStyle name="Porcentual 2 72" xfId="3250" xr:uid="{00000000-0005-0000-0000-00008A260000}"/>
    <cellStyle name="Porcentual 2 72 2" xfId="8829" xr:uid="{00000000-0005-0000-0000-00008B260000}"/>
    <cellStyle name="Porcentual 2 73" xfId="3251" xr:uid="{00000000-0005-0000-0000-00008C260000}"/>
    <cellStyle name="Porcentual 2 73 2" xfId="8830" xr:uid="{00000000-0005-0000-0000-00008D260000}"/>
    <cellStyle name="Porcentual 2 74" xfId="3252" xr:uid="{00000000-0005-0000-0000-00008E260000}"/>
    <cellStyle name="Porcentual 2 74 2" xfId="8831" xr:uid="{00000000-0005-0000-0000-00008F260000}"/>
    <cellStyle name="Porcentual 2 75" xfId="3253" xr:uid="{00000000-0005-0000-0000-000090260000}"/>
    <cellStyle name="Porcentual 2 75 2" xfId="8832" xr:uid="{00000000-0005-0000-0000-000091260000}"/>
    <cellStyle name="Porcentual 2 76" xfId="3254" xr:uid="{00000000-0005-0000-0000-000092260000}"/>
    <cellStyle name="Porcentual 2 76 2" xfId="8833" xr:uid="{00000000-0005-0000-0000-000093260000}"/>
    <cellStyle name="Porcentual 2 77" xfId="3255" xr:uid="{00000000-0005-0000-0000-000094260000}"/>
    <cellStyle name="Porcentual 2 77 2" xfId="8834" xr:uid="{00000000-0005-0000-0000-000095260000}"/>
    <cellStyle name="Porcentual 2 78" xfId="3256" xr:uid="{00000000-0005-0000-0000-000096260000}"/>
    <cellStyle name="Porcentual 2 78 2" xfId="8835" xr:uid="{00000000-0005-0000-0000-000097260000}"/>
    <cellStyle name="Porcentual 2 79" xfId="3257" xr:uid="{00000000-0005-0000-0000-000098260000}"/>
    <cellStyle name="Porcentual 2 79 2" xfId="8836" xr:uid="{00000000-0005-0000-0000-000099260000}"/>
    <cellStyle name="Porcentual 2 8" xfId="3258" xr:uid="{00000000-0005-0000-0000-00009A260000}"/>
    <cellStyle name="Porcentual 2 8 10" xfId="3259" xr:uid="{00000000-0005-0000-0000-00009B260000}"/>
    <cellStyle name="Porcentual 2 8 10 2" xfId="6822" xr:uid="{00000000-0005-0000-0000-00009C260000}"/>
    <cellStyle name="Porcentual 2 8 11" xfId="3260" xr:uid="{00000000-0005-0000-0000-00009D260000}"/>
    <cellStyle name="Porcentual 2 8 11 2" xfId="6823" xr:uid="{00000000-0005-0000-0000-00009E260000}"/>
    <cellStyle name="Porcentual 2 8 12" xfId="3261" xr:uid="{00000000-0005-0000-0000-00009F260000}"/>
    <cellStyle name="Porcentual 2 8 12 2" xfId="6824" xr:uid="{00000000-0005-0000-0000-0000A0260000}"/>
    <cellStyle name="Porcentual 2 8 13" xfId="3262" xr:uid="{00000000-0005-0000-0000-0000A1260000}"/>
    <cellStyle name="Porcentual 2 8 13 2" xfId="6825" xr:uid="{00000000-0005-0000-0000-0000A2260000}"/>
    <cellStyle name="Porcentual 2 8 14" xfId="3263" xr:uid="{00000000-0005-0000-0000-0000A3260000}"/>
    <cellStyle name="Porcentual 2 8 14 2" xfId="6826" xr:uid="{00000000-0005-0000-0000-0000A4260000}"/>
    <cellStyle name="Porcentual 2 8 15" xfId="3264" xr:uid="{00000000-0005-0000-0000-0000A5260000}"/>
    <cellStyle name="Porcentual 2 8 15 2" xfId="6827" xr:uid="{00000000-0005-0000-0000-0000A6260000}"/>
    <cellStyle name="Porcentual 2 8 16" xfId="3265" xr:uid="{00000000-0005-0000-0000-0000A7260000}"/>
    <cellStyle name="Porcentual 2 8 16 2" xfId="6828" xr:uid="{00000000-0005-0000-0000-0000A8260000}"/>
    <cellStyle name="Porcentual 2 8 17" xfId="3266" xr:uid="{00000000-0005-0000-0000-0000A9260000}"/>
    <cellStyle name="Porcentual 2 8 17 2" xfId="6829" xr:uid="{00000000-0005-0000-0000-0000AA260000}"/>
    <cellStyle name="Porcentual 2 8 18" xfId="3267" xr:uid="{00000000-0005-0000-0000-0000AB260000}"/>
    <cellStyle name="Porcentual 2 8 18 2" xfId="6830" xr:uid="{00000000-0005-0000-0000-0000AC260000}"/>
    <cellStyle name="Porcentual 2 8 19" xfId="3268" xr:uid="{00000000-0005-0000-0000-0000AD260000}"/>
    <cellStyle name="Porcentual 2 8 19 2" xfId="6831" xr:uid="{00000000-0005-0000-0000-0000AE260000}"/>
    <cellStyle name="Porcentual 2 8 2" xfId="3269" xr:uid="{00000000-0005-0000-0000-0000AF260000}"/>
    <cellStyle name="Porcentual 2 8 2 2" xfId="6832" xr:uid="{00000000-0005-0000-0000-0000B0260000}"/>
    <cellStyle name="Porcentual 2 8 20" xfId="3270" xr:uid="{00000000-0005-0000-0000-0000B1260000}"/>
    <cellStyle name="Porcentual 2 8 20 2" xfId="6833" xr:uid="{00000000-0005-0000-0000-0000B2260000}"/>
    <cellStyle name="Porcentual 2 8 21" xfId="3271" xr:uid="{00000000-0005-0000-0000-0000B3260000}"/>
    <cellStyle name="Porcentual 2 8 21 2" xfId="6834" xr:uid="{00000000-0005-0000-0000-0000B4260000}"/>
    <cellStyle name="Porcentual 2 8 22" xfId="3272" xr:uid="{00000000-0005-0000-0000-0000B5260000}"/>
    <cellStyle name="Porcentual 2 8 22 2" xfId="6835" xr:uid="{00000000-0005-0000-0000-0000B6260000}"/>
    <cellStyle name="Porcentual 2 8 23" xfId="3273" xr:uid="{00000000-0005-0000-0000-0000B7260000}"/>
    <cellStyle name="Porcentual 2 8 23 2" xfId="6836" xr:uid="{00000000-0005-0000-0000-0000B8260000}"/>
    <cellStyle name="Porcentual 2 8 24" xfId="3274" xr:uid="{00000000-0005-0000-0000-0000B9260000}"/>
    <cellStyle name="Porcentual 2 8 24 2" xfId="6837" xr:uid="{00000000-0005-0000-0000-0000BA260000}"/>
    <cellStyle name="Porcentual 2 8 25" xfId="3275" xr:uid="{00000000-0005-0000-0000-0000BB260000}"/>
    <cellStyle name="Porcentual 2 8 25 2" xfId="6838" xr:uid="{00000000-0005-0000-0000-0000BC260000}"/>
    <cellStyle name="Porcentual 2 8 26" xfId="3276" xr:uid="{00000000-0005-0000-0000-0000BD260000}"/>
    <cellStyle name="Porcentual 2 8 26 2" xfId="6839" xr:uid="{00000000-0005-0000-0000-0000BE260000}"/>
    <cellStyle name="Porcentual 2 8 27" xfId="3277" xr:uid="{00000000-0005-0000-0000-0000BF260000}"/>
    <cellStyle name="Porcentual 2 8 27 2" xfId="6840" xr:uid="{00000000-0005-0000-0000-0000C0260000}"/>
    <cellStyle name="Porcentual 2 8 28" xfId="3278" xr:uid="{00000000-0005-0000-0000-0000C1260000}"/>
    <cellStyle name="Porcentual 2 8 28 2" xfId="6841" xr:uid="{00000000-0005-0000-0000-0000C2260000}"/>
    <cellStyle name="Porcentual 2 8 29" xfId="6842" xr:uid="{00000000-0005-0000-0000-0000C3260000}"/>
    <cellStyle name="Porcentual 2 8 3" xfId="3279" xr:uid="{00000000-0005-0000-0000-0000C4260000}"/>
    <cellStyle name="Porcentual 2 8 3 2" xfId="6843" xr:uid="{00000000-0005-0000-0000-0000C5260000}"/>
    <cellStyle name="Porcentual 2 8 4" xfId="3280" xr:uid="{00000000-0005-0000-0000-0000C6260000}"/>
    <cellStyle name="Porcentual 2 8 4 2" xfId="6844" xr:uid="{00000000-0005-0000-0000-0000C7260000}"/>
    <cellStyle name="Porcentual 2 8 5" xfId="3281" xr:uid="{00000000-0005-0000-0000-0000C8260000}"/>
    <cellStyle name="Porcentual 2 8 5 2" xfId="6845" xr:uid="{00000000-0005-0000-0000-0000C9260000}"/>
    <cellStyle name="Porcentual 2 8 6" xfId="3282" xr:uid="{00000000-0005-0000-0000-0000CA260000}"/>
    <cellStyle name="Porcentual 2 8 6 2" xfId="6846" xr:uid="{00000000-0005-0000-0000-0000CB260000}"/>
    <cellStyle name="Porcentual 2 8 7" xfId="3283" xr:uid="{00000000-0005-0000-0000-0000CC260000}"/>
    <cellStyle name="Porcentual 2 8 7 2" xfId="6847" xr:uid="{00000000-0005-0000-0000-0000CD260000}"/>
    <cellStyle name="Porcentual 2 8 8" xfId="3284" xr:uid="{00000000-0005-0000-0000-0000CE260000}"/>
    <cellStyle name="Porcentual 2 8 8 2" xfId="6848" xr:uid="{00000000-0005-0000-0000-0000CF260000}"/>
    <cellStyle name="Porcentual 2 8 9" xfId="3285" xr:uid="{00000000-0005-0000-0000-0000D0260000}"/>
    <cellStyle name="Porcentual 2 8 9 2" xfId="6849" xr:uid="{00000000-0005-0000-0000-0000D1260000}"/>
    <cellStyle name="Porcentual 2 80" xfId="3286" xr:uid="{00000000-0005-0000-0000-0000D2260000}"/>
    <cellStyle name="Porcentual 2 80 2" xfId="8837" xr:uid="{00000000-0005-0000-0000-0000D3260000}"/>
    <cellStyle name="Porcentual 2 81" xfId="3287" xr:uid="{00000000-0005-0000-0000-0000D4260000}"/>
    <cellStyle name="Porcentual 2 81 2" xfId="8838" xr:uid="{00000000-0005-0000-0000-0000D5260000}"/>
    <cellStyle name="Porcentual 2 82" xfId="3288" xr:uid="{00000000-0005-0000-0000-0000D6260000}"/>
    <cellStyle name="Porcentual 2 82 2" xfId="8839" xr:uid="{00000000-0005-0000-0000-0000D7260000}"/>
    <cellStyle name="Porcentual 2 83" xfId="3289" xr:uid="{00000000-0005-0000-0000-0000D8260000}"/>
    <cellStyle name="Porcentual 2 83 2" xfId="8840" xr:uid="{00000000-0005-0000-0000-0000D9260000}"/>
    <cellStyle name="Porcentual 2 84" xfId="3290" xr:uid="{00000000-0005-0000-0000-0000DA260000}"/>
    <cellStyle name="Porcentual 2 84 2" xfId="8841" xr:uid="{00000000-0005-0000-0000-0000DB260000}"/>
    <cellStyle name="Porcentual 2 85" xfId="3291" xr:uid="{00000000-0005-0000-0000-0000DC260000}"/>
    <cellStyle name="Porcentual 2 85 2" xfId="8842" xr:uid="{00000000-0005-0000-0000-0000DD260000}"/>
    <cellStyle name="Porcentual 2 86" xfId="3292" xr:uid="{00000000-0005-0000-0000-0000DE260000}"/>
    <cellStyle name="Porcentual 2 86 2" xfId="8843" xr:uid="{00000000-0005-0000-0000-0000DF260000}"/>
    <cellStyle name="Porcentual 2 87" xfId="3293" xr:uid="{00000000-0005-0000-0000-0000E0260000}"/>
    <cellStyle name="Porcentual 2 87 2" xfId="8844" xr:uid="{00000000-0005-0000-0000-0000E1260000}"/>
    <cellStyle name="Porcentual 2 88" xfId="3294" xr:uid="{00000000-0005-0000-0000-0000E2260000}"/>
    <cellStyle name="Porcentual 2 88 2" xfId="8845" xr:uid="{00000000-0005-0000-0000-0000E3260000}"/>
    <cellStyle name="Porcentual 2 89" xfId="3295" xr:uid="{00000000-0005-0000-0000-0000E4260000}"/>
    <cellStyle name="Porcentual 2 89 2" xfId="8846" xr:uid="{00000000-0005-0000-0000-0000E5260000}"/>
    <cellStyle name="Porcentual 2 9" xfId="3296" xr:uid="{00000000-0005-0000-0000-0000E6260000}"/>
    <cellStyle name="Porcentual 2 9 10" xfId="3297" xr:uid="{00000000-0005-0000-0000-0000E7260000}"/>
    <cellStyle name="Porcentual 2 9 10 2" xfId="6850" xr:uid="{00000000-0005-0000-0000-0000E8260000}"/>
    <cellStyle name="Porcentual 2 9 11" xfId="3298" xr:uid="{00000000-0005-0000-0000-0000E9260000}"/>
    <cellStyle name="Porcentual 2 9 11 2" xfId="6851" xr:uid="{00000000-0005-0000-0000-0000EA260000}"/>
    <cellStyle name="Porcentual 2 9 12" xfId="3299" xr:uid="{00000000-0005-0000-0000-0000EB260000}"/>
    <cellStyle name="Porcentual 2 9 12 2" xfId="6852" xr:uid="{00000000-0005-0000-0000-0000EC260000}"/>
    <cellStyle name="Porcentual 2 9 13" xfId="3300" xr:uid="{00000000-0005-0000-0000-0000ED260000}"/>
    <cellStyle name="Porcentual 2 9 13 2" xfId="6853" xr:uid="{00000000-0005-0000-0000-0000EE260000}"/>
    <cellStyle name="Porcentual 2 9 14" xfId="3301" xr:uid="{00000000-0005-0000-0000-0000EF260000}"/>
    <cellStyle name="Porcentual 2 9 14 2" xfId="6854" xr:uid="{00000000-0005-0000-0000-0000F0260000}"/>
    <cellStyle name="Porcentual 2 9 15" xfId="3302" xr:uid="{00000000-0005-0000-0000-0000F1260000}"/>
    <cellStyle name="Porcentual 2 9 15 2" xfId="6855" xr:uid="{00000000-0005-0000-0000-0000F2260000}"/>
    <cellStyle name="Porcentual 2 9 16" xfId="3303" xr:uid="{00000000-0005-0000-0000-0000F3260000}"/>
    <cellStyle name="Porcentual 2 9 16 2" xfId="6856" xr:uid="{00000000-0005-0000-0000-0000F4260000}"/>
    <cellStyle name="Porcentual 2 9 17" xfId="3304" xr:uid="{00000000-0005-0000-0000-0000F5260000}"/>
    <cellStyle name="Porcentual 2 9 17 2" xfId="6857" xr:uid="{00000000-0005-0000-0000-0000F6260000}"/>
    <cellStyle name="Porcentual 2 9 18" xfId="3305" xr:uid="{00000000-0005-0000-0000-0000F7260000}"/>
    <cellStyle name="Porcentual 2 9 18 2" xfId="6858" xr:uid="{00000000-0005-0000-0000-0000F8260000}"/>
    <cellStyle name="Porcentual 2 9 19" xfId="3306" xr:uid="{00000000-0005-0000-0000-0000F9260000}"/>
    <cellStyle name="Porcentual 2 9 19 2" xfId="6859" xr:uid="{00000000-0005-0000-0000-0000FA260000}"/>
    <cellStyle name="Porcentual 2 9 2" xfId="3307" xr:uid="{00000000-0005-0000-0000-0000FB260000}"/>
    <cellStyle name="Porcentual 2 9 2 2" xfId="6860" xr:uid="{00000000-0005-0000-0000-0000FC260000}"/>
    <cellStyle name="Porcentual 2 9 20" xfId="3308" xr:uid="{00000000-0005-0000-0000-0000FD260000}"/>
    <cellStyle name="Porcentual 2 9 20 2" xfId="6861" xr:uid="{00000000-0005-0000-0000-0000FE260000}"/>
    <cellStyle name="Porcentual 2 9 21" xfId="3309" xr:uid="{00000000-0005-0000-0000-0000FF260000}"/>
    <cellStyle name="Porcentual 2 9 21 2" xfId="6862" xr:uid="{00000000-0005-0000-0000-000000270000}"/>
    <cellStyle name="Porcentual 2 9 22" xfId="3310" xr:uid="{00000000-0005-0000-0000-000001270000}"/>
    <cellStyle name="Porcentual 2 9 22 2" xfId="6863" xr:uid="{00000000-0005-0000-0000-000002270000}"/>
    <cellStyle name="Porcentual 2 9 23" xfId="3311" xr:uid="{00000000-0005-0000-0000-000003270000}"/>
    <cellStyle name="Porcentual 2 9 23 2" xfId="6864" xr:uid="{00000000-0005-0000-0000-000004270000}"/>
    <cellStyle name="Porcentual 2 9 24" xfId="3312" xr:uid="{00000000-0005-0000-0000-000005270000}"/>
    <cellStyle name="Porcentual 2 9 24 2" xfId="6865" xr:uid="{00000000-0005-0000-0000-000006270000}"/>
    <cellStyle name="Porcentual 2 9 25" xfId="3313" xr:uid="{00000000-0005-0000-0000-000007270000}"/>
    <cellStyle name="Porcentual 2 9 25 2" xfId="6866" xr:uid="{00000000-0005-0000-0000-000008270000}"/>
    <cellStyle name="Porcentual 2 9 26" xfId="3314" xr:uid="{00000000-0005-0000-0000-000009270000}"/>
    <cellStyle name="Porcentual 2 9 26 2" xfId="6867" xr:uid="{00000000-0005-0000-0000-00000A270000}"/>
    <cellStyle name="Porcentual 2 9 27" xfId="3315" xr:uid="{00000000-0005-0000-0000-00000B270000}"/>
    <cellStyle name="Porcentual 2 9 27 2" xfId="6868" xr:uid="{00000000-0005-0000-0000-00000C270000}"/>
    <cellStyle name="Porcentual 2 9 28" xfId="3316" xr:uid="{00000000-0005-0000-0000-00000D270000}"/>
    <cellStyle name="Porcentual 2 9 28 2" xfId="6869" xr:uid="{00000000-0005-0000-0000-00000E270000}"/>
    <cellStyle name="Porcentual 2 9 29" xfId="6870" xr:uid="{00000000-0005-0000-0000-00000F270000}"/>
    <cellStyle name="Porcentual 2 9 3" xfId="3317" xr:uid="{00000000-0005-0000-0000-000010270000}"/>
    <cellStyle name="Porcentual 2 9 3 2" xfId="6871" xr:uid="{00000000-0005-0000-0000-000011270000}"/>
    <cellStyle name="Porcentual 2 9 4" xfId="3318" xr:uid="{00000000-0005-0000-0000-000012270000}"/>
    <cellStyle name="Porcentual 2 9 4 2" xfId="6872" xr:uid="{00000000-0005-0000-0000-000013270000}"/>
    <cellStyle name="Porcentual 2 9 5" xfId="3319" xr:uid="{00000000-0005-0000-0000-000014270000}"/>
    <cellStyle name="Porcentual 2 9 5 2" xfId="6873" xr:uid="{00000000-0005-0000-0000-000015270000}"/>
    <cellStyle name="Porcentual 2 9 6" xfId="3320" xr:uid="{00000000-0005-0000-0000-000016270000}"/>
    <cellStyle name="Porcentual 2 9 6 2" xfId="6874" xr:uid="{00000000-0005-0000-0000-000017270000}"/>
    <cellStyle name="Porcentual 2 9 7" xfId="3321" xr:uid="{00000000-0005-0000-0000-000018270000}"/>
    <cellStyle name="Porcentual 2 9 7 2" xfId="6875" xr:uid="{00000000-0005-0000-0000-000019270000}"/>
    <cellStyle name="Porcentual 2 9 8" xfId="3322" xr:uid="{00000000-0005-0000-0000-00001A270000}"/>
    <cellStyle name="Porcentual 2 9 8 2" xfId="6876" xr:uid="{00000000-0005-0000-0000-00001B270000}"/>
    <cellStyle name="Porcentual 2 9 9" xfId="3323" xr:uid="{00000000-0005-0000-0000-00001C270000}"/>
    <cellStyle name="Porcentual 2 9 9 2" xfId="6877" xr:uid="{00000000-0005-0000-0000-00001D270000}"/>
    <cellStyle name="Porcentual 2 90" xfId="3324" xr:uid="{00000000-0005-0000-0000-00001E270000}"/>
    <cellStyle name="Porcentual 2 90 2" xfId="8847" xr:uid="{00000000-0005-0000-0000-00001F270000}"/>
    <cellStyle name="Porcentual 2 91" xfId="3325" xr:uid="{00000000-0005-0000-0000-000020270000}"/>
    <cellStyle name="Porcentual 2 91 2" xfId="8848" xr:uid="{00000000-0005-0000-0000-000021270000}"/>
    <cellStyle name="Porcentual 2 92" xfId="3326" xr:uid="{00000000-0005-0000-0000-000022270000}"/>
    <cellStyle name="Porcentual 2 92 2" xfId="8849" xr:uid="{00000000-0005-0000-0000-000023270000}"/>
    <cellStyle name="Porcentual 2 93" xfId="3327" xr:uid="{00000000-0005-0000-0000-000024270000}"/>
    <cellStyle name="Porcentual 2 93 2" xfId="8850" xr:uid="{00000000-0005-0000-0000-000025270000}"/>
    <cellStyle name="Porcentual 2 94" xfId="3328" xr:uid="{00000000-0005-0000-0000-000026270000}"/>
    <cellStyle name="Porcentual 2 94 2" xfId="8851" xr:uid="{00000000-0005-0000-0000-000027270000}"/>
    <cellStyle name="Porcentual 2 95" xfId="3329" xr:uid="{00000000-0005-0000-0000-000028270000}"/>
    <cellStyle name="Porcentual 2 95 2" xfId="8852" xr:uid="{00000000-0005-0000-0000-000029270000}"/>
    <cellStyle name="Porcentual 2 96" xfId="3330" xr:uid="{00000000-0005-0000-0000-00002A270000}"/>
    <cellStyle name="Porcentual 2 96 2" xfId="8853" xr:uid="{00000000-0005-0000-0000-00002B270000}"/>
    <cellStyle name="Porcentual 2 97" xfId="3331" xr:uid="{00000000-0005-0000-0000-00002C270000}"/>
    <cellStyle name="Porcentual 2 97 2" xfId="8854" xr:uid="{00000000-0005-0000-0000-00002D270000}"/>
    <cellStyle name="Porcentual 2 98" xfId="3332" xr:uid="{00000000-0005-0000-0000-00002E270000}"/>
    <cellStyle name="Porcentual 2 98 2" xfId="8855" xr:uid="{00000000-0005-0000-0000-00002F270000}"/>
    <cellStyle name="Porcentual 2 99" xfId="3333" xr:uid="{00000000-0005-0000-0000-000030270000}"/>
    <cellStyle name="Porcentual 2 99 2" xfId="8856" xr:uid="{00000000-0005-0000-0000-000031270000}"/>
    <cellStyle name="Porcentual 20" xfId="3334" xr:uid="{00000000-0005-0000-0000-000032270000}"/>
    <cellStyle name="Porcentual 20 10" xfId="3335" xr:uid="{00000000-0005-0000-0000-000033270000}"/>
    <cellStyle name="Porcentual 20 10 2" xfId="6878" xr:uid="{00000000-0005-0000-0000-000034270000}"/>
    <cellStyle name="Porcentual 20 10 3" xfId="8858" xr:uid="{00000000-0005-0000-0000-000035270000}"/>
    <cellStyle name="Porcentual 20 11" xfId="3336" xr:uid="{00000000-0005-0000-0000-000036270000}"/>
    <cellStyle name="Porcentual 20 11 2" xfId="6879" xr:uid="{00000000-0005-0000-0000-000037270000}"/>
    <cellStyle name="Porcentual 20 11 3" xfId="8859" xr:uid="{00000000-0005-0000-0000-000038270000}"/>
    <cellStyle name="Porcentual 20 12" xfId="3337" xr:uid="{00000000-0005-0000-0000-000039270000}"/>
    <cellStyle name="Porcentual 20 12 2" xfId="6880" xr:uid="{00000000-0005-0000-0000-00003A270000}"/>
    <cellStyle name="Porcentual 20 12 3" xfId="8860" xr:uid="{00000000-0005-0000-0000-00003B270000}"/>
    <cellStyle name="Porcentual 20 13" xfId="3338" xr:uid="{00000000-0005-0000-0000-00003C270000}"/>
    <cellStyle name="Porcentual 20 13 2" xfId="6881" xr:uid="{00000000-0005-0000-0000-00003D270000}"/>
    <cellStyle name="Porcentual 20 13 3" xfId="8861" xr:uid="{00000000-0005-0000-0000-00003E270000}"/>
    <cellStyle name="Porcentual 20 14" xfId="3339" xr:uid="{00000000-0005-0000-0000-00003F270000}"/>
    <cellStyle name="Porcentual 20 14 2" xfId="6882" xr:uid="{00000000-0005-0000-0000-000040270000}"/>
    <cellStyle name="Porcentual 20 14 3" xfId="8862" xr:uid="{00000000-0005-0000-0000-000041270000}"/>
    <cellStyle name="Porcentual 20 15" xfId="3340" xr:uid="{00000000-0005-0000-0000-000042270000}"/>
    <cellStyle name="Porcentual 20 15 2" xfId="6883" xr:uid="{00000000-0005-0000-0000-000043270000}"/>
    <cellStyle name="Porcentual 20 15 3" xfId="8863" xr:uid="{00000000-0005-0000-0000-000044270000}"/>
    <cellStyle name="Porcentual 20 16" xfId="3341" xr:uid="{00000000-0005-0000-0000-000045270000}"/>
    <cellStyle name="Porcentual 20 16 2" xfId="6884" xr:uid="{00000000-0005-0000-0000-000046270000}"/>
    <cellStyle name="Porcentual 20 16 3" xfId="8864" xr:uid="{00000000-0005-0000-0000-000047270000}"/>
    <cellStyle name="Porcentual 20 17" xfId="3342" xr:uid="{00000000-0005-0000-0000-000048270000}"/>
    <cellStyle name="Porcentual 20 17 2" xfId="6885" xr:uid="{00000000-0005-0000-0000-000049270000}"/>
    <cellStyle name="Porcentual 20 17 3" xfId="8865" xr:uid="{00000000-0005-0000-0000-00004A270000}"/>
    <cellStyle name="Porcentual 20 18" xfId="3343" xr:uid="{00000000-0005-0000-0000-00004B270000}"/>
    <cellStyle name="Porcentual 20 18 2" xfId="6886" xr:uid="{00000000-0005-0000-0000-00004C270000}"/>
    <cellStyle name="Porcentual 20 18 3" xfId="8866" xr:uid="{00000000-0005-0000-0000-00004D270000}"/>
    <cellStyle name="Porcentual 20 19" xfId="3344" xr:uid="{00000000-0005-0000-0000-00004E270000}"/>
    <cellStyle name="Porcentual 20 19 2" xfId="6887" xr:uid="{00000000-0005-0000-0000-00004F270000}"/>
    <cellStyle name="Porcentual 20 19 3" xfId="8867" xr:uid="{00000000-0005-0000-0000-000050270000}"/>
    <cellStyle name="Porcentual 20 2" xfId="3345" xr:uid="{00000000-0005-0000-0000-000051270000}"/>
    <cellStyle name="Porcentual 20 2 2" xfId="6888" xr:uid="{00000000-0005-0000-0000-000052270000}"/>
    <cellStyle name="Porcentual 20 2 3" xfId="8868" xr:uid="{00000000-0005-0000-0000-000053270000}"/>
    <cellStyle name="Porcentual 20 20" xfId="3346" xr:uid="{00000000-0005-0000-0000-000054270000}"/>
    <cellStyle name="Porcentual 20 20 2" xfId="6889" xr:uid="{00000000-0005-0000-0000-000055270000}"/>
    <cellStyle name="Porcentual 20 20 3" xfId="8869" xr:uid="{00000000-0005-0000-0000-000056270000}"/>
    <cellStyle name="Porcentual 20 21" xfId="3347" xr:uid="{00000000-0005-0000-0000-000057270000}"/>
    <cellStyle name="Porcentual 20 21 2" xfId="6890" xr:uid="{00000000-0005-0000-0000-000058270000}"/>
    <cellStyle name="Porcentual 20 21 3" xfId="8870" xr:uid="{00000000-0005-0000-0000-000059270000}"/>
    <cellStyle name="Porcentual 20 22" xfId="3348" xr:uid="{00000000-0005-0000-0000-00005A270000}"/>
    <cellStyle name="Porcentual 20 22 2" xfId="6891" xr:uid="{00000000-0005-0000-0000-00005B270000}"/>
    <cellStyle name="Porcentual 20 22 3" xfId="8871" xr:uid="{00000000-0005-0000-0000-00005C270000}"/>
    <cellStyle name="Porcentual 20 23" xfId="3349" xr:uid="{00000000-0005-0000-0000-00005D270000}"/>
    <cellStyle name="Porcentual 20 23 2" xfId="6892" xr:uid="{00000000-0005-0000-0000-00005E270000}"/>
    <cellStyle name="Porcentual 20 23 3" xfId="8872" xr:uid="{00000000-0005-0000-0000-00005F270000}"/>
    <cellStyle name="Porcentual 20 24" xfId="3350" xr:uid="{00000000-0005-0000-0000-000060270000}"/>
    <cellStyle name="Porcentual 20 24 2" xfId="6893" xr:uid="{00000000-0005-0000-0000-000061270000}"/>
    <cellStyle name="Porcentual 20 24 3" xfId="8873" xr:uid="{00000000-0005-0000-0000-000062270000}"/>
    <cellStyle name="Porcentual 20 25" xfId="3351" xr:uid="{00000000-0005-0000-0000-000063270000}"/>
    <cellStyle name="Porcentual 20 25 2" xfId="6894" xr:uid="{00000000-0005-0000-0000-000064270000}"/>
    <cellStyle name="Porcentual 20 25 3" xfId="8874" xr:uid="{00000000-0005-0000-0000-000065270000}"/>
    <cellStyle name="Porcentual 20 26" xfId="3352" xr:uid="{00000000-0005-0000-0000-000066270000}"/>
    <cellStyle name="Porcentual 20 26 2" xfId="6895" xr:uid="{00000000-0005-0000-0000-000067270000}"/>
    <cellStyle name="Porcentual 20 26 3" xfId="8875" xr:uid="{00000000-0005-0000-0000-000068270000}"/>
    <cellStyle name="Porcentual 20 27" xfId="3353" xr:uid="{00000000-0005-0000-0000-000069270000}"/>
    <cellStyle name="Porcentual 20 27 2" xfId="6896" xr:uid="{00000000-0005-0000-0000-00006A270000}"/>
    <cellStyle name="Porcentual 20 27 3" xfId="8876" xr:uid="{00000000-0005-0000-0000-00006B270000}"/>
    <cellStyle name="Porcentual 20 28" xfId="3354" xr:uid="{00000000-0005-0000-0000-00006C270000}"/>
    <cellStyle name="Porcentual 20 28 2" xfId="6897" xr:uid="{00000000-0005-0000-0000-00006D270000}"/>
    <cellStyle name="Porcentual 20 28 3" xfId="8877" xr:uid="{00000000-0005-0000-0000-00006E270000}"/>
    <cellStyle name="Porcentual 20 29" xfId="6898" xr:uid="{00000000-0005-0000-0000-00006F270000}"/>
    <cellStyle name="Porcentual 20 3" xfId="3355" xr:uid="{00000000-0005-0000-0000-000070270000}"/>
    <cellStyle name="Porcentual 20 3 2" xfId="6899" xr:uid="{00000000-0005-0000-0000-000071270000}"/>
    <cellStyle name="Porcentual 20 3 3" xfId="8878" xr:uid="{00000000-0005-0000-0000-000072270000}"/>
    <cellStyle name="Porcentual 20 30" xfId="8857" xr:uid="{00000000-0005-0000-0000-000073270000}"/>
    <cellStyle name="Porcentual 20 4" xfId="3356" xr:uid="{00000000-0005-0000-0000-000074270000}"/>
    <cellStyle name="Porcentual 20 4 2" xfId="6900" xr:uid="{00000000-0005-0000-0000-000075270000}"/>
    <cellStyle name="Porcentual 20 4 3" xfId="8879" xr:uid="{00000000-0005-0000-0000-000076270000}"/>
    <cellStyle name="Porcentual 20 5" xfId="3357" xr:uid="{00000000-0005-0000-0000-000077270000}"/>
    <cellStyle name="Porcentual 20 5 2" xfId="6901" xr:uid="{00000000-0005-0000-0000-000078270000}"/>
    <cellStyle name="Porcentual 20 5 3" xfId="8880" xr:uid="{00000000-0005-0000-0000-000079270000}"/>
    <cellStyle name="Porcentual 20 6" xfId="3358" xr:uid="{00000000-0005-0000-0000-00007A270000}"/>
    <cellStyle name="Porcentual 20 6 2" xfId="6902" xr:uid="{00000000-0005-0000-0000-00007B270000}"/>
    <cellStyle name="Porcentual 20 6 3" xfId="8881" xr:uid="{00000000-0005-0000-0000-00007C270000}"/>
    <cellStyle name="Porcentual 20 7" xfId="3359" xr:uid="{00000000-0005-0000-0000-00007D270000}"/>
    <cellStyle name="Porcentual 20 7 2" xfId="6903" xr:uid="{00000000-0005-0000-0000-00007E270000}"/>
    <cellStyle name="Porcentual 20 7 3" xfId="8882" xr:uid="{00000000-0005-0000-0000-00007F270000}"/>
    <cellStyle name="Porcentual 20 8" xfId="3360" xr:uid="{00000000-0005-0000-0000-000080270000}"/>
    <cellStyle name="Porcentual 20 8 2" xfId="6904" xr:uid="{00000000-0005-0000-0000-000081270000}"/>
    <cellStyle name="Porcentual 20 8 3" xfId="8883" xr:uid="{00000000-0005-0000-0000-000082270000}"/>
    <cellStyle name="Porcentual 20 9" xfId="3361" xr:uid="{00000000-0005-0000-0000-000083270000}"/>
    <cellStyle name="Porcentual 20 9 2" xfId="6905" xr:uid="{00000000-0005-0000-0000-000084270000}"/>
    <cellStyle name="Porcentual 20 9 3" xfId="8884" xr:uid="{00000000-0005-0000-0000-000085270000}"/>
    <cellStyle name="Porcentual 201" xfId="3362" xr:uid="{00000000-0005-0000-0000-000086270000}"/>
    <cellStyle name="Porcentual 201 10" xfId="3363" xr:uid="{00000000-0005-0000-0000-000087270000}"/>
    <cellStyle name="Porcentual 201 10 2" xfId="6906" xr:uid="{00000000-0005-0000-0000-000088270000}"/>
    <cellStyle name="Porcentual 201 10 3" xfId="8886" xr:uid="{00000000-0005-0000-0000-000089270000}"/>
    <cellStyle name="Porcentual 201 11" xfId="3364" xr:uid="{00000000-0005-0000-0000-00008A270000}"/>
    <cellStyle name="Porcentual 201 11 2" xfId="6907" xr:uid="{00000000-0005-0000-0000-00008B270000}"/>
    <cellStyle name="Porcentual 201 11 3" xfId="8887" xr:uid="{00000000-0005-0000-0000-00008C270000}"/>
    <cellStyle name="Porcentual 201 12" xfId="3365" xr:uid="{00000000-0005-0000-0000-00008D270000}"/>
    <cellStyle name="Porcentual 201 12 2" xfId="6908" xr:uid="{00000000-0005-0000-0000-00008E270000}"/>
    <cellStyle name="Porcentual 201 12 3" xfId="8888" xr:uid="{00000000-0005-0000-0000-00008F270000}"/>
    <cellStyle name="Porcentual 201 13" xfId="3366" xr:uid="{00000000-0005-0000-0000-000090270000}"/>
    <cellStyle name="Porcentual 201 13 2" xfId="6909" xr:uid="{00000000-0005-0000-0000-000091270000}"/>
    <cellStyle name="Porcentual 201 13 3" xfId="8889" xr:uid="{00000000-0005-0000-0000-000092270000}"/>
    <cellStyle name="Porcentual 201 14" xfId="3367" xr:uid="{00000000-0005-0000-0000-000093270000}"/>
    <cellStyle name="Porcentual 201 14 2" xfId="6910" xr:uid="{00000000-0005-0000-0000-000094270000}"/>
    <cellStyle name="Porcentual 201 14 3" xfId="8890" xr:uid="{00000000-0005-0000-0000-000095270000}"/>
    <cellStyle name="Porcentual 201 15" xfId="3368" xr:uid="{00000000-0005-0000-0000-000096270000}"/>
    <cellStyle name="Porcentual 201 15 2" xfId="6911" xr:uid="{00000000-0005-0000-0000-000097270000}"/>
    <cellStyle name="Porcentual 201 15 3" xfId="8891" xr:uid="{00000000-0005-0000-0000-000098270000}"/>
    <cellStyle name="Porcentual 201 16" xfId="3369" xr:uid="{00000000-0005-0000-0000-000099270000}"/>
    <cellStyle name="Porcentual 201 16 2" xfId="6912" xr:uid="{00000000-0005-0000-0000-00009A270000}"/>
    <cellStyle name="Porcentual 201 16 3" xfId="8892" xr:uid="{00000000-0005-0000-0000-00009B270000}"/>
    <cellStyle name="Porcentual 201 17" xfId="3370" xr:uid="{00000000-0005-0000-0000-00009C270000}"/>
    <cellStyle name="Porcentual 201 17 2" xfId="6913" xr:uid="{00000000-0005-0000-0000-00009D270000}"/>
    <cellStyle name="Porcentual 201 17 3" xfId="8893" xr:uid="{00000000-0005-0000-0000-00009E270000}"/>
    <cellStyle name="Porcentual 201 18" xfId="3371" xr:uid="{00000000-0005-0000-0000-00009F270000}"/>
    <cellStyle name="Porcentual 201 18 2" xfId="6914" xr:uid="{00000000-0005-0000-0000-0000A0270000}"/>
    <cellStyle name="Porcentual 201 18 3" xfId="8894" xr:uid="{00000000-0005-0000-0000-0000A1270000}"/>
    <cellStyle name="Porcentual 201 19" xfId="3372" xr:uid="{00000000-0005-0000-0000-0000A2270000}"/>
    <cellStyle name="Porcentual 201 19 2" xfId="6915" xr:uid="{00000000-0005-0000-0000-0000A3270000}"/>
    <cellStyle name="Porcentual 201 19 3" xfId="8895" xr:uid="{00000000-0005-0000-0000-0000A4270000}"/>
    <cellStyle name="Porcentual 201 2" xfId="3373" xr:uid="{00000000-0005-0000-0000-0000A5270000}"/>
    <cellStyle name="Porcentual 201 2 2" xfId="6916" xr:uid="{00000000-0005-0000-0000-0000A6270000}"/>
    <cellStyle name="Porcentual 201 2 3" xfId="8896" xr:uid="{00000000-0005-0000-0000-0000A7270000}"/>
    <cellStyle name="Porcentual 201 20" xfId="3374" xr:uid="{00000000-0005-0000-0000-0000A8270000}"/>
    <cellStyle name="Porcentual 201 20 2" xfId="6917" xr:uid="{00000000-0005-0000-0000-0000A9270000}"/>
    <cellStyle name="Porcentual 201 20 3" xfId="8897" xr:uid="{00000000-0005-0000-0000-0000AA270000}"/>
    <cellStyle name="Porcentual 201 21" xfId="3375" xr:uid="{00000000-0005-0000-0000-0000AB270000}"/>
    <cellStyle name="Porcentual 201 21 2" xfId="6918" xr:uid="{00000000-0005-0000-0000-0000AC270000}"/>
    <cellStyle name="Porcentual 201 21 3" xfId="8898" xr:uid="{00000000-0005-0000-0000-0000AD270000}"/>
    <cellStyle name="Porcentual 201 22" xfId="3376" xr:uid="{00000000-0005-0000-0000-0000AE270000}"/>
    <cellStyle name="Porcentual 201 22 2" xfId="6919" xr:uid="{00000000-0005-0000-0000-0000AF270000}"/>
    <cellStyle name="Porcentual 201 22 3" xfId="8899" xr:uid="{00000000-0005-0000-0000-0000B0270000}"/>
    <cellStyle name="Porcentual 201 23" xfId="3377" xr:uid="{00000000-0005-0000-0000-0000B1270000}"/>
    <cellStyle name="Porcentual 201 23 2" xfId="6920" xr:uid="{00000000-0005-0000-0000-0000B2270000}"/>
    <cellStyle name="Porcentual 201 23 3" xfId="8900" xr:uid="{00000000-0005-0000-0000-0000B3270000}"/>
    <cellStyle name="Porcentual 201 24" xfId="3378" xr:uid="{00000000-0005-0000-0000-0000B4270000}"/>
    <cellStyle name="Porcentual 201 24 2" xfId="6921" xr:uid="{00000000-0005-0000-0000-0000B5270000}"/>
    <cellStyle name="Porcentual 201 24 3" xfId="8901" xr:uid="{00000000-0005-0000-0000-0000B6270000}"/>
    <cellStyle name="Porcentual 201 25" xfId="3379" xr:uid="{00000000-0005-0000-0000-0000B7270000}"/>
    <cellStyle name="Porcentual 201 25 2" xfId="6922" xr:uid="{00000000-0005-0000-0000-0000B8270000}"/>
    <cellStyle name="Porcentual 201 25 3" xfId="8902" xr:uid="{00000000-0005-0000-0000-0000B9270000}"/>
    <cellStyle name="Porcentual 201 26" xfId="3380" xr:uid="{00000000-0005-0000-0000-0000BA270000}"/>
    <cellStyle name="Porcentual 201 26 2" xfId="6923" xr:uid="{00000000-0005-0000-0000-0000BB270000}"/>
    <cellStyle name="Porcentual 201 26 3" xfId="8903" xr:uid="{00000000-0005-0000-0000-0000BC270000}"/>
    <cellStyle name="Porcentual 201 27" xfId="3381" xr:uid="{00000000-0005-0000-0000-0000BD270000}"/>
    <cellStyle name="Porcentual 201 27 2" xfId="6924" xr:uid="{00000000-0005-0000-0000-0000BE270000}"/>
    <cellStyle name="Porcentual 201 27 3" xfId="8904" xr:uid="{00000000-0005-0000-0000-0000BF270000}"/>
    <cellStyle name="Porcentual 201 28" xfId="3382" xr:uid="{00000000-0005-0000-0000-0000C0270000}"/>
    <cellStyle name="Porcentual 201 28 2" xfId="6925" xr:uid="{00000000-0005-0000-0000-0000C1270000}"/>
    <cellStyle name="Porcentual 201 28 3" xfId="8905" xr:uid="{00000000-0005-0000-0000-0000C2270000}"/>
    <cellStyle name="Porcentual 201 29" xfId="8885" xr:uid="{00000000-0005-0000-0000-0000C3270000}"/>
    <cellStyle name="Porcentual 201 3" xfId="3383" xr:uid="{00000000-0005-0000-0000-0000C4270000}"/>
    <cellStyle name="Porcentual 201 3 2" xfId="6926" xr:uid="{00000000-0005-0000-0000-0000C5270000}"/>
    <cellStyle name="Porcentual 201 3 3" xfId="8906" xr:uid="{00000000-0005-0000-0000-0000C6270000}"/>
    <cellStyle name="Porcentual 201 4" xfId="3384" xr:uid="{00000000-0005-0000-0000-0000C7270000}"/>
    <cellStyle name="Porcentual 201 4 2" xfId="6927" xr:uid="{00000000-0005-0000-0000-0000C8270000}"/>
    <cellStyle name="Porcentual 201 4 3" xfId="8907" xr:uid="{00000000-0005-0000-0000-0000C9270000}"/>
    <cellStyle name="Porcentual 201 5" xfId="3385" xr:uid="{00000000-0005-0000-0000-0000CA270000}"/>
    <cellStyle name="Porcentual 201 5 2" xfId="6928" xr:uid="{00000000-0005-0000-0000-0000CB270000}"/>
    <cellStyle name="Porcentual 201 5 3" xfId="8908" xr:uid="{00000000-0005-0000-0000-0000CC270000}"/>
    <cellStyle name="Porcentual 201 6" xfId="3386" xr:uid="{00000000-0005-0000-0000-0000CD270000}"/>
    <cellStyle name="Porcentual 201 6 2" xfId="6929" xr:uid="{00000000-0005-0000-0000-0000CE270000}"/>
    <cellStyle name="Porcentual 201 6 3" xfId="8909" xr:uid="{00000000-0005-0000-0000-0000CF270000}"/>
    <cellStyle name="Porcentual 201 7" xfId="3387" xr:uid="{00000000-0005-0000-0000-0000D0270000}"/>
    <cellStyle name="Porcentual 201 7 2" xfId="6930" xr:uid="{00000000-0005-0000-0000-0000D1270000}"/>
    <cellStyle name="Porcentual 201 7 3" xfId="8910" xr:uid="{00000000-0005-0000-0000-0000D2270000}"/>
    <cellStyle name="Porcentual 201 8" xfId="3388" xr:uid="{00000000-0005-0000-0000-0000D3270000}"/>
    <cellStyle name="Porcentual 201 8 2" xfId="6931" xr:uid="{00000000-0005-0000-0000-0000D4270000}"/>
    <cellStyle name="Porcentual 201 8 3" xfId="8911" xr:uid="{00000000-0005-0000-0000-0000D5270000}"/>
    <cellStyle name="Porcentual 201 9" xfId="3389" xr:uid="{00000000-0005-0000-0000-0000D6270000}"/>
    <cellStyle name="Porcentual 201 9 2" xfId="6932" xr:uid="{00000000-0005-0000-0000-0000D7270000}"/>
    <cellStyle name="Porcentual 201 9 3" xfId="8912" xr:uid="{00000000-0005-0000-0000-0000D8270000}"/>
    <cellStyle name="Porcentual 203 10" xfId="3390" xr:uid="{00000000-0005-0000-0000-0000D9270000}"/>
    <cellStyle name="Porcentual 203 10 2" xfId="6933" xr:uid="{00000000-0005-0000-0000-0000DA270000}"/>
    <cellStyle name="Porcentual 203 10 3" xfId="8913" xr:uid="{00000000-0005-0000-0000-0000DB270000}"/>
    <cellStyle name="Porcentual 203 11" xfId="3391" xr:uid="{00000000-0005-0000-0000-0000DC270000}"/>
    <cellStyle name="Porcentual 203 11 2" xfId="6934" xr:uid="{00000000-0005-0000-0000-0000DD270000}"/>
    <cellStyle name="Porcentual 203 11 3" xfId="8914" xr:uid="{00000000-0005-0000-0000-0000DE270000}"/>
    <cellStyle name="Porcentual 203 12" xfId="3392" xr:uid="{00000000-0005-0000-0000-0000DF270000}"/>
    <cellStyle name="Porcentual 203 12 2" xfId="6935" xr:uid="{00000000-0005-0000-0000-0000E0270000}"/>
    <cellStyle name="Porcentual 203 12 3" xfId="8915" xr:uid="{00000000-0005-0000-0000-0000E1270000}"/>
    <cellStyle name="Porcentual 203 13" xfId="3393" xr:uid="{00000000-0005-0000-0000-0000E2270000}"/>
    <cellStyle name="Porcentual 203 13 2" xfId="6936" xr:uid="{00000000-0005-0000-0000-0000E3270000}"/>
    <cellStyle name="Porcentual 203 13 3" xfId="8916" xr:uid="{00000000-0005-0000-0000-0000E4270000}"/>
    <cellStyle name="Porcentual 203 14" xfId="3394" xr:uid="{00000000-0005-0000-0000-0000E5270000}"/>
    <cellStyle name="Porcentual 203 14 2" xfId="6937" xr:uid="{00000000-0005-0000-0000-0000E6270000}"/>
    <cellStyle name="Porcentual 203 14 3" xfId="8917" xr:uid="{00000000-0005-0000-0000-0000E7270000}"/>
    <cellStyle name="Porcentual 203 15" xfId="3395" xr:uid="{00000000-0005-0000-0000-0000E8270000}"/>
    <cellStyle name="Porcentual 203 15 2" xfId="6938" xr:uid="{00000000-0005-0000-0000-0000E9270000}"/>
    <cellStyle name="Porcentual 203 15 3" xfId="8918" xr:uid="{00000000-0005-0000-0000-0000EA270000}"/>
    <cellStyle name="Porcentual 203 16" xfId="3396" xr:uid="{00000000-0005-0000-0000-0000EB270000}"/>
    <cellStyle name="Porcentual 203 16 2" xfId="6939" xr:uid="{00000000-0005-0000-0000-0000EC270000}"/>
    <cellStyle name="Porcentual 203 16 3" xfId="8919" xr:uid="{00000000-0005-0000-0000-0000ED270000}"/>
    <cellStyle name="Porcentual 203 17" xfId="3397" xr:uid="{00000000-0005-0000-0000-0000EE270000}"/>
    <cellStyle name="Porcentual 203 17 2" xfId="6940" xr:uid="{00000000-0005-0000-0000-0000EF270000}"/>
    <cellStyle name="Porcentual 203 17 3" xfId="8920" xr:uid="{00000000-0005-0000-0000-0000F0270000}"/>
    <cellStyle name="Porcentual 203 18" xfId="3398" xr:uid="{00000000-0005-0000-0000-0000F1270000}"/>
    <cellStyle name="Porcentual 203 18 2" xfId="6941" xr:uid="{00000000-0005-0000-0000-0000F2270000}"/>
    <cellStyle name="Porcentual 203 18 3" xfId="8921" xr:uid="{00000000-0005-0000-0000-0000F3270000}"/>
    <cellStyle name="Porcentual 203 19" xfId="3399" xr:uid="{00000000-0005-0000-0000-0000F4270000}"/>
    <cellStyle name="Porcentual 203 19 2" xfId="6942" xr:uid="{00000000-0005-0000-0000-0000F5270000}"/>
    <cellStyle name="Porcentual 203 19 3" xfId="8922" xr:uid="{00000000-0005-0000-0000-0000F6270000}"/>
    <cellStyle name="Porcentual 203 2" xfId="3400" xr:uid="{00000000-0005-0000-0000-0000F7270000}"/>
    <cellStyle name="Porcentual 203 2 2" xfId="6943" xr:uid="{00000000-0005-0000-0000-0000F8270000}"/>
    <cellStyle name="Porcentual 203 2 3" xfId="8923" xr:uid="{00000000-0005-0000-0000-0000F9270000}"/>
    <cellStyle name="Porcentual 203 20" xfId="3401" xr:uid="{00000000-0005-0000-0000-0000FA270000}"/>
    <cellStyle name="Porcentual 203 20 2" xfId="6944" xr:uid="{00000000-0005-0000-0000-0000FB270000}"/>
    <cellStyle name="Porcentual 203 20 3" xfId="8924" xr:uid="{00000000-0005-0000-0000-0000FC270000}"/>
    <cellStyle name="Porcentual 203 21" xfId="3402" xr:uid="{00000000-0005-0000-0000-0000FD270000}"/>
    <cellStyle name="Porcentual 203 21 2" xfId="6945" xr:uid="{00000000-0005-0000-0000-0000FE270000}"/>
    <cellStyle name="Porcentual 203 21 3" xfId="8925" xr:uid="{00000000-0005-0000-0000-0000FF270000}"/>
    <cellStyle name="Porcentual 203 22" xfId="3403" xr:uid="{00000000-0005-0000-0000-000000280000}"/>
    <cellStyle name="Porcentual 203 22 2" xfId="6946" xr:uid="{00000000-0005-0000-0000-000001280000}"/>
    <cellStyle name="Porcentual 203 22 3" xfId="8926" xr:uid="{00000000-0005-0000-0000-000002280000}"/>
    <cellStyle name="Porcentual 203 23" xfId="3404" xr:uid="{00000000-0005-0000-0000-000003280000}"/>
    <cellStyle name="Porcentual 203 23 2" xfId="6947" xr:uid="{00000000-0005-0000-0000-000004280000}"/>
    <cellStyle name="Porcentual 203 23 3" xfId="8927" xr:uid="{00000000-0005-0000-0000-000005280000}"/>
    <cellStyle name="Porcentual 203 24" xfId="3405" xr:uid="{00000000-0005-0000-0000-000006280000}"/>
    <cellStyle name="Porcentual 203 24 2" xfId="6948" xr:uid="{00000000-0005-0000-0000-000007280000}"/>
    <cellStyle name="Porcentual 203 24 3" xfId="8928" xr:uid="{00000000-0005-0000-0000-000008280000}"/>
    <cellStyle name="Porcentual 203 25" xfId="3406" xr:uid="{00000000-0005-0000-0000-000009280000}"/>
    <cellStyle name="Porcentual 203 25 2" xfId="6949" xr:uid="{00000000-0005-0000-0000-00000A280000}"/>
    <cellStyle name="Porcentual 203 25 3" xfId="8929" xr:uid="{00000000-0005-0000-0000-00000B280000}"/>
    <cellStyle name="Porcentual 203 26" xfId="3407" xr:uid="{00000000-0005-0000-0000-00000C280000}"/>
    <cellStyle name="Porcentual 203 26 2" xfId="6950" xr:uid="{00000000-0005-0000-0000-00000D280000}"/>
    <cellStyle name="Porcentual 203 26 3" xfId="8930" xr:uid="{00000000-0005-0000-0000-00000E280000}"/>
    <cellStyle name="Porcentual 203 27" xfId="3408" xr:uid="{00000000-0005-0000-0000-00000F280000}"/>
    <cellStyle name="Porcentual 203 27 2" xfId="6951" xr:uid="{00000000-0005-0000-0000-000010280000}"/>
    <cellStyle name="Porcentual 203 27 3" xfId="8931" xr:uid="{00000000-0005-0000-0000-000011280000}"/>
    <cellStyle name="Porcentual 203 28" xfId="3409" xr:uid="{00000000-0005-0000-0000-000012280000}"/>
    <cellStyle name="Porcentual 203 28 2" xfId="6952" xr:uid="{00000000-0005-0000-0000-000013280000}"/>
    <cellStyle name="Porcentual 203 28 3" xfId="8932" xr:uid="{00000000-0005-0000-0000-000014280000}"/>
    <cellStyle name="Porcentual 203 3" xfId="3410" xr:uid="{00000000-0005-0000-0000-000015280000}"/>
    <cellStyle name="Porcentual 203 3 2" xfId="6953" xr:uid="{00000000-0005-0000-0000-000016280000}"/>
    <cellStyle name="Porcentual 203 3 3" xfId="8933" xr:uid="{00000000-0005-0000-0000-000017280000}"/>
    <cellStyle name="Porcentual 203 4" xfId="3411" xr:uid="{00000000-0005-0000-0000-000018280000}"/>
    <cellStyle name="Porcentual 203 4 2" xfId="6954" xr:uid="{00000000-0005-0000-0000-000019280000}"/>
    <cellStyle name="Porcentual 203 4 3" xfId="8934" xr:uid="{00000000-0005-0000-0000-00001A280000}"/>
    <cellStyle name="Porcentual 203 5" xfId="3412" xr:uid="{00000000-0005-0000-0000-00001B280000}"/>
    <cellStyle name="Porcentual 203 5 2" xfId="6955" xr:uid="{00000000-0005-0000-0000-00001C280000}"/>
    <cellStyle name="Porcentual 203 5 3" xfId="8935" xr:uid="{00000000-0005-0000-0000-00001D280000}"/>
    <cellStyle name="Porcentual 203 6" xfId="3413" xr:uid="{00000000-0005-0000-0000-00001E280000}"/>
    <cellStyle name="Porcentual 203 6 2" xfId="6956" xr:uid="{00000000-0005-0000-0000-00001F280000}"/>
    <cellStyle name="Porcentual 203 6 3" xfId="8936" xr:uid="{00000000-0005-0000-0000-000020280000}"/>
    <cellStyle name="Porcentual 203 7" xfId="3414" xr:uid="{00000000-0005-0000-0000-000021280000}"/>
    <cellStyle name="Porcentual 203 7 2" xfId="6957" xr:uid="{00000000-0005-0000-0000-000022280000}"/>
    <cellStyle name="Porcentual 203 7 3" xfId="8937" xr:uid="{00000000-0005-0000-0000-000023280000}"/>
    <cellStyle name="Porcentual 203 8" xfId="3415" xr:uid="{00000000-0005-0000-0000-000024280000}"/>
    <cellStyle name="Porcentual 203 8 2" xfId="6958" xr:uid="{00000000-0005-0000-0000-000025280000}"/>
    <cellStyle name="Porcentual 203 8 3" xfId="8938" xr:uid="{00000000-0005-0000-0000-000026280000}"/>
    <cellStyle name="Porcentual 203 9" xfId="3416" xr:uid="{00000000-0005-0000-0000-000027280000}"/>
    <cellStyle name="Porcentual 203 9 2" xfId="6959" xr:uid="{00000000-0005-0000-0000-000028280000}"/>
    <cellStyle name="Porcentual 203 9 3" xfId="8939" xr:uid="{00000000-0005-0000-0000-000029280000}"/>
    <cellStyle name="Porcentual 204 10" xfId="3417" xr:uid="{00000000-0005-0000-0000-00002A280000}"/>
    <cellStyle name="Porcentual 204 10 2" xfId="6960" xr:uid="{00000000-0005-0000-0000-00002B280000}"/>
    <cellStyle name="Porcentual 204 10 3" xfId="8940" xr:uid="{00000000-0005-0000-0000-00002C280000}"/>
    <cellStyle name="Porcentual 204 11" xfId="3418" xr:uid="{00000000-0005-0000-0000-00002D280000}"/>
    <cellStyle name="Porcentual 204 11 2" xfId="6961" xr:uid="{00000000-0005-0000-0000-00002E280000}"/>
    <cellStyle name="Porcentual 204 11 3" xfId="8941" xr:uid="{00000000-0005-0000-0000-00002F280000}"/>
    <cellStyle name="Porcentual 204 12" xfId="3419" xr:uid="{00000000-0005-0000-0000-000030280000}"/>
    <cellStyle name="Porcentual 204 12 2" xfId="6962" xr:uid="{00000000-0005-0000-0000-000031280000}"/>
    <cellStyle name="Porcentual 204 12 3" xfId="8942" xr:uid="{00000000-0005-0000-0000-000032280000}"/>
    <cellStyle name="Porcentual 204 13" xfId="3420" xr:uid="{00000000-0005-0000-0000-000033280000}"/>
    <cellStyle name="Porcentual 204 13 2" xfId="6963" xr:uid="{00000000-0005-0000-0000-000034280000}"/>
    <cellStyle name="Porcentual 204 13 3" xfId="8943" xr:uid="{00000000-0005-0000-0000-000035280000}"/>
    <cellStyle name="Porcentual 204 14" xfId="3421" xr:uid="{00000000-0005-0000-0000-000036280000}"/>
    <cellStyle name="Porcentual 204 14 2" xfId="6964" xr:uid="{00000000-0005-0000-0000-000037280000}"/>
    <cellStyle name="Porcentual 204 14 3" xfId="8944" xr:uid="{00000000-0005-0000-0000-000038280000}"/>
    <cellStyle name="Porcentual 204 15" xfId="3422" xr:uid="{00000000-0005-0000-0000-000039280000}"/>
    <cellStyle name="Porcentual 204 15 2" xfId="6965" xr:uid="{00000000-0005-0000-0000-00003A280000}"/>
    <cellStyle name="Porcentual 204 15 3" xfId="8945" xr:uid="{00000000-0005-0000-0000-00003B280000}"/>
    <cellStyle name="Porcentual 204 16" xfId="3423" xr:uid="{00000000-0005-0000-0000-00003C280000}"/>
    <cellStyle name="Porcentual 204 16 2" xfId="6966" xr:uid="{00000000-0005-0000-0000-00003D280000}"/>
    <cellStyle name="Porcentual 204 16 3" xfId="8946" xr:uid="{00000000-0005-0000-0000-00003E280000}"/>
    <cellStyle name="Porcentual 204 17" xfId="3424" xr:uid="{00000000-0005-0000-0000-00003F280000}"/>
    <cellStyle name="Porcentual 204 17 2" xfId="6967" xr:uid="{00000000-0005-0000-0000-000040280000}"/>
    <cellStyle name="Porcentual 204 17 3" xfId="8947" xr:uid="{00000000-0005-0000-0000-000041280000}"/>
    <cellStyle name="Porcentual 204 18" xfId="3425" xr:uid="{00000000-0005-0000-0000-000042280000}"/>
    <cellStyle name="Porcentual 204 18 2" xfId="6968" xr:uid="{00000000-0005-0000-0000-000043280000}"/>
    <cellStyle name="Porcentual 204 18 3" xfId="8948" xr:uid="{00000000-0005-0000-0000-000044280000}"/>
    <cellStyle name="Porcentual 204 19" xfId="3426" xr:uid="{00000000-0005-0000-0000-000045280000}"/>
    <cellStyle name="Porcentual 204 19 2" xfId="6969" xr:uid="{00000000-0005-0000-0000-000046280000}"/>
    <cellStyle name="Porcentual 204 19 3" xfId="8949" xr:uid="{00000000-0005-0000-0000-000047280000}"/>
    <cellStyle name="Porcentual 204 2" xfId="3427" xr:uid="{00000000-0005-0000-0000-000048280000}"/>
    <cellStyle name="Porcentual 204 2 2" xfId="6970" xr:uid="{00000000-0005-0000-0000-000049280000}"/>
    <cellStyle name="Porcentual 204 2 3" xfId="8950" xr:uid="{00000000-0005-0000-0000-00004A280000}"/>
    <cellStyle name="Porcentual 204 20" xfId="3428" xr:uid="{00000000-0005-0000-0000-00004B280000}"/>
    <cellStyle name="Porcentual 204 20 2" xfId="6971" xr:uid="{00000000-0005-0000-0000-00004C280000}"/>
    <cellStyle name="Porcentual 204 20 3" xfId="8951" xr:uid="{00000000-0005-0000-0000-00004D280000}"/>
    <cellStyle name="Porcentual 204 21" xfId="3429" xr:uid="{00000000-0005-0000-0000-00004E280000}"/>
    <cellStyle name="Porcentual 204 21 2" xfId="6972" xr:uid="{00000000-0005-0000-0000-00004F280000}"/>
    <cellStyle name="Porcentual 204 21 3" xfId="8952" xr:uid="{00000000-0005-0000-0000-000050280000}"/>
    <cellStyle name="Porcentual 204 22" xfId="3430" xr:uid="{00000000-0005-0000-0000-000051280000}"/>
    <cellStyle name="Porcentual 204 22 2" xfId="6973" xr:uid="{00000000-0005-0000-0000-000052280000}"/>
    <cellStyle name="Porcentual 204 22 3" xfId="8953" xr:uid="{00000000-0005-0000-0000-000053280000}"/>
    <cellStyle name="Porcentual 204 23" xfId="3431" xr:uid="{00000000-0005-0000-0000-000054280000}"/>
    <cellStyle name="Porcentual 204 23 2" xfId="6974" xr:uid="{00000000-0005-0000-0000-000055280000}"/>
    <cellStyle name="Porcentual 204 23 3" xfId="8954" xr:uid="{00000000-0005-0000-0000-000056280000}"/>
    <cellStyle name="Porcentual 204 24" xfId="3432" xr:uid="{00000000-0005-0000-0000-000057280000}"/>
    <cellStyle name="Porcentual 204 24 2" xfId="6975" xr:uid="{00000000-0005-0000-0000-000058280000}"/>
    <cellStyle name="Porcentual 204 24 3" xfId="8955" xr:uid="{00000000-0005-0000-0000-000059280000}"/>
    <cellStyle name="Porcentual 204 25" xfId="3433" xr:uid="{00000000-0005-0000-0000-00005A280000}"/>
    <cellStyle name="Porcentual 204 25 2" xfId="6976" xr:uid="{00000000-0005-0000-0000-00005B280000}"/>
    <cellStyle name="Porcentual 204 25 3" xfId="8956" xr:uid="{00000000-0005-0000-0000-00005C280000}"/>
    <cellStyle name="Porcentual 204 26" xfId="3434" xr:uid="{00000000-0005-0000-0000-00005D280000}"/>
    <cellStyle name="Porcentual 204 26 2" xfId="6977" xr:uid="{00000000-0005-0000-0000-00005E280000}"/>
    <cellStyle name="Porcentual 204 26 3" xfId="8957" xr:uid="{00000000-0005-0000-0000-00005F280000}"/>
    <cellStyle name="Porcentual 204 27" xfId="3435" xr:uid="{00000000-0005-0000-0000-000060280000}"/>
    <cellStyle name="Porcentual 204 27 2" xfId="6978" xr:uid="{00000000-0005-0000-0000-000061280000}"/>
    <cellStyle name="Porcentual 204 27 3" xfId="8958" xr:uid="{00000000-0005-0000-0000-000062280000}"/>
    <cellStyle name="Porcentual 204 28" xfId="3436" xr:uid="{00000000-0005-0000-0000-000063280000}"/>
    <cellStyle name="Porcentual 204 28 2" xfId="6979" xr:uid="{00000000-0005-0000-0000-000064280000}"/>
    <cellStyle name="Porcentual 204 28 3" xfId="8959" xr:uid="{00000000-0005-0000-0000-000065280000}"/>
    <cellStyle name="Porcentual 204 3" xfId="3437" xr:uid="{00000000-0005-0000-0000-000066280000}"/>
    <cellStyle name="Porcentual 204 3 2" xfId="6980" xr:uid="{00000000-0005-0000-0000-000067280000}"/>
    <cellStyle name="Porcentual 204 3 3" xfId="8960" xr:uid="{00000000-0005-0000-0000-000068280000}"/>
    <cellStyle name="Porcentual 204 4" xfId="3438" xr:uid="{00000000-0005-0000-0000-000069280000}"/>
    <cellStyle name="Porcentual 204 4 2" xfId="6981" xr:uid="{00000000-0005-0000-0000-00006A280000}"/>
    <cellStyle name="Porcentual 204 4 3" xfId="8961" xr:uid="{00000000-0005-0000-0000-00006B280000}"/>
    <cellStyle name="Porcentual 204 5" xfId="3439" xr:uid="{00000000-0005-0000-0000-00006C280000}"/>
    <cellStyle name="Porcentual 204 5 2" xfId="6982" xr:uid="{00000000-0005-0000-0000-00006D280000}"/>
    <cellStyle name="Porcentual 204 5 3" xfId="8962" xr:uid="{00000000-0005-0000-0000-00006E280000}"/>
    <cellStyle name="Porcentual 204 6" xfId="3440" xr:uid="{00000000-0005-0000-0000-00006F280000}"/>
    <cellStyle name="Porcentual 204 6 2" xfId="6983" xr:uid="{00000000-0005-0000-0000-000070280000}"/>
    <cellStyle name="Porcentual 204 6 3" xfId="8963" xr:uid="{00000000-0005-0000-0000-000071280000}"/>
    <cellStyle name="Porcentual 204 7" xfId="3441" xr:uid="{00000000-0005-0000-0000-000072280000}"/>
    <cellStyle name="Porcentual 204 7 2" xfId="6984" xr:uid="{00000000-0005-0000-0000-000073280000}"/>
    <cellStyle name="Porcentual 204 7 3" xfId="8964" xr:uid="{00000000-0005-0000-0000-000074280000}"/>
    <cellStyle name="Porcentual 204 8" xfId="3442" xr:uid="{00000000-0005-0000-0000-000075280000}"/>
    <cellStyle name="Porcentual 204 8 2" xfId="6985" xr:uid="{00000000-0005-0000-0000-000076280000}"/>
    <cellStyle name="Porcentual 204 8 3" xfId="8965" xr:uid="{00000000-0005-0000-0000-000077280000}"/>
    <cellStyle name="Porcentual 204 9" xfId="3443" xr:uid="{00000000-0005-0000-0000-000078280000}"/>
    <cellStyle name="Porcentual 204 9 2" xfId="6986" xr:uid="{00000000-0005-0000-0000-000079280000}"/>
    <cellStyle name="Porcentual 204 9 3" xfId="8966" xr:uid="{00000000-0005-0000-0000-00007A280000}"/>
    <cellStyle name="Porcentual 206 10" xfId="3444" xr:uid="{00000000-0005-0000-0000-00007B280000}"/>
    <cellStyle name="Porcentual 206 10 2" xfId="6987" xr:uid="{00000000-0005-0000-0000-00007C280000}"/>
    <cellStyle name="Porcentual 206 10 3" xfId="8967" xr:uid="{00000000-0005-0000-0000-00007D280000}"/>
    <cellStyle name="Porcentual 206 11" xfId="3445" xr:uid="{00000000-0005-0000-0000-00007E280000}"/>
    <cellStyle name="Porcentual 206 11 2" xfId="6988" xr:uid="{00000000-0005-0000-0000-00007F280000}"/>
    <cellStyle name="Porcentual 206 11 3" xfId="8968" xr:uid="{00000000-0005-0000-0000-000080280000}"/>
    <cellStyle name="Porcentual 206 12" xfId="3446" xr:uid="{00000000-0005-0000-0000-000081280000}"/>
    <cellStyle name="Porcentual 206 12 2" xfId="6989" xr:uid="{00000000-0005-0000-0000-000082280000}"/>
    <cellStyle name="Porcentual 206 12 3" xfId="8969" xr:uid="{00000000-0005-0000-0000-000083280000}"/>
    <cellStyle name="Porcentual 206 13" xfId="3447" xr:uid="{00000000-0005-0000-0000-000084280000}"/>
    <cellStyle name="Porcentual 206 13 2" xfId="6990" xr:uid="{00000000-0005-0000-0000-000085280000}"/>
    <cellStyle name="Porcentual 206 13 3" xfId="8970" xr:uid="{00000000-0005-0000-0000-000086280000}"/>
    <cellStyle name="Porcentual 206 14" xfId="3448" xr:uid="{00000000-0005-0000-0000-000087280000}"/>
    <cellStyle name="Porcentual 206 14 2" xfId="6991" xr:uid="{00000000-0005-0000-0000-000088280000}"/>
    <cellStyle name="Porcentual 206 14 3" xfId="8971" xr:uid="{00000000-0005-0000-0000-000089280000}"/>
    <cellStyle name="Porcentual 206 15" xfId="3449" xr:uid="{00000000-0005-0000-0000-00008A280000}"/>
    <cellStyle name="Porcentual 206 15 2" xfId="6992" xr:uid="{00000000-0005-0000-0000-00008B280000}"/>
    <cellStyle name="Porcentual 206 15 3" xfId="8972" xr:uid="{00000000-0005-0000-0000-00008C280000}"/>
    <cellStyle name="Porcentual 206 16" xfId="3450" xr:uid="{00000000-0005-0000-0000-00008D280000}"/>
    <cellStyle name="Porcentual 206 16 2" xfId="6993" xr:uid="{00000000-0005-0000-0000-00008E280000}"/>
    <cellStyle name="Porcentual 206 16 3" xfId="8973" xr:uid="{00000000-0005-0000-0000-00008F280000}"/>
    <cellStyle name="Porcentual 206 17" xfId="3451" xr:uid="{00000000-0005-0000-0000-000090280000}"/>
    <cellStyle name="Porcentual 206 17 2" xfId="6994" xr:uid="{00000000-0005-0000-0000-000091280000}"/>
    <cellStyle name="Porcentual 206 17 3" xfId="8974" xr:uid="{00000000-0005-0000-0000-000092280000}"/>
    <cellStyle name="Porcentual 206 18" xfId="3452" xr:uid="{00000000-0005-0000-0000-000093280000}"/>
    <cellStyle name="Porcentual 206 18 2" xfId="6995" xr:uid="{00000000-0005-0000-0000-000094280000}"/>
    <cellStyle name="Porcentual 206 18 3" xfId="8975" xr:uid="{00000000-0005-0000-0000-000095280000}"/>
    <cellStyle name="Porcentual 206 19" xfId="3453" xr:uid="{00000000-0005-0000-0000-000096280000}"/>
    <cellStyle name="Porcentual 206 19 2" xfId="6996" xr:uid="{00000000-0005-0000-0000-000097280000}"/>
    <cellStyle name="Porcentual 206 19 3" xfId="8976" xr:uid="{00000000-0005-0000-0000-000098280000}"/>
    <cellStyle name="Porcentual 206 2" xfId="3454" xr:uid="{00000000-0005-0000-0000-000099280000}"/>
    <cellStyle name="Porcentual 206 2 2" xfId="6997" xr:uid="{00000000-0005-0000-0000-00009A280000}"/>
    <cellStyle name="Porcentual 206 2 3" xfId="8977" xr:uid="{00000000-0005-0000-0000-00009B280000}"/>
    <cellStyle name="Porcentual 206 20" xfId="3455" xr:uid="{00000000-0005-0000-0000-00009C280000}"/>
    <cellStyle name="Porcentual 206 20 2" xfId="6998" xr:uid="{00000000-0005-0000-0000-00009D280000}"/>
    <cellStyle name="Porcentual 206 20 3" xfId="8978" xr:uid="{00000000-0005-0000-0000-00009E280000}"/>
    <cellStyle name="Porcentual 206 21" xfId="3456" xr:uid="{00000000-0005-0000-0000-00009F280000}"/>
    <cellStyle name="Porcentual 206 21 2" xfId="6999" xr:uid="{00000000-0005-0000-0000-0000A0280000}"/>
    <cellStyle name="Porcentual 206 21 3" xfId="8979" xr:uid="{00000000-0005-0000-0000-0000A1280000}"/>
    <cellStyle name="Porcentual 206 22" xfId="3457" xr:uid="{00000000-0005-0000-0000-0000A2280000}"/>
    <cellStyle name="Porcentual 206 22 2" xfId="7000" xr:uid="{00000000-0005-0000-0000-0000A3280000}"/>
    <cellStyle name="Porcentual 206 22 3" xfId="8980" xr:uid="{00000000-0005-0000-0000-0000A4280000}"/>
    <cellStyle name="Porcentual 206 23" xfId="3458" xr:uid="{00000000-0005-0000-0000-0000A5280000}"/>
    <cellStyle name="Porcentual 206 23 2" xfId="7001" xr:uid="{00000000-0005-0000-0000-0000A6280000}"/>
    <cellStyle name="Porcentual 206 23 3" xfId="8981" xr:uid="{00000000-0005-0000-0000-0000A7280000}"/>
    <cellStyle name="Porcentual 206 24" xfId="3459" xr:uid="{00000000-0005-0000-0000-0000A8280000}"/>
    <cellStyle name="Porcentual 206 24 2" xfId="7002" xr:uid="{00000000-0005-0000-0000-0000A9280000}"/>
    <cellStyle name="Porcentual 206 24 3" xfId="8982" xr:uid="{00000000-0005-0000-0000-0000AA280000}"/>
    <cellStyle name="Porcentual 206 25" xfId="3460" xr:uid="{00000000-0005-0000-0000-0000AB280000}"/>
    <cellStyle name="Porcentual 206 25 2" xfId="7003" xr:uid="{00000000-0005-0000-0000-0000AC280000}"/>
    <cellStyle name="Porcentual 206 25 3" xfId="8983" xr:uid="{00000000-0005-0000-0000-0000AD280000}"/>
    <cellStyle name="Porcentual 206 26" xfId="3461" xr:uid="{00000000-0005-0000-0000-0000AE280000}"/>
    <cellStyle name="Porcentual 206 26 2" xfId="7004" xr:uid="{00000000-0005-0000-0000-0000AF280000}"/>
    <cellStyle name="Porcentual 206 26 3" xfId="8984" xr:uid="{00000000-0005-0000-0000-0000B0280000}"/>
    <cellStyle name="Porcentual 206 27" xfId="3462" xr:uid="{00000000-0005-0000-0000-0000B1280000}"/>
    <cellStyle name="Porcentual 206 27 2" xfId="7005" xr:uid="{00000000-0005-0000-0000-0000B2280000}"/>
    <cellStyle name="Porcentual 206 27 3" xfId="8985" xr:uid="{00000000-0005-0000-0000-0000B3280000}"/>
    <cellStyle name="Porcentual 206 28" xfId="3463" xr:uid="{00000000-0005-0000-0000-0000B4280000}"/>
    <cellStyle name="Porcentual 206 28 2" xfId="7006" xr:uid="{00000000-0005-0000-0000-0000B5280000}"/>
    <cellStyle name="Porcentual 206 28 3" xfId="8986" xr:uid="{00000000-0005-0000-0000-0000B6280000}"/>
    <cellStyle name="Porcentual 206 3" xfId="3464" xr:uid="{00000000-0005-0000-0000-0000B7280000}"/>
    <cellStyle name="Porcentual 206 3 2" xfId="7007" xr:uid="{00000000-0005-0000-0000-0000B8280000}"/>
    <cellStyle name="Porcentual 206 3 3" xfId="8987" xr:uid="{00000000-0005-0000-0000-0000B9280000}"/>
    <cellStyle name="Porcentual 206 4" xfId="3465" xr:uid="{00000000-0005-0000-0000-0000BA280000}"/>
    <cellStyle name="Porcentual 206 4 2" xfId="7008" xr:uid="{00000000-0005-0000-0000-0000BB280000}"/>
    <cellStyle name="Porcentual 206 4 3" xfId="8988" xr:uid="{00000000-0005-0000-0000-0000BC280000}"/>
    <cellStyle name="Porcentual 206 5" xfId="3466" xr:uid="{00000000-0005-0000-0000-0000BD280000}"/>
    <cellStyle name="Porcentual 206 5 2" xfId="7009" xr:uid="{00000000-0005-0000-0000-0000BE280000}"/>
    <cellStyle name="Porcentual 206 5 3" xfId="8989" xr:uid="{00000000-0005-0000-0000-0000BF280000}"/>
    <cellStyle name="Porcentual 206 6" xfId="3467" xr:uid="{00000000-0005-0000-0000-0000C0280000}"/>
    <cellStyle name="Porcentual 206 6 2" xfId="7010" xr:uid="{00000000-0005-0000-0000-0000C1280000}"/>
    <cellStyle name="Porcentual 206 6 3" xfId="8990" xr:uid="{00000000-0005-0000-0000-0000C2280000}"/>
    <cellStyle name="Porcentual 206 7" xfId="3468" xr:uid="{00000000-0005-0000-0000-0000C3280000}"/>
    <cellStyle name="Porcentual 206 7 2" xfId="7011" xr:uid="{00000000-0005-0000-0000-0000C4280000}"/>
    <cellStyle name="Porcentual 206 7 3" xfId="8991" xr:uid="{00000000-0005-0000-0000-0000C5280000}"/>
    <cellStyle name="Porcentual 206 8" xfId="3469" xr:uid="{00000000-0005-0000-0000-0000C6280000}"/>
    <cellStyle name="Porcentual 206 8 2" xfId="7012" xr:uid="{00000000-0005-0000-0000-0000C7280000}"/>
    <cellStyle name="Porcentual 206 8 3" xfId="8992" xr:uid="{00000000-0005-0000-0000-0000C8280000}"/>
    <cellStyle name="Porcentual 206 9" xfId="3470" xr:uid="{00000000-0005-0000-0000-0000C9280000}"/>
    <cellStyle name="Porcentual 206 9 2" xfId="7013" xr:uid="{00000000-0005-0000-0000-0000CA280000}"/>
    <cellStyle name="Porcentual 206 9 3" xfId="8993" xr:uid="{00000000-0005-0000-0000-0000CB280000}"/>
    <cellStyle name="Porcentual 207 10" xfId="3471" xr:uid="{00000000-0005-0000-0000-0000CC280000}"/>
    <cellStyle name="Porcentual 207 10 2" xfId="7014" xr:uid="{00000000-0005-0000-0000-0000CD280000}"/>
    <cellStyle name="Porcentual 207 10 3" xfId="8994" xr:uid="{00000000-0005-0000-0000-0000CE280000}"/>
    <cellStyle name="Porcentual 207 11" xfId="3472" xr:uid="{00000000-0005-0000-0000-0000CF280000}"/>
    <cellStyle name="Porcentual 207 11 2" xfId="7015" xr:uid="{00000000-0005-0000-0000-0000D0280000}"/>
    <cellStyle name="Porcentual 207 11 3" xfId="8995" xr:uid="{00000000-0005-0000-0000-0000D1280000}"/>
    <cellStyle name="Porcentual 207 12" xfId="3473" xr:uid="{00000000-0005-0000-0000-0000D2280000}"/>
    <cellStyle name="Porcentual 207 12 2" xfId="7016" xr:uid="{00000000-0005-0000-0000-0000D3280000}"/>
    <cellStyle name="Porcentual 207 12 3" xfId="8996" xr:uid="{00000000-0005-0000-0000-0000D4280000}"/>
    <cellStyle name="Porcentual 207 13" xfId="3474" xr:uid="{00000000-0005-0000-0000-0000D5280000}"/>
    <cellStyle name="Porcentual 207 13 2" xfId="7017" xr:uid="{00000000-0005-0000-0000-0000D6280000}"/>
    <cellStyle name="Porcentual 207 13 3" xfId="8997" xr:uid="{00000000-0005-0000-0000-0000D7280000}"/>
    <cellStyle name="Porcentual 207 14" xfId="3475" xr:uid="{00000000-0005-0000-0000-0000D8280000}"/>
    <cellStyle name="Porcentual 207 14 2" xfId="7018" xr:uid="{00000000-0005-0000-0000-0000D9280000}"/>
    <cellStyle name="Porcentual 207 14 3" xfId="8998" xr:uid="{00000000-0005-0000-0000-0000DA280000}"/>
    <cellStyle name="Porcentual 207 15" xfId="3476" xr:uid="{00000000-0005-0000-0000-0000DB280000}"/>
    <cellStyle name="Porcentual 207 15 2" xfId="7019" xr:uid="{00000000-0005-0000-0000-0000DC280000}"/>
    <cellStyle name="Porcentual 207 15 3" xfId="8999" xr:uid="{00000000-0005-0000-0000-0000DD280000}"/>
    <cellStyle name="Porcentual 207 16" xfId="3477" xr:uid="{00000000-0005-0000-0000-0000DE280000}"/>
    <cellStyle name="Porcentual 207 16 2" xfId="7020" xr:uid="{00000000-0005-0000-0000-0000DF280000}"/>
    <cellStyle name="Porcentual 207 16 3" xfId="9000" xr:uid="{00000000-0005-0000-0000-0000E0280000}"/>
    <cellStyle name="Porcentual 207 17" xfId="3478" xr:uid="{00000000-0005-0000-0000-0000E1280000}"/>
    <cellStyle name="Porcentual 207 17 2" xfId="7021" xr:uid="{00000000-0005-0000-0000-0000E2280000}"/>
    <cellStyle name="Porcentual 207 17 3" xfId="9001" xr:uid="{00000000-0005-0000-0000-0000E3280000}"/>
    <cellStyle name="Porcentual 207 18" xfId="3479" xr:uid="{00000000-0005-0000-0000-0000E4280000}"/>
    <cellStyle name="Porcentual 207 18 2" xfId="7022" xr:uid="{00000000-0005-0000-0000-0000E5280000}"/>
    <cellStyle name="Porcentual 207 18 3" xfId="9002" xr:uid="{00000000-0005-0000-0000-0000E6280000}"/>
    <cellStyle name="Porcentual 207 19" xfId="3480" xr:uid="{00000000-0005-0000-0000-0000E7280000}"/>
    <cellStyle name="Porcentual 207 19 2" xfId="7023" xr:uid="{00000000-0005-0000-0000-0000E8280000}"/>
    <cellStyle name="Porcentual 207 19 3" xfId="9003" xr:uid="{00000000-0005-0000-0000-0000E9280000}"/>
    <cellStyle name="Porcentual 207 2" xfId="3481" xr:uid="{00000000-0005-0000-0000-0000EA280000}"/>
    <cellStyle name="Porcentual 207 2 2" xfId="7024" xr:uid="{00000000-0005-0000-0000-0000EB280000}"/>
    <cellStyle name="Porcentual 207 2 3" xfId="9004" xr:uid="{00000000-0005-0000-0000-0000EC280000}"/>
    <cellStyle name="Porcentual 207 20" xfId="3482" xr:uid="{00000000-0005-0000-0000-0000ED280000}"/>
    <cellStyle name="Porcentual 207 20 2" xfId="7025" xr:uid="{00000000-0005-0000-0000-0000EE280000}"/>
    <cellStyle name="Porcentual 207 20 3" xfId="9005" xr:uid="{00000000-0005-0000-0000-0000EF280000}"/>
    <cellStyle name="Porcentual 207 21" xfId="3483" xr:uid="{00000000-0005-0000-0000-0000F0280000}"/>
    <cellStyle name="Porcentual 207 21 2" xfId="7026" xr:uid="{00000000-0005-0000-0000-0000F1280000}"/>
    <cellStyle name="Porcentual 207 21 3" xfId="9006" xr:uid="{00000000-0005-0000-0000-0000F2280000}"/>
    <cellStyle name="Porcentual 207 22" xfId="3484" xr:uid="{00000000-0005-0000-0000-0000F3280000}"/>
    <cellStyle name="Porcentual 207 22 2" xfId="7027" xr:uid="{00000000-0005-0000-0000-0000F4280000}"/>
    <cellStyle name="Porcentual 207 22 3" xfId="9007" xr:uid="{00000000-0005-0000-0000-0000F5280000}"/>
    <cellStyle name="Porcentual 207 23" xfId="3485" xr:uid="{00000000-0005-0000-0000-0000F6280000}"/>
    <cellStyle name="Porcentual 207 23 2" xfId="7028" xr:uid="{00000000-0005-0000-0000-0000F7280000}"/>
    <cellStyle name="Porcentual 207 23 3" xfId="9008" xr:uid="{00000000-0005-0000-0000-0000F8280000}"/>
    <cellStyle name="Porcentual 207 24" xfId="3486" xr:uid="{00000000-0005-0000-0000-0000F9280000}"/>
    <cellStyle name="Porcentual 207 24 2" xfId="7029" xr:uid="{00000000-0005-0000-0000-0000FA280000}"/>
    <cellStyle name="Porcentual 207 24 3" xfId="9009" xr:uid="{00000000-0005-0000-0000-0000FB280000}"/>
    <cellStyle name="Porcentual 207 25" xfId="3487" xr:uid="{00000000-0005-0000-0000-0000FC280000}"/>
    <cellStyle name="Porcentual 207 25 2" xfId="7030" xr:uid="{00000000-0005-0000-0000-0000FD280000}"/>
    <cellStyle name="Porcentual 207 25 3" xfId="9010" xr:uid="{00000000-0005-0000-0000-0000FE280000}"/>
    <cellStyle name="Porcentual 207 26" xfId="3488" xr:uid="{00000000-0005-0000-0000-0000FF280000}"/>
    <cellStyle name="Porcentual 207 26 2" xfId="7031" xr:uid="{00000000-0005-0000-0000-000000290000}"/>
    <cellStyle name="Porcentual 207 26 3" xfId="9011" xr:uid="{00000000-0005-0000-0000-000001290000}"/>
    <cellStyle name="Porcentual 207 27" xfId="3489" xr:uid="{00000000-0005-0000-0000-000002290000}"/>
    <cellStyle name="Porcentual 207 27 2" xfId="7032" xr:uid="{00000000-0005-0000-0000-000003290000}"/>
    <cellStyle name="Porcentual 207 27 3" xfId="9012" xr:uid="{00000000-0005-0000-0000-000004290000}"/>
    <cellStyle name="Porcentual 207 28" xfId="3490" xr:uid="{00000000-0005-0000-0000-000005290000}"/>
    <cellStyle name="Porcentual 207 28 2" xfId="7033" xr:uid="{00000000-0005-0000-0000-000006290000}"/>
    <cellStyle name="Porcentual 207 28 3" xfId="9013" xr:uid="{00000000-0005-0000-0000-000007290000}"/>
    <cellStyle name="Porcentual 207 3" xfId="3491" xr:uid="{00000000-0005-0000-0000-000008290000}"/>
    <cellStyle name="Porcentual 207 3 2" xfId="7034" xr:uid="{00000000-0005-0000-0000-000009290000}"/>
    <cellStyle name="Porcentual 207 3 3" xfId="9014" xr:uid="{00000000-0005-0000-0000-00000A290000}"/>
    <cellStyle name="Porcentual 207 4" xfId="3492" xr:uid="{00000000-0005-0000-0000-00000B290000}"/>
    <cellStyle name="Porcentual 207 4 2" xfId="7035" xr:uid="{00000000-0005-0000-0000-00000C290000}"/>
    <cellStyle name="Porcentual 207 4 3" xfId="9015" xr:uid="{00000000-0005-0000-0000-00000D290000}"/>
    <cellStyle name="Porcentual 207 5" xfId="3493" xr:uid="{00000000-0005-0000-0000-00000E290000}"/>
    <cellStyle name="Porcentual 207 5 2" xfId="7036" xr:uid="{00000000-0005-0000-0000-00000F290000}"/>
    <cellStyle name="Porcentual 207 5 3" xfId="9016" xr:uid="{00000000-0005-0000-0000-000010290000}"/>
    <cellStyle name="Porcentual 207 6" xfId="3494" xr:uid="{00000000-0005-0000-0000-000011290000}"/>
    <cellStyle name="Porcentual 207 6 2" xfId="7037" xr:uid="{00000000-0005-0000-0000-000012290000}"/>
    <cellStyle name="Porcentual 207 6 3" xfId="9017" xr:uid="{00000000-0005-0000-0000-000013290000}"/>
    <cellStyle name="Porcentual 207 7" xfId="3495" xr:uid="{00000000-0005-0000-0000-000014290000}"/>
    <cellStyle name="Porcentual 207 7 2" xfId="7038" xr:uid="{00000000-0005-0000-0000-000015290000}"/>
    <cellStyle name="Porcentual 207 7 3" xfId="9018" xr:uid="{00000000-0005-0000-0000-000016290000}"/>
    <cellStyle name="Porcentual 207 8" xfId="3496" xr:uid="{00000000-0005-0000-0000-000017290000}"/>
    <cellStyle name="Porcentual 207 8 2" xfId="7039" xr:uid="{00000000-0005-0000-0000-000018290000}"/>
    <cellStyle name="Porcentual 207 8 3" xfId="9019" xr:uid="{00000000-0005-0000-0000-000019290000}"/>
    <cellStyle name="Porcentual 207 9" xfId="3497" xr:uid="{00000000-0005-0000-0000-00001A290000}"/>
    <cellStyle name="Porcentual 207 9 2" xfId="7040" xr:uid="{00000000-0005-0000-0000-00001B290000}"/>
    <cellStyle name="Porcentual 207 9 3" xfId="9020" xr:uid="{00000000-0005-0000-0000-00001C290000}"/>
    <cellStyle name="Porcentual 208 10" xfId="3498" xr:uid="{00000000-0005-0000-0000-00001D290000}"/>
    <cellStyle name="Porcentual 208 10 2" xfId="7041" xr:uid="{00000000-0005-0000-0000-00001E290000}"/>
    <cellStyle name="Porcentual 208 10 3" xfId="9021" xr:uid="{00000000-0005-0000-0000-00001F290000}"/>
    <cellStyle name="Porcentual 208 11" xfId="3499" xr:uid="{00000000-0005-0000-0000-000020290000}"/>
    <cellStyle name="Porcentual 208 11 2" xfId="7042" xr:uid="{00000000-0005-0000-0000-000021290000}"/>
    <cellStyle name="Porcentual 208 11 3" xfId="9022" xr:uid="{00000000-0005-0000-0000-000022290000}"/>
    <cellStyle name="Porcentual 208 12" xfId="3500" xr:uid="{00000000-0005-0000-0000-000023290000}"/>
    <cellStyle name="Porcentual 208 12 2" xfId="7043" xr:uid="{00000000-0005-0000-0000-000024290000}"/>
    <cellStyle name="Porcentual 208 12 3" xfId="9023" xr:uid="{00000000-0005-0000-0000-000025290000}"/>
    <cellStyle name="Porcentual 208 13" xfId="3501" xr:uid="{00000000-0005-0000-0000-000026290000}"/>
    <cellStyle name="Porcentual 208 13 2" xfId="7044" xr:uid="{00000000-0005-0000-0000-000027290000}"/>
    <cellStyle name="Porcentual 208 13 3" xfId="9024" xr:uid="{00000000-0005-0000-0000-000028290000}"/>
    <cellStyle name="Porcentual 208 14" xfId="3502" xr:uid="{00000000-0005-0000-0000-000029290000}"/>
    <cellStyle name="Porcentual 208 14 2" xfId="7045" xr:uid="{00000000-0005-0000-0000-00002A290000}"/>
    <cellStyle name="Porcentual 208 14 3" xfId="9025" xr:uid="{00000000-0005-0000-0000-00002B290000}"/>
    <cellStyle name="Porcentual 208 15" xfId="3503" xr:uid="{00000000-0005-0000-0000-00002C290000}"/>
    <cellStyle name="Porcentual 208 15 2" xfId="7046" xr:uid="{00000000-0005-0000-0000-00002D290000}"/>
    <cellStyle name="Porcentual 208 15 3" xfId="9026" xr:uid="{00000000-0005-0000-0000-00002E290000}"/>
    <cellStyle name="Porcentual 208 16" xfId="3504" xr:uid="{00000000-0005-0000-0000-00002F290000}"/>
    <cellStyle name="Porcentual 208 16 2" xfId="7047" xr:uid="{00000000-0005-0000-0000-000030290000}"/>
    <cellStyle name="Porcentual 208 16 3" xfId="9027" xr:uid="{00000000-0005-0000-0000-000031290000}"/>
    <cellStyle name="Porcentual 208 17" xfId="3505" xr:uid="{00000000-0005-0000-0000-000032290000}"/>
    <cellStyle name="Porcentual 208 17 2" xfId="7048" xr:uid="{00000000-0005-0000-0000-000033290000}"/>
    <cellStyle name="Porcentual 208 17 3" xfId="9028" xr:uid="{00000000-0005-0000-0000-000034290000}"/>
    <cellStyle name="Porcentual 208 18" xfId="3506" xr:uid="{00000000-0005-0000-0000-000035290000}"/>
    <cellStyle name="Porcentual 208 18 2" xfId="7049" xr:uid="{00000000-0005-0000-0000-000036290000}"/>
    <cellStyle name="Porcentual 208 18 3" xfId="9029" xr:uid="{00000000-0005-0000-0000-000037290000}"/>
    <cellStyle name="Porcentual 208 19" xfId="3507" xr:uid="{00000000-0005-0000-0000-000038290000}"/>
    <cellStyle name="Porcentual 208 19 2" xfId="7050" xr:uid="{00000000-0005-0000-0000-000039290000}"/>
    <cellStyle name="Porcentual 208 19 3" xfId="9030" xr:uid="{00000000-0005-0000-0000-00003A290000}"/>
    <cellStyle name="Porcentual 208 2" xfId="3508" xr:uid="{00000000-0005-0000-0000-00003B290000}"/>
    <cellStyle name="Porcentual 208 2 2" xfId="7051" xr:uid="{00000000-0005-0000-0000-00003C290000}"/>
    <cellStyle name="Porcentual 208 2 3" xfId="9031" xr:uid="{00000000-0005-0000-0000-00003D290000}"/>
    <cellStyle name="Porcentual 208 20" xfId="3509" xr:uid="{00000000-0005-0000-0000-00003E290000}"/>
    <cellStyle name="Porcentual 208 20 2" xfId="7052" xr:uid="{00000000-0005-0000-0000-00003F290000}"/>
    <cellStyle name="Porcentual 208 20 3" xfId="9032" xr:uid="{00000000-0005-0000-0000-000040290000}"/>
    <cellStyle name="Porcentual 208 21" xfId="3510" xr:uid="{00000000-0005-0000-0000-000041290000}"/>
    <cellStyle name="Porcentual 208 21 2" xfId="7053" xr:uid="{00000000-0005-0000-0000-000042290000}"/>
    <cellStyle name="Porcentual 208 21 3" xfId="9033" xr:uid="{00000000-0005-0000-0000-000043290000}"/>
    <cellStyle name="Porcentual 208 22" xfId="3511" xr:uid="{00000000-0005-0000-0000-000044290000}"/>
    <cellStyle name="Porcentual 208 22 2" xfId="7054" xr:uid="{00000000-0005-0000-0000-000045290000}"/>
    <cellStyle name="Porcentual 208 22 3" xfId="9034" xr:uid="{00000000-0005-0000-0000-000046290000}"/>
    <cellStyle name="Porcentual 208 23" xfId="3512" xr:uid="{00000000-0005-0000-0000-000047290000}"/>
    <cellStyle name="Porcentual 208 23 2" xfId="7055" xr:uid="{00000000-0005-0000-0000-000048290000}"/>
    <cellStyle name="Porcentual 208 23 3" xfId="9035" xr:uid="{00000000-0005-0000-0000-000049290000}"/>
    <cellStyle name="Porcentual 208 24" xfId="3513" xr:uid="{00000000-0005-0000-0000-00004A290000}"/>
    <cellStyle name="Porcentual 208 24 2" xfId="7056" xr:uid="{00000000-0005-0000-0000-00004B290000}"/>
    <cellStyle name="Porcentual 208 24 3" xfId="9036" xr:uid="{00000000-0005-0000-0000-00004C290000}"/>
    <cellStyle name="Porcentual 208 25" xfId="3514" xr:uid="{00000000-0005-0000-0000-00004D290000}"/>
    <cellStyle name="Porcentual 208 25 2" xfId="7057" xr:uid="{00000000-0005-0000-0000-00004E290000}"/>
    <cellStyle name="Porcentual 208 25 3" xfId="9037" xr:uid="{00000000-0005-0000-0000-00004F290000}"/>
    <cellStyle name="Porcentual 208 26" xfId="3515" xr:uid="{00000000-0005-0000-0000-000050290000}"/>
    <cellStyle name="Porcentual 208 26 2" xfId="7058" xr:uid="{00000000-0005-0000-0000-000051290000}"/>
    <cellStyle name="Porcentual 208 26 3" xfId="9038" xr:uid="{00000000-0005-0000-0000-000052290000}"/>
    <cellStyle name="Porcentual 208 27" xfId="3516" xr:uid="{00000000-0005-0000-0000-000053290000}"/>
    <cellStyle name="Porcentual 208 27 2" xfId="7059" xr:uid="{00000000-0005-0000-0000-000054290000}"/>
    <cellStyle name="Porcentual 208 27 3" xfId="9039" xr:uid="{00000000-0005-0000-0000-000055290000}"/>
    <cellStyle name="Porcentual 208 28" xfId="3517" xr:uid="{00000000-0005-0000-0000-000056290000}"/>
    <cellStyle name="Porcentual 208 28 2" xfId="7060" xr:uid="{00000000-0005-0000-0000-000057290000}"/>
    <cellStyle name="Porcentual 208 28 3" xfId="9040" xr:uid="{00000000-0005-0000-0000-000058290000}"/>
    <cellStyle name="Porcentual 208 3" xfId="3518" xr:uid="{00000000-0005-0000-0000-000059290000}"/>
    <cellStyle name="Porcentual 208 3 2" xfId="7061" xr:uid="{00000000-0005-0000-0000-00005A290000}"/>
    <cellStyle name="Porcentual 208 3 3" xfId="9041" xr:uid="{00000000-0005-0000-0000-00005B290000}"/>
    <cellStyle name="Porcentual 208 4" xfId="3519" xr:uid="{00000000-0005-0000-0000-00005C290000}"/>
    <cellStyle name="Porcentual 208 4 2" xfId="7062" xr:uid="{00000000-0005-0000-0000-00005D290000}"/>
    <cellStyle name="Porcentual 208 4 3" xfId="9042" xr:uid="{00000000-0005-0000-0000-00005E290000}"/>
    <cellStyle name="Porcentual 208 5" xfId="3520" xr:uid="{00000000-0005-0000-0000-00005F290000}"/>
    <cellStyle name="Porcentual 208 5 2" xfId="7063" xr:uid="{00000000-0005-0000-0000-000060290000}"/>
    <cellStyle name="Porcentual 208 5 3" xfId="9043" xr:uid="{00000000-0005-0000-0000-000061290000}"/>
    <cellStyle name="Porcentual 208 6" xfId="3521" xr:uid="{00000000-0005-0000-0000-000062290000}"/>
    <cellStyle name="Porcentual 208 6 2" xfId="7064" xr:uid="{00000000-0005-0000-0000-000063290000}"/>
    <cellStyle name="Porcentual 208 6 3" xfId="9044" xr:uid="{00000000-0005-0000-0000-000064290000}"/>
    <cellStyle name="Porcentual 208 7" xfId="3522" xr:uid="{00000000-0005-0000-0000-000065290000}"/>
    <cellStyle name="Porcentual 208 7 2" xfId="7065" xr:uid="{00000000-0005-0000-0000-000066290000}"/>
    <cellStyle name="Porcentual 208 7 3" xfId="9045" xr:uid="{00000000-0005-0000-0000-000067290000}"/>
    <cellStyle name="Porcentual 208 8" xfId="3523" xr:uid="{00000000-0005-0000-0000-000068290000}"/>
    <cellStyle name="Porcentual 208 8 2" xfId="7066" xr:uid="{00000000-0005-0000-0000-000069290000}"/>
    <cellStyle name="Porcentual 208 8 3" xfId="9046" xr:uid="{00000000-0005-0000-0000-00006A290000}"/>
    <cellStyle name="Porcentual 208 9" xfId="3524" xr:uid="{00000000-0005-0000-0000-00006B290000}"/>
    <cellStyle name="Porcentual 208 9 2" xfId="7067" xr:uid="{00000000-0005-0000-0000-00006C290000}"/>
    <cellStyle name="Porcentual 208 9 3" xfId="9047" xr:uid="{00000000-0005-0000-0000-00006D290000}"/>
    <cellStyle name="Porcentual 21" xfId="3525" xr:uid="{00000000-0005-0000-0000-00006E290000}"/>
    <cellStyle name="Porcentual 21 10" xfId="3526" xr:uid="{00000000-0005-0000-0000-00006F290000}"/>
    <cellStyle name="Porcentual 21 10 2" xfId="7068" xr:uid="{00000000-0005-0000-0000-000070290000}"/>
    <cellStyle name="Porcentual 21 10 3" xfId="9049" xr:uid="{00000000-0005-0000-0000-000071290000}"/>
    <cellStyle name="Porcentual 21 11" xfId="3527" xr:uid="{00000000-0005-0000-0000-000072290000}"/>
    <cellStyle name="Porcentual 21 11 2" xfId="7069" xr:uid="{00000000-0005-0000-0000-000073290000}"/>
    <cellStyle name="Porcentual 21 11 3" xfId="9050" xr:uid="{00000000-0005-0000-0000-000074290000}"/>
    <cellStyle name="Porcentual 21 12" xfId="3528" xr:uid="{00000000-0005-0000-0000-000075290000}"/>
    <cellStyle name="Porcentual 21 12 2" xfId="7070" xr:uid="{00000000-0005-0000-0000-000076290000}"/>
    <cellStyle name="Porcentual 21 12 3" xfId="9051" xr:uid="{00000000-0005-0000-0000-000077290000}"/>
    <cellStyle name="Porcentual 21 13" xfId="3529" xr:uid="{00000000-0005-0000-0000-000078290000}"/>
    <cellStyle name="Porcentual 21 13 2" xfId="7071" xr:uid="{00000000-0005-0000-0000-000079290000}"/>
    <cellStyle name="Porcentual 21 13 3" xfId="9052" xr:uid="{00000000-0005-0000-0000-00007A290000}"/>
    <cellStyle name="Porcentual 21 14" xfId="3530" xr:uid="{00000000-0005-0000-0000-00007B290000}"/>
    <cellStyle name="Porcentual 21 14 2" xfId="7072" xr:uid="{00000000-0005-0000-0000-00007C290000}"/>
    <cellStyle name="Porcentual 21 14 3" xfId="9053" xr:uid="{00000000-0005-0000-0000-00007D290000}"/>
    <cellStyle name="Porcentual 21 15" xfId="3531" xr:uid="{00000000-0005-0000-0000-00007E290000}"/>
    <cellStyle name="Porcentual 21 15 2" xfId="7073" xr:uid="{00000000-0005-0000-0000-00007F290000}"/>
    <cellStyle name="Porcentual 21 15 3" xfId="9054" xr:uid="{00000000-0005-0000-0000-000080290000}"/>
    <cellStyle name="Porcentual 21 16" xfId="3532" xr:uid="{00000000-0005-0000-0000-000081290000}"/>
    <cellStyle name="Porcentual 21 16 2" xfId="7074" xr:uid="{00000000-0005-0000-0000-000082290000}"/>
    <cellStyle name="Porcentual 21 16 3" xfId="9055" xr:uid="{00000000-0005-0000-0000-000083290000}"/>
    <cellStyle name="Porcentual 21 17" xfId="3533" xr:uid="{00000000-0005-0000-0000-000084290000}"/>
    <cellStyle name="Porcentual 21 17 2" xfId="7075" xr:uid="{00000000-0005-0000-0000-000085290000}"/>
    <cellStyle name="Porcentual 21 17 3" xfId="9056" xr:uid="{00000000-0005-0000-0000-000086290000}"/>
    <cellStyle name="Porcentual 21 18" xfId="3534" xr:uid="{00000000-0005-0000-0000-000087290000}"/>
    <cellStyle name="Porcentual 21 18 2" xfId="7076" xr:uid="{00000000-0005-0000-0000-000088290000}"/>
    <cellStyle name="Porcentual 21 18 3" xfId="9057" xr:uid="{00000000-0005-0000-0000-000089290000}"/>
    <cellStyle name="Porcentual 21 19" xfId="3535" xr:uid="{00000000-0005-0000-0000-00008A290000}"/>
    <cellStyle name="Porcentual 21 19 2" xfId="7077" xr:uid="{00000000-0005-0000-0000-00008B290000}"/>
    <cellStyle name="Porcentual 21 19 3" xfId="9058" xr:uid="{00000000-0005-0000-0000-00008C290000}"/>
    <cellStyle name="Porcentual 21 2" xfId="3536" xr:uid="{00000000-0005-0000-0000-00008D290000}"/>
    <cellStyle name="Porcentual 21 2 2" xfId="7078" xr:uid="{00000000-0005-0000-0000-00008E290000}"/>
    <cellStyle name="Porcentual 21 2 3" xfId="9059" xr:uid="{00000000-0005-0000-0000-00008F290000}"/>
    <cellStyle name="Porcentual 21 20" xfId="3537" xr:uid="{00000000-0005-0000-0000-000090290000}"/>
    <cellStyle name="Porcentual 21 20 2" xfId="7079" xr:uid="{00000000-0005-0000-0000-000091290000}"/>
    <cellStyle name="Porcentual 21 20 3" xfId="9060" xr:uid="{00000000-0005-0000-0000-000092290000}"/>
    <cellStyle name="Porcentual 21 21" xfId="3538" xr:uid="{00000000-0005-0000-0000-000093290000}"/>
    <cellStyle name="Porcentual 21 21 2" xfId="7080" xr:uid="{00000000-0005-0000-0000-000094290000}"/>
    <cellStyle name="Porcentual 21 21 3" xfId="9061" xr:uid="{00000000-0005-0000-0000-000095290000}"/>
    <cellStyle name="Porcentual 21 22" xfId="3539" xr:uid="{00000000-0005-0000-0000-000096290000}"/>
    <cellStyle name="Porcentual 21 22 2" xfId="7081" xr:uid="{00000000-0005-0000-0000-000097290000}"/>
    <cellStyle name="Porcentual 21 22 3" xfId="9062" xr:uid="{00000000-0005-0000-0000-000098290000}"/>
    <cellStyle name="Porcentual 21 23" xfId="3540" xr:uid="{00000000-0005-0000-0000-000099290000}"/>
    <cellStyle name="Porcentual 21 23 2" xfId="7082" xr:uid="{00000000-0005-0000-0000-00009A290000}"/>
    <cellStyle name="Porcentual 21 23 3" xfId="9063" xr:uid="{00000000-0005-0000-0000-00009B290000}"/>
    <cellStyle name="Porcentual 21 24" xfId="3541" xr:uid="{00000000-0005-0000-0000-00009C290000}"/>
    <cellStyle name="Porcentual 21 24 2" xfId="7083" xr:uid="{00000000-0005-0000-0000-00009D290000}"/>
    <cellStyle name="Porcentual 21 24 3" xfId="9064" xr:uid="{00000000-0005-0000-0000-00009E290000}"/>
    <cellStyle name="Porcentual 21 25" xfId="3542" xr:uid="{00000000-0005-0000-0000-00009F290000}"/>
    <cellStyle name="Porcentual 21 25 2" xfId="7084" xr:uid="{00000000-0005-0000-0000-0000A0290000}"/>
    <cellStyle name="Porcentual 21 25 3" xfId="9065" xr:uid="{00000000-0005-0000-0000-0000A1290000}"/>
    <cellStyle name="Porcentual 21 26" xfId="3543" xr:uid="{00000000-0005-0000-0000-0000A2290000}"/>
    <cellStyle name="Porcentual 21 26 2" xfId="7085" xr:uid="{00000000-0005-0000-0000-0000A3290000}"/>
    <cellStyle name="Porcentual 21 26 3" xfId="9066" xr:uid="{00000000-0005-0000-0000-0000A4290000}"/>
    <cellStyle name="Porcentual 21 27" xfId="3544" xr:uid="{00000000-0005-0000-0000-0000A5290000}"/>
    <cellStyle name="Porcentual 21 27 2" xfId="7086" xr:uid="{00000000-0005-0000-0000-0000A6290000}"/>
    <cellStyle name="Porcentual 21 27 3" xfId="9067" xr:uid="{00000000-0005-0000-0000-0000A7290000}"/>
    <cellStyle name="Porcentual 21 28" xfId="3545" xr:uid="{00000000-0005-0000-0000-0000A8290000}"/>
    <cellStyle name="Porcentual 21 28 2" xfId="7087" xr:uid="{00000000-0005-0000-0000-0000A9290000}"/>
    <cellStyle name="Porcentual 21 28 3" xfId="9068" xr:uid="{00000000-0005-0000-0000-0000AA290000}"/>
    <cellStyle name="Porcentual 21 29" xfId="7088" xr:uid="{00000000-0005-0000-0000-0000AB290000}"/>
    <cellStyle name="Porcentual 21 3" xfId="3546" xr:uid="{00000000-0005-0000-0000-0000AC290000}"/>
    <cellStyle name="Porcentual 21 3 2" xfId="7089" xr:uid="{00000000-0005-0000-0000-0000AD290000}"/>
    <cellStyle name="Porcentual 21 3 3" xfId="9069" xr:uid="{00000000-0005-0000-0000-0000AE290000}"/>
    <cellStyle name="Porcentual 21 30" xfId="9048" xr:uid="{00000000-0005-0000-0000-0000AF290000}"/>
    <cellStyle name="Porcentual 21 4" xfId="3547" xr:uid="{00000000-0005-0000-0000-0000B0290000}"/>
    <cellStyle name="Porcentual 21 4 2" xfId="7090" xr:uid="{00000000-0005-0000-0000-0000B1290000}"/>
    <cellStyle name="Porcentual 21 4 3" xfId="9070" xr:uid="{00000000-0005-0000-0000-0000B2290000}"/>
    <cellStyle name="Porcentual 21 5" xfId="3548" xr:uid="{00000000-0005-0000-0000-0000B3290000}"/>
    <cellStyle name="Porcentual 21 5 2" xfId="7091" xr:uid="{00000000-0005-0000-0000-0000B4290000}"/>
    <cellStyle name="Porcentual 21 5 3" xfId="9071" xr:uid="{00000000-0005-0000-0000-0000B5290000}"/>
    <cellStyle name="Porcentual 21 6" xfId="3549" xr:uid="{00000000-0005-0000-0000-0000B6290000}"/>
    <cellStyle name="Porcentual 21 6 2" xfId="7092" xr:uid="{00000000-0005-0000-0000-0000B7290000}"/>
    <cellStyle name="Porcentual 21 6 3" xfId="9072" xr:uid="{00000000-0005-0000-0000-0000B8290000}"/>
    <cellStyle name="Porcentual 21 7" xfId="3550" xr:uid="{00000000-0005-0000-0000-0000B9290000}"/>
    <cellStyle name="Porcentual 21 7 2" xfId="7093" xr:uid="{00000000-0005-0000-0000-0000BA290000}"/>
    <cellStyle name="Porcentual 21 7 3" xfId="9073" xr:uid="{00000000-0005-0000-0000-0000BB290000}"/>
    <cellStyle name="Porcentual 21 8" xfId="3551" xr:uid="{00000000-0005-0000-0000-0000BC290000}"/>
    <cellStyle name="Porcentual 21 8 2" xfId="7094" xr:uid="{00000000-0005-0000-0000-0000BD290000}"/>
    <cellStyle name="Porcentual 21 8 3" xfId="9074" xr:uid="{00000000-0005-0000-0000-0000BE290000}"/>
    <cellStyle name="Porcentual 21 9" xfId="3552" xr:uid="{00000000-0005-0000-0000-0000BF290000}"/>
    <cellStyle name="Porcentual 21 9 2" xfId="7095" xr:uid="{00000000-0005-0000-0000-0000C0290000}"/>
    <cellStyle name="Porcentual 21 9 3" xfId="9075" xr:uid="{00000000-0005-0000-0000-0000C1290000}"/>
    <cellStyle name="Porcentual 211 10" xfId="3553" xr:uid="{00000000-0005-0000-0000-0000C2290000}"/>
    <cellStyle name="Porcentual 211 10 2" xfId="7096" xr:uid="{00000000-0005-0000-0000-0000C3290000}"/>
    <cellStyle name="Porcentual 211 10 3" xfId="9076" xr:uid="{00000000-0005-0000-0000-0000C4290000}"/>
    <cellStyle name="Porcentual 211 11" xfId="3554" xr:uid="{00000000-0005-0000-0000-0000C5290000}"/>
    <cellStyle name="Porcentual 211 11 2" xfId="7097" xr:uid="{00000000-0005-0000-0000-0000C6290000}"/>
    <cellStyle name="Porcentual 211 11 3" xfId="9077" xr:uid="{00000000-0005-0000-0000-0000C7290000}"/>
    <cellStyle name="Porcentual 211 12" xfId="3555" xr:uid="{00000000-0005-0000-0000-0000C8290000}"/>
    <cellStyle name="Porcentual 211 12 2" xfId="7098" xr:uid="{00000000-0005-0000-0000-0000C9290000}"/>
    <cellStyle name="Porcentual 211 12 3" xfId="9078" xr:uid="{00000000-0005-0000-0000-0000CA290000}"/>
    <cellStyle name="Porcentual 211 13" xfId="3556" xr:uid="{00000000-0005-0000-0000-0000CB290000}"/>
    <cellStyle name="Porcentual 211 13 2" xfId="7099" xr:uid="{00000000-0005-0000-0000-0000CC290000}"/>
    <cellStyle name="Porcentual 211 13 3" xfId="9079" xr:uid="{00000000-0005-0000-0000-0000CD290000}"/>
    <cellStyle name="Porcentual 211 14" xfId="3557" xr:uid="{00000000-0005-0000-0000-0000CE290000}"/>
    <cellStyle name="Porcentual 211 14 2" xfId="7100" xr:uid="{00000000-0005-0000-0000-0000CF290000}"/>
    <cellStyle name="Porcentual 211 14 3" xfId="9080" xr:uid="{00000000-0005-0000-0000-0000D0290000}"/>
    <cellStyle name="Porcentual 211 15" xfId="3558" xr:uid="{00000000-0005-0000-0000-0000D1290000}"/>
    <cellStyle name="Porcentual 211 15 2" xfId="7101" xr:uid="{00000000-0005-0000-0000-0000D2290000}"/>
    <cellStyle name="Porcentual 211 15 3" xfId="9081" xr:uid="{00000000-0005-0000-0000-0000D3290000}"/>
    <cellStyle name="Porcentual 211 16" xfId="3559" xr:uid="{00000000-0005-0000-0000-0000D4290000}"/>
    <cellStyle name="Porcentual 211 16 2" xfId="7102" xr:uid="{00000000-0005-0000-0000-0000D5290000}"/>
    <cellStyle name="Porcentual 211 16 3" xfId="9082" xr:uid="{00000000-0005-0000-0000-0000D6290000}"/>
    <cellStyle name="Porcentual 211 17" xfId="3560" xr:uid="{00000000-0005-0000-0000-0000D7290000}"/>
    <cellStyle name="Porcentual 211 17 2" xfId="7103" xr:uid="{00000000-0005-0000-0000-0000D8290000}"/>
    <cellStyle name="Porcentual 211 17 3" xfId="9083" xr:uid="{00000000-0005-0000-0000-0000D9290000}"/>
    <cellStyle name="Porcentual 211 18" xfId="3561" xr:uid="{00000000-0005-0000-0000-0000DA290000}"/>
    <cellStyle name="Porcentual 211 18 2" xfId="7104" xr:uid="{00000000-0005-0000-0000-0000DB290000}"/>
    <cellStyle name="Porcentual 211 18 3" xfId="9084" xr:uid="{00000000-0005-0000-0000-0000DC290000}"/>
    <cellStyle name="Porcentual 211 19" xfId="3562" xr:uid="{00000000-0005-0000-0000-0000DD290000}"/>
    <cellStyle name="Porcentual 211 19 2" xfId="7105" xr:uid="{00000000-0005-0000-0000-0000DE290000}"/>
    <cellStyle name="Porcentual 211 19 3" xfId="9085" xr:uid="{00000000-0005-0000-0000-0000DF290000}"/>
    <cellStyle name="Porcentual 211 2" xfId="3563" xr:uid="{00000000-0005-0000-0000-0000E0290000}"/>
    <cellStyle name="Porcentual 211 2 2" xfId="7106" xr:uid="{00000000-0005-0000-0000-0000E1290000}"/>
    <cellStyle name="Porcentual 211 2 3" xfId="9086" xr:uid="{00000000-0005-0000-0000-0000E2290000}"/>
    <cellStyle name="Porcentual 211 20" xfId="3564" xr:uid="{00000000-0005-0000-0000-0000E3290000}"/>
    <cellStyle name="Porcentual 211 20 2" xfId="7107" xr:uid="{00000000-0005-0000-0000-0000E4290000}"/>
    <cellStyle name="Porcentual 211 20 3" xfId="9087" xr:uid="{00000000-0005-0000-0000-0000E5290000}"/>
    <cellStyle name="Porcentual 211 21" xfId="3565" xr:uid="{00000000-0005-0000-0000-0000E6290000}"/>
    <cellStyle name="Porcentual 211 21 2" xfId="7108" xr:uid="{00000000-0005-0000-0000-0000E7290000}"/>
    <cellStyle name="Porcentual 211 21 3" xfId="9088" xr:uid="{00000000-0005-0000-0000-0000E8290000}"/>
    <cellStyle name="Porcentual 211 22" xfId="3566" xr:uid="{00000000-0005-0000-0000-0000E9290000}"/>
    <cellStyle name="Porcentual 211 22 2" xfId="7109" xr:uid="{00000000-0005-0000-0000-0000EA290000}"/>
    <cellStyle name="Porcentual 211 22 3" xfId="9089" xr:uid="{00000000-0005-0000-0000-0000EB290000}"/>
    <cellStyle name="Porcentual 211 23" xfId="3567" xr:uid="{00000000-0005-0000-0000-0000EC290000}"/>
    <cellStyle name="Porcentual 211 23 2" xfId="7110" xr:uid="{00000000-0005-0000-0000-0000ED290000}"/>
    <cellStyle name="Porcentual 211 23 3" xfId="9090" xr:uid="{00000000-0005-0000-0000-0000EE290000}"/>
    <cellStyle name="Porcentual 211 24" xfId="3568" xr:uid="{00000000-0005-0000-0000-0000EF290000}"/>
    <cellStyle name="Porcentual 211 24 2" xfId="7111" xr:uid="{00000000-0005-0000-0000-0000F0290000}"/>
    <cellStyle name="Porcentual 211 24 3" xfId="9091" xr:uid="{00000000-0005-0000-0000-0000F1290000}"/>
    <cellStyle name="Porcentual 211 25" xfId="3569" xr:uid="{00000000-0005-0000-0000-0000F2290000}"/>
    <cellStyle name="Porcentual 211 25 2" xfId="7112" xr:uid="{00000000-0005-0000-0000-0000F3290000}"/>
    <cellStyle name="Porcentual 211 25 3" xfId="9092" xr:uid="{00000000-0005-0000-0000-0000F4290000}"/>
    <cellStyle name="Porcentual 211 26" xfId="3570" xr:uid="{00000000-0005-0000-0000-0000F5290000}"/>
    <cellStyle name="Porcentual 211 26 2" xfId="7113" xr:uid="{00000000-0005-0000-0000-0000F6290000}"/>
    <cellStyle name="Porcentual 211 26 3" xfId="9093" xr:uid="{00000000-0005-0000-0000-0000F7290000}"/>
    <cellStyle name="Porcentual 211 27" xfId="3571" xr:uid="{00000000-0005-0000-0000-0000F8290000}"/>
    <cellStyle name="Porcentual 211 27 2" xfId="7114" xr:uid="{00000000-0005-0000-0000-0000F9290000}"/>
    <cellStyle name="Porcentual 211 27 3" xfId="9094" xr:uid="{00000000-0005-0000-0000-0000FA290000}"/>
    <cellStyle name="Porcentual 211 28" xfId="3572" xr:uid="{00000000-0005-0000-0000-0000FB290000}"/>
    <cellStyle name="Porcentual 211 28 2" xfId="7115" xr:uid="{00000000-0005-0000-0000-0000FC290000}"/>
    <cellStyle name="Porcentual 211 28 3" xfId="9095" xr:uid="{00000000-0005-0000-0000-0000FD290000}"/>
    <cellStyle name="Porcentual 211 3" xfId="3573" xr:uid="{00000000-0005-0000-0000-0000FE290000}"/>
    <cellStyle name="Porcentual 211 3 2" xfId="7116" xr:uid="{00000000-0005-0000-0000-0000FF290000}"/>
    <cellStyle name="Porcentual 211 3 3" xfId="9096" xr:uid="{00000000-0005-0000-0000-0000002A0000}"/>
    <cellStyle name="Porcentual 211 4" xfId="3574" xr:uid="{00000000-0005-0000-0000-0000012A0000}"/>
    <cellStyle name="Porcentual 211 4 2" xfId="7117" xr:uid="{00000000-0005-0000-0000-0000022A0000}"/>
    <cellStyle name="Porcentual 211 4 3" xfId="9097" xr:uid="{00000000-0005-0000-0000-0000032A0000}"/>
    <cellStyle name="Porcentual 211 5" xfId="3575" xr:uid="{00000000-0005-0000-0000-0000042A0000}"/>
    <cellStyle name="Porcentual 211 5 2" xfId="7118" xr:uid="{00000000-0005-0000-0000-0000052A0000}"/>
    <cellStyle name="Porcentual 211 5 3" xfId="9098" xr:uid="{00000000-0005-0000-0000-0000062A0000}"/>
    <cellStyle name="Porcentual 211 6" xfId="3576" xr:uid="{00000000-0005-0000-0000-0000072A0000}"/>
    <cellStyle name="Porcentual 211 6 2" xfId="7119" xr:uid="{00000000-0005-0000-0000-0000082A0000}"/>
    <cellStyle name="Porcentual 211 6 3" xfId="9099" xr:uid="{00000000-0005-0000-0000-0000092A0000}"/>
    <cellStyle name="Porcentual 211 7" xfId="3577" xr:uid="{00000000-0005-0000-0000-00000A2A0000}"/>
    <cellStyle name="Porcentual 211 7 2" xfId="7120" xr:uid="{00000000-0005-0000-0000-00000B2A0000}"/>
    <cellStyle name="Porcentual 211 7 3" xfId="9100" xr:uid="{00000000-0005-0000-0000-00000C2A0000}"/>
    <cellStyle name="Porcentual 211 8" xfId="3578" xr:uid="{00000000-0005-0000-0000-00000D2A0000}"/>
    <cellStyle name="Porcentual 211 8 2" xfId="7121" xr:uid="{00000000-0005-0000-0000-00000E2A0000}"/>
    <cellStyle name="Porcentual 211 8 3" xfId="9101" xr:uid="{00000000-0005-0000-0000-00000F2A0000}"/>
    <cellStyle name="Porcentual 211 9" xfId="3579" xr:uid="{00000000-0005-0000-0000-0000102A0000}"/>
    <cellStyle name="Porcentual 211 9 2" xfId="7122" xr:uid="{00000000-0005-0000-0000-0000112A0000}"/>
    <cellStyle name="Porcentual 211 9 3" xfId="9102" xr:uid="{00000000-0005-0000-0000-0000122A0000}"/>
    <cellStyle name="Porcentual 212 10" xfId="3580" xr:uid="{00000000-0005-0000-0000-0000132A0000}"/>
    <cellStyle name="Porcentual 212 10 2" xfId="7123" xr:uid="{00000000-0005-0000-0000-0000142A0000}"/>
    <cellStyle name="Porcentual 212 10 3" xfId="9103" xr:uid="{00000000-0005-0000-0000-0000152A0000}"/>
    <cellStyle name="Porcentual 212 11" xfId="3581" xr:uid="{00000000-0005-0000-0000-0000162A0000}"/>
    <cellStyle name="Porcentual 212 11 2" xfId="7124" xr:uid="{00000000-0005-0000-0000-0000172A0000}"/>
    <cellStyle name="Porcentual 212 11 3" xfId="9104" xr:uid="{00000000-0005-0000-0000-0000182A0000}"/>
    <cellStyle name="Porcentual 212 12" xfId="3582" xr:uid="{00000000-0005-0000-0000-0000192A0000}"/>
    <cellStyle name="Porcentual 212 12 2" xfId="7125" xr:uid="{00000000-0005-0000-0000-00001A2A0000}"/>
    <cellStyle name="Porcentual 212 12 3" xfId="9105" xr:uid="{00000000-0005-0000-0000-00001B2A0000}"/>
    <cellStyle name="Porcentual 212 13" xfId="3583" xr:uid="{00000000-0005-0000-0000-00001C2A0000}"/>
    <cellStyle name="Porcentual 212 13 2" xfId="7126" xr:uid="{00000000-0005-0000-0000-00001D2A0000}"/>
    <cellStyle name="Porcentual 212 13 3" xfId="9106" xr:uid="{00000000-0005-0000-0000-00001E2A0000}"/>
    <cellStyle name="Porcentual 212 14" xfId="3584" xr:uid="{00000000-0005-0000-0000-00001F2A0000}"/>
    <cellStyle name="Porcentual 212 14 2" xfId="7127" xr:uid="{00000000-0005-0000-0000-0000202A0000}"/>
    <cellStyle name="Porcentual 212 14 3" xfId="9107" xr:uid="{00000000-0005-0000-0000-0000212A0000}"/>
    <cellStyle name="Porcentual 212 15" xfId="3585" xr:uid="{00000000-0005-0000-0000-0000222A0000}"/>
    <cellStyle name="Porcentual 212 15 2" xfId="7128" xr:uid="{00000000-0005-0000-0000-0000232A0000}"/>
    <cellStyle name="Porcentual 212 15 3" xfId="9108" xr:uid="{00000000-0005-0000-0000-0000242A0000}"/>
    <cellStyle name="Porcentual 212 16" xfId="3586" xr:uid="{00000000-0005-0000-0000-0000252A0000}"/>
    <cellStyle name="Porcentual 212 16 2" xfId="7129" xr:uid="{00000000-0005-0000-0000-0000262A0000}"/>
    <cellStyle name="Porcentual 212 16 3" xfId="9109" xr:uid="{00000000-0005-0000-0000-0000272A0000}"/>
    <cellStyle name="Porcentual 212 17" xfId="3587" xr:uid="{00000000-0005-0000-0000-0000282A0000}"/>
    <cellStyle name="Porcentual 212 17 2" xfId="7130" xr:uid="{00000000-0005-0000-0000-0000292A0000}"/>
    <cellStyle name="Porcentual 212 17 3" xfId="9110" xr:uid="{00000000-0005-0000-0000-00002A2A0000}"/>
    <cellStyle name="Porcentual 212 18" xfId="3588" xr:uid="{00000000-0005-0000-0000-00002B2A0000}"/>
    <cellStyle name="Porcentual 212 18 2" xfId="7131" xr:uid="{00000000-0005-0000-0000-00002C2A0000}"/>
    <cellStyle name="Porcentual 212 18 3" xfId="9111" xr:uid="{00000000-0005-0000-0000-00002D2A0000}"/>
    <cellStyle name="Porcentual 212 19" xfId="3589" xr:uid="{00000000-0005-0000-0000-00002E2A0000}"/>
    <cellStyle name="Porcentual 212 19 2" xfId="7132" xr:uid="{00000000-0005-0000-0000-00002F2A0000}"/>
    <cellStyle name="Porcentual 212 19 3" xfId="9112" xr:uid="{00000000-0005-0000-0000-0000302A0000}"/>
    <cellStyle name="Porcentual 212 2" xfId="3590" xr:uid="{00000000-0005-0000-0000-0000312A0000}"/>
    <cellStyle name="Porcentual 212 2 2" xfId="7133" xr:uid="{00000000-0005-0000-0000-0000322A0000}"/>
    <cellStyle name="Porcentual 212 2 3" xfId="9113" xr:uid="{00000000-0005-0000-0000-0000332A0000}"/>
    <cellStyle name="Porcentual 212 20" xfId="3591" xr:uid="{00000000-0005-0000-0000-0000342A0000}"/>
    <cellStyle name="Porcentual 212 20 2" xfId="7134" xr:uid="{00000000-0005-0000-0000-0000352A0000}"/>
    <cellStyle name="Porcentual 212 20 3" xfId="9114" xr:uid="{00000000-0005-0000-0000-0000362A0000}"/>
    <cellStyle name="Porcentual 212 21" xfId="3592" xr:uid="{00000000-0005-0000-0000-0000372A0000}"/>
    <cellStyle name="Porcentual 212 21 2" xfId="7135" xr:uid="{00000000-0005-0000-0000-0000382A0000}"/>
    <cellStyle name="Porcentual 212 21 3" xfId="9115" xr:uid="{00000000-0005-0000-0000-0000392A0000}"/>
    <cellStyle name="Porcentual 212 22" xfId="3593" xr:uid="{00000000-0005-0000-0000-00003A2A0000}"/>
    <cellStyle name="Porcentual 212 22 2" xfId="7136" xr:uid="{00000000-0005-0000-0000-00003B2A0000}"/>
    <cellStyle name="Porcentual 212 22 3" xfId="9116" xr:uid="{00000000-0005-0000-0000-00003C2A0000}"/>
    <cellStyle name="Porcentual 212 23" xfId="3594" xr:uid="{00000000-0005-0000-0000-00003D2A0000}"/>
    <cellStyle name="Porcentual 212 23 2" xfId="7137" xr:uid="{00000000-0005-0000-0000-00003E2A0000}"/>
    <cellStyle name="Porcentual 212 23 3" xfId="9117" xr:uid="{00000000-0005-0000-0000-00003F2A0000}"/>
    <cellStyle name="Porcentual 212 24" xfId="3595" xr:uid="{00000000-0005-0000-0000-0000402A0000}"/>
    <cellStyle name="Porcentual 212 24 2" xfId="7138" xr:uid="{00000000-0005-0000-0000-0000412A0000}"/>
    <cellStyle name="Porcentual 212 24 3" xfId="9118" xr:uid="{00000000-0005-0000-0000-0000422A0000}"/>
    <cellStyle name="Porcentual 212 25" xfId="3596" xr:uid="{00000000-0005-0000-0000-0000432A0000}"/>
    <cellStyle name="Porcentual 212 25 2" xfId="7139" xr:uid="{00000000-0005-0000-0000-0000442A0000}"/>
    <cellStyle name="Porcentual 212 25 3" xfId="9119" xr:uid="{00000000-0005-0000-0000-0000452A0000}"/>
    <cellStyle name="Porcentual 212 26" xfId="3597" xr:uid="{00000000-0005-0000-0000-0000462A0000}"/>
    <cellStyle name="Porcentual 212 26 2" xfId="7140" xr:uid="{00000000-0005-0000-0000-0000472A0000}"/>
    <cellStyle name="Porcentual 212 26 3" xfId="9120" xr:uid="{00000000-0005-0000-0000-0000482A0000}"/>
    <cellStyle name="Porcentual 212 27" xfId="3598" xr:uid="{00000000-0005-0000-0000-0000492A0000}"/>
    <cellStyle name="Porcentual 212 27 2" xfId="7141" xr:uid="{00000000-0005-0000-0000-00004A2A0000}"/>
    <cellStyle name="Porcentual 212 27 3" xfId="9121" xr:uid="{00000000-0005-0000-0000-00004B2A0000}"/>
    <cellStyle name="Porcentual 212 28" xfId="3599" xr:uid="{00000000-0005-0000-0000-00004C2A0000}"/>
    <cellStyle name="Porcentual 212 28 2" xfId="7142" xr:uid="{00000000-0005-0000-0000-00004D2A0000}"/>
    <cellStyle name="Porcentual 212 28 3" xfId="9122" xr:uid="{00000000-0005-0000-0000-00004E2A0000}"/>
    <cellStyle name="Porcentual 212 3" xfId="3600" xr:uid="{00000000-0005-0000-0000-00004F2A0000}"/>
    <cellStyle name="Porcentual 212 3 2" xfId="7143" xr:uid="{00000000-0005-0000-0000-0000502A0000}"/>
    <cellStyle name="Porcentual 212 3 3" xfId="9123" xr:uid="{00000000-0005-0000-0000-0000512A0000}"/>
    <cellStyle name="Porcentual 212 4" xfId="3601" xr:uid="{00000000-0005-0000-0000-0000522A0000}"/>
    <cellStyle name="Porcentual 212 4 2" xfId="7144" xr:uid="{00000000-0005-0000-0000-0000532A0000}"/>
    <cellStyle name="Porcentual 212 4 3" xfId="9124" xr:uid="{00000000-0005-0000-0000-0000542A0000}"/>
    <cellStyle name="Porcentual 212 5" xfId="3602" xr:uid="{00000000-0005-0000-0000-0000552A0000}"/>
    <cellStyle name="Porcentual 212 5 2" xfId="7145" xr:uid="{00000000-0005-0000-0000-0000562A0000}"/>
    <cellStyle name="Porcentual 212 5 3" xfId="9125" xr:uid="{00000000-0005-0000-0000-0000572A0000}"/>
    <cellStyle name="Porcentual 212 6" xfId="3603" xr:uid="{00000000-0005-0000-0000-0000582A0000}"/>
    <cellStyle name="Porcentual 212 6 2" xfId="7146" xr:uid="{00000000-0005-0000-0000-0000592A0000}"/>
    <cellStyle name="Porcentual 212 6 3" xfId="9126" xr:uid="{00000000-0005-0000-0000-00005A2A0000}"/>
    <cellStyle name="Porcentual 212 7" xfId="3604" xr:uid="{00000000-0005-0000-0000-00005B2A0000}"/>
    <cellStyle name="Porcentual 212 7 2" xfId="7147" xr:uid="{00000000-0005-0000-0000-00005C2A0000}"/>
    <cellStyle name="Porcentual 212 7 3" xfId="9127" xr:uid="{00000000-0005-0000-0000-00005D2A0000}"/>
    <cellStyle name="Porcentual 212 8" xfId="3605" xr:uid="{00000000-0005-0000-0000-00005E2A0000}"/>
    <cellStyle name="Porcentual 212 8 2" xfId="7148" xr:uid="{00000000-0005-0000-0000-00005F2A0000}"/>
    <cellStyle name="Porcentual 212 8 3" xfId="9128" xr:uid="{00000000-0005-0000-0000-0000602A0000}"/>
    <cellStyle name="Porcentual 212 9" xfId="3606" xr:uid="{00000000-0005-0000-0000-0000612A0000}"/>
    <cellStyle name="Porcentual 212 9 2" xfId="7149" xr:uid="{00000000-0005-0000-0000-0000622A0000}"/>
    <cellStyle name="Porcentual 212 9 3" xfId="9129" xr:uid="{00000000-0005-0000-0000-0000632A0000}"/>
    <cellStyle name="Porcentual 213 10" xfId="3607" xr:uid="{00000000-0005-0000-0000-0000642A0000}"/>
    <cellStyle name="Porcentual 213 10 2" xfId="7150" xr:uid="{00000000-0005-0000-0000-0000652A0000}"/>
    <cellStyle name="Porcentual 213 10 3" xfId="9130" xr:uid="{00000000-0005-0000-0000-0000662A0000}"/>
    <cellStyle name="Porcentual 213 11" xfId="3608" xr:uid="{00000000-0005-0000-0000-0000672A0000}"/>
    <cellStyle name="Porcentual 213 11 2" xfId="7151" xr:uid="{00000000-0005-0000-0000-0000682A0000}"/>
    <cellStyle name="Porcentual 213 11 3" xfId="9131" xr:uid="{00000000-0005-0000-0000-0000692A0000}"/>
    <cellStyle name="Porcentual 213 12" xfId="3609" xr:uid="{00000000-0005-0000-0000-00006A2A0000}"/>
    <cellStyle name="Porcentual 213 12 2" xfId="7152" xr:uid="{00000000-0005-0000-0000-00006B2A0000}"/>
    <cellStyle name="Porcentual 213 12 3" xfId="9132" xr:uid="{00000000-0005-0000-0000-00006C2A0000}"/>
    <cellStyle name="Porcentual 213 13" xfId="3610" xr:uid="{00000000-0005-0000-0000-00006D2A0000}"/>
    <cellStyle name="Porcentual 213 13 2" xfId="7153" xr:uid="{00000000-0005-0000-0000-00006E2A0000}"/>
    <cellStyle name="Porcentual 213 13 3" xfId="9133" xr:uid="{00000000-0005-0000-0000-00006F2A0000}"/>
    <cellStyle name="Porcentual 213 14" xfId="3611" xr:uid="{00000000-0005-0000-0000-0000702A0000}"/>
    <cellStyle name="Porcentual 213 14 2" xfId="7154" xr:uid="{00000000-0005-0000-0000-0000712A0000}"/>
    <cellStyle name="Porcentual 213 14 3" xfId="9134" xr:uid="{00000000-0005-0000-0000-0000722A0000}"/>
    <cellStyle name="Porcentual 213 15" xfId="3612" xr:uid="{00000000-0005-0000-0000-0000732A0000}"/>
    <cellStyle name="Porcentual 213 15 2" xfId="7155" xr:uid="{00000000-0005-0000-0000-0000742A0000}"/>
    <cellStyle name="Porcentual 213 15 3" xfId="9135" xr:uid="{00000000-0005-0000-0000-0000752A0000}"/>
    <cellStyle name="Porcentual 213 16" xfId="3613" xr:uid="{00000000-0005-0000-0000-0000762A0000}"/>
    <cellStyle name="Porcentual 213 16 2" xfId="7156" xr:uid="{00000000-0005-0000-0000-0000772A0000}"/>
    <cellStyle name="Porcentual 213 16 3" xfId="9136" xr:uid="{00000000-0005-0000-0000-0000782A0000}"/>
    <cellStyle name="Porcentual 213 17" xfId="3614" xr:uid="{00000000-0005-0000-0000-0000792A0000}"/>
    <cellStyle name="Porcentual 213 17 2" xfId="7157" xr:uid="{00000000-0005-0000-0000-00007A2A0000}"/>
    <cellStyle name="Porcentual 213 17 3" xfId="9137" xr:uid="{00000000-0005-0000-0000-00007B2A0000}"/>
    <cellStyle name="Porcentual 213 18" xfId="3615" xr:uid="{00000000-0005-0000-0000-00007C2A0000}"/>
    <cellStyle name="Porcentual 213 18 2" xfId="7158" xr:uid="{00000000-0005-0000-0000-00007D2A0000}"/>
    <cellStyle name="Porcentual 213 18 3" xfId="9138" xr:uid="{00000000-0005-0000-0000-00007E2A0000}"/>
    <cellStyle name="Porcentual 213 19" xfId="3616" xr:uid="{00000000-0005-0000-0000-00007F2A0000}"/>
    <cellStyle name="Porcentual 213 19 2" xfId="7159" xr:uid="{00000000-0005-0000-0000-0000802A0000}"/>
    <cellStyle name="Porcentual 213 19 3" xfId="9139" xr:uid="{00000000-0005-0000-0000-0000812A0000}"/>
    <cellStyle name="Porcentual 213 2" xfId="3617" xr:uid="{00000000-0005-0000-0000-0000822A0000}"/>
    <cellStyle name="Porcentual 213 2 2" xfId="7160" xr:uid="{00000000-0005-0000-0000-0000832A0000}"/>
    <cellStyle name="Porcentual 213 2 3" xfId="9140" xr:uid="{00000000-0005-0000-0000-0000842A0000}"/>
    <cellStyle name="Porcentual 213 20" xfId="3618" xr:uid="{00000000-0005-0000-0000-0000852A0000}"/>
    <cellStyle name="Porcentual 213 20 2" xfId="7161" xr:uid="{00000000-0005-0000-0000-0000862A0000}"/>
    <cellStyle name="Porcentual 213 20 3" xfId="9141" xr:uid="{00000000-0005-0000-0000-0000872A0000}"/>
    <cellStyle name="Porcentual 213 21" xfId="3619" xr:uid="{00000000-0005-0000-0000-0000882A0000}"/>
    <cellStyle name="Porcentual 213 21 2" xfId="7162" xr:uid="{00000000-0005-0000-0000-0000892A0000}"/>
    <cellStyle name="Porcentual 213 21 3" xfId="9142" xr:uid="{00000000-0005-0000-0000-00008A2A0000}"/>
    <cellStyle name="Porcentual 213 22" xfId="3620" xr:uid="{00000000-0005-0000-0000-00008B2A0000}"/>
    <cellStyle name="Porcentual 213 22 2" xfId="7163" xr:uid="{00000000-0005-0000-0000-00008C2A0000}"/>
    <cellStyle name="Porcentual 213 22 3" xfId="9143" xr:uid="{00000000-0005-0000-0000-00008D2A0000}"/>
    <cellStyle name="Porcentual 213 23" xfId="3621" xr:uid="{00000000-0005-0000-0000-00008E2A0000}"/>
    <cellStyle name="Porcentual 213 23 2" xfId="7164" xr:uid="{00000000-0005-0000-0000-00008F2A0000}"/>
    <cellStyle name="Porcentual 213 23 3" xfId="9144" xr:uid="{00000000-0005-0000-0000-0000902A0000}"/>
    <cellStyle name="Porcentual 213 24" xfId="3622" xr:uid="{00000000-0005-0000-0000-0000912A0000}"/>
    <cellStyle name="Porcentual 213 24 2" xfId="7165" xr:uid="{00000000-0005-0000-0000-0000922A0000}"/>
    <cellStyle name="Porcentual 213 24 3" xfId="9145" xr:uid="{00000000-0005-0000-0000-0000932A0000}"/>
    <cellStyle name="Porcentual 213 25" xfId="3623" xr:uid="{00000000-0005-0000-0000-0000942A0000}"/>
    <cellStyle name="Porcentual 213 25 2" xfId="7166" xr:uid="{00000000-0005-0000-0000-0000952A0000}"/>
    <cellStyle name="Porcentual 213 25 3" xfId="9146" xr:uid="{00000000-0005-0000-0000-0000962A0000}"/>
    <cellStyle name="Porcentual 213 26" xfId="3624" xr:uid="{00000000-0005-0000-0000-0000972A0000}"/>
    <cellStyle name="Porcentual 213 26 2" xfId="7167" xr:uid="{00000000-0005-0000-0000-0000982A0000}"/>
    <cellStyle name="Porcentual 213 26 3" xfId="9147" xr:uid="{00000000-0005-0000-0000-0000992A0000}"/>
    <cellStyle name="Porcentual 213 27" xfId="3625" xr:uid="{00000000-0005-0000-0000-00009A2A0000}"/>
    <cellStyle name="Porcentual 213 27 2" xfId="7168" xr:uid="{00000000-0005-0000-0000-00009B2A0000}"/>
    <cellStyle name="Porcentual 213 27 3" xfId="9148" xr:uid="{00000000-0005-0000-0000-00009C2A0000}"/>
    <cellStyle name="Porcentual 213 28" xfId="3626" xr:uid="{00000000-0005-0000-0000-00009D2A0000}"/>
    <cellStyle name="Porcentual 213 28 2" xfId="7169" xr:uid="{00000000-0005-0000-0000-00009E2A0000}"/>
    <cellStyle name="Porcentual 213 28 3" xfId="9149" xr:uid="{00000000-0005-0000-0000-00009F2A0000}"/>
    <cellStyle name="Porcentual 213 3" xfId="3627" xr:uid="{00000000-0005-0000-0000-0000A02A0000}"/>
    <cellStyle name="Porcentual 213 3 2" xfId="7170" xr:uid="{00000000-0005-0000-0000-0000A12A0000}"/>
    <cellStyle name="Porcentual 213 3 3" xfId="9150" xr:uid="{00000000-0005-0000-0000-0000A22A0000}"/>
    <cellStyle name="Porcentual 213 4" xfId="3628" xr:uid="{00000000-0005-0000-0000-0000A32A0000}"/>
    <cellStyle name="Porcentual 213 4 2" xfId="7171" xr:uid="{00000000-0005-0000-0000-0000A42A0000}"/>
    <cellStyle name="Porcentual 213 4 3" xfId="9151" xr:uid="{00000000-0005-0000-0000-0000A52A0000}"/>
    <cellStyle name="Porcentual 213 5" xfId="3629" xr:uid="{00000000-0005-0000-0000-0000A62A0000}"/>
    <cellStyle name="Porcentual 213 5 2" xfId="7172" xr:uid="{00000000-0005-0000-0000-0000A72A0000}"/>
    <cellStyle name="Porcentual 213 5 3" xfId="9152" xr:uid="{00000000-0005-0000-0000-0000A82A0000}"/>
    <cellStyle name="Porcentual 213 6" xfId="3630" xr:uid="{00000000-0005-0000-0000-0000A92A0000}"/>
    <cellStyle name="Porcentual 213 6 2" xfId="7173" xr:uid="{00000000-0005-0000-0000-0000AA2A0000}"/>
    <cellStyle name="Porcentual 213 6 3" xfId="9153" xr:uid="{00000000-0005-0000-0000-0000AB2A0000}"/>
    <cellStyle name="Porcentual 213 7" xfId="3631" xr:uid="{00000000-0005-0000-0000-0000AC2A0000}"/>
    <cellStyle name="Porcentual 213 7 2" xfId="7174" xr:uid="{00000000-0005-0000-0000-0000AD2A0000}"/>
    <cellStyle name="Porcentual 213 7 3" xfId="9154" xr:uid="{00000000-0005-0000-0000-0000AE2A0000}"/>
    <cellStyle name="Porcentual 213 8" xfId="3632" xr:uid="{00000000-0005-0000-0000-0000AF2A0000}"/>
    <cellStyle name="Porcentual 213 8 2" xfId="7175" xr:uid="{00000000-0005-0000-0000-0000B02A0000}"/>
    <cellStyle name="Porcentual 213 8 3" xfId="9155" xr:uid="{00000000-0005-0000-0000-0000B12A0000}"/>
    <cellStyle name="Porcentual 213 9" xfId="3633" xr:uid="{00000000-0005-0000-0000-0000B22A0000}"/>
    <cellStyle name="Porcentual 213 9 2" xfId="7176" xr:uid="{00000000-0005-0000-0000-0000B32A0000}"/>
    <cellStyle name="Porcentual 213 9 3" xfId="9156" xr:uid="{00000000-0005-0000-0000-0000B42A0000}"/>
    <cellStyle name="Porcentual 214 10" xfId="3634" xr:uid="{00000000-0005-0000-0000-0000B52A0000}"/>
    <cellStyle name="Porcentual 214 10 2" xfId="7177" xr:uid="{00000000-0005-0000-0000-0000B62A0000}"/>
    <cellStyle name="Porcentual 214 10 3" xfId="9157" xr:uid="{00000000-0005-0000-0000-0000B72A0000}"/>
    <cellStyle name="Porcentual 214 11" xfId="3635" xr:uid="{00000000-0005-0000-0000-0000B82A0000}"/>
    <cellStyle name="Porcentual 214 11 2" xfId="7178" xr:uid="{00000000-0005-0000-0000-0000B92A0000}"/>
    <cellStyle name="Porcentual 214 11 3" xfId="9158" xr:uid="{00000000-0005-0000-0000-0000BA2A0000}"/>
    <cellStyle name="Porcentual 214 12" xfId="3636" xr:uid="{00000000-0005-0000-0000-0000BB2A0000}"/>
    <cellStyle name="Porcentual 214 12 2" xfId="7179" xr:uid="{00000000-0005-0000-0000-0000BC2A0000}"/>
    <cellStyle name="Porcentual 214 12 3" xfId="9159" xr:uid="{00000000-0005-0000-0000-0000BD2A0000}"/>
    <cellStyle name="Porcentual 214 13" xfId="3637" xr:uid="{00000000-0005-0000-0000-0000BE2A0000}"/>
    <cellStyle name="Porcentual 214 13 2" xfId="7180" xr:uid="{00000000-0005-0000-0000-0000BF2A0000}"/>
    <cellStyle name="Porcentual 214 13 3" xfId="9160" xr:uid="{00000000-0005-0000-0000-0000C02A0000}"/>
    <cellStyle name="Porcentual 214 14" xfId="3638" xr:uid="{00000000-0005-0000-0000-0000C12A0000}"/>
    <cellStyle name="Porcentual 214 14 2" xfId="7181" xr:uid="{00000000-0005-0000-0000-0000C22A0000}"/>
    <cellStyle name="Porcentual 214 14 3" xfId="9161" xr:uid="{00000000-0005-0000-0000-0000C32A0000}"/>
    <cellStyle name="Porcentual 214 15" xfId="3639" xr:uid="{00000000-0005-0000-0000-0000C42A0000}"/>
    <cellStyle name="Porcentual 214 15 2" xfId="7182" xr:uid="{00000000-0005-0000-0000-0000C52A0000}"/>
    <cellStyle name="Porcentual 214 15 3" xfId="9162" xr:uid="{00000000-0005-0000-0000-0000C62A0000}"/>
    <cellStyle name="Porcentual 214 16" xfId="3640" xr:uid="{00000000-0005-0000-0000-0000C72A0000}"/>
    <cellStyle name="Porcentual 214 16 2" xfId="7183" xr:uid="{00000000-0005-0000-0000-0000C82A0000}"/>
    <cellStyle name="Porcentual 214 16 3" xfId="9163" xr:uid="{00000000-0005-0000-0000-0000C92A0000}"/>
    <cellStyle name="Porcentual 214 17" xfId="3641" xr:uid="{00000000-0005-0000-0000-0000CA2A0000}"/>
    <cellStyle name="Porcentual 214 17 2" xfId="7184" xr:uid="{00000000-0005-0000-0000-0000CB2A0000}"/>
    <cellStyle name="Porcentual 214 17 3" xfId="9164" xr:uid="{00000000-0005-0000-0000-0000CC2A0000}"/>
    <cellStyle name="Porcentual 214 18" xfId="3642" xr:uid="{00000000-0005-0000-0000-0000CD2A0000}"/>
    <cellStyle name="Porcentual 214 18 2" xfId="7185" xr:uid="{00000000-0005-0000-0000-0000CE2A0000}"/>
    <cellStyle name="Porcentual 214 18 3" xfId="9165" xr:uid="{00000000-0005-0000-0000-0000CF2A0000}"/>
    <cellStyle name="Porcentual 214 19" xfId="3643" xr:uid="{00000000-0005-0000-0000-0000D02A0000}"/>
    <cellStyle name="Porcentual 214 19 2" xfId="7186" xr:uid="{00000000-0005-0000-0000-0000D12A0000}"/>
    <cellStyle name="Porcentual 214 19 3" xfId="9166" xr:uid="{00000000-0005-0000-0000-0000D22A0000}"/>
    <cellStyle name="Porcentual 214 2" xfId="3644" xr:uid="{00000000-0005-0000-0000-0000D32A0000}"/>
    <cellStyle name="Porcentual 214 2 2" xfId="7187" xr:uid="{00000000-0005-0000-0000-0000D42A0000}"/>
    <cellStyle name="Porcentual 214 2 3" xfId="9167" xr:uid="{00000000-0005-0000-0000-0000D52A0000}"/>
    <cellStyle name="Porcentual 214 20" xfId="3645" xr:uid="{00000000-0005-0000-0000-0000D62A0000}"/>
    <cellStyle name="Porcentual 214 20 2" xfId="7188" xr:uid="{00000000-0005-0000-0000-0000D72A0000}"/>
    <cellStyle name="Porcentual 214 20 3" xfId="9168" xr:uid="{00000000-0005-0000-0000-0000D82A0000}"/>
    <cellStyle name="Porcentual 214 21" xfId="3646" xr:uid="{00000000-0005-0000-0000-0000D92A0000}"/>
    <cellStyle name="Porcentual 214 21 2" xfId="7189" xr:uid="{00000000-0005-0000-0000-0000DA2A0000}"/>
    <cellStyle name="Porcentual 214 21 3" xfId="9169" xr:uid="{00000000-0005-0000-0000-0000DB2A0000}"/>
    <cellStyle name="Porcentual 214 22" xfId="3647" xr:uid="{00000000-0005-0000-0000-0000DC2A0000}"/>
    <cellStyle name="Porcentual 214 22 2" xfId="7190" xr:uid="{00000000-0005-0000-0000-0000DD2A0000}"/>
    <cellStyle name="Porcentual 214 22 3" xfId="9170" xr:uid="{00000000-0005-0000-0000-0000DE2A0000}"/>
    <cellStyle name="Porcentual 214 23" xfId="3648" xr:uid="{00000000-0005-0000-0000-0000DF2A0000}"/>
    <cellStyle name="Porcentual 214 23 2" xfId="7191" xr:uid="{00000000-0005-0000-0000-0000E02A0000}"/>
    <cellStyle name="Porcentual 214 23 3" xfId="9171" xr:uid="{00000000-0005-0000-0000-0000E12A0000}"/>
    <cellStyle name="Porcentual 214 24" xfId="3649" xr:uid="{00000000-0005-0000-0000-0000E22A0000}"/>
    <cellStyle name="Porcentual 214 24 2" xfId="7192" xr:uid="{00000000-0005-0000-0000-0000E32A0000}"/>
    <cellStyle name="Porcentual 214 24 3" xfId="9172" xr:uid="{00000000-0005-0000-0000-0000E42A0000}"/>
    <cellStyle name="Porcentual 214 25" xfId="3650" xr:uid="{00000000-0005-0000-0000-0000E52A0000}"/>
    <cellStyle name="Porcentual 214 25 2" xfId="7193" xr:uid="{00000000-0005-0000-0000-0000E62A0000}"/>
    <cellStyle name="Porcentual 214 25 3" xfId="9173" xr:uid="{00000000-0005-0000-0000-0000E72A0000}"/>
    <cellStyle name="Porcentual 214 26" xfId="3651" xr:uid="{00000000-0005-0000-0000-0000E82A0000}"/>
    <cellStyle name="Porcentual 214 26 2" xfId="7194" xr:uid="{00000000-0005-0000-0000-0000E92A0000}"/>
    <cellStyle name="Porcentual 214 26 3" xfId="9174" xr:uid="{00000000-0005-0000-0000-0000EA2A0000}"/>
    <cellStyle name="Porcentual 214 27" xfId="3652" xr:uid="{00000000-0005-0000-0000-0000EB2A0000}"/>
    <cellStyle name="Porcentual 214 27 2" xfId="7195" xr:uid="{00000000-0005-0000-0000-0000EC2A0000}"/>
    <cellStyle name="Porcentual 214 27 3" xfId="9175" xr:uid="{00000000-0005-0000-0000-0000ED2A0000}"/>
    <cellStyle name="Porcentual 214 28" xfId="3653" xr:uid="{00000000-0005-0000-0000-0000EE2A0000}"/>
    <cellStyle name="Porcentual 214 28 2" xfId="7196" xr:uid="{00000000-0005-0000-0000-0000EF2A0000}"/>
    <cellStyle name="Porcentual 214 28 3" xfId="9176" xr:uid="{00000000-0005-0000-0000-0000F02A0000}"/>
    <cellStyle name="Porcentual 214 3" xfId="3654" xr:uid="{00000000-0005-0000-0000-0000F12A0000}"/>
    <cellStyle name="Porcentual 214 3 2" xfId="7197" xr:uid="{00000000-0005-0000-0000-0000F22A0000}"/>
    <cellStyle name="Porcentual 214 3 3" xfId="9177" xr:uid="{00000000-0005-0000-0000-0000F32A0000}"/>
    <cellStyle name="Porcentual 214 4" xfId="3655" xr:uid="{00000000-0005-0000-0000-0000F42A0000}"/>
    <cellStyle name="Porcentual 214 4 2" xfId="7198" xr:uid="{00000000-0005-0000-0000-0000F52A0000}"/>
    <cellStyle name="Porcentual 214 4 3" xfId="9178" xr:uid="{00000000-0005-0000-0000-0000F62A0000}"/>
    <cellStyle name="Porcentual 214 5" xfId="3656" xr:uid="{00000000-0005-0000-0000-0000F72A0000}"/>
    <cellStyle name="Porcentual 214 5 2" xfId="7199" xr:uid="{00000000-0005-0000-0000-0000F82A0000}"/>
    <cellStyle name="Porcentual 214 5 3" xfId="9179" xr:uid="{00000000-0005-0000-0000-0000F92A0000}"/>
    <cellStyle name="Porcentual 214 6" xfId="3657" xr:uid="{00000000-0005-0000-0000-0000FA2A0000}"/>
    <cellStyle name="Porcentual 214 6 2" xfId="7200" xr:uid="{00000000-0005-0000-0000-0000FB2A0000}"/>
    <cellStyle name="Porcentual 214 6 3" xfId="9180" xr:uid="{00000000-0005-0000-0000-0000FC2A0000}"/>
    <cellStyle name="Porcentual 214 7" xfId="3658" xr:uid="{00000000-0005-0000-0000-0000FD2A0000}"/>
    <cellStyle name="Porcentual 214 7 2" xfId="7201" xr:uid="{00000000-0005-0000-0000-0000FE2A0000}"/>
    <cellStyle name="Porcentual 214 7 3" xfId="9181" xr:uid="{00000000-0005-0000-0000-0000FF2A0000}"/>
    <cellStyle name="Porcentual 214 8" xfId="3659" xr:uid="{00000000-0005-0000-0000-0000002B0000}"/>
    <cellStyle name="Porcentual 214 8 2" xfId="7202" xr:uid="{00000000-0005-0000-0000-0000012B0000}"/>
    <cellStyle name="Porcentual 214 8 3" xfId="9182" xr:uid="{00000000-0005-0000-0000-0000022B0000}"/>
    <cellStyle name="Porcentual 214 9" xfId="3660" xr:uid="{00000000-0005-0000-0000-0000032B0000}"/>
    <cellStyle name="Porcentual 214 9 2" xfId="7203" xr:uid="{00000000-0005-0000-0000-0000042B0000}"/>
    <cellStyle name="Porcentual 214 9 3" xfId="9183" xr:uid="{00000000-0005-0000-0000-0000052B0000}"/>
    <cellStyle name="Porcentual 215 10" xfId="3661" xr:uid="{00000000-0005-0000-0000-0000062B0000}"/>
    <cellStyle name="Porcentual 215 10 2" xfId="7204" xr:uid="{00000000-0005-0000-0000-0000072B0000}"/>
    <cellStyle name="Porcentual 215 10 3" xfId="9184" xr:uid="{00000000-0005-0000-0000-0000082B0000}"/>
    <cellStyle name="Porcentual 215 11" xfId="3662" xr:uid="{00000000-0005-0000-0000-0000092B0000}"/>
    <cellStyle name="Porcentual 215 11 2" xfId="7205" xr:uid="{00000000-0005-0000-0000-00000A2B0000}"/>
    <cellStyle name="Porcentual 215 11 3" xfId="9185" xr:uid="{00000000-0005-0000-0000-00000B2B0000}"/>
    <cellStyle name="Porcentual 215 12" xfId="3663" xr:uid="{00000000-0005-0000-0000-00000C2B0000}"/>
    <cellStyle name="Porcentual 215 12 2" xfId="7206" xr:uid="{00000000-0005-0000-0000-00000D2B0000}"/>
    <cellStyle name="Porcentual 215 12 3" xfId="9186" xr:uid="{00000000-0005-0000-0000-00000E2B0000}"/>
    <cellStyle name="Porcentual 215 13" xfId="3664" xr:uid="{00000000-0005-0000-0000-00000F2B0000}"/>
    <cellStyle name="Porcentual 215 13 2" xfId="7207" xr:uid="{00000000-0005-0000-0000-0000102B0000}"/>
    <cellStyle name="Porcentual 215 13 3" xfId="9187" xr:uid="{00000000-0005-0000-0000-0000112B0000}"/>
    <cellStyle name="Porcentual 215 14" xfId="3665" xr:uid="{00000000-0005-0000-0000-0000122B0000}"/>
    <cellStyle name="Porcentual 215 14 2" xfId="7208" xr:uid="{00000000-0005-0000-0000-0000132B0000}"/>
    <cellStyle name="Porcentual 215 14 3" xfId="9188" xr:uid="{00000000-0005-0000-0000-0000142B0000}"/>
    <cellStyle name="Porcentual 215 15" xfId="3666" xr:uid="{00000000-0005-0000-0000-0000152B0000}"/>
    <cellStyle name="Porcentual 215 15 2" xfId="7209" xr:uid="{00000000-0005-0000-0000-0000162B0000}"/>
    <cellStyle name="Porcentual 215 15 3" xfId="9189" xr:uid="{00000000-0005-0000-0000-0000172B0000}"/>
    <cellStyle name="Porcentual 215 16" xfId="3667" xr:uid="{00000000-0005-0000-0000-0000182B0000}"/>
    <cellStyle name="Porcentual 215 16 2" xfId="7210" xr:uid="{00000000-0005-0000-0000-0000192B0000}"/>
    <cellStyle name="Porcentual 215 16 3" xfId="9190" xr:uid="{00000000-0005-0000-0000-00001A2B0000}"/>
    <cellStyle name="Porcentual 215 17" xfId="3668" xr:uid="{00000000-0005-0000-0000-00001B2B0000}"/>
    <cellStyle name="Porcentual 215 17 2" xfId="7211" xr:uid="{00000000-0005-0000-0000-00001C2B0000}"/>
    <cellStyle name="Porcentual 215 17 3" xfId="9191" xr:uid="{00000000-0005-0000-0000-00001D2B0000}"/>
    <cellStyle name="Porcentual 215 18" xfId="3669" xr:uid="{00000000-0005-0000-0000-00001E2B0000}"/>
    <cellStyle name="Porcentual 215 18 2" xfId="7212" xr:uid="{00000000-0005-0000-0000-00001F2B0000}"/>
    <cellStyle name="Porcentual 215 18 3" xfId="9192" xr:uid="{00000000-0005-0000-0000-0000202B0000}"/>
    <cellStyle name="Porcentual 215 19" xfId="3670" xr:uid="{00000000-0005-0000-0000-0000212B0000}"/>
    <cellStyle name="Porcentual 215 19 2" xfId="7213" xr:uid="{00000000-0005-0000-0000-0000222B0000}"/>
    <cellStyle name="Porcentual 215 19 3" xfId="9193" xr:uid="{00000000-0005-0000-0000-0000232B0000}"/>
    <cellStyle name="Porcentual 215 2" xfId="3671" xr:uid="{00000000-0005-0000-0000-0000242B0000}"/>
    <cellStyle name="Porcentual 215 2 2" xfId="7214" xr:uid="{00000000-0005-0000-0000-0000252B0000}"/>
    <cellStyle name="Porcentual 215 2 3" xfId="9194" xr:uid="{00000000-0005-0000-0000-0000262B0000}"/>
    <cellStyle name="Porcentual 215 20" xfId="3672" xr:uid="{00000000-0005-0000-0000-0000272B0000}"/>
    <cellStyle name="Porcentual 215 20 2" xfId="7215" xr:uid="{00000000-0005-0000-0000-0000282B0000}"/>
    <cellStyle name="Porcentual 215 20 3" xfId="9195" xr:uid="{00000000-0005-0000-0000-0000292B0000}"/>
    <cellStyle name="Porcentual 215 21" xfId="3673" xr:uid="{00000000-0005-0000-0000-00002A2B0000}"/>
    <cellStyle name="Porcentual 215 21 2" xfId="7216" xr:uid="{00000000-0005-0000-0000-00002B2B0000}"/>
    <cellStyle name="Porcentual 215 21 3" xfId="9196" xr:uid="{00000000-0005-0000-0000-00002C2B0000}"/>
    <cellStyle name="Porcentual 215 22" xfId="3674" xr:uid="{00000000-0005-0000-0000-00002D2B0000}"/>
    <cellStyle name="Porcentual 215 22 2" xfId="7217" xr:uid="{00000000-0005-0000-0000-00002E2B0000}"/>
    <cellStyle name="Porcentual 215 22 3" xfId="9197" xr:uid="{00000000-0005-0000-0000-00002F2B0000}"/>
    <cellStyle name="Porcentual 215 23" xfId="3675" xr:uid="{00000000-0005-0000-0000-0000302B0000}"/>
    <cellStyle name="Porcentual 215 23 2" xfId="7218" xr:uid="{00000000-0005-0000-0000-0000312B0000}"/>
    <cellStyle name="Porcentual 215 23 3" xfId="9198" xr:uid="{00000000-0005-0000-0000-0000322B0000}"/>
    <cellStyle name="Porcentual 215 24" xfId="3676" xr:uid="{00000000-0005-0000-0000-0000332B0000}"/>
    <cellStyle name="Porcentual 215 24 2" xfId="7219" xr:uid="{00000000-0005-0000-0000-0000342B0000}"/>
    <cellStyle name="Porcentual 215 24 3" xfId="9199" xr:uid="{00000000-0005-0000-0000-0000352B0000}"/>
    <cellStyle name="Porcentual 215 25" xfId="3677" xr:uid="{00000000-0005-0000-0000-0000362B0000}"/>
    <cellStyle name="Porcentual 215 25 2" xfId="7220" xr:uid="{00000000-0005-0000-0000-0000372B0000}"/>
    <cellStyle name="Porcentual 215 25 3" xfId="9200" xr:uid="{00000000-0005-0000-0000-0000382B0000}"/>
    <cellStyle name="Porcentual 215 26" xfId="3678" xr:uid="{00000000-0005-0000-0000-0000392B0000}"/>
    <cellStyle name="Porcentual 215 26 2" xfId="7221" xr:uid="{00000000-0005-0000-0000-00003A2B0000}"/>
    <cellStyle name="Porcentual 215 26 3" xfId="9201" xr:uid="{00000000-0005-0000-0000-00003B2B0000}"/>
    <cellStyle name="Porcentual 215 27" xfId="3679" xr:uid="{00000000-0005-0000-0000-00003C2B0000}"/>
    <cellStyle name="Porcentual 215 27 2" xfId="7222" xr:uid="{00000000-0005-0000-0000-00003D2B0000}"/>
    <cellStyle name="Porcentual 215 27 3" xfId="9202" xr:uid="{00000000-0005-0000-0000-00003E2B0000}"/>
    <cellStyle name="Porcentual 215 28" xfId="3680" xr:uid="{00000000-0005-0000-0000-00003F2B0000}"/>
    <cellStyle name="Porcentual 215 28 2" xfId="7223" xr:uid="{00000000-0005-0000-0000-0000402B0000}"/>
    <cellStyle name="Porcentual 215 28 3" xfId="9203" xr:uid="{00000000-0005-0000-0000-0000412B0000}"/>
    <cellStyle name="Porcentual 215 3" xfId="3681" xr:uid="{00000000-0005-0000-0000-0000422B0000}"/>
    <cellStyle name="Porcentual 215 3 2" xfId="7224" xr:uid="{00000000-0005-0000-0000-0000432B0000}"/>
    <cellStyle name="Porcentual 215 3 3" xfId="9204" xr:uid="{00000000-0005-0000-0000-0000442B0000}"/>
    <cellStyle name="Porcentual 215 4" xfId="3682" xr:uid="{00000000-0005-0000-0000-0000452B0000}"/>
    <cellStyle name="Porcentual 215 4 2" xfId="7225" xr:uid="{00000000-0005-0000-0000-0000462B0000}"/>
    <cellStyle name="Porcentual 215 4 3" xfId="9205" xr:uid="{00000000-0005-0000-0000-0000472B0000}"/>
    <cellStyle name="Porcentual 215 5" xfId="3683" xr:uid="{00000000-0005-0000-0000-0000482B0000}"/>
    <cellStyle name="Porcentual 215 5 2" xfId="7226" xr:uid="{00000000-0005-0000-0000-0000492B0000}"/>
    <cellStyle name="Porcentual 215 5 3" xfId="9206" xr:uid="{00000000-0005-0000-0000-00004A2B0000}"/>
    <cellStyle name="Porcentual 215 6" xfId="3684" xr:uid="{00000000-0005-0000-0000-00004B2B0000}"/>
    <cellStyle name="Porcentual 215 6 2" xfId="7227" xr:uid="{00000000-0005-0000-0000-00004C2B0000}"/>
    <cellStyle name="Porcentual 215 6 3" xfId="9207" xr:uid="{00000000-0005-0000-0000-00004D2B0000}"/>
    <cellStyle name="Porcentual 215 7" xfId="3685" xr:uid="{00000000-0005-0000-0000-00004E2B0000}"/>
    <cellStyle name="Porcentual 215 7 2" xfId="7228" xr:uid="{00000000-0005-0000-0000-00004F2B0000}"/>
    <cellStyle name="Porcentual 215 7 3" xfId="9208" xr:uid="{00000000-0005-0000-0000-0000502B0000}"/>
    <cellStyle name="Porcentual 215 8" xfId="3686" xr:uid="{00000000-0005-0000-0000-0000512B0000}"/>
    <cellStyle name="Porcentual 215 8 2" xfId="7229" xr:uid="{00000000-0005-0000-0000-0000522B0000}"/>
    <cellStyle name="Porcentual 215 8 3" xfId="9209" xr:uid="{00000000-0005-0000-0000-0000532B0000}"/>
    <cellStyle name="Porcentual 215 9" xfId="3687" xr:uid="{00000000-0005-0000-0000-0000542B0000}"/>
    <cellStyle name="Porcentual 215 9 2" xfId="7230" xr:uid="{00000000-0005-0000-0000-0000552B0000}"/>
    <cellStyle name="Porcentual 215 9 3" xfId="9210" xr:uid="{00000000-0005-0000-0000-0000562B0000}"/>
    <cellStyle name="Porcentual 216 10" xfId="3688" xr:uid="{00000000-0005-0000-0000-0000572B0000}"/>
    <cellStyle name="Porcentual 216 10 2" xfId="7231" xr:uid="{00000000-0005-0000-0000-0000582B0000}"/>
    <cellStyle name="Porcentual 216 10 3" xfId="9211" xr:uid="{00000000-0005-0000-0000-0000592B0000}"/>
    <cellStyle name="Porcentual 216 11" xfId="3689" xr:uid="{00000000-0005-0000-0000-00005A2B0000}"/>
    <cellStyle name="Porcentual 216 11 2" xfId="7232" xr:uid="{00000000-0005-0000-0000-00005B2B0000}"/>
    <cellStyle name="Porcentual 216 11 3" xfId="9212" xr:uid="{00000000-0005-0000-0000-00005C2B0000}"/>
    <cellStyle name="Porcentual 216 12" xfId="3690" xr:uid="{00000000-0005-0000-0000-00005D2B0000}"/>
    <cellStyle name="Porcentual 216 12 2" xfId="7233" xr:uid="{00000000-0005-0000-0000-00005E2B0000}"/>
    <cellStyle name="Porcentual 216 12 3" xfId="9213" xr:uid="{00000000-0005-0000-0000-00005F2B0000}"/>
    <cellStyle name="Porcentual 216 13" xfId="3691" xr:uid="{00000000-0005-0000-0000-0000602B0000}"/>
    <cellStyle name="Porcentual 216 13 2" xfId="7234" xr:uid="{00000000-0005-0000-0000-0000612B0000}"/>
    <cellStyle name="Porcentual 216 13 3" xfId="9214" xr:uid="{00000000-0005-0000-0000-0000622B0000}"/>
    <cellStyle name="Porcentual 216 14" xfId="3692" xr:uid="{00000000-0005-0000-0000-0000632B0000}"/>
    <cellStyle name="Porcentual 216 14 2" xfId="7235" xr:uid="{00000000-0005-0000-0000-0000642B0000}"/>
    <cellStyle name="Porcentual 216 14 3" xfId="9215" xr:uid="{00000000-0005-0000-0000-0000652B0000}"/>
    <cellStyle name="Porcentual 216 15" xfId="3693" xr:uid="{00000000-0005-0000-0000-0000662B0000}"/>
    <cellStyle name="Porcentual 216 15 2" xfId="7236" xr:uid="{00000000-0005-0000-0000-0000672B0000}"/>
    <cellStyle name="Porcentual 216 15 3" xfId="9216" xr:uid="{00000000-0005-0000-0000-0000682B0000}"/>
    <cellStyle name="Porcentual 216 16" xfId="3694" xr:uid="{00000000-0005-0000-0000-0000692B0000}"/>
    <cellStyle name="Porcentual 216 16 2" xfId="7237" xr:uid="{00000000-0005-0000-0000-00006A2B0000}"/>
    <cellStyle name="Porcentual 216 16 3" xfId="9217" xr:uid="{00000000-0005-0000-0000-00006B2B0000}"/>
    <cellStyle name="Porcentual 216 17" xfId="3695" xr:uid="{00000000-0005-0000-0000-00006C2B0000}"/>
    <cellStyle name="Porcentual 216 17 2" xfId="7238" xr:uid="{00000000-0005-0000-0000-00006D2B0000}"/>
    <cellStyle name="Porcentual 216 17 3" xfId="9218" xr:uid="{00000000-0005-0000-0000-00006E2B0000}"/>
    <cellStyle name="Porcentual 216 18" xfId="3696" xr:uid="{00000000-0005-0000-0000-00006F2B0000}"/>
    <cellStyle name="Porcentual 216 18 2" xfId="7239" xr:uid="{00000000-0005-0000-0000-0000702B0000}"/>
    <cellStyle name="Porcentual 216 18 3" xfId="9219" xr:uid="{00000000-0005-0000-0000-0000712B0000}"/>
    <cellStyle name="Porcentual 216 19" xfId="3697" xr:uid="{00000000-0005-0000-0000-0000722B0000}"/>
    <cellStyle name="Porcentual 216 19 2" xfId="7240" xr:uid="{00000000-0005-0000-0000-0000732B0000}"/>
    <cellStyle name="Porcentual 216 19 3" xfId="9220" xr:uid="{00000000-0005-0000-0000-0000742B0000}"/>
    <cellStyle name="Porcentual 216 2" xfId="3698" xr:uid="{00000000-0005-0000-0000-0000752B0000}"/>
    <cellStyle name="Porcentual 216 2 2" xfId="7241" xr:uid="{00000000-0005-0000-0000-0000762B0000}"/>
    <cellStyle name="Porcentual 216 2 3" xfId="9221" xr:uid="{00000000-0005-0000-0000-0000772B0000}"/>
    <cellStyle name="Porcentual 216 20" xfId="3699" xr:uid="{00000000-0005-0000-0000-0000782B0000}"/>
    <cellStyle name="Porcentual 216 20 2" xfId="7242" xr:uid="{00000000-0005-0000-0000-0000792B0000}"/>
    <cellStyle name="Porcentual 216 20 3" xfId="9222" xr:uid="{00000000-0005-0000-0000-00007A2B0000}"/>
    <cellStyle name="Porcentual 216 21" xfId="3700" xr:uid="{00000000-0005-0000-0000-00007B2B0000}"/>
    <cellStyle name="Porcentual 216 21 2" xfId="7243" xr:uid="{00000000-0005-0000-0000-00007C2B0000}"/>
    <cellStyle name="Porcentual 216 21 3" xfId="9223" xr:uid="{00000000-0005-0000-0000-00007D2B0000}"/>
    <cellStyle name="Porcentual 216 22" xfId="3701" xr:uid="{00000000-0005-0000-0000-00007E2B0000}"/>
    <cellStyle name="Porcentual 216 22 2" xfId="7244" xr:uid="{00000000-0005-0000-0000-00007F2B0000}"/>
    <cellStyle name="Porcentual 216 22 3" xfId="9224" xr:uid="{00000000-0005-0000-0000-0000802B0000}"/>
    <cellStyle name="Porcentual 216 23" xfId="3702" xr:uid="{00000000-0005-0000-0000-0000812B0000}"/>
    <cellStyle name="Porcentual 216 23 2" xfId="7245" xr:uid="{00000000-0005-0000-0000-0000822B0000}"/>
    <cellStyle name="Porcentual 216 23 3" xfId="9225" xr:uid="{00000000-0005-0000-0000-0000832B0000}"/>
    <cellStyle name="Porcentual 216 24" xfId="3703" xr:uid="{00000000-0005-0000-0000-0000842B0000}"/>
    <cellStyle name="Porcentual 216 24 2" xfId="7246" xr:uid="{00000000-0005-0000-0000-0000852B0000}"/>
    <cellStyle name="Porcentual 216 24 3" xfId="9226" xr:uid="{00000000-0005-0000-0000-0000862B0000}"/>
    <cellStyle name="Porcentual 216 25" xfId="3704" xr:uid="{00000000-0005-0000-0000-0000872B0000}"/>
    <cellStyle name="Porcentual 216 25 2" xfId="7247" xr:uid="{00000000-0005-0000-0000-0000882B0000}"/>
    <cellStyle name="Porcentual 216 25 3" xfId="9227" xr:uid="{00000000-0005-0000-0000-0000892B0000}"/>
    <cellStyle name="Porcentual 216 26" xfId="3705" xr:uid="{00000000-0005-0000-0000-00008A2B0000}"/>
    <cellStyle name="Porcentual 216 26 2" xfId="7248" xr:uid="{00000000-0005-0000-0000-00008B2B0000}"/>
    <cellStyle name="Porcentual 216 26 3" xfId="9228" xr:uid="{00000000-0005-0000-0000-00008C2B0000}"/>
    <cellStyle name="Porcentual 216 27" xfId="3706" xr:uid="{00000000-0005-0000-0000-00008D2B0000}"/>
    <cellStyle name="Porcentual 216 27 2" xfId="7249" xr:uid="{00000000-0005-0000-0000-00008E2B0000}"/>
    <cellStyle name="Porcentual 216 27 3" xfId="9229" xr:uid="{00000000-0005-0000-0000-00008F2B0000}"/>
    <cellStyle name="Porcentual 216 28" xfId="3707" xr:uid="{00000000-0005-0000-0000-0000902B0000}"/>
    <cellStyle name="Porcentual 216 28 2" xfId="7250" xr:uid="{00000000-0005-0000-0000-0000912B0000}"/>
    <cellStyle name="Porcentual 216 28 3" xfId="9230" xr:uid="{00000000-0005-0000-0000-0000922B0000}"/>
    <cellStyle name="Porcentual 216 3" xfId="3708" xr:uid="{00000000-0005-0000-0000-0000932B0000}"/>
    <cellStyle name="Porcentual 216 3 2" xfId="7251" xr:uid="{00000000-0005-0000-0000-0000942B0000}"/>
    <cellStyle name="Porcentual 216 3 3" xfId="9231" xr:uid="{00000000-0005-0000-0000-0000952B0000}"/>
    <cellStyle name="Porcentual 216 4" xfId="3709" xr:uid="{00000000-0005-0000-0000-0000962B0000}"/>
    <cellStyle name="Porcentual 216 4 2" xfId="7252" xr:uid="{00000000-0005-0000-0000-0000972B0000}"/>
    <cellStyle name="Porcentual 216 4 3" xfId="9232" xr:uid="{00000000-0005-0000-0000-0000982B0000}"/>
    <cellStyle name="Porcentual 216 5" xfId="3710" xr:uid="{00000000-0005-0000-0000-0000992B0000}"/>
    <cellStyle name="Porcentual 216 5 2" xfId="7253" xr:uid="{00000000-0005-0000-0000-00009A2B0000}"/>
    <cellStyle name="Porcentual 216 5 3" xfId="9233" xr:uid="{00000000-0005-0000-0000-00009B2B0000}"/>
    <cellStyle name="Porcentual 216 6" xfId="3711" xr:uid="{00000000-0005-0000-0000-00009C2B0000}"/>
    <cellStyle name="Porcentual 216 6 2" xfId="7254" xr:uid="{00000000-0005-0000-0000-00009D2B0000}"/>
    <cellStyle name="Porcentual 216 6 3" xfId="9234" xr:uid="{00000000-0005-0000-0000-00009E2B0000}"/>
    <cellStyle name="Porcentual 216 7" xfId="3712" xr:uid="{00000000-0005-0000-0000-00009F2B0000}"/>
    <cellStyle name="Porcentual 216 7 2" xfId="7255" xr:uid="{00000000-0005-0000-0000-0000A02B0000}"/>
    <cellStyle name="Porcentual 216 7 3" xfId="9235" xr:uid="{00000000-0005-0000-0000-0000A12B0000}"/>
    <cellStyle name="Porcentual 216 8" xfId="3713" xr:uid="{00000000-0005-0000-0000-0000A22B0000}"/>
    <cellStyle name="Porcentual 216 8 2" xfId="7256" xr:uid="{00000000-0005-0000-0000-0000A32B0000}"/>
    <cellStyle name="Porcentual 216 8 3" xfId="9236" xr:uid="{00000000-0005-0000-0000-0000A42B0000}"/>
    <cellStyle name="Porcentual 216 9" xfId="3714" xr:uid="{00000000-0005-0000-0000-0000A52B0000}"/>
    <cellStyle name="Porcentual 216 9 2" xfId="7257" xr:uid="{00000000-0005-0000-0000-0000A62B0000}"/>
    <cellStyle name="Porcentual 216 9 3" xfId="9237" xr:uid="{00000000-0005-0000-0000-0000A72B0000}"/>
    <cellStyle name="Porcentual 217 10" xfId="3715" xr:uid="{00000000-0005-0000-0000-0000A82B0000}"/>
    <cellStyle name="Porcentual 217 10 2" xfId="7258" xr:uid="{00000000-0005-0000-0000-0000A92B0000}"/>
    <cellStyle name="Porcentual 217 10 3" xfId="9238" xr:uid="{00000000-0005-0000-0000-0000AA2B0000}"/>
    <cellStyle name="Porcentual 217 11" xfId="3716" xr:uid="{00000000-0005-0000-0000-0000AB2B0000}"/>
    <cellStyle name="Porcentual 217 11 2" xfId="7259" xr:uid="{00000000-0005-0000-0000-0000AC2B0000}"/>
    <cellStyle name="Porcentual 217 11 3" xfId="9239" xr:uid="{00000000-0005-0000-0000-0000AD2B0000}"/>
    <cellStyle name="Porcentual 217 12" xfId="3717" xr:uid="{00000000-0005-0000-0000-0000AE2B0000}"/>
    <cellStyle name="Porcentual 217 12 2" xfId="7260" xr:uid="{00000000-0005-0000-0000-0000AF2B0000}"/>
    <cellStyle name="Porcentual 217 12 3" xfId="9240" xr:uid="{00000000-0005-0000-0000-0000B02B0000}"/>
    <cellStyle name="Porcentual 217 13" xfId="3718" xr:uid="{00000000-0005-0000-0000-0000B12B0000}"/>
    <cellStyle name="Porcentual 217 13 2" xfId="7261" xr:uid="{00000000-0005-0000-0000-0000B22B0000}"/>
    <cellStyle name="Porcentual 217 13 3" xfId="9241" xr:uid="{00000000-0005-0000-0000-0000B32B0000}"/>
    <cellStyle name="Porcentual 217 14" xfId="3719" xr:uid="{00000000-0005-0000-0000-0000B42B0000}"/>
    <cellStyle name="Porcentual 217 14 2" xfId="7262" xr:uid="{00000000-0005-0000-0000-0000B52B0000}"/>
    <cellStyle name="Porcentual 217 14 3" xfId="9242" xr:uid="{00000000-0005-0000-0000-0000B62B0000}"/>
    <cellStyle name="Porcentual 217 15" xfId="3720" xr:uid="{00000000-0005-0000-0000-0000B72B0000}"/>
    <cellStyle name="Porcentual 217 15 2" xfId="7263" xr:uid="{00000000-0005-0000-0000-0000B82B0000}"/>
    <cellStyle name="Porcentual 217 15 3" xfId="9243" xr:uid="{00000000-0005-0000-0000-0000B92B0000}"/>
    <cellStyle name="Porcentual 217 16" xfId="3721" xr:uid="{00000000-0005-0000-0000-0000BA2B0000}"/>
    <cellStyle name="Porcentual 217 16 2" xfId="7264" xr:uid="{00000000-0005-0000-0000-0000BB2B0000}"/>
    <cellStyle name="Porcentual 217 16 3" xfId="9244" xr:uid="{00000000-0005-0000-0000-0000BC2B0000}"/>
    <cellStyle name="Porcentual 217 17" xfId="3722" xr:uid="{00000000-0005-0000-0000-0000BD2B0000}"/>
    <cellStyle name="Porcentual 217 17 2" xfId="7265" xr:uid="{00000000-0005-0000-0000-0000BE2B0000}"/>
    <cellStyle name="Porcentual 217 17 3" xfId="9245" xr:uid="{00000000-0005-0000-0000-0000BF2B0000}"/>
    <cellStyle name="Porcentual 217 18" xfId="3723" xr:uid="{00000000-0005-0000-0000-0000C02B0000}"/>
    <cellStyle name="Porcentual 217 18 2" xfId="7266" xr:uid="{00000000-0005-0000-0000-0000C12B0000}"/>
    <cellStyle name="Porcentual 217 18 3" xfId="9246" xr:uid="{00000000-0005-0000-0000-0000C22B0000}"/>
    <cellStyle name="Porcentual 217 19" xfId="3724" xr:uid="{00000000-0005-0000-0000-0000C32B0000}"/>
    <cellStyle name="Porcentual 217 19 2" xfId="7267" xr:uid="{00000000-0005-0000-0000-0000C42B0000}"/>
    <cellStyle name="Porcentual 217 19 3" xfId="9247" xr:uid="{00000000-0005-0000-0000-0000C52B0000}"/>
    <cellStyle name="Porcentual 217 2" xfId="3725" xr:uid="{00000000-0005-0000-0000-0000C62B0000}"/>
    <cellStyle name="Porcentual 217 2 2" xfId="7268" xr:uid="{00000000-0005-0000-0000-0000C72B0000}"/>
    <cellStyle name="Porcentual 217 2 3" xfId="9248" xr:uid="{00000000-0005-0000-0000-0000C82B0000}"/>
    <cellStyle name="Porcentual 217 20" xfId="3726" xr:uid="{00000000-0005-0000-0000-0000C92B0000}"/>
    <cellStyle name="Porcentual 217 20 2" xfId="7269" xr:uid="{00000000-0005-0000-0000-0000CA2B0000}"/>
    <cellStyle name="Porcentual 217 20 3" xfId="9249" xr:uid="{00000000-0005-0000-0000-0000CB2B0000}"/>
    <cellStyle name="Porcentual 217 21" xfId="3727" xr:uid="{00000000-0005-0000-0000-0000CC2B0000}"/>
    <cellStyle name="Porcentual 217 21 2" xfId="7270" xr:uid="{00000000-0005-0000-0000-0000CD2B0000}"/>
    <cellStyle name="Porcentual 217 21 3" xfId="9250" xr:uid="{00000000-0005-0000-0000-0000CE2B0000}"/>
    <cellStyle name="Porcentual 217 22" xfId="3728" xr:uid="{00000000-0005-0000-0000-0000CF2B0000}"/>
    <cellStyle name="Porcentual 217 22 2" xfId="7271" xr:uid="{00000000-0005-0000-0000-0000D02B0000}"/>
    <cellStyle name="Porcentual 217 22 3" xfId="9251" xr:uid="{00000000-0005-0000-0000-0000D12B0000}"/>
    <cellStyle name="Porcentual 217 23" xfId="3729" xr:uid="{00000000-0005-0000-0000-0000D22B0000}"/>
    <cellStyle name="Porcentual 217 23 2" xfId="7272" xr:uid="{00000000-0005-0000-0000-0000D32B0000}"/>
    <cellStyle name="Porcentual 217 23 3" xfId="9252" xr:uid="{00000000-0005-0000-0000-0000D42B0000}"/>
    <cellStyle name="Porcentual 217 24" xfId="3730" xr:uid="{00000000-0005-0000-0000-0000D52B0000}"/>
    <cellStyle name="Porcentual 217 24 2" xfId="7273" xr:uid="{00000000-0005-0000-0000-0000D62B0000}"/>
    <cellStyle name="Porcentual 217 24 3" xfId="9253" xr:uid="{00000000-0005-0000-0000-0000D72B0000}"/>
    <cellStyle name="Porcentual 217 25" xfId="3731" xr:uid="{00000000-0005-0000-0000-0000D82B0000}"/>
    <cellStyle name="Porcentual 217 25 2" xfId="7274" xr:uid="{00000000-0005-0000-0000-0000D92B0000}"/>
    <cellStyle name="Porcentual 217 25 3" xfId="9254" xr:uid="{00000000-0005-0000-0000-0000DA2B0000}"/>
    <cellStyle name="Porcentual 217 26" xfId="3732" xr:uid="{00000000-0005-0000-0000-0000DB2B0000}"/>
    <cellStyle name="Porcentual 217 26 2" xfId="7275" xr:uid="{00000000-0005-0000-0000-0000DC2B0000}"/>
    <cellStyle name="Porcentual 217 26 3" xfId="9255" xr:uid="{00000000-0005-0000-0000-0000DD2B0000}"/>
    <cellStyle name="Porcentual 217 27" xfId="3733" xr:uid="{00000000-0005-0000-0000-0000DE2B0000}"/>
    <cellStyle name="Porcentual 217 27 2" xfId="7276" xr:uid="{00000000-0005-0000-0000-0000DF2B0000}"/>
    <cellStyle name="Porcentual 217 27 3" xfId="9256" xr:uid="{00000000-0005-0000-0000-0000E02B0000}"/>
    <cellStyle name="Porcentual 217 28" xfId="3734" xr:uid="{00000000-0005-0000-0000-0000E12B0000}"/>
    <cellStyle name="Porcentual 217 28 2" xfId="7277" xr:uid="{00000000-0005-0000-0000-0000E22B0000}"/>
    <cellStyle name="Porcentual 217 28 3" xfId="9257" xr:uid="{00000000-0005-0000-0000-0000E32B0000}"/>
    <cellStyle name="Porcentual 217 3" xfId="3735" xr:uid="{00000000-0005-0000-0000-0000E42B0000}"/>
    <cellStyle name="Porcentual 217 3 2" xfId="7278" xr:uid="{00000000-0005-0000-0000-0000E52B0000}"/>
    <cellStyle name="Porcentual 217 3 3" xfId="9258" xr:uid="{00000000-0005-0000-0000-0000E62B0000}"/>
    <cellStyle name="Porcentual 217 4" xfId="3736" xr:uid="{00000000-0005-0000-0000-0000E72B0000}"/>
    <cellStyle name="Porcentual 217 4 2" xfId="7279" xr:uid="{00000000-0005-0000-0000-0000E82B0000}"/>
    <cellStyle name="Porcentual 217 4 3" xfId="9259" xr:uid="{00000000-0005-0000-0000-0000E92B0000}"/>
    <cellStyle name="Porcentual 217 5" xfId="3737" xr:uid="{00000000-0005-0000-0000-0000EA2B0000}"/>
    <cellStyle name="Porcentual 217 5 2" xfId="7280" xr:uid="{00000000-0005-0000-0000-0000EB2B0000}"/>
    <cellStyle name="Porcentual 217 5 3" xfId="9260" xr:uid="{00000000-0005-0000-0000-0000EC2B0000}"/>
    <cellStyle name="Porcentual 217 6" xfId="3738" xr:uid="{00000000-0005-0000-0000-0000ED2B0000}"/>
    <cellStyle name="Porcentual 217 6 2" xfId="7281" xr:uid="{00000000-0005-0000-0000-0000EE2B0000}"/>
    <cellStyle name="Porcentual 217 6 3" xfId="9261" xr:uid="{00000000-0005-0000-0000-0000EF2B0000}"/>
    <cellStyle name="Porcentual 217 7" xfId="3739" xr:uid="{00000000-0005-0000-0000-0000F02B0000}"/>
    <cellStyle name="Porcentual 217 7 2" xfId="7282" xr:uid="{00000000-0005-0000-0000-0000F12B0000}"/>
    <cellStyle name="Porcentual 217 7 3" xfId="9262" xr:uid="{00000000-0005-0000-0000-0000F22B0000}"/>
    <cellStyle name="Porcentual 217 8" xfId="3740" xr:uid="{00000000-0005-0000-0000-0000F32B0000}"/>
    <cellStyle name="Porcentual 217 8 2" xfId="7283" xr:uid="{00000000-0005-0000-0000-0000F42B0000}"/>
    <cellStyle name="Porcentual 217 8 3" xfId="9263" xr:uid="{00000000-0005-0000-0000-0000F52B0000}"/>
    <cellStyle name="Porcentual 217 9" xfId="3741" xr:uid="{00000000-0005-0000-0000-0000F62B0000}"/>
    <cellStyle name="Porcentual 217 9 2" xfId="7284" xr:uid="{00000000-0005-0000-0000-0000F72B0000}"/>
    <cellStyle name="Porcentual 217 9 3" xfId="9264" xr:uid="{00000000-0005-0000-0000-0000F82B0000}"/>
    <cellStyle name="Porcentual 219 10" xfId="3742" xr:uid="{00000000-0005-0000-0000-0000F92B0000}"/>
    <cellStyle name="Porcentual 219 10 2" xfId="7285" xr:uid="{00000000-0005-0000-0000-0000FA2B0000}"/>
    <cellStyle name="Porcentual 219 10 3" xfId="9265" xr:uid="{00000000-0005-0000-0000-0000FB2B0000}"/>
    <cellStyle name="Porcentual 219 11" xfId="3743" xr:uid="{00000000-0005-0000-0000-0000FC2B0000}"/>
    <cellStyle name="Porcentual 219 11 2" xfId="7286" xr:uid="{00000000-0005-0000-0000-0000FD2B0000}"/>
    <cellStyle name="Porcentual 219 11 3" xfId="9266" xr:uid="{00000000-0005-0000-0000-0000FE2B0000}"/>
    <cellStyle name="Porcentual 219 12" xfId="3744" xr:uid="{00000000-0005-0000-0000-0000FF2B0000}"/>
    <cellStyle name="Porcentual 219 12 2" xfId="7287" xr:uid="{00000000-0005-0000-0000-0000002C0000}"/>
    <cellStyle name="Porcentual 219 12 3" xfId="9267" xr:uid="{00000000-0005-0000-0000-0000012C0000}"/>
    <cellStyle name="Porcentual 219 13" xfId="3745" xr:uid="{00000000-0005-0000-0000-0000022C0000}"/>
    <cellStyle name="Porcentual 219 13 2" xfId="7288" xr:uid="{00000000-0005-0000-0000-0000032C0000}"/>
    <cellStyle name="Porcentual 219 13 3" xfId="9268" xr:uid="{00000000-0005-0000-0000-0000042C0000}"/>
    <cellStyle name="Porcentual 219 14" xfId="3746" xr:uid="{00000000-0005-0000-0000-0000052C0000}"/>
    <cellStyle name="Porcentual 219 14 2" xfId="7289" xr:uid="{00000000-0005-0000-0000-0000062C0000}"/>
    <cellStyle name="Porcentual 219 14 3" xfId="9269" xr:uid="{00000000-0005-0000-0000-0000072C0000}"/>
    <cellStyle name="Porcentual 219 15" xfId="3747" xr:uid="{00000000-0005-0000-0000-0000082C0000}"/>
    <cellStyle name="Porcentual 219 15 2" xfId="7290" xr:uid="{00000000-0005-0000-0000-0000092C0000}"/>
    <cellStyle name="Porcentual 219 15 3" xfId="9270" xr:uid="{00000000-0005-0000-0000-00000A2C0000}"/>
    <cellStyle name="Porcentual 219 16" xfId="3748" xr:uid="{00000000-0005-0000-0000-00000B2C0000}"/>
    <cellStyle name="Porcentual 219 16 2" xfId="7291" xr:uid="{00000000-0005-0000-0000-00000C2C0000}"/>
    <cellStyle name="Porcentual 219 16 3" xfId="9271" xr:uid="{00000000-0005-0000-0000-00000D2C0000}"/>
    <cellStyle name="Porcentual 219 17" xfId="3749" xr:uid="{00000000-0005-0000-0000-00000E2C0000}"/>
    <cellStyle name="Porcentual 219 17 2" xfId="7292" xr:uid="{00000000-0005-0000-0000-00000F2C0000}"/>
    <cellStyle name="Porcentual 219 17 3" xfId="9272" xr:uid="{00000000-0005-0000-0000-0000102C0000}"/>
    <cellStyle name="Porcentual 219 18" xfId="3750" xr:uid="{00000000-0005-0000-0000-0000112C0000}"/>
    <cellStyle name="Porcentual 219 18 2" xfId="7293" xr:uid="{00000000-0005-0000-0000-0000122C0000}"/>
    <cellStyle name="Porcentual 219 18 3" xfId="9273" xr:uid="{00000000-0005-0000-0000-0000132C0000}"/>
    <cellStyle name="Porcentual 219 19" xfId="3751" xr:uid="{00000000-0005-0000-0000-0000142C0000}"/>
    <cellStyle name="Porcentual 219 19 2" xfId="7294" xr:uid="{00000000-0005-0000-0000-0000152C0000}"/>
    <cellStyle name="Porcentual 219 19 3" xfId="9274" xr:uid="{00000000-0005-0000-0000-0000162C0000}"/>
    <cellStyle name="Porcentual 219 2" xfId="3752" xr:uid="{00000000-0005-0000-0000-0000172C0000}"/>
    <cellStyle name="Porcentual 219 2 2" xfId="7295" xr:uid="{00000000-0005-0000-0000-0000182C0000}"/>
    <cellStyle name="Porcentual 219 2 3" xfId="9275" xr:uid="{00000000-0005-0000-0000-0000192C0000}"/>
    <cellStyle name="Porcentual 219 20" xfId="3753" xr:uid="{00000000-0005-0000-0000-00001A2C0000}"/>
    <cellStyle name="Porcentual 219 20 2" xfId="7296" xr:uid="{00000000-0005-0000-0000-00001B2C0000}"/>
    <cellStyle name="Porcentual 219 20 3" xfId="9276" xr:uid="{00000000-0005-0000-0000-00001C2C0000}"/>
    <cellStyle name="Porcentual 219 21" xfId="3754" xr:uid="{00000000-0005-0000-0000-00001D2C0000}"/>
    <cellStyle name="Porcentual 219 21 2" xfId="7297" xr:uid="{00000000-0005-0000-0000-00001E2C0000}"/>
    <cellStyle name="Porcentual 219 21 3" xfId="9277" xr:uid="{00000000-0005-0000-0000-00001F2C0000}"/>
    <cellStyle name="Porcentual 219 22" xfId="3755" xr:uid="{00000000-0005-0000-0000-0000202C0000}"/>
    <cellStyle name="Porcentual 219 22 2" xfId="7298" xr:uid="{00000000-0005-0000-0000-0000212C0000}"/>
    <cellStyle name="Porcentual 219 22 3" xfId="9278" xr:uid="{00000000-0005-0000-0000-0000222C0000}"/>
    <cellStyle name="Porcentual 219 23" xfId="3756" xr:uid="{00000000-0005-0000-0000-0000232C0000}"/>
    <cellStyle name="Porcentual 219 23 2" xfId="7299" xr:uid="{00000000-0005-0000-0000-0000242C0000}"/>
    <cellStyle name="Porcentual 219 23 3" xfId="9279" xr:uid="{00000000-0005-0000-0000-0000252C0000}"/>
    <cellStyle name="Porcentual 219 24" xfId="3757" xr:uid="{00000000-0005-0000-0000-0000262C0000}"/>
    <cellStyle name="Porcentual 219 24 2" xfId="7300" xr:uid="{00000000-0005-0000-0000-0000272C0000}"/>
    <cellStyle name="Porcentual 219 24 3" xfId="9280" xr:uid="{00000000-0005-0000-0000-0000282C0000}"/>
    <cellStyle name="Porcentual 219 25" xfId="3758" xr:uid="{00000000-0005-0000-0000-0000292C0000}"/>
    <cellStyle name="Porcentual 219 25 2" xfId="7301" xr:uid="{00000000-0005-0000-0000-00002A2C0000}"/>
    <cellStyle name="Porcentual 219 25 3" xfId="9281" xr:uid="{00000000-0005-0000-0000-00002B2C0000}"/>
    <cellStyle name="Porcentual 219 26" xfId="3759" xr:uid="{00000000-0005-0000-0000-00002C2C0000}"/>
    <cellStyle name="Porcentual 219 26 2" xfId="7302" xr:uid="{00000000-0005-0000-0000-00002D2C0000}"/>
    <cellStyle name="Porcentual 219 26 3" xfId="9282" xr:uid="{00000000-0005-0000-0000-00002E2C0000}"/>
    <cellStyle name="Porcentual 219 27" xfId="3760" xr:uid="{00000000-0005-0000-0000-00002F2C0000}"/>
    <cellStyle name="Porcentual 219 27 2" xfId="7303" xr:uid="{00000000-0005-0000-0000-0000302C0000}"/>
    <cellStyle name="Porcentual 219 27 3" xfId="9283" xr:uid="{00000000-0005-0000-0000-0000312C0000}"/>
    <cellStyle name="Porcentual 219 28" xfId="3761" xr:uid="{00000000-0005-0000-0000-0000322C0000}"/>
    <cellStyle name="Porcentual 219 28 2" xfId="7304" xr:uid="{00000000-0005-0000-0000-0000332C0000}"/>
    <cellStyle name="Porcentual 219 28 3" xfId="9284" xr:uid="{00000000-0005-0000-0000-0000342C0000}"/>
    <cellStyle name="Porcentual 219 3" xfId="3762" xr:uid="{00000000-0005-0000-0000-0000352C0000}"/>
    <cellStyle name="Porcentual 219 3 2" xfId="7305" xr:uid="{00000000-0005-0000-0000-0000362C0000}"/>
    <cellStyle name="Porcentual 219 3 3" xfId="9285" xr:uid="{00000000-0005-0000-0000-0000372C0000}"/>
    <cellStyle name="Porcentual 219 4" xfId="3763" xr:uid="{00000000-0005-0000-0000-0000382C0000}"/>
    <cellStyle name="Porcentual 219 4 2" xfId="7306" xr:uid="{00000000-0005-0000-0000-0000392C0000}"/>
    <cellStyle name="Porcentual 219 4 3" xfId="9286" xr:uid="{00000000-0005-0000-0000-00003A2C0000}"/>
    <cellStyle name="Porcentual 219 5" xfId="3764" xr:uid="{00000000-0005-0000-0000-00003B2C0000}"/>
    <cellStyle name="Porcentual 219 5 2" xfId="7307" xr:uid="{00000000-0005-0000-0000-00003C2C0000}"/>
    <cellStyle name="Porcentual 219 5 3" xfId="9287" xr:uid="{00000000-0005-0000-0000-00003D2C0000}"/>
    <cellStyle name="Porcentual 219 6" xfId="3765" xr:uid="{00000000-0005-0000-0000-00003E2C0000}"/>
    <cellStyle name="Porcentual 219 6 2" xfId="7308" xr:uid="{00000000-0005-0000-0000-00003F2C0000}"/>
    <cellStyle name="Porcentual 219 6 3" xfId="9288" xr:uid="{00000000-0005-0000-0000-0000402C0000}"/>
    <cellStyle name="Porcentual 219 7" xfId="3766" xr:uid="{00000000-0005-0000-0000-0000412C0000}"/>
    <cellStyle name="Porcentual 219 7 2" xfId="7309" xr:uid="{00000000-0005-0000-0000-0000422C0000}"/>
    <cellStyle name="Porcentual 219 7 3" xfId="9289" xr:uid="{00000000-0005-0000-0000-0000432C0000}"/>
    <cellStyle name="Porcentual 219 8" xfId="3767" xr:uid="{00000000-0005-0000-0000-0000442C0000}"/>
    <cellStyle name="Porcentual 219 8 2" xfId="7310" xr:uid="{00000000-0005-0000-0000-0000452C0000}"/>
    <cellStyle name="Porcentual 219 8 3" xfId="9290" xr:uid="{00000000-0005-0000-0000-0000462C0000}"/>
    <cellStyle name="Porcentual 219 9" xfId="3768" xr:uid="{00000000-0005-0000-0000-0000472C0000}"/>
    <cellStyle name="Porcentual 219 9 2" xfId="7311" xr:uid="{00000000-0005-0000-0000-0000482C0000}"/>
    <cellStyle name="Porcentual 219 9 3" xfId="9291" xr:uid="{00000000-0005-0000-0000-0000492C0000}"/>
    <cellStyle name="Porcentual 22" xfId="3769" xr:uid="{00000000-0005-0000-0000-00004A2C0000}"/>
    <cellStyle name="Porcentual 22 10" xfId="3770" xr:uid="{00000000-0005-0000-0000-00004B2C0000}"/>
    <cellStyle name="Porcentual 22 10 2" xfId="7312" xr:uid="{00000000-0005-0000-0000-00004C2C0000}"/>
    <cellStyle name="Porcentual 22 10 3" xfId="9293" xr:uid="{00000000-0005-0000-0000-00004D2C0000}"/>
    <cellStyle name="Porcentual 22 11" xfId="3771" xr:uid="{00000000-0005-0000-0000-00004E2C0000}"/>
    <cellStyle name="Porcentual 22 11 2" xfId="7313" xr:uid="{00000000-0005-0000-0000-00004F2C0000}"/>
    <cellStyle name="Porcentual 22 11 3" xfId="9294" xr:uid="{00000000-0005-0000-0000-0000502C0000}"/>
    <cellStyle name="Porcentual 22 12" xfId="3772" xr:uid="{00000000-0005-0000-0000-0000512C0000}"/>
    <cellStyle name="Porcentual 22 12 2" xfId="7314" xr:uid="{00000000-0005-0000-0000-0000522C0000}"/>
    <cellStyle name="Porcentual 22 12 3" xfId="9295" xr:uid="{00000000-0005-0000-0000-0000532C0000}"/>
    <cellStyle name="Porcentual 22 13" xfId="3773" xr:uid="{00000000-0005-0000-0000-0000542C0000}"/>
    <cellStyle name="Porcentual 22 13 2" xfId="7315" xr:uid="{00000000-0005-0000-0000-0000552C0000}"/>
    <cellStyle name="Porcentual 22 13 3" xfId="9296" xr:uid="{00000000-0005-0000-0000-0000562C0000}"/>
    <cellStyle name="Porcentual 22 14" xfId="3774" xr:uid="{00000000-0005-0000-0000-0000572C0000}"/>
    <cellStyle name="Porcentual 22 14 2" xfId="7316" xr:uid="{00000000-0005-0000-0000-0000582C0000}"/>
    <cellStyle name="Porcentual 22 14 3" xfId="9297" xr:uid="{00000000-0005-0000-0000-0000592C0000}"/>
    <cellStyle name="Porcentual 22 15" xfId="3775" xr:uid="{00000000-0005-0000-0000-00005A2C0000}"/>
    <cellStyle name="Porcentual 22 15 2" xfId="7317" xr:uid="{00000000-0005-0000-0000-00005B2C0000}"/>
    <cellStyle name="Porcentual 22 15 3" xfId="9298" xr:uid="{00000000-0005-0000-0000-00005C2C0000}"/>
    <cellStyle name="Porcentual 22 16" xfId="3776" xr:uid="{00000000-0005-0000-0000-00005D2C0000}"/>
    <cellStyle name="Porcentual 22 16 2" xfId="7318" xr:uid="{00000000-0005-0000-0000-00005E2C0000}"/>
    <cellStyle name="Porcentual 22 16 3" xfId="9299" xr:uid="{00000000-0005-0000-0000-00005F2C0000}"/>
    <cellStyle name="Porcentual 22 17" xfId="3777" xr:uid="{00000000-0005-0000-0000-0000602C0000}"/>
    <cellStyle name="Porcentual 22 17 2" xfId="7319" xr:uid="{00000000-0005-0000-0000-0000612C0000}"/>
    <cellStyle name="Porcentual 22 17 3" xfId="9300" xr:uid="{00000000-0005-0000-0000-0000622C0000}"/>
    <cellStyle name="Porcentual 22 18" xfId="3778" xr:uid="{00000000-0005-0000-0000-0000632C0000}"/>
    <cellStyle name="Porcentual 22 18 2" xfId="7320" xr:uid="{00000000-0005-0000-0000-0000642C0000}"/>
    <cellStyle name="Porcentual 22 18 3" xfId="9301" xr:uid="{00000000-0005-0000-0000-0000652C0000}"/>
    <cellStyle name="Porcentual 22 19" xfId="3779" xr:uid="{00000000-0005-0000-0000-0000662C0000}"/>
    <cellStyle name="Porcentual 22 19 2" xfId="7321" xr:uid="{00000000-0005-0000-0000-0000672C0000}"/>
    <cellStyle name="Porcentual 22 19 3" xfId="9302" xr:uid="{00000000-0005-0000-0000-0000682C0000}"/>
    <cellStyle name="Porcentual 22 2" xfId="3780" xr:uid="{00000000-0005-0000-0000-0000692C0000}"/>
    <cellStyle name="Porcentual 22 2 2" xfId="7322" xr:uid="{00000000-0005-0000-0000-00006A2C0000}"/>
    <cellStyle name="Porcentual 22 2 3" xfId="9303" xr:uid="{00000000-0005-0000-0000-00006B2C0000}"/>
    <cellStyle name="Porcentual 22 20" xfId="3781" xr:uid="{00000000-0005-0000-0000-00006C2C0000}"/>
    <cellStyle name="Porcentual 22 20 2" xfId="7323" xr:uid="{00000000-0005-0000-0000-00006D2C0000}"/>
    <cellStyle name="Porcentual 22 20 3" xfId="9304" xr:uid="{00000000-0005-0000-0000-00006E2C0000}"/>
    <cellStyle name="Porcentual 22 21" xfId="3782" xr:uid="{00000000-0005-0000-0000-00006F2C0000}"/>
    <cellStyle name="Porcentual 22 21 2" xfId="7324" xr:uid="{00000000-0005-0000-0000-0000702C0000}"/>
    <cellStyle name="Porcentual 22 21 3" xfId="9305" xr:uid="{00000000-0005-0000-0000-0000712C0000}"/>
    <cellStyle name="Porcentual 22 22" xfId="3783" xr:uid="{00000000-0005-0000-0000-0000722C0000}"/>
    <cellStyle name="Porcentual 22 22 2" xfId="7325" xr:uid="{00000000-0005-0000-0000-0000732C0000}"/>
    <cellStyle name="Porcentual 22 22 3" xfId="9306" xr:uid="{00000000-0005-0000-0000-0000742C0000}"/>
    <cellStyle name="Porcentual 22 23" xfId="3784" xr:uid="{00000000-0005-0000-0000-0000752C0000}"/>
    <cellStyle name="Porcentual 22 23 2" xfId="7326" xr:uid="{00000000-0005-0000-0000-0000762C0000}"/>
    <cellStyle name="Porcentual 22 23 3" xfId="9307" xr:uid="{00000000-0005-0000-0000-0000772C0000}"/>
    <cellStyle name="Porcentual 22 24" xfId="3785" xr:uid="{00000000-0005-0000-0000-0000782C0000}"/>
    <cellStyle name="Porcentual 22 24 2" xfId="7327" xr:uid="{00000000-0005-0000-0000-0000792C0000}"/>
    <cellStyle name="Porcentual 22 24 3" xfId="9308" xr:uid="{00000000-0005-0000-0000-00007A2C0000}"/>
    <cellStyle name="Porcentual 22 25" xfId="3786" xr:uid="{00000000-0005-0000-0000-00007B2C0000}"/>
    <cellStyle name="Porcentual 22 25 2" xfId="7328" xr:uid="{00000000-0005-0000-0000-00007C2C0000}"/>
    <cellStyle name="Porcentual 22 25 3" xfId="9309" xr:uid="{00000000-0005-0000-0000-00007D2C0000}"/>
    <cellStyle name="Porcentual 22 26" xfId="3787" xr:uid="{00000000-0005-0000-0000-00007E2C0000}"/>
    <cellStyle name="Porcentual 22 26 2" xfId="7329" xr:uid="{00000000-0005-0000-0000-00007F2C0000}"/>
    <cellStyle name="Porcentual 22 26 3" xfId="9310" xr:uid="{00000000-0005-0000-0000-0000802C0000}"/>
    <cellStyle name="Porcentual 22 27" xfId="3788" xr:uid="{00000000-0005-0000-0000-0000812C0000}"/>
    <cellStyle name="Porcentual 22 27 2" xfId="7330" xr:uid="{00000000-0005-0000-0000-0000822C0000}"/>
    <cellStyle name="Porcentual 22 27 3" xfId="9311" xr:uid="{00000000-0005-0000-0000-0000832C0000}"/>
    <cellStyle name="Porcentual 22 28" xfId="3789" xr:uid="{00000000-0005-0000-0000-0000842C0000}"/>
    <cellStyle name="Porcentual 22 28 2" xfId="7331" xr:uid="{00000000-0005-0000-0000-0000852C0000}"/>
    <cellStyle name="Porcentual 22 28 3" xfId="9312" xr:uid="{00000000-0005-0000-0000-0000862C0000}"/>
    <cellStyle name="Porcentual 22 29" xfId="7332" xr:uid="{00000000-0005-0000-0000-0000872C0000}"/>
    <cellStyle name="Porcentual 22 3" xfId="3790" xr:uid="{00000000-0005-0000-0000-0000882C0000}"/>
    <cellStyle name="Porcentual 22 3 2" xfId="7333" xr:uid="{00000000-0005-0000-0000-0000892C0000}"/>
    <cellStyle name="Porcentual 22 3 3" xfId="9313" xr:uid="{00000000-0005-0000-0000-00008A2C0000}"/>
    <cellStyle name="Porcentual 22 30" xfId="9292" xr:uid="{00000000-0005-0000-0000-00008B2C0000}"/>
    <cellStyle name="Porcentual 22 4" xfId="3791" xr:uid="{00000000-0005-0000-0000-00008C2C0000}"/>
    <cellStyle name="Porcentual 22 4 2" xfId="7334" xr:uid="{00000000-0005-0000-0000-00008D2C0000}"/>
    <cellStyle name="Porcentual 22 4 3" xfId="9314" xr:uid="{00000000-0005-0000-0000-00008E2C0000}"/>
    <cellStyle name="Porcentual 22 5" xfId="3792" xr:uid="{00000000-0005-0000-0000-00008F2C0000}"/>
    <cellStyle name="Porcentual 22 5 2" xfId="7335" xr:uid="{00000000-0005-0000-0000-0000902C0000}"/>
    <cellStyle name="Porcentual 22 5 3" xfId="9315" xr:uid="{00000000-0005-0000-0000-0000912C0000}"/>
    <cellStyle name="Porcentual 22 6" xfId="3793" xr:uid="{00000000-0005-0000-0000-0000922C0000}"/>
    <cellStyle name="Porcentual 22 6 2" xfId="7336" xr:uid="{00000000-0005-0000-0000-0000932C0000}"/>
    <cellStyle name="Porcentual 22 6 3" xfId="9316" xr:uid="{00000000-0005-0000-0000-0000942C0000}"/>
    <cellStyle name="Porcentual 22 7" xfId="3794" xr:uid="{00000000-0005-0000-0000-0000952C0000}"/>
    <cellStyle name="Porcentual 22 7 2" xfId="7337" xr:uid="{00000000-0005-0000-0000-0000962C0000}"/>
    <cellStyle name="Porcentual 22 7 3" xfId="9317" xr:uid="{00000000-0005-0000-0000-0000972C0000}"/>
    <cellStyle name="Porcentual 22 8" xfId="3795" xr:uid="{00000000-0005-0000-0000-0000982C0000}"/>
    <cellStyle name="Porcentual 22 8 2" xfId="7338" xr:uid="{00000000-0005-0000-0000-0000992C0000}"/>
    <cellStyle name="Porcentual 22 8 3" xfId="9318" xr:uid="{00000000-0005-0000-0000-00009A2C0000}"/>
    <cellStyle name="Porcentual 22 9" xfId="3796" xr:uid="{00000000-0005-0000-0000-00009B2C0000}"/>
    <cellStyle name="Porcentual 22 9 2" xfId="7339" xr:uid="{00000000-0005-0000-0000-00009C2C0000}"/>
    <cellStyle name="Porcentual 22 9 3" xfId="9319" xr:uid="{00000000-0005-0000-0000-00009D2C0000}"/>
    <cellStyle name="Porcentual 220 10" xfId="3797" xr:uid="{00000000-0005-0000-0000-00009E2C0000}"/>
    <cellStyle name="Porcentual 220 10 2" xfId="7340" xr:uid="{00000000-0005-0000-0000-00009F2C0000}"/>
    <cellStyle name="Porcentual 220 10 3" xfId="9320" xr:uid="{00000000-0005-0000-0000-0000A02C0000}"/>
    <cellStyle name="Porcentual 220 11" xfId="3798" xr:uid="{00000000-0005-0000-0000-0000A12C0000}"/>
    <cellStyle name="Porcentual 220 11 2" xfId="7341" xr:uid="{00000000-0005-0000-0000-0000A22C0000}"/>
    <cellStyle name="Porcentual 220 11 3" xfId="9321" xr:uid="{00000000-0005-0000-0000-0000A32C0000}"/>
    <cellStyle name="Porcentual 220 12" xfId="3799" xr:uid="{00000000-0005-0000-0000-0000A42C0000}"/>
    <cellStyle name="Porcentual 220 12 2" xfId="7342" xr:uid="{00000000-0005-0000-0000-0000A52C0000}"/>
    <cellStyle name="Porcentual 220 12 3" xfId="9322" xr:uid="{00000000-0005-0000-0000-0000A62C0000}"/>
    <cellStyle name="Porcentual 220 13" xfId="3800" xr:uid="{00000000-0005-0000-0000-0000A72C0000}"/>
    <cellStyle name="Porcentual 220 13 2" xfId="7343" xr:uid="{00000000-0005-0000-0000-0000A82C0000}"/>
    <cellStyle name="Porcentual 220 13 3" xfId="9323" xr:uid="{00000000-0005-0000-0000-0000A92C0000}"/>
    <cellStyle name="Porcentual 220 14" xfId="3801" xr:uid="{00000000-0005-0000-0000-0000AA2C0000}"/>
    <cellStyle name="Porcentual 220 14 2" xfId="7344" xr:uid="{00000000-0005-0000-0000-0000AB2C0000}"/>
    <cellStyle name="Porcentual 220 14 3" xfId="9324" xr:uid="{00000000-0005-0000-0000-0000AC2C0000}"/>
    <cellStyle name="Porcentual 220 15" xfId="3802" xr:uid="{00000000-0005-0000-0000-0000AD2C0000}"/>
    <cellStyle name="Porcentual 220 15 2" xfId="7345" xr:uid="{00000000-0005-0000-0000-0000AE2C0000}"/>
    <cellStyle name="Porcentual 220 15 3" xfId="9325" xr:uid="{00000000-0005-0000-0000-0000AF2C0000}"/>
    <cellStyle name="Porcentual 220 16" xfId="3803" xr:uid="{00000000-0005-0000-0000-0000B02C0000}"/>
    <cellStyle name="Porcentual 220 16 2" xfId="7346" xr:uid="{00000000-0005-0000-0000-0000B12C0000}"/>
    <cellStyle name="Porcentual 220 16 3" xfId="9326" xr:uid="{00000000-0005-0000-0000-0000B22C0000}"/>
    <cellStyle name="Porcentual 220 17" xfId="3804" xr:uid="{00000000-0005-0000-0000-0000B32C0000}"/>
    <cellStyle name="Porcentual 220 17 2" xfId="7347" xr:uid="{00000000-0005-0000-0000-0000B42C0000}"/>
    <cellStyle name="Porcentual 220 17 3" xfId="9327" xr:uid="{00000000-0005-0000-0000-0000B52C0000}"/>
    <cellStyle name="Porcentual 220 18" xfId="3805" xr:uid="{00000000-0005-0000-0000-0000B62C0000}"/>
    <cellStyle name="Porcentual 220 18 2" xfId="7348" xr:uid="{00000000-0005-0000-0000-0000B72C0000}"/>
    <cellStyle name="Porcentual 220 18 3" xfId="9328" xr:uid="{00000000-0005-0000-0000-0000B82C0000}"/>
    <cellStyle name="Porcentual 220 19" xfId="3806" xr:uid="{00000000-0005-0000-0000-0000B92C0000}"/>
    <cellStyle name="Porcentual 220 19 2" xfId="7349" xr:uid="{00000000-0005-0000-0000-0000BA2C0000}"/>
    <cellStyle name="Porcentual 220 19 3" xfId="9329" xr:uid="{00000000-0005-0000-0000-0000BB2C0000}"/>
    <cellStyle name="Porcentual 220 2" xfId="3807" xr:uid="{00000000-0005-0000-0000-0000BC2C0000}"/>
    <cellStyle name="Porcentual 220 2 2" xfId="7350" xr:uid="{00000000-0005-0000-0000-0000BD2C0000}"/>
    <cellStyle name="Porcentual 220 2 3" xfId="9330" xr:uid="{00000000-0005-0000-0000-0000BE2C0000}"/>
    <cellStyle name="Porcentual 220 20" xfId="3808" xr:uid="{00000000-0005-0000-0000-0000BF2C0000}"/>
    <cellStyle name="Porcentual 220 20 2" xfId="7351" xr:uid="{00000000-0005-0000-0000-0000C02C0000}"/>
    <cellStyle name="Porcentual 220 20 3" xfId="9331" xr:uid="{00000000-0005-0000-0000-0000C12C0000}"/>
    <cellStyle name="Porcentual 220 21" xfId="3809" xr:uid="{00000000-0005-0000-0000-0000C22C0000}"/>
    <cellStyle name="Porcentual 220 21 2" xfId="7352" xr:uid="{00000000-0005-0000-0000-0000C32C0000}"/>
    <cellStyle name="Porcentual 220 21 3" xfId="9332" xr:uid="{00000000-0005-0000-0000-0000C42C0000}"/>
    <cellStyle name="Porcentual 220 22" xfId="3810" xr:uid="{00000000-0005-0000-0000-0000C52C0000}"/>
    <cellStyle name="Porcentual 220 22 2" xfId="7353" xr:uid="{00000000-0005-0000-0000-0000C62C0000}"/>
    <cellStyle name="Porcentual 220 22 3" xfId="9333" xr:uid="{00000000-0005-0000-0000-0000C72C0000}"/>
    <cellStyle name="Porcentual 220 23" xfId="3811" xr:uid="{00000000-0005-0000-0000-0000C82C0000}"/>
    <cellStyle name="Porcentual 220 23 2" xfId="7354" xr:uid="{00000000-0005-0000-0000-0000C92C0000}"/>
    <cellStyle name="Porcentual 220 23 3" xfId="9334" xr:uid="{00000000-0005-0000-0000-0000CA2C0000}"/>
    <cellStyle name="Porcentual 220 24" xfId="3812" xr:uid="{00000000-0005-0000-0000-0000CB2C0000}"/>
    <cellStyle name="Porcentual 220 24 2" xfId="7355" xr:uid="{00000000-0005-0000-0000-0000CC2C0000}"/>
    <cellStyle name="Porcentual 220 24 3" xfId="9335" xr:uid="{00000000-0005-0000-0000-0000CD2C0000}"/>
    <cellStyle name="Porcentual 220 25" xfId="3813" xr:uid="{00000000-0005-0000-0000-0000CE2C0000}"/>
    <cellStyle name="Porcentual 220 25 2" xfId="7356" xr:uid="{00000000-0005-0000-0000-0000CF2C0000}"/>
    <cellStyle name="Porcentual 220 25 3" xfId="9336" xr:uid="{00000000-0005-0000-0000-0000D02C0000}"/>
    <cellStyle name="Porcentual 220 26" xfId="3814" xr:uid="{00000000-0005-0000-0000-0000D12C0000}"/>
    <cellStyle name="Porcentual 220 26 2" xfId="7357" xr:uid="{00000000-0005-0000-0000-0000D22C0000}"/>
    <cellStyle name="Porcentual 220 26 3" xfId="9337" xr:uid="{00000000-0005-0000-0000-0000D32C0000}"/>
    <cellStyle name="Porcentual 220 27" xfId="3815" xr:uid="{00000000-0005-0000-0000-0000D42C0000}"/>
    <cellStyle name="Porcentual 220 27 2" xfId="7358" xr:uid="{00000000-0005-0000-0000-0000D52C0000}"/>
    <cellStyle name="Porcentual 220 27 3" xfId="9338" xr:uid="{00000000-0005-0000-0000-0000D62C0000}"/>
    <cellStyle name="Porcentual 220 28" xfId="3816" xr:uid="{00000000-0005-0000-0000-0000D72C0000}"/>
    <cellStyle name="Porcentual 220 28 2" xfId="7359" xr:uid="{00000000-0005-0000-0000-0000D82C0000}"/>
    <cellStyle name="Porcentual 220 28 3" xfId="9339" xr:uid="{00000000-0005-0000-0000-0000D92C0000}"/>
    <cellStyle name="Porcentual 220 3" xfId="3817" xr:uid="{00000000-0005-0000-0000-0000DA2C0000}"/>
    <cellStyle name="Porcentual 220 3 2" xfId="7360" xr:uid="{00000000-0005-0000-0000-0000DB2C0000}"/>
    <cellStyle name="Porcentual 220 3 3" xfId="9340" xr:uid="{00000000-0005-0000-0000-0000DC2C0000}"/>
    <cellStyle name="Porcentual 220 4" xfId="3818" xr:uid="{00000000-0005-0000-0000-0000DD2C0000}"/>
    <cellStyle name="Porcentual 220 4 2" xfId="7361" xr:uid="{00000000-0005-0000-0000-0000DE2C0000}"/>
    <cellStyle name="Porcentual 220 4 3" xfId="9341" xr:uid="{00000000-0005-0000-0000-0000DF2C0000}"/>
    <cellStyle name="Porcentual 220 5" xfId="3819" xr:uid="{00000000-0005-0000-0000-0000E02C0000}"/>
    <cellStyle name="Porcentual 220 5 2" xfId="7362" xr:uid="{00000000-0005-0000-0000-0000E12C0000}"/>
    <cellStyle name="Porcentual 220 5 3" xfId="9342" xr:uid="{00000000-0005-0000-0000-0000E22C0000}"/>
    <cellStyle name="Porcentual 220 6" xfId="3820" xr:uid="{00000000-0005-0000-0000-0000E32C0000}"/>
    <cellStyle name="Porcentual 220 6 2" xfId="7363" xr:uid="{00000000-0005-0000-0000-0000E42C0000}"/>
    <cellStyle name="Porcentual 220 6 3" xfId="9343" xr:uid="{00000000-0005-0000-0000-0000E52C0000}"/>
    <cellStyle name="Porcentual 220 7" xfId="3821" xr:uid="{00000000-0005-0000-0000-0000E62C0000}"/>
    <cellStyle name="Porcentual 220 7 2" xfId="7364" xr:uid="{00000000-0005-0000-0000-0000E72C0000}"/>
    <cellStyle name="Porcentual 220 7 3" xfId="9344" xr:uid="{00000000-0005-0000-0000-0000E82C0000}"/>
    <cellStyle name="Porcentual 220 8" xfId="3822" xr:uid="{00000000-0005-0000-0000-0000E92C0000}"/>
    <cellStyle name="Porcentual 220 8 2" xfId="7365" xr:uid="{00000000-0005-0000-0000-0000EA2C0000}"/>
    <cellStyle name="Porcentual 220 8 3" xfId="9345" xr:uid="{00000000-0005-0000-0000-0000EB2C0000}"/>
    <cellStyle name="Porcentual 220 9" xfId="3823" xr:uid="{00000000-0005-0000-0000-0000EC2C0000}"/>
    <cellStyle name="Porcentual 220 9 2" xfId="7366" xr:uid="{00000000-0005-0000-0000-0000ED2C0000}"/>
    <cellStyle name="Porcentual 220 9 3" xfId="9346" xr:uid="{00000000-0005-0000-0000-0000EE2C0000}"/>
    <cellStyle name="Porcentual 221 10" xfId="3824" xr:uid="{00000000-0005-0000-0000-0000EF2C0000}"/>
    <cellStyle name="Porcentual 221 10 2" xfId="7367" xr:uid="{00000000-0005-0000-0000-0000F02C0000}"/>
    <cellStyle name="Porcentual 221 10 3" xfId="9347" xr:uid="{00000000-0005-0000-0000-0000F12C0000}"/>
    <cellStyle name="Porcentual 221 11" xfId="3825" xr:uid="{00000000-0005-0000-0000-0000F22C0000}"/>
    <cellStyle name="Porcentual 221 11 2" xfId="7368" xr:uid="{00000000-0005-0000-0000-0000F32C0000}"/>
    <cellStyle name="Porcentual 221 11 3" xfId="9348" xr:uid="{00000000-0005-0000-0000-0000F42C0000}"/>
    <cellStyle name="Porcentual 221 12" xfId="3826" xr:uid="{00000000-0005-0000-0000-0000F52C0000}"/>
    <cellStyle name="Porcentual 221 12 2" xfId="7369" xr:uid="{00000000-0005-0000-0000-0000F62C0000}"/>
    <cellStyle name="Porcentual 221 12 3" xfId="9349" xr:uid="{00000000-0005-0000-0000-0000F72C0000}"/>
    <cellStyle name="Porcentual 221 13" xfId="3827" xr:uid="{00000000-0005-0000-0000-0000F82C0000}"/>
    <cellStyle name="Porcentual 221 13 2" xfId="7370" xr:uid="{00000000-0005-0000-0000-0000F92C0000}"/>
    <cellStyle name="Porcentual 221 13 3" xfId="9350" xr:uid="{00000000-0005-0000-0000-0000FA2C0000}"/>
    <cellStyle name="Porcentual 221 14" xfId="3828" xr:uid="{00000000-0005-0000-0000-0000FB2C0000}"/>
    <cellStyle name="Porcentual 221 14 2" xfId="7371" xr:uid="{00000000-0005-0000-0000-0000FC2C0000}"/>
    <cellStyle name="Porcentual 221 14 3" xfId="9351" xr:uid="{00000000-0005-0000-0000-0000FD2C0000}"/>
    <cellStyle name="Porcentual 221 15" xfId="3829" xr:uid="{00000000-0005-0000-0000-0000FE2C0000}"/>
    <cellStyle name="Porcentual 221 15 2" xfId="7372" xr:uid="{00000000-0005-0000-0000-0000FF2C0000}"/>
    <cellStyle name="Porcentual 221 15 3" xfId="9352" xr:uid="{00000000-0005-0000-0000-0000002D0000}"/>
    <cellStyle name="Porcentual 221 16" xfId="3830" xr:uid="{00000000-0005-0000-0000-0000012D0000}"/>
    <cellStyle name="Porcentual 221 16 2" xfId="7373" xr:uid="{00000000-0005-0000-0000-0000022D0000}"/>
    <cellStyle name="Porcentual 221 16 3" xfId="9353" xr:uid="{00000000-0005-0000-0000-0000032D0000}"/>
    <cellStyle name="Porcentual 221 17" xfId="3831" xr:uid="{00000000-0005-0000-0000-0000042D0000}"/>
    <cellStyle name="Porcentual 221 17 2" xfId="7374" xr:uid="{00000000-0005-0000-0000-0000052D0000}"/>
    <cellStyle name="Porcentual 221 17 3" xfId="9354" xr:uid="{00000000-0005-0000-0000-0000062D0000}"/>
    <cellStyle name="Porcentual 221 18" xfId="3832" xr:uid="{00000000-0005-0000-0000-0000072D0000}"/>
    <cellStyle name="Porcentual 221 18 2" xfId="7375" xr:uid="{00000000-0005-0000-0000-0000082D0000}"/>
    <cellStyle name="Porcentual 221 18 3" xfId="9355" xr:uid="{00000000-0005-0000-0000-0000092D0000}"/>
    <cellStyle name="Porcentual 221 19" xfId="3833" xr:uid="{00000000-0005-0000-0000-00000A2D0000}"/>
    <cellStyle name="Porcentual 221 19 2" xfId="7376" xr:uid="{00000000-0005-0000-0000-00000B2D0000}"/>
    <cellStyle name="Porcentual 221 19 3" xfId="9356" xr:uid="{00000000-0005-0000-0000-00000C2D0000}"/>
    <cellStyle name="Porcentual 221 2" xfId="3834" xr:uid="{00000000-0005-0000-0000-00000D2D0000}"/>
    <cellStyle name="Porcentual 221 2 2" xfId="7377" xr:uid="{00000000-0005-0000-0000-00000E2D0000}"/>
    <cellStyle name="Porcentual 221 2 3" xfId="9357" xr:uid="{00000000-0005-0000-0000-00000F2D0000}"/>
    <cellStyle name="Porcentual 221 20" xfId="3835" xr:uid="{00000000-0005-0000-0000-0000102D0000}"/>
    <cellStyle name="Porcentual 221 20 2" xfId="7378" xr:uid="{00000000-0005-0000-0000-0000112D0000}"/>
    <cellStyle name="Porcentual 221 20 3" xfId="9358" xr:uid="{00000000-0005-0000-0000-0000122D0000}"/>
    <cellStyle name="Porcentual 221 21" xfId="3836" xr:uid="{00000000-0005-0000-0000-0000132D0000}"/>
    <cellStyle name="Porcentual 221 21 2" xfId="7379" xr:uid="{00000000-0005-0000-0000-0000142D0000}"/>
    <cellStyle name="Porcentual 221 21 3" xfId="9359" xr:uid="{00000000-0005-0000-0000-0000152D0000}"/>
    <cellStyle name="Porcentual 221 22" xfId="3837" xr:uid="{00000000-0005-0000-0000-0000162D0000}"/>
    <cellStyle name="Porcentual 221 22 2" xfId="7380" xr:uid="{00000000-0005-0000-0000-0000172D0000}"/>
    <cellStyle name="Porcentual 221 22 3" xfId="9360" xr:uid="{00000000-0005-0000-0000-0000182D0000}"/>
    <cellStyle name="Porcentual 221 23" xfId="3838" xr:uid="{00000000-0005-0000-0000-0000192D0000}"/>
    <cellStyle name="Porcentual 221 23 2" xfId="7381" xr:uid="{00000000-0005-0000-0000-00001A2D0000}"/>
    <cellStyle name="Porcentual 221 23 3" xfId="9361" xr:uid="{00000000-0005-0000-0000-00001B2D0000}"/>
    <cellStyle name="Porcentual 221 24" xfId="3839" xr:uid="{00000000-0005-0000-0000-00001C2D0000}"/>
    <cellStyle name="Porcentual 221 24 2" xfId="7382" xr:uid="{00000000-0005-0000-0000-00001D2D0000}"/>
    <cellStyle name="Porcentual 221 24 3" xfId="9362" xr:uid="{00000000-0005-0000-0000-00001E2D0000}"/>
    <cellStyle name="Porcentual 221 25" xfId="3840" xr:uid="{00000000-0005-0000-0000-00001F2D0000}"/>
    <cellStyle name="Porcentual 221 25 2" xfId="7383" xr:uid="{00000000-0005-0000-0000-0000202D0000}"/>
    <cellStyle name="Porcentual 221 25 3" xfId="9363" xr:uid="{00000000-0005-0000-0000-0000212D0000}"/>
    <cellStyle name="Porcentual 221 26" xfId="3841" xr:uid="{00000000-0005-0000-0000-0000222D0000}"/>
    <cellStyle name="Porcentual 221 26 2" xfId="7384" xr:uid="{00000000-0005-0000-0000-0000232D0000}"/>
    <cellStyle name="Porcentual 221 26 3" xfId="9364" xr:uid="{00000000-0005-0000-0000-0000242D0000}"/>
    <cellStyle name="Porcentual 221 27" xfId="3842" xr:uid="{00000000-0005-0000-0000-0000252D0000}"/>
    <cellStyle name="Porcentual 221 27 2" xfId="7385" xr:uid="{00000000-0005-0000-0000-0000262D0000}"/>
    <cellStyle name="Porcentual 221 27 3" xfId="9365" xr:uid="{00000000-0005-0000-0000-0000272D0000}"/>
    <cellStyle name="Porcentual 221 28" xfId="3843" xr:uid="{00000000-0005-0000-0000-0000282D0000}"/>
    <cellStyle name="Porcentual 221 28 2" xfId="7386" xr:uid="{00000000-0005-0000-0000-0000292D0000}"/>
    <cellStyle name="Porcentual 221 28 3" xfId="9366" xr:uid="{00000000-0005-0000-0000-00002A2D0000}"/>
    <cellStyle name="Porcentual 221 3" xfId="3844" xr:uid="{00000000-0005-0000-0000-00002B2D0000}"/>
    <cellStyle name="Porcentual 221 3 2" xfId="7387" xr:uid="{00000000-0005-0000-0000-00002C2D0000}"/>
    <cellStyle name="Porcentual 221 3 3" xfId="9367" xr:uid="{00000000-0005-0000-0000-00002D2D0000}"/>
    <cellStyle name="Porcentual 221 4" xfId="3845" xr:uid="{00000000-0005-0000-0000-00002E2D0000}"/>
    <cellStyle name="Porcentual 221 4 2" xfId="7388" xr:uid="{00000000-0005-0000-0000-00002F2D0000}"/>
    <cellStyle name="Porcentual 221 4 3" xfId="9368" xr:uid="{00000000-0005-0000-0000-0000302D0000}"/>
    <cellStyle name="Porcentual 221 5" xfId="3846" xr:uid="{00000000-0005-0000-0000-0000312D0000}"/>
    <cellStyle name="Porcentual 221 5 2" xfId="7389" xr:uid="{00000000-0005-0000-0000-0000322D0000}"/>
    <cellStyle name="Porcentual 221 5 3" xfId="9369" xr:uid="{00000000-0005-0000-0000-0000332D0000}"/>
    <cellStyle name="Porcentual 221 6" xfId="3847" xr:uid="{00000000-0005-0000-0000-0000342D0000}"/>
    <cellStyle name="Porcentual 221 6 2" xfId="7390" xr:uid="{00000000-0005-0000-0000-0000352D0000}"/>
    <cellStyle name="Porcentual 221 6 3" xfId="9370" xr:uid="{00000000-0005-0000-0000-0000362D0000}"/>
    <cellStyle name="Porcentual 221 7" xfId="3848" xr:uid="{00000000-0005-0000-0000-0000372D0000}"/>
    <cellStyle name="Porcentual 221 7 2" xfId="7391" xr:uid="{00000000-0005-0000-0000-0000382D0000}"/>
    <cellStyle name="Porcentual 221 7 3" xfId="9371" xr:uid="{00000000-0005-0000-0000-0000392D0000}"/>
    <cellStyle name="Porcentual 221 8" xfId="3849" xr:uid="{00000000-0005-0000-0000-00003A2D0000}"/>
    <cellStyle name="Porcentual 221 8 2" xfId="7392" xr:uid="{00000000-0005-0000-0000-00003B2D0000}"/>
    <cellStyle name="Porcentual 221 8 3" xfId="9372" xr:uid="{00000000-0005-0000-0000-00003C2D0000}"/>
    <cellStyle name="Porcentual 221 9" xfId="3850" xr:uid="{00000000-0005-0000-0000-00003D2D0000}"/>
    <cellStyle name="Porcentual 221 9 2" xfId="7393" xr:uid="{00000000-0005-0000-0000-00003E2D0000}"/>
    <cellStyle name="Porcentual 221 9 3" xfId="9373" xr:uid="{00000000-0005-0000-0000-00003F2D0000}"/>
    <cellStyle name="Porcentual 222 10" xfId="3851" xr:uid="{00000000-0005-0000-0000-0000402D0000}"/>
    <cellStyle name="Porcentual 222 10 2" xfId="7394" xr:uid="{00000000-0005-0000-0000-0000412D0000}"/>
    <cellStyle name="Porcentual 222 10 3" xfId="9374" xr:uid="{00000000-0005-0000-0000-0000422D0000}"/>
    <cellStyle name="Porcentual 222 11" xfId="3852" xr:uid="{00000000-0005-0000-0000-0000432D0000}"/>
    <cellStyle name="Porcentual 222 11 2" xfId="7395" xr:uid="{00000000-0005-0000-0000-0000442D0000}"/>
    <cellStyle name="Porcentual 222 11 3" xfId="9375" xr:uid="{00000000-0005-0000-0000-0000452D0000}"/>
    <cellStyle name="Porcentual 222 12" xfId="3853" xr:uid="{00000000-0005-0000-0000-0000462D0000}"/>
    <cellStyle name="Porcentual 222 12 2" xfId="7396" xr:uid="{00000000-0005-0000-0000-0000472D0000}"/>
    <cellStyle name="Porcentual 222 12 3" xfId="9376" xr:uid="{00000000-0005-0000-0000-0000482D0000}"/>
    <cellStyle name="Porcentual 222 13" xfId="3854" xr:uid="{00000000-0005-0000-0000-0000492D0000}"/>
    <cellStyle name="Porcentual 222 13 2" xfId="7397" xr:uid="{00000000-0005-0000-0000-00004A2D0000}"/>
    <cellStyle name="Porcentual 222 13 3" xfId="9377" xr:uid="{00000000-0005-0000-0000-00004B2D0000}"/>
    <cellStyle name="Porcentual 222 14" xfId="3855" xr:uid="{00000000-0005-0000-0000-00004C2D0000}"/>
    <cellStyle name="Porcentual 222 14 2" xfId="7398" xr:uid="{00000000-0005-0000-0000-00004D2D0000}"/>
    <cellStyle name="Porcentual 222 14 3" xfId="9378" xr:uid="{00000000-0005-0000-0000-00004E2D0000}"/>
    <cellStyle name="Porcentual 222 15" xfId="3856" xr:uid="{00000000-0005-0000-0000-00004F2D0000}"/>
    <cellStyle name="Porcentual 222 15 2" xfId="7399" xr:uid="{00000000-0005-0000-0000-0000502D0000}"/>
    <cellStyle name="Porcentual 222 15 3" xfId="9379" xr:uid="{00000000-0005-0000-0000-0000512D0000}"/>
    <cellStyle name="Porcentual 222 16" xfId="3857" xr:uid="{00000000-0005-0000-0000-0000522D0000}"/>
    <cellStyle name="Porcentual 222 16 2" xfId="7400" xr:uid="{00000000-0005-0000-0000-0000532D0000}"/>
    <cellStyle name="Porcentual 222 16 3" xfId="9380" xr:uid="{00000000-0005-0000-0000-0000542D0000}"/>
    <cellStyle name="Porcentual 222 17" xfId="3858" xr:uid="{00000000-0005-0000-0000-0000552D0000}"/>
    <cellStyle name="Porcentual 222 17 2" xfId="7401" xr:uid="{00000000-0005-0000-0000-0000562D0000}"/>
    <cellStyle name="Porcentual 222 17 3" xfId="9381" xr:uid="{00000000-0005-0000-0000-0000572D0000}"/>
    <cellStyle name="Porcentual 222 18" xfId="3859" xr:uid="{00000000-0005-0000-0000-0000582D0000}"/>
    <cellStyle name="Porcentual 222 18 2" xfId="7402" xr:uid="{00000000-0005-0000-0000-0000592D0000}"/>
    <cellStyle name="Porcentual 222 18 3" xfId="9382" xr:uid="{00000000-0005-0000-0000-00005A2D0000}"/>
    <cellStyle name="Porcentual 222 19" xfId="3860" xr:uid="{00000000-0005-0000-0000-00005B2D0000}"/>
    <cellStyle name="Porcentual 222 19 2" xfId="7403" xr:uid="{00000000-0005-0000-0000-00005C2D0000}"/>
    <cellStyle name="Porcentual 222 19 3" xfId="9383" xr:uid="{00000000-0005-0000-0000-00005D2D0000}"/>
    <cellStyle name="Porcentual 222 2" xfId="3861" xr:uid="{00000000-0005-0000-0000-00005E2D0000}"/>
    <cellStyle name="Porcentual 222 2 2" xfId="7404" xr:uid="{00000000-0005-0000-0000-00005F2D0000}"/>
    <cellStyle name="Porcentual 222 2 3" xfId="9384" xr:uid="{00000000-0005-0000-0000-0000602D0000}"/>
    <cellStyle name="Porcentual 222 20" xfId="3862" xr:uid="{00000000-0005-0000-0000-0000612D0000}"/>
    <cellStyle name="Porcentual 222 20 2" xfId="7405" xr:uid="{00000000-0005-0000-0000-0000622D0000}"/>
    <cellStyle name="Porcentual 222 20 3" xfId="9385" xr:uid="{00000000-0005-0000-0000-0000632D0000}"/>
    <cellStyle name="Porcentual 222 21" xfId="3863" xr:uid="{00000000-0005-0000-0000-0000642D0000}"/>
    <cellStyle name="Porcentual 222 21 2" xfId="7406" xr:uid="{00000000-0005-0000-0000-0000652D0000}"/>
    <cellStyle name="Porcentual 222 21 3" xfId="9386" xr:uid="{00000000-0005-0000-0000-0000662D0000}"/>
    <cellStyle name="Porcentual 222 22" xfId="3864" xr:uid="{00000000-0005-0000-0000-0000672D0000}"/>
    <cellStyle name="Porcentual 222 22 2" xfId="7407" xr:uid="{00000000-0005-0000-0000-0000682D0000}"/>
    <cellStyle name="Porcentual 222 22 3" xfId="9387" xr:uid="{00000000-0005-0000-0000-0000692D0000}"/>
    <cellStyle name="Porcentual 222 23" xfId="3865" xr:uid="{00000000-0005-0000-0000-00006A2D0000}"/>
    <cellStyle name="Porcentual 222 23 2" xfId="7408" xr:uid="{00000000-0005-0000-0000-00006B2D0000}"/>
    <cellStyle name="Porcentual 222 23 3" xfId="9388" xr:uid="{00000000-0005-0000-0000-00006C2D0000}"/>
    <cellStyle name="Porcentual 222 24" xfId="3866" xr:uid="{00000000-0005-0000-0000-00006D2D0000}"/>
    <cellStyle name="Porcentual 222 24 2" xfId="7409" xr:uid="{00000000-0005-0000-0000-00006E2D0000}"/>
    <cellStyle name="Porcentual 222 24 3" xfId="9389" xr:uid="{00000000-0005-0000-0000-00006F2D0000}"/>
    <cellStyle name="Porcentual 222 25" xfId="3867" xr:uid="{00000000-0005-0000-0000-0000702D0000}"/>
    <cellStyle name="Porcentual 222 25 2" xfId="7410" xr:uid="{00000000-0005-0000-0000-0000712D0000}"/>
    <cellStyle name="Porcentual 222 25 3" xfId="9390" xr:uid="{00000000-0005-0000-0000-0000722D0000}"/>
    <cellStyle name="Porcentual 222 26" xfId="3868" xr:uid="{00000000-0005-0000-0000-0000732D0000}"/>
    <cellStyle name="Porcentual 222 26 2" xfId="7411" xr:uid="{00000000-0005-0000-0000-0000742D0000}"/>
    <cellStyle name="Porcentual 222 26 3" xfId="9391" xr:uid="{00000000-0005-0000-0000-0000752D0000}"/>
    <cellStyle name="Porcentual 222 27" xfId="3869" xr:uid="{00000000-0005-0000-0000-0000762D0000}"/>
    <cellStyle name="Porcentual 222 27 2" xfId="7412" xr:uid="{00000000-0005-0000-0000-0000772D0000}"/>
    <cellStyle name="Porcentual 222 27 3" xfId="9392" xr:uid="{00000000-0005-0000-0000-0000782D0000}"/>
    <cellStyle name="Porcentual 222 28" xfId="3870" xr:uid="{00000000-0005-0000-0000-0000792D0000}"/>
    <cellStyle name="Porcentual 222 28 2" xfId="7413" xr:uid="{00000000-0005-0000-0000-00007A2D0000}"/>
    <cellStyle name="Porcentual 222 28 3" xfId="9393" xr:uid="{00000000-0005-0000-0000-00007B2D0000}"/>
    <cellStyle name="Porcentual 222 3" xfId="3871" xr:uid="{00000000-0005-0000-0000-00007C2D0000}"/>
    <cellStyle name="Porcentual 222 3 2" xfId="7414" xr:uid="{00000000-0005-0000-0000-00007D2D0000}"/>
    <cellStyle name="Porcentual 222 3 3" xfId="9394" xr:uid="{00000000-0005-0000-0000-00007E2D0000}"/>
    <cellStyle name="Porcentual 222 4" xfId="3872" xr:uid="{00000000-0005-0000-0000-00007F2D0000}"/>
    <cellStyle name="Porcentual 222 4 2" xfId="7415" xr:uid="{00000000-0005-0000-0000-0000802D0000}"/>
    <cellStyle name="Porcentual 222 4 3" xfId="9395" xr:uid="{00000000-0005-0000-0000-0000812D0000}"/>
    <cellStyle name="Porcentual 222 5" xfId="3873" xr:uid="{00000000-0005-0000-0000-0000822D0000}"/>
    <cellStyle name="Porcentual 222 5 2" xfId="7416" xr:uid="{00000000-0005-0000-0000-0000832D0000}"/>
    <cellStyle name="Porcentual 222 5 3" xfId="9396" xr:uid="{00000000-0005-0000-0000-0000842D0000}"/>
    <cellStyle name="Porcentual 222 6" xfId="3874" xr:uid="{00000000-0005-0000-0000-0000852D0000}"/>
    <cellStyle name="Porcentual 222 6 2" xfId="7417" xr:uid="{00000000-0005-0000-0000-0000862D0000}"/>
    <cellStyle name="Porcentual 222 6 3" xfId="9397" xr:uid="{00000000-0005-0000-0000-0000872D0000}"/>
    <cellStyle name="Porcentual 222 7" xfId="3875" xr:uid="{00000000-0005-0000-0000-0000882D0000}"/>
    <cellStyle name="Porcentual 222 7 2" xfId="7418" xr:uid="{00000000-0005-0000-0000-0000892D0000}"/>
    <cellStyle name="Porcentual 222 7 3" xfId="9398" xr:uid="{00000000-0005-0000-0000-00008A2D0000}"/>
    <cellStyle name="Porcentual 222 8" xfId="3876" xr:uid="{00000000-0005-0000-0000-00008B2D0000}"/>
    <cellStyle name="Porcentual 222 8 2" xfId="7419" xr:uid="{00000000-0005-0000-0000-00008C2D0000}"/>
    <cellStyle name="Porcentual 222 8 3" xfId="9399" xr:uid="{00000000-0005-0000-0000-00008D2D0000}"/>
    <cellStyle name="Porcentual 222 9" xfId="3877" xr:uid="{00000000-0005-0000-0000-00008E2D0000}"/>
    <cellStyle name="Porcentual 222 9 2" xfId="7420" xr:uid="{00000000-0005-0000-0000-00008F2D0000}"/>
    <cellStyle name="Porcentual 222 9 3" xfId="9400" xr:uid="{00000000-0005-0000-0000-0000902D0000}"/>
    <cellStyle name="Porcentual 23" xfId="3878" xr:uid="{00000000-0005-0000-0000-0000912D0000}"/>
    <cellStyle name="Porcentual 23 10" xfId="3879" xr:uid="{00000000-0005-0000-0000-0000922D0000}"/>
    <cellStyle name="Porcentual 23 10 2" xfId="7421" xr:uid="{00000000-0005-0000-0000-0000932D0000}"/>
    <cellStyle name="Porcentual 23 10 3" xfId="9402" xr:uid="{00000000-0005-0000-0000-0000942D0000}"/>
    <cellStyle name="Porcentual 23 11" xfId="3880" xr:uid="{00000000-0005-0000-0000-0000952D0000}"/>
    <cellStyle name="Porcentual 23 11 2" xfId="7422" xr:uid="{00000000-0005-0000-0000-0000962D0000}"/>
    <cellStyle name="Porcentual 23 11 3" xfId="9403" xr:uid="{00000000-0005-0000-0000-0000972D0000}"/>
    <cellStyle name="Porcentual 23 12" xfId="3881" xr:uid="{00000000-0005-0000-0000-0000982D0000}"/>
    <cellStyle name="Porcentual 23 12 2" xfId="7423" xr:uid="{00000000-0005-0000-0000-0000992D0000}"/>
    <cellStyle name="Porcentual 23 12 3" xfId="9404" xr:uid="{00000000-0005-0000-0000-00009A2D0000}"/>
    <cellStyle name="Porcentual 23 13" xfId="3882" xr:uid="{00000000-0005-0000-0000-00009B2D0000}"/>
    <cellStyle name="Porcentual 23 13 2" xfId="7424" xr:uid="{00000000-0005-0000-0000-00009C2D0000}"/>
    <cellStyle name="Porcentual 23 13 3" xfId="9405" xr:uid="{00000000-0005-0000-0000-00009D2D0000}"/>
    <cellStyle name="Porcentual 23 14" xfId="3883" xr:uid="{00000000-0005-0000-0000-00009E2D0000}"/>
    <cellStyle name="Porcentual 23 14 2" xfId="7425" xr:uid="{00000000-0005-0000-0000-00009F2D0000}"/>
    <cellStyle name="Porcentual 23 14 3" xfId="9406" xr:uid="{00000000-0005-0000-0000-0000A02D0000}"/>
    <cellStyle name="Porcentual 23 15" xfId="3884" xr:uid="{00000000-0005-0000-0000-0000A12D0000}"/>
    <cellStyle name="Porcentual 23 15 2" xfId="7426" xr:uid="{00000000-0005-0000-0000-0000A22D0000}"/>
    <cellStyle name="Porcentual 23 15 3" xfId="9407" xr:uid="{00000000-0005-0000-0000-0000A32D0000}"/>
    <cellStyle name="Porcentual 23 16" xfId="3885" xr:uid="{00000000-0005-0000-0000-0000A42D0000}"/>
    <cellStyle name="Porcentual 23 16 2" xfId="7427" xr:uid="{00000000-0005-0000-0000-0000A52D0000}"/>
    <cellStyle name="Porcentual 23 16 3" xfId="9408" xr:uid="{00000000-0005-0000-0000-0000A62D0000}"/>
    <cellStyle name="Porcentual 23 17" xfId="3886" xr:uid="{00000000-0005-0000-0000-0000A72D0000}"/>
    <cellStyle name="Porcentual 23 17 2" xfId="7428" xr:uid="{00000000-0005-0000-0000-0000A82D0000}"/>
    <cellStyle name="Porcentual 23 17 3" xfId="9409" xr:uid="{00000000-0005-0000-0000-0000A92D0000}"/>
    <cellStyle name="Porcentual 23 18" xfId="3887" xr:uid="{00000000-0005-0000-0000-0000AA2D0000}"/>
    <cellStyle name="Porcentual 23 18 2" xfId="7429" xr:uid="{00000000-0005-0000-0000-0000AB2D0000}"/>
    <cellStyle name="Porcentual 23 18 3" xfId="9410" xr:uid="{00000000-0005-0000-0000-0000AC2D0000}"/>
    <cellStyle name="Porcentual 23 19" xfId="3888" xr:uid="{00000000-0005-0000-0000-0000AD2D0000}"/>
    <cellStyle name="Porcentual 23 19 2" xfId="7430" xr:uid="{00000000-0005-0000-0000-0000AE2D0000}"/>
    <cellStyle name="Porcentual 23 19 3" xfId="9411" xr:uid="{00000000-0005-0000-0000-0000AF2D0000}"/>
    <cellStyle name="Porcentual 23 2" xfId="3889" xr:uid="{00000000-0005-0000-0000-0000B02D0000}"/>
    <cellStyle name="Porcentual 23 2 2" xfId="7431" xr:uid="{00000000-0005-0000-0000-0000B12D0000}"/>
    <cellStyle name="Porcentual 23 2 3" xfId="9412" xr:uid="{00000000-0005-0000-0000-0000B22D0000}"/>
    <cellStyle name="Porcentual 23 20" xfId="3890" xr:uid="{00000000-0005-0000-0000-0000B32D0000}"/>
    <cellStyle name="Porcentual 23 20 2" xfId="7432" xr:uid="{00000000-0005-0000-0000-0000B42D0000}"/>
    <cellStyle name="Porcentual 23 20 3" xfId="9413" xr:uid="{00000000-0005-0000-0000-0000B52D0000}"/>
    <cellStyle name="Porcentual 23 21" xfId="3891" xr:uid="{00000000-0005-0000-0000-0000B62D0000}"/>
    <cellStyle name="Porcentual 23 21 2" xfId="7433" xr:uid="{00000000-0005-0000-0000-0000B72D0000}"/>
    <cellStyle name="Porcentual 23 21 3" xfId="9414" xr:uid="{00000000-0005-0000-0000-0000B82D0000}"/>
    <cellStyle name="Porcentual 23 22" xfId="3892" xr:uid="{00000000-0005-0000-0000-0000B92D0000}"/>
    <cellStyle name="Porcentual 23 22 2" xfId="7434" xr:uid="{00000000-0005-0000-0000-0000BA2D0000}"/>
    <cellStyle name="Porcentual 23 22 3" xfId="9415" xr:uid="{00000000-0005-0000-0000-0000BB2D0000}"/>
    <cellStyle name="Porcentual 23 23" xfId="3893" xr:uid="{00000000-0005-0000-0000-0000BC2D0000}"/>
    <cellStyle name="Porcentual 23 23 2" xfId="7435" xr:uid="{00000000-0005-0000-0000-0000BD2D0000}"/>
    <cellStyle name="Porcentual 23 23 3" xfId="9416" xr:uid="{00000000-0005-0000-0000-0000BE2D0000}"/>
    <cellStyle name="Porcentual 23 24" xfId="3894" xr:uid="{00000000-0005-0000-0000-0000BF2D0000}"/>
    <cellStyle name="Porcentual 23 24 2" xfId="7436" xr:uid="{00000000-0005-0000-0000-0000C02D0000}"/>
    <cellStyle name="Porcentual 23 24 3" xfId="9417" xr:uid="{00000000-0005-0000-0000-0000C12D0000}"/>
    <cellStyle name="Porcentual 23 25" xfId="3895" xr:uid="{00000000-0005-0000-0000-0000C22D0000}"/>
    <cellStyle name="Porcentual 23 25 2" xfId="7437" xr:uid="{00000000-0005-0000-0000-0000C32D0000}"/>
    <cellStyle name="Porcentual 23 25 3" xfId="9418" xr:uid="{00000000-0005-0000-0000-0000C42D0000}"/>
    <cellStyle name="Porcentual 23 26" xfId="3896" xr:uid="{00000000-0005-0000-0000-0000C52D0000}"/>
    <cellStyle name="Porcentual 23 26 2" xfId="7438" xr:uid="{00000000-0005-0000-0000-0000C62D0000}"/>
    <cellStyle name="Porcentual 23 26 3" xfId="9419" xr:uid="{00000000-0005-0000-0000-0000C72D0000}"/>
    <cellStyle name="Porcentual 23 27" xfId="3897" xr:uid="{00000000-0005-0000-0000-0000C82D0000}"/>
    <cellStyle name="Porcentual 23 27 2" xfId="7439" xr:uid="{00000000-0005-0000-0000-0000C92D0000}"/>
    <cellStyle name="Porcentual 23 27 3" xfId="9420" xr:uid="{00000000-0005-0000-0000-0000CA2D0000}"/>
    <cellStyle name="Porcentual 23 28" xfId="3898" xr:uid="{00000000-0005-0000-0000-0000CB2D0000}"/>
    <cellStyle name="Porcentual 23 28 2" xfId="7440" xr:uid="{00000000-0005-0000-0000-0000CC2D0000}"/>
    <cellStyle name="Porcentual 23 28 3" xfId="9421" xr:uid="{00000000-0005-0000-0000-0000CD2D0000}"/>
    <cellStyle name="Porcentual 23 29" xfId="7441" xr:uid="{00000000-0005-0000-0000-0000CE2D0000}"/>
    <cellStyle name="Porcentual 23 3" xfId="3899" xr:uid="{00000000-0005-0000-0000-0000CF2D0000}"/>
    <cellStyle name="Porcentual 23 3 2" xfId="7442" xr:uid="{00000000-0005-0000-0000-0000D02D0000}"/>
    <cellStyle name="Porcentual 23 3 3" xfId="9422" xr:uid="{00000000-0005-0000-0000-0000D12D0000}"/>
    <cellStyle name="Porcentual 23 30" xfId="9401" xr:uid="{00000000-0005-0000-0000-0000D22D0000}"/>
    <cellStyle name="Porcentual 23 4" xfId="3900" xr:uid="{00000000-0005-0000-0000-0000D32D0000}"/>
    <cellStyle name="Porcentual 23 4 2" xfId="7443" xr:uid="{00000000-0005-0000-0000-0000D42D0000}"/>
    <cellStyle name="Porcentual 23 4 3" xfId="9423" xr:uid="{00000000-0005-0000-0000-0000D52D0000}"/>
    <cellStyle name="Porcentual 23 5" xfId="3901" xr:uid="{00000000-0005-0000-0000-0000D62D0000}"/>
    <cellStyle name="Porcentual 23 5 2" xfId="7444" xr:uid="{00000000-0005-0000-0000-0000D72D0000}"/>
    <cellStyle name="Porcentual 23 5 3" xfId="9424" xr:uid="{00000000-0005-0000-0000-0000D82D0000}"/>
    <cellStyle name="Porcentual 23 6" xfId="3902" xr:uid="{00000000-0005-0000-0000-0000D92D0000}"/>
    <cellStyle name="Porcentual 23 6 2" xfId="7445" xr:uid="{00000000-0005-0000-0000-0000DA2D0000}"/>
    <cellStyle name="Porcentual 23 6 3" xfId="9425" xr:uid="{00000000-0005-0000-0000-0000DB2D0000}"/>
    <cellStyle name="Porcentual 23 7" xfId="3903" xr:uid="{00000000-0005-0000-0000-0000DC2D0000}"/>
    <cellStyle name="Porcentual 23 7 2" xfId="7446" xr:uid="{00000000-0005-0000-0000-0000DD2D0000}"/>
    <cellStyle name="Porcentual 23 7 3" xfId="9426" xr:uid="{00000000-0005-0000-0000-0000DE2D0000}"/>
    <cellStyle name="Porcentual 23 8" xfId="3904" xr:uid="{00000000-0005-0000-0000-0000DF2D0000}"/>
    <cellStyle name="Porcentual 23 8 2" xfId="7447" xr:uid="{00000000-0005-0000-0000-0000E02D0000}"/>
    <cellStyle name="Porcentual 23 8 3" xfId="9427" xr:uid="{00000000-0005-0000-0000-0000E12D0000}"/>
    <cellStyle name="Porcentual 23 9" xfId="3905" xr:uid="{00000000-0005-0000-0000-0000E22D0000}"/>
    <cellStyle name="Porcentual 23 9 2" xfId="7448" xr:uid="{00000000-0005-0000-0000-0000E32D0000}"/>
    <cellStyle name="Porcentual 23 9 3" xfId="9428" xr:uid="{00000000-0005-0000-0000-0000E42D0000}"/>
    <cellStyle name="Porcentual 24" xfId="3906" xr:uid="{00000000-0005-0000-0000-0000E52D0000}"/>
    <cellStyle name="Porcentual 24 10" xfId="3907" xr:uid="{00000000-0005-0000-0000-0000E62D0000}"/>
    <cellStyle name="Porcentual 24 10 2" xfId="7449" xr:uid="{00000000-0005-0000-0000-0000E72D0000}"/>
    <cellStyle name="Porcentual 24 10 3" xfId="9430" xr:uid="{00000000-0005-0000-0000-0000E82D0000}"/>
    <cellStyle name="Porcentual 24 11" xfId="3908" xr:uid="{00000000-0005-0000-0000-0000E92D0000}"/>
    <cellStyle name="Porcentual 24 11 2" xfId="7450" xr:uid="{00000000-0005-0000-0000-0000EA2D0000}"/>
    <cellStyle name="Porcentual 24 11 3" xfId="9431" xr:uid="{00000000-0005-0000-0000-0000EB2D0000}"/>
    <cellStyle name="Porcentual 24 12" xfId="3909" xr:uid="{00000000-0005-0000-0000-0000EC2D0000}"/>
    <cellStyle name="Porcentual 24 12 2" xfId="7451" xr:uid="{00000000-0005-0000-0000-0000ED2D0000}"/>
    <cellStyle name="Porcentual 24 12 3" xfId="9432" xr:uid="{00000000-0005-0000-0000-0000EE2D0000}"/>
    <cellStyle name="Porcentual 24 13" xfId="3910" xr:uid="{00000000-0005-0000-0000-0000EF2D0000}"/>
    <cellStyle name="Porcentual 24 13 2" xfId="7452" xr:uid="{00000000-0005-0000-0000-0000F02D0000}"/>
    <cellStyle name="Porcentual 24 13 3" xfId="9433" xr:uid="{00000000-0005-0000-0000-0000F12D0000}"/>
    <cellStyle name="Porcentual 24 14" xfId="3911" xr:uid="{00000000-0005-0000-0000-0000F22D0000}"/>
    <cellStyle name="Porcentual 24 14 2" xfId="7453" xr:uid="{00000000-0005-0000-0000-0000F32D0000}"/>
    <cellStyle name="Porcentual 24 14 3" xfId="9434" xr:uid="{00000000-0005-0000-0000-0000F42D0000}"/>
    <cellStyle name="Porcentual 24 15" xfId="3912" xr:uid="{00000000-0005-0000-0000-0000F52D0000}"/>
    <cellStyle name="Porcentual 24 15 2" xfId="7454" xr:uid="{00000000-0005-0000-0000-0000F62D0000}"/>
    <cellStyle name="Porcentual 24 15 3" xfId="9435" xr:uid="{00000000-0005-0000-0000-0000F72D0000}"/>
    <cellStyle name="Porcentual 24 16" xfId="3913" xr:uid="{00000000-0005-0000-0000-0000F82D0000}"/>
    <cellStyle name="Porcentual 24 16 2" xfId="7455" xr:uid="{00000000-0005-0000-0000-0000F92D0000}"/>
    <cellStyle name="Porcentual 24 16 3" xfId="9436" xr:uid="{00000000-0005-0000-0000-0000FA2D0000}"/>
    <cellStyle name="Porcentual 24 17" xfId="3914" xr:uid="{00000000-0005-0000-0000-0000FB2D0000}"/>
    <cellStyle name="Porcentual 24 17 2" xfId="7456" xr:uid="{00000000-0005-0000-0000-0000FC2D0000}"/>
    <cellStyle name="Porcentual 24 17 3" xfId="9437" xr:uid="{00000000-0005-0000-0000-0000FD2D0000}"/>
    <cellStyle name="Porcentual 24 18" xfId="3915" xr:uid="{00000000-0005-0000-0000-0000FE2D0000}"/>
    <cellStyle name="Porcentual 24 18 2" xfId="7457" xr:uid="{00000000-0005-0000-0000-0000FF2D0000}"/>
    <cellStyle name="Porcentual 24 18 3" xfId="9438" xr:uid="{00000000-0005-0000-0000-0000002E0000}"/>
    <cellStyle name="Porcentual 24 19" xfId="3916" xr:uid="{00000000-0005-0000-0000-0000012E0000}"/>
    <cellStyle name="Porcentual 24 19 2" xfId="7458" xr:uid="{00000000-0005-0000-0000-0000022E0000}"/>
    <cellStyle name="Porcentual 24 19 3" xfId="9439" xr:uid="{00000000-0005-0000-0000-0000032E0000}"/>
    <cellStyle name="Porcentual 24 2" xfId="3917" xr:uid="{00000000-0005-0000-0000-0000042E0000}"/>
    <cellStyle name="Porcentual 24 2 2" xfId="7459" xr:uid="{00000000-0005-0000-0000-0000052E0000}"/>
    <cellStyle name="Porcentual 24 2 3" xfId="9440" xr:uid="{00000000-0005-0000-0000-0000062E0000}"/>
    <cellStyle name="Porcentual 24 20" xfId="3918" xr:uid="{00000000-0005-0000-0000-0000072E0000}"/>
    <cellStyle name="Porcentual 24 20 2" xfId="7460" xr:uid="{00000000-0005-0000-0000-0000082E0000}"/>
    <cellStyle name="Porcentual 24 20 3" xfId="9441" xr:uid="{00000000-0005-0000-0000-0000092E0000}"/>
    <cellStyle name="Porcentual 24 21" xfId="3919" xr:uid="{00000000-0005-0000-0000-00000A2E0000}"/>
    <cellStyle name="Porcentual 24 21 2" xfId="7461" xr:uid="{00000000-0005-0000-0000-00000B2E0000}"/>
    <cellStyle name="Porcentual 24 21 3" xfId="9442" xr:uid="{00000000-0005-0000-0000-00000C2E0000}"/>
    <cellStyle name="Porcentual 24 22" xfId="3920" xr:uid="{00000000-0005-0000-0000-00000D2E0000}"/>
    <cellStyle name="Porcentual 24 22 2" xfId="7462" xr:uid="{00000000-0005-0000-0000-00000E2E0000}"/>
    <cellStyle name="Porcentual 24 22 3" xfId="9443" xr:uid="{00000000-0005-0000-0000-00000F2E0000}"/>
    <cellStyle name="Porcentual 24 23" xfId="3921" xr:uid="{00000000-0005-0000-0000-0000102E0000}"/>
    <cellStyle name="Porcentual 24 23 2" xfId="7463" xr:uid="{00000000-0005-0000-0000-0000112E0000}"/>
    <cellStyle name="Porcentual 24 23 3" xfId="9444" xr:uid="{00000000-0005-0000-0000-0000122E0000}"/>
    <cellStyle name="Porcentual 24 24" xfId="3922" xr:uid="{00000000-0005-0000-0000-0000132E0000}"/>
    <cellStyle name="Porcentual 24 24 2" xfId="7464" xr:uid="{00000000-0005-0000-0000-0000142E0000}"/>
    <cellStyle name="Porcentual 24 24 3" xfId="9445" xr:uid="{00000000-0005-0000-0000-0000152E0000}"/>
    <cellStyle name="Porcentual 24 25" xfId="3923" xr:uid="{00000000-0005-0000-0000-0000162E0000}"/>
    <cellStyle name="Porcentual 24 25 2" xfId="7465" xr:uid="{00000000-0005-0000-0000-0000172E0000}"/>
    <cellStyle name="Porcentual 24 25 3" xfId="9446" xr:uid="{00000000-0005-0000-0000-0000182E0000}"/>
    <cellStyle name="Porcentual 24 26" xfId="3924" xr:uid="{00000000-0005-0000-0000-0000192E0000}"/>
    <cellStyle name="Porcentual 24 26 2" xfId="7466" xr:uid="{00000000-0005-0000-0000-00001A2E0000}"/>
    <cellStyle name="Porcentual 24 26 3" xfId="9447" xr:uid="{00000000-0005-0000-0000-00001B2E0000}"/>
    <cellStyle name="Porcentual 24 27" xfId="3925" xr:uid="{00000000-0005-0000-0000-00001C2E0000}"/>
    <cellStyle name="Porcentual 24 27 2" xfId="7467" xr:uid="{00000000-0005-0000-0000-00001D2E0000}"/>
    <cellStyle name="Porcentual 24 27 3" xfId="9448" xr:uid="{00000000-0005-0000-0000-00001E2E0000}"/>
    <cellStyle name="Porcentual 24 28" xfId="3926" xr:uid="{00000000-0005-0000-0000-00001F2E0000}"/>
    <cellStyle name="Porcentual 24 28 2" xfId="7468" xr:uid="{00000000-0005-0000-0000-0000202E0000}"/>
    <cellStyle name="Porcentual 24 28 3" xfId="9449" xr:uid="{00000000-0005-0000-0000-0000212E0000}"/>
    <cellStyle name="Porcentual 24 29" xfId="7469" xr:uid="{00000000-0005-0000-0000-0000222E0000}"/>
    <cellStyle name="Porcentual 24 3" xfId="3927" xr:uid="{00000000-0005-0000-0000-0000232E0000}"/>
    <cellStyle name="Porcentual 24 3 2" xfId="7470" xr:uid="{00000000-0005-0000-0000-0000242E0000}"/>
    <cellStyle name="Porcentual 24 3 3" xfId="9450" xr:uid="{00000000-0005-0000-0000-0000252E0000}"/>
    <cellStyle name="Porcentual 24 30" xfId="9429" xr:uid="{00000000-0005-0000-0000-0000262E0000}"/>
    <cellStyle name="Porcentual 24 4" xfId="3928" xr:uid="{00000000-0005-0000-0000-0000272E0000}"/>
    <cellStyle name="Porcentual 24 4 2" xfId="7471" xr:uid="{00000000-0005-0000-0000-0000282E0000}"/>
    <cellStyle name="Porcentual 24 4 3" xfId="9451" xr:uid="{00000000-0005-0000-0000-0000292E0000}"/>
    <cellStyle name="Porcentual 24 5" xfId="3929" xr:uid="{00000000-0005-0000-0000-00002A2E0000}"/>
    <cellStyle name="Porcentual 24 5 2" xfId="7472" xr:uid="{00000000-0005-0000-0000-00002B2E0000}"/>
    <cellStyle name="Porcentual 24 5 3" xfId="9452" xr:uid="{00000000-0005-0000-0000-00002C2E0000}"/>
    <cellStyle name="Porcentual 24 6" xfId="3930" xr:uid="{00000000-0005-0000-0000-00002D2E0000}"/>
    <cellStyle name="Porcentual 24 6 2" xfId="7473" xr:uid="{00000000-0005-0000-0000-00002E2E0000}"/>
    <cellStyle name="Porcentual 24 6 3" xfId="9453" xr:uid="{00000000-0005-0000-0000-00002F2E0000}"/>
    <cellStyle name="Porcentual 24 7" xfId="3931" xr:uid="{00000000-0005-0000-0000-0000302E0000}"/>
    <cellStyle name="Porcentual 24 7 2" xfId="7474" xr:uid="{00000000-0005-0000-0000-0000312E0000}"/>
    <cellStyle name="Porcentual 24 7 3" xfId="9454" xr:uid="{00000000-0005-0000-0000-0000322E0000}"/>
    <cellStyle name="Porcentual 24 8" xfId="3932" xr:uid="{00000000-0005-0000-0000-0000332E0000}"/>
    <cellStyle name="Porcentual 24 8 2" xfId="7475" xr:uid="{00000000-0005-0000-0000-0000342E0000}"/>
    <cellStyle name="Porcentual 24 8 3" xfId="9455" xr:uid="{00000000-0005-0000-0000-0000352E0000}"/>
    <cellStyle name="Porcentual 24 9" xfId="3933" xr:uid="{00000000-0005-0000-0000-0000362E0000}"/>
    <cellStyle name="Porcentual 24 9 2" xfId="7476" xr:uid="{00000000-0005-0000-0000-0000372E0000}"/>
    <cellStyle name="Porcentual 24 9 3" xfId="9456" xr:uid="{00000000-0005-0000-0000-0000382E0000}"/>
    <cellStyle name="Porcentual 25" xfId="3934" xr:uid="{00000000-0005-0000-0000-0000392E0000}"/>
    <cellStyle name="Porcentual 25 10" xfId="3935" xr:uid="{00000000-0005-0000-0000-00003A2E0000}"/>
    <cellStyle name="Porcentual 25 10 2" xfId="7477" xr:uid="{00000000-0005-0000-0000-00003B2E0000}"/>
    <cellStyle name="Porcentual 25 10 3" xfId="9458" xr:uid="{00000000-0005-0000-0000-00003C2E0000}"/>
    <cellStyle name="Porcentual 25 11" xfId="3936" xr:uid="{00000000-0005-0000-0000-00003D2E0000}"/>
    <cellStyle name="Porcentual 25 11 2" xfId="7478" xr:uid="{00000000-0005-0000-0000-00003E2E0000}"/>
    <cellStyle name="Porcentual 25 11 3" xfId="9459" xr:uid="{00000000-0005-0000-0000-00003F2E0000}"/>
    <cellStyle name="Porcentual 25 12" xfId="3937" xr:uid="{00000000-0005-0000-0000-0000402E0000}"/>
    <cellStyle name="Porcentual 25 12 2" xfId="7479" xr:uid="{00000000-0005-0000-0000-0000412E0000}"/>
    <cellStyle name="Porcentual 25 12 3" xfId="9460" xr:uid="{00000000-0005-0000-0000-0000422E0000}"/>
    <cellStyle name="Porcentual 25 13" xfId="3938" xr:uid="{00000000-0005-0000-0000-0000432E0000}"/>
    <cellStyle name="Porcentual 25 13 2" xfId="7480" xr:uid="{00000000-0005-0000-0000-0000442E0000}"/>
    <cellStyle name="Porcentual 25 13 3" xfId="9461" xr:uid="{00000000-0005-0000-0000-0000452E0000}"/>
    <cellStyle name="Porcentual 25 14" xfId="3939" xr:uid="{00000000-0005-0000-0000-0000462E0000}"/>
    <cellStyle name="Porcentual 25 14 2" xfId="7481" xr:uid="{00000000-0005-0000-0000-0000472E0000}"/>
    <cellStyle name="Porcentual 25 14 3" xfId="9462" xr:uid="{00000000-0005-0000-0000-0000482E0000}"/>
    <cellStyle name="Porcentual 25 15" xfId="3940" xr:uid="{00000000-0005-0000-0000-0000492E0000}"/>
    <cellStyle name="Porcentual 25 15 2" xfId="7482" xr:uid="{00000000-0005-0000-0000-00004A2E0000}"/>
    <cellStyle name="Porcentual 25 15 3" xfId="9463" xr:uid="{00000000-0005-0000-0000-00004B2E0000}"/>
    <cellStyle name="Porcentual 25 16" xfId="3941" xr:uid="{00000000-0005-0000-0000-00004C2E0000}"/>
    <cellStyle name="Porcentual 25 16 2" xfId="7483" xr:uid="{00000000-0005-0000-0000-00004D2E0000}"/>
    <cellStyle name="Porcentual 25 16 3" xfId="9464" xr:uid="{00000000-0005-0000-0000-00004E2E0000}"/>
    <cellStyle name="Porcentual 25 17" xfId="3942" xr:uid="{00000000-0005-0000-0000-00004F2E0000}"/>
    <cellStyle name="Porcentual 25 17 2" xfId="7484" xr:uid="{00000000-0005-0000-0000-0000502E0000}"/>
    <cellStyle name="Porcentual 25 17 3" xfId="9465" xr:uid="{00000000-0005-0000-0000-0000512E0000}"/>
    <cellStyle name="Porcentual 25 18" xfId="3943" xr:uid="{00000000-0005-0000-0000-0000522E0000}"/>
    <cellStyle name="Porcentual 25 18 2" xfId="7485" xr:uid="{00000000-0005-0000-0000-0000532E0000}"/>
    <cellStyle name="Porcentual 25 18 3" xfId="9466" xr:uid="{00000000-0005-0000-0000-0000542E0000}"/>
    <cellStyle name="Porcentual 25 19" xfId="3944" xr:uid="{00000000-0005-0000-0000-0000552E0000}"/>
    <cellStyle name="Porcentual 25 19 2" xfId="7486" xr:uid="{00000000-0005-0000-0000-0000562E0000}"/>
    <cellStyle name="Porcentual 25 19 3" xfId="9467" xr:uid="{00000000-0005-0000-0000-0000572E0000}"/>
    <cellStyle name="Porcentual 25 2" xfId="3945" xr:uid="{00000000-0005-0000-0000-0000582E0000}"/>
    <cellStyle name="Porcentual 25 2 2" xfId="7487" xr:uid="{00000000-0005-0000-0000-0000592E0000}"/>
    <cellStyle name="Porcentual 25 2 3" xfId="9468" xr:uid="{00000000-0005-0000-0000-00005A2E0000}"/>
    <cellStyle name="Porcentual 25 20" xfId="3946" xr:uid="{00000000-0005-0000-0000-00005B2E0000}"/>
    <cellStyle name="Porcentual 25 20 2" xfId="7488" xr:uid="{00000000-0005-0000-0000-00005C2E0000}"/>
    <cellStyle name="Porcentual 25 20 3" xfId="9469" xr:uid="{00000000-0005-0000-0000-00005D2E0000}"/>
    <cellStyle name="Porcentual 25 21" xfId="3947" xr:uid="{00000000-0005-0000-0000-00005E2E0000}"/>
    <cellStyle name="Porcentual 25 21 2" xfId="7489" xr:uid="{00000000-0005-0000-0000-00005F2E0000}"/>
    <cellStyle name="Porcentual 25 21 3" xfId="9470" xr:uid="{00000000-0005-0000-0000-0000602E0000}"/>
    <cellStyle name="Porcentual 25 22" xfId="3948" xr:uid="{00000000-0005-0000-0000-0000612E0000}"/>
    <cellStyle name="Porcentual 25 22 2" xfId="7490" xr:uid="{00000000-0005-0000-0000-0000622E0000}"/>
    <cellStyle name="Porcentual 25 22 3" xfId="9471" xr:uid="{00000000-0005-0000-0000-0000632E0000}"/>
    <cellStyle name="Porcentual 25 23" xfId="3949" xr:uid="{00000000-0005-0000-0000-0000642E0000}"/>
    <cellStyle name="Porcentual 25 23 2" xfId="7491" xr:uid="{00000000-0005-0000-0000-0000652E0000}"/>
    <cellStyle name="Porcentual 25 23 3" xfId="9472" xr:uid="{00000000-0005-0000-0000-0000662E0000}"/>
    <cellStyle name="Porcentual 25 24" xfId="3950" xr:uid="{00000000-0005-0000-0000-0000672E0000}"/>
    <cellStyle name="Porcentual 25 24 2" xfId="7492" xr:uid="{00000000-0005-0000-0000-0000682E0000}"/>
    <cellStyle name="Porcentual 25 24 3" xfId="9473" xr:uid="{00000000-0005-0000-0000-0000692E0000}"/>
    <cellStyle name="Porcentual 25 25" xfId="3951" xr:uid="{00000000-0005-0000-0000-00006A2E0000}"/>
    <cellStyle name="Porcentual 25 25 2" xfId="7493" xr:uid="{00000000-0005-0000-0000-00006B2E0000}"/>
    <cellStyle name="Porcentual 25 25 3" xfId="9474" xr:uid="{00000000-0005-0000-0000-00006C2E0000}"/>
    <cellStyle name="Porcentual 25 26" xfId="3952" xr:uid="{00000000-0005-0000-0000-00006D2E0000}"/>
    <cellStyle name="Porcentual 25 26 2" xfId="7494" xr:uid="{00000000-0005-0000-0000-00006E2E0000}"/>
    <cellStyle name="Porcentual 25 26 3" xfId="9475" xr:uid="{00000000-0005-0000-0000-00006F2E0000}"/>
    <cellStyle name="Porcentual 25 27" xfId="3953" xr:uid="{00000000-0005-0000-0000-0000702E0000}"/>
    <cellStyle name="Porcentual 25 27 2" xfId="7495" xr:uid="{00000000-0005-0000-0000-0000712E0000}"/>
    <cellStyle name="Porcentual 25 27 3" xfId="9476" xr:uid="{00000000-0005-0000-0000-0000722E0000}"/>
    <cellStyle name="Porcentual 25 28" xfId="3954" xr:uid="{00000000-0005-0000-0000-0000732E0000}"/>
    <cellStyle name="Porcentual 25 28 2" xfId="7496" xr:uid="{00000000-0005-0000-0000-0000742E0000}"/>
    <cellStyle name="Porcentual 25 28 3" xfId="9477" xr:uid="{00000000-0005-0000-0000-0000752E0000}"/>
    <cellStyle name="Porcentual 25 29" xfId="7497" xr:uid="{00000000-0005-0000-0000-0000762E0000}"/>
    <cellStyle name="Porcentual 25 3" xfId="3955" xr:uid="{00000000-0005-0000-0000-0000772E0000}"/>
    <cellStyle name="Porcentual 25 3 2" xfId="7498" xr:uid="{00000000-0005-0000-0000-0000782E0000}"/>
    <cellStyle name="Porcentual 25 3 3" xfId="9478" xr:uid="{00000000-0005-0000-0000-0000792E0000}"/>
    <cellStyle name="Porcentual 25 30" xfId="9457" xr:uid="{00000000-0005-0000-0000-00007A2E0000}"/>
    <cellStyle name="Porcentual 25 4" xfId="3956" xr:uid="{00000000-0005-0000-0000-00007B2E0000}"/>
    <cellStyle name="Porcentual 25 4 2" xfId="7499" xr:uid="{00000000-0005-0000-0000-00007C2E0000}"/>
    <cellStyle name="Porcentual 25 4 3" xfId="9479" xr:uid="{00000000-0005-0000-0000-00007D2E0000}"/>
    <cellStyle name="Porcentual 25 5" xfId="3957" xr:uid="{00000000-0005-0000-0000-00007E2E0000}"/>
    <cellStyle name="Porcentual 25 5 2" xfId="7500" xr:uid="{00000000-0005-0000-0000-00007F2E0000}"/>
    <cellStyle name="Porcentual 25 5 3" xfId="9480" xr:uid="{00000000-0005-0000-0000-0000802E0000}"/>
    <cellStyle name="Porcentual 25 6" xfId="3958" xr:uid="{00000000-0005-0000-0000-0000812E0000}"/>
    <cellStyle name="Porcentual 25 6 2" xfId="7501" xr:uid="{00000000-0005-0000-0000-0000822E0000}"/>
    <cellStyle name="Porcentual 25 6 3" xfId="9481" xr:uid="{00000000-0005-0000-0000-0000832E0000}"/>
    <cellStyle name="Porcentual 25 7" xfId="3959" xr:uid="{00000000-0005-0000-0000-0000842E0000}"/>
    <cellStyle name="Porcentual 25 7 2" xfId="7502" xr:uid="{00000000-0005-0000-0000-0000852E0000}"/>
    <cellStyle name="Porcentual 25 7 3" xfId="9482" xr:uid="{00000000-0005-0000-0000-0000862E0000}"/>
    <cellStyle name="Porcentual 25 8" xfId="3960" xr:uid="{00000000-0005-0000-0000-0000872E0000}"/>
    <cellStyle name="Porcentual 25 8 2" xfId="7503" xr:uid="{00000000-0005-0000-0000-0000882E0000}"/>
    <cellStyle name="Porcentual 25 8 3" xfId="9483" xr:uid="{00000000-0005-0000-0000-0000892E0000}"/>
    <cellStyle name="Porcentual 25 9" xfId="3961" xr:uid="{00000000-0005-0000-0000-00008A2E0000}"/>
    <cellStyle name="Porcentual 25 9 2" xfId="7504" xr:uid="{00000000-0005-0000-0000-00008B2E0000}"/>
    <cellStyle name="Porcentual 25 9 3" xfId="9484" xr:uid="{00000000-0005-0000-0000-00008C2E0000}"/>
    <cellStyle name="Porcentual 250" xfId="3962" xr:uid="{00000000-0005-0000-0000-00008D2E0000}"/>
    <cellStyle name="Porcentual 250 2" xfId="7505" xr:uid="{00000000-0005-0000-0000-00008E2E0000}"/>
    <cellStyle name="Porcentual 26" xfId="3963" xr:uid="{00000000-0005-0000-0000-00008F2E0000}"/>
    <cellStyle name="Porcentual 26 10" xfId="3964" xr:uid="{00000000-0005-0000-0000-0000902E0000}"/>
    <cellStyle name="Porcentual 26 10 2" xfId="7506" xr:uid="{00000000-0005-0000-0000-0000912E0000}"/>
    <cellStyle name="Porcentual 26 10 3" xfId="9486" xr:uid="{00000000-0005-0000-0000-0000922E0000}"/>
    <cellStyle name="Porcentual 26 11" xfId="3965" xr:uid="{00000000-0005-0000-0000-0000932E0000}"/>
    <cellStyle name="Porcentual 26 11 2" xfId="7507" xr:uid="{00000000-0005-0000-0000-0000942E0000}"/>
    <cellStyle name="Porcentual 26 11 3" xfId="9487" xr:uid="{00000000-0005-0000-0000-0000952E0000}"/>
    <cellStyle name="Porcentual 26 12" xfId="3966" xr:uid="{00000000-0005-0000-0000-0000962E0000}"/>
    <cellStyle name="Porcentual 26 12 2" xfId="7508" xr:uid="{00000000-0005-0000-0000-0000972E0000}"/>
    <cellStyle name="Porcentual 26 12 3" xfId="9488" xr:uid="{00000000-0005-0000-0000-0000982E0000}"/>
    <cellStyle name="Porcentual 26 13" xfId="3967" xr:uid="{00000000-0005-0000-0000-0000992E0000}"/>
    <cellStyle name="Porcentual 26 13 2" xfId="7509" xr:uid="{00000000-0005-0000-0000-00009A2E0000}"/>
    <cellStyle name="Porcentual 26 13 3" xfId="9489" xr:uid="{00000000-0005-0000-0000-00009B2E0000}"/>
    <cellStyle name="Porcentual 26 14" xfId="3968" xr:uid="{00000000-0005-0000-0000-00009C2E0000}"/>
    <cellStyle name="Porcentual 26 14 2" xfId="7510" xr:uid="{00000000-0005-0000-0000-00009D2E0000}"/>
    <cellStyle name="Porcentual 26 14 3" xfId="9490" xr:uid="{00000000-0005-0000-0000-00009E2E0000}"/>
    <cellStyle name="Porcentual 26 15" xfId="3969" xr:uid="{00000000-0005-0000-0000-00009F2E0000}"/>
    <cellStyle name="Porcentual 26 15 2" xfId="7511" xr:uid="{00000000-0005-0000-0000-0000A02E0000}"/>
    <cellStyle name="Porcentual 26 15 3" xfId="9491" xr:uid="{00000000-0005-0000-0000-0000A12E0000}"/>
    <cellStyle name="Porcentual 26 16" xfId="3970" xr:uid="{00000000-0005-0000-0000-0000A22E0000}"/>
    <cellStyle name="Porcentual 26 16 2" xfId="7512" xr:uid="{00000000-0005-0000-0000-0000A32E0000}"/>
    <cellStyle name="Porcentual 26 16 3" xfId="9492" xr:uid="{00000000-0005-0000-0000-0000A42E0000}"/>
    <cellStyle name="Porcentual 26 17" xfId="3971" xr:uid="{00000000-0005-0000-0000-0000A52E0000}"/>
    <cellStyle name="Porcentual 26 17 2" xfId="7513" xr:uid="{00000000-0005-0000-0000-0000A62E0000}"/>
    <cellStyle name="Porcentual 26 17 3" xfId="9493" xr:uid="{00000000-0005-0000-0000-0000A72E0000}"/>
    <cellStyle name="Porcentual 26 18" xfId="3972" xr:uid="{00000000-0005-0000-0000-0000A82E0000}"/>
    <cellStyle name="Porcentual 26 18 2" xfId="7514" xr:uid="{00000000-0005-0000-0000-0000A92E0000}"/>
    <cellStyle name="Porcentual 26 18 3" xfId="9494" xr:uid="{00000000-0005-0000-0000-0000AA2E0000}"/>
    <cellStyle name="Porcentual 26 19" xfId="3973" xr:uid="{00000000-0005-0000-0000-0000AB2E0000}"/>
    <cellStyle name="Porcentual 26 19 2" xfId="7515" xr:uid="{00000000-0005-0000-0000-0000AC2E0000}"/>
    <cellStyle name="Porcentual 26 19 3" xfId="9495" xr:uid="{00000000-0005-0000-0000-0000AD2E0000}"/>
    <cellStyle name="Porcentual 26 2" xfId="3974" xr:uid="{00000000-0005-0000-0000-0000AE2E0000}"/>
    <cellStyle name="Porcentual 26 2 2" xfId="7516" xr:uid="{00000000-0005-0000-0000-0000AF2E0000}"/>
    <cellStyle name="Porcentual 26 2 3" xfId="9496" xr:uid="{00000000-0005-0000-0000-0000B02E0000}"/>
    <cellStyle name="Porcentual 26 20" xfId="3975" xr:uid="{00000000-0005-0000-0000-0000B12E0000}"/>
    <cellStyle name="Porcentual 26 20 2" xfId="7517" xr:uid="{00000000-0005-0000-0000-0000B22E0000}"/>
    <cellStyle name="Porcentual 26 20 3" xfId="9497" xr:uid="{00000000-0005-0000-0000-0000B32E0000}"/>
    <cellStyle name="Porcentual 26 21" xfId="3976" xr:uid="{00000000-0005-0000-0000-0000B42E0000}"/>
    <cellStyle name="Porcentual 26 21 2" xfId="7518" xr:uid="{00000000-0005-0000-0000-0000B52E0000}"/>
    <cellStyle name="Porcentual 26 21 3" xfId="9498" xr:uid="{00000000-0005-0000-0000-0000B62E0000}"/>
    <cellStyle name="Porcentual 26 22" xfId="3977" xr:uid="{00000000-0005-0000-0000-0000B72E0000}"/>
    <cellStyle name="Porcentual 26 22 2" xfId="7519" xr:uid="{00000000-0005-0000-0000-0000B82E0000}"/>
    <cellStyle name="Porcentual 26 22 3" xfId="9499" xr:uid="{00000000-0005-0000-0000-0000B92E0000}"/>
    <cellStyle name="Porcentual 26 23" xfId="3978" xr:uid="{00000000-0005-0000-0000-0000BA2E0000}"/>
    <cellStyle name="Porcentual 26 23 2" xfId="7520" xr:uid="{00000000-0005-0000-0000-0000BB2E0000}"/>
    <cellStyle name="Porcentual 26 23 3" xfId="9500" xr:uid="{00000000-0005-0000-0000-0000BC2E0000}"/>
    <cellStyle name="Porcentual 26 24" xfId="3979" xr:uid="{00000000-0005-0000-0000-0000BD2E0000}"/>
    <cellStyle name="Porcentual 26 24 2" xfId="7521" xr:uid="{00000000-0005-0000-0000-0000BE2E0000}"/>
    <cellStyle name="Porcentual 26 24 3" xfId="9501" xr:uid="{00000000-0005-0000-0000-0000BF2E0000}"/>
    <cellStyle name="Porcentual 26 25" xfId="3980" xr:uid="{00000000-0005-0000-0000-0000C02E0000}"/>
    <cellStyle name="Porcentual 26 25 2" xfId="7522" xr:uid="{00000000-0005-0000-0000-0000C12E0000}"/>
    <cellStyle name="Porcentual 26 25 3" xfId="9502" xr:uid="{00000000-0005-0000-0000-0000C22E0000}"/>
    <cellStyle name="Porcentual 26 26" xfId="3981" xr:uid="{00000000-0005-0000-0000-0000C32E0000}"/>
    <cellStyle name="Porcentual 26 26 2" xfId="7523" xr:uid="{00000000-0005-0000-0000-0000C42E0000}"/>
    <cellStyle name="Porcentual 26 26 3" xfId="9503" xr:uid="{00000000-0005-0000-0000-0000C52E0000}"/>
    <cellStyle name="Porcentual 26 27" xfId="3982" xr:uid="{00000000-0005-0000-0000-0000C62E0000}"/>
    <cellStyle name="Porcentual 26 27 2" xfId="7524" xr:uid="{00000000-0005-0000-0000-0000C72E0000}"/>
    <cellStyle name="Porcentual 26 27 3" xfId="9504" xr:uid="{00000000-0005-0000-0000-0000C82E0000}"/>
    <cellStyle name="Porcentual 26 28" xfId="3983" xr:uid="{00000000-0005-0000-0000-0000C92E0000}"/>
    <cellStyle name="Porcentual 26 28 2" xfId="7525" xr:uid="{00000000-0005-0000-0000-0000CA2E0000}"/>
    <cellStyle name="Porcentual 26 28 3" xfId="9505" xr:uid="{00000000-0005-0000-0000-0000CB2E0000}"/>
    <cellStyle name="Porcentual 26 29" xfId="7526" xr:uid="{00000000-0005-0000-0000-0000CC2E0000}"/>
    <cellStyle name="Porcentual 26 3" xfId="3984" xr:uid="{00000000-0005-0000-0000-0000CD2E0000}"/>
    <cellStyle name="Porcentual 26 3 2" xfId="7527" xr:uid="{00000000-0005-0000-0000-0000CE2E0000}"/>
    <cellStyle name="Porcentual 26 3 3" xfId="9506" xr:uid="{00000000-0005-0000-0000-0000CF2E0000}"/>
    <cellStyle name="Porcentual 26 30" xfId="9485" xr:uid="{00000000-0005-0000-0000-0000D02E0000}"/>
    <cellStyle name="Porcentual 26 4" xfId="3985" xr:uid="{00000000-0005-0000-0000-0000D12E0000}"/>
    <cellStyle name="Porcentual 26 4 2" xfId="7528" xr:uid="{00000000-0005-0000-0000-0000D22E0000}"/>
    <cellStyle name="Porcentual 26 4 3" xfId="9507" xr:uid="{00000000-0005-0000-0000-0000D32E0000}"/>
    <cellStyle name="Porcentual 26 5" xfId="3986" xr:uid="{00000000-0005-0000-0000-0000D42E0000}"/>
    <cellStyle name="Porcentual 26 5 2" xfId="7529" xr:uid="{00000000-0005-0000-0000-0000D52E0000}"/>
    <cellStyle name="Porcentual 26 5 3" xfId="9508" xr:uid="{00000000-0005-0000-0000-0000D62E0000}"/>
    <cellStyle name="Porcentual 26 6" xfId="3987" xr:uid="{00000000-0005-0000-0000-0000D72E0000}"/>
    <cellStyle name="Porcentual 26 6 2" xfId="7530" xr:uid="{00000000-0005-0000-0000-0000D82E0000}"/>
    <cellStyle name="Porcentual 26 6 3" xfId="9509" xr:uid="{00000000-0005-0000-0000-0000D92E0000}"/>
    <cellStyle name="Porcentual 26 7" xfId="3988" xr:uid="{00000000-0005-0000-0000-0000DA2E0000}"/>
    <cellStyle name="Porcentual 26 7 2" xfId="7531" xr:uid="{00000000-0005-0000-0000-0000DB2E0000}"/>
    <cellStyle name="Porcentual 26 7 3" xfId="9510" xr:uid="{00000000-0005-0000-0000-0000DC2E0000}"/>
    <cellStyle name="Porcentual 26 8" xfId="3989" xr:uid="{00000000-0005-0000-0000-0000DD2E0000}"/>
    <cellStyle name="Porcentual 26 8 2" xfId="7532" xr:uid="{00000000-0005-0000-0000-0000DE2E0000}"/>
    <cellStyle name="Porcentual 26 8 3" xfId="9511" xr:uid="{00000000-0005-0000-0000-0000DF2E0000}"/>
    <cellStyle name="Porcentual 26 9" xfId="3990" xr:uid="{00000000-0005-0000-0000-0000E02E0000}"/>
    <cellStyle name="Porcentual 26 9 2" xfId="7533" xr:uid="{00000000-0005-0000-0000-0000E12E0000}"/>
    <cellStyle name="Porcentual 26 9 3" xfId="9512" xr:uid="{00000000-0005-0000-0000-0000E22E0000}"/>
    <cellStyle name="Porcentual 27" xfId="3991" xr:uid="{00000000-0005-0000-0000-0000E32E0000}"/>
    <cellStyle name="Porcentual 27 2" xfId="7534" xr:uid="{00000000-0005-0000-0000-0000E42E0000}"/>
    <cellStyle name="Porcentual 27 2 2" xfId="9785" xr:uid="{00000000-0005-0000-0000-0000E52E0000}"/>
    <cellStyle name="Porcentual 27 2 2 2" xfId="10483" xr:uid="{00000000-0005-0000-0000-0000E62E0000}"/>
    <cellStyle name="Porcentual 27 2 2 2 2" xfId="12218" xr:uid="{00000000-0005-0000-0000-0000E72E0000}"/>
    <cellStyle name="Porcentual 27 2 2 3" xfId="11571" xr:uid="{00000000-0005-0000-0000-0000E82E0000}"/>
    <cellStyle name="Porcentual 27 2 3" xfId="10196" xr:uid="{00000000-0005-0000-0000-0000E92E0000}"/>
    <cellStyle name="Porcentual 27 2 3 2" xfId="11932" xr:uid="{00000000-0005-0000-0000-0000EA2E0000}"/>
    <cellStyle name="Porcentual 27 2 4" xfId="11206" xr:uid="{00000000-0005-0000-0000-0000EB2E0000}"/>
    <cellStyle name="Porcentual 27 3" xfId="7535" xr:uid="{00000000-0005-0000-0000-0000EC2E0000}"/>
    <cellStyle name="Porcentual 27 3 2" xfId="9786" xr:uid="{00000000-0005-0000-0000-0000ED2E0000}"/>
    <cellStyle name="Porcentual 27 3 2 2" xfId="10484" xr:uid="{00000000-0005-0000-0000-0000EE2E0000}"/>
    <cellStyle name="Porcentual 27 3 2 2 2" xfId="12219" xr:uid="{00000000-0005-0000-0000-0000EF2E0000}"/>
    <cellStyle name="Porcentual 27 3 2 3" xfId="11572" xr:uid="{00000000-0005-0000-0000-0000F02E0000}"/>
    <cellStyle name="Porcentual 27 3 3" xfId="10197" xr:uid="{00000000-0005-0000-0000-0000F12E0000}"/>
    <cellStyle name="Porcentual 27 3 3 2" xfId="11933" xr:uid="{00000000-0005-0000-0000-0000F22E0000}"/>
    <cellStyle name="Porcentual 27 3 4" xfId="11207" xr:uid="{00000000-0005-0000-0000-0000F32E0000}"/>
    <cellStyle name="Porcentual 27 4" xfId="9513" xr:uid="{00000000-0005-0000-0000-0000F42E0000}"/>
    <cellStyle name="Porcentual 28" xfId="3992" xr:uid="{00000000-0005-0000-0000-0000F52E0000}"/>
    <cellStyle name="Porcentual 28 2" xfId="7536" xr:uid="{00000000-0005-0000-0000-0000F62E0000}"/>
    <cellStyle name="Porcentual 28 2 2" xfId="9787" xr:uid="{00000000-0005-0000-0000-0000F72E0000}"/>
    <cellStyle name="Porcentual 28 2 2 2" xfId="10485" xr:uid="{00000000-0005-0000-0000-0000F82E0000}"/>
    <cellStyle name="Porcentual 28 2 2 2 2" xfId="12220" xr:uid="{00000000-0005-0000-0000-0000F92E0000}"/>
    <cellStyle name="Porcentual 28 2 2 3" xfId="11573" xr:uid="{00000000-0005-0000-0000-0000FA2E0000}"/>
    <cellStyle name="Porcentual 28 2 3" xfId="10198" xr:uid="{00000000-0005-0000-0000-0000FB2E0000}"/>
    <cellStyle name="Porcentual 28 2 3 2" xfId="11934" xr:uid="{00000000-0005-0000-0000-0000FC2E0000}"/>
    <cellStyle name="Porcentual 28 2 4" xfId="11208" xr:uid="{00000000-0005-0000-0000-0000FD2E0000}"/>
    <cellStyle name="Porcentual 28 3" xfId="7537" xr:uid="{00000000-0005-0000-0000-0000FE2E0000}"/>
    <cellStyle name="Porcentual 28 3 2" xfId="9788" xr:uid="{00000000-0005-0000-0000-0000FF2E0000}"/>
    <cellStyle name="Porcentual 28 3 2 2" xfId="10486" xr:uid="{00000000-0005-0000-0000-0000002F0000}"/>
    <cellStyle name="Porcentual 28 3 2 2 2" xfId="12221" xr:uid="{00000000-0005-0000-0000-0000012F0000}"/>
    <cellStyle name="Porcentual 28 3 2 3" xfId="11574" xr:uid="{00000000-0005-0000-0000-0000022F0000}"/>
    <cellStyle name="Porcentual 28 3 3" xfId="10199" xr:uid="{00000000-0005-0000-0000-0000032F0000}"/>
    <cellStyle name="Porcentual 28 3 3 2" xfId="11935" xr:uid="{00000000-0005-0000-0000-0000042F0000}"/>
    <cellStyle name="Porcentual 28 3 4" xfId="11209" xr:uid="{00000000-0005-0000-0000-0000052F0000}"/>
    <cellStyle name="Porcentual 28 4" xfId="9514" xr:uid="{00000000-0005-0000-0000-0000062F0000}"/>
    <cellStyle name="Porcentual 29" xfId="3993" xr:uid="{00000000-0005-0000-0000-0000072F0000}"/>
    <cellStyle name="Porcentual 29 2" xfId="7538" xr:uid="{00000000-0005-0000-0000-0000082F0000}"/>
    <cellStyle name="Porcentual 29 2 2" xfId="9789" xr:uid="{00000000-0005-0000-0000-0000092F0000}"/>
    <cellStyle name="Porcentual 29 2 2 2" xfId="10487" xr:uid="{00000000-0005-0000-0000-00000A2F0000}"/>
    <cellStyle name="Porcentual 29 2 2 2 2" xfId="12222" xr:uid="{00000000-0005-0000-0000-00000B2F0000}"/>
    <cellStyle name="Porcentual 29 2 2 3" xfId="11575" xr:uid="{00000000-0005-0000-0000-00000C2F0000}"/>
    <cellStyle name="Porcentual 29 2 3" xfId="10200" xr:uid="{00000000-0005-0000-0000-00000D2F0000}"/>
    <cellStyle name="Porcentual 29 2 3 2" xfId="11936" xr:uid="{00000000-0005-0000-0000-00000E2F0000}"/>
    <cellStyle name="Porcentual 29 2 4" xfId="11210" xr:uid="{00000000-0005-0000-0000-00000F2F0000}"/>
    <cellStyle name="Porcentual 29 3" xfId="7539" xr:uid="{00000000-0005-0000-0000-0000102F0000}"/>
    <cellStyle name="Porcentual 29 3 2" xfId="9790" xr:uid="{00000000-0005-0000-0000-0000112F0000}"/>
    <cellStyle name="Porcentual 29 3 2 2" xfId="10488" xr:uid="{00000000-0005-0000-0000-0000122F0000}"/>
    <cellStyle name="Porcentual 29 3 2 2 2" xfId="12223" xr:uid="{00000000-0005-0000-0000-0000132F0000}"/>
    <cellStyle name="Porcentual 29 3 2 3" xfId="11576" xr:uid="{00000000-0005-0000-0000-0000142F0000}"/>
    <cellStyle name="Porcentual 29 3 3" xfId="10201" xr:uid="{00000000-0005-0000-0000-0000152F0000}"/>
    <cellStyle name="Porcentual 29 3 3 2" xfId="11937" xr:uid="{00000000-0005-0000-0000-0000162F0000}"/>
    <cellStyle name="Porcentual 29 3 4" xfId="11211" xr:uid="{00000000-0005-0000-0000-0000172F0000}"/>
    <cellStyle name="Porcentual 29 4" xfId="9515" xr:uid="{00000000-0005-0000-0000-0000182F0000}"/>
    <cellStyle name="Porcentual 3" xfId="122" xr:uid="{00000000-0005-0000-0000-0000192F0000}"/>
    <cellStyle name="Porcentual 3 10" xfId="4352" xr:uid="{00000000-0005-0000-0000-00001A2F0000}"/>
    <cellStyle name="Porcentual 3 2" xfId="123" xr:uid="{00000000-0005-0000-0000-00001B2F0000}"/>
    <cellStyle name="Porcentual 3 2 2" xfId="3995" xr:uid="{00000000-0005-0000-0000-00001C2F0000}"/>
    <cellStyle name="Porcentual 3 2 2 2" xfId="9516" xr:uid="{00000000-0005-0000-0000-00001D2F0000}"/>
    <cellStyle name="Porcentual 3 2 3" xfId="3996" xr:uid="{00000000-0005-0000-0000-00001E2F0000}"/>
    <cellStyle name="Porcentual 3 2 3 2" xfId="9517" xr:uid="{00000000-0005-0000-0000-00001F2F0000}"/>
    <cellStyle name="Porcentual 3 2 4" xfId="3997" xr:uid="{00000000-0005-0000-0000-0000202F0000}"/>
    <cellStyle name="Porcentual 3 2 4 2" xfId="9518" xr:uid="{00000000-0005-0000-0000-0000212F0000}"/>
    <cellStyle name="Porcentual 3 2 5" xfId="3998" xr:uid="{00000000-0005-0000-0000-0000222F0000}"/>
    <cellStyle name="Porcentual 3 2 5 2" xfId="9519" xr:uid="{00000000-0005-0000-0000-0000232F0000}"/>
    <cellStyle name="Porcentual 3 2 6" xfId="3999" xr:uid="{00000000-0005-0000-0000-0000242F0000}"/>
    <cellStyle name="Porcentual 3 2 6 2" xfId="9520" xr:uid="{00000000-0005-0000-0000-0000252F0000}"/>
    <cellStyle name="Porcentual 3 2 7" xfId="4000" xr:uid="{00000000-0005-0000-0000-0000262F0000}"/>
    <cellStyle name="Porcentual 3 2 7 2" xfId="9521" xr:uid="{00000000-0005-0000-0000-0000272F0000}"/>
    <cellStyle name="Porcentual 3 2 8" xfId="4001" xr:uid="{00000000-0005-0000-0000-0000282F0000}"/>
    <cellStyle name="Porcentual 3 2 8 2" xfId="9522" xr:uid="{00000000-0005-0000-0000-0000292F0000}"/>
    <cellStyle name="Porcentual 3 2 9" xfId="3994" xr:uid="{00000000-0005-0000-0000-00002A2F0000}"/>
    <cellStyle name="Porcentual 3 3" xfId="4002" xr:uid="{00000000-0005-0000-0000-00002B2F0000}"/>
    <cellStyle name="Porcentual 3 3 2" xfId="9523" xr:uid="{00000000-0005-0000-0000-00002C2F0000}"/>
    <cellStyle name="Porcentual 3 4" xfId="4003" xr:uid="{00000000-0005-0000-0000-00002D2F0000}"/>
    <cellStyle name="Porcentual 3 5" xfId="4004" xr:uid="{00000000-0005-0000-0000-00002E2F0000}"/>
    <cellStyle name="Porcentual 3 6" xfId="4005" xr:uid="{00000000-0005-0000-0000-00002F2F0000}"/>
    <cellStyle name="Porcentual 3 7" xfId="4006" xr:uid="{00000000-0005-0000-0000-0000302F0000}"/>
    <cellStyle name="Porcentual 3 8" xfId="4007" xr:uid="{00000000-0005-0000-0000-0000312F0000}"/>
    <cellStyle name="Porcentual 3 9" xfId="4008" xr:uid="{00000000-0005-0000-0000-0000322F0000}"/>
    <cellStyle name="Porcentual 30" xfId="4009" xr:uid="{00000000-0005-0000-0000-0000332F0000}"/>
    <cellStyle name="Porcentual 30 2" xfId="7540" xr:uid="{00000000-0005-0000-0000-0000342F0000}"/>
    <cellStyle name="Porcentual 30 2 2" xfId="9791" xr:uid="{00000000-0005-0000-0000-0000352F0000}"/>
    <cellStyle name="Porcentual 30 2 2 2" xfId="10489" xr:uid="{00000000-0005-0000-0000-0000362F0000}"/>
    <cellStyle name="Porcentual 30 2 2 2 2" xfId="12224" xr:uid="{00000000-0005-0000-0000-0000372F0000}"/>
    <cellStyle name="Porcentual 30 2 2 3" xfId="11577" xr:uid="{00000000-0005-0000-0000-0000382F0000}"/>
    <cellStyle name="Porcentual 30 2 3" xfId="10202" xr:uid="{00000000-0005-0000-0000-0000392F0000}"/>
    <cellStyle name="Porcentual 30 2 3 2" xfId="11938" xr:uid="{00000000-0005-0000-0000-00003A2F0000}"/>
    <cellStyle name="Porcentual 30 2 4" xfId="11212" xr:uid="{00000000-0005-0000-0000-00003B2F0000}"/>
    <cellStyle name="Porcentual 30 3" xfId="7541" xr:uid="{00000000-0005-0000-0000-00003C2F0000}"/>
    <cellStyle name="Porcentual 30 3 2" xfId="9792" xr:uid="{00000000-0005-0000-0000-00003D2F0000}"/>
    <cellStyle name="Porcentual 30 3 2 2" xfId="10490" xr:uid="{00000000-0005-0000-0000-00003E2F0000}"/>
    <cellStyle name="Porcentual 30 3 2 2 2" xfId="12225" xr:uid="{00000000-0005-0000-0000-00003F2F0000}"/>
    <cellStyle name="Porcentual 30 3 2 3" xfId="11578" xr:uid="{00000000-0005-0000-0000-0000402F0000}"/>
    <cellStyle name="Porcentual 30 3 3" xfId="10203" xr:uid="{00000000-0005-0000-0000-0000412F0000}"/>
    <cellStyle name="Porcentual 30 3 3 2" xfId="11939" xr:uid="{00000000-0005-0000-0000-0000422F0000}"/>
    <cellStyle name="Porcentual 30 3 4" xfId="11213" xr:uid="{00000000-0005-0000-0000-0000432F0000}"/>
    <cellStyle name="Porcentual 30 4" xfId="9524" xr:uid="{00000000-0005-0000-0000-0000442F0000}"/>
    <cellStyle name="Porcentual 31" xfId="4010" xr:uid="{00000000-0005-0000-0000-0000452F0000}"/>
    <cellStyle name="Porcentual 31 2" xfId="7542" xr:uid="{00000000-0005-0000-0000-0000462F0000}"/>
    <cellStyle name="Porcentual 31 2 2" xfId="9793" xr:uid="{00000000-0005-0000-0000-0000472F0000}"/>
    <cellStyle name="Porcentual 31 2 2 2" xfId="10491" xr:uid="{00000000-0005-0000-0000-0000482F0000}"/>
    <cellStyle name="Porcentual 31 2 2 2 2" xfId="12226" xr:uid="{00000000-0005-0000-0000-0000492F0000}"/>
    <cellStyle name="Porcentual 31 2 2 3" xfId="11579" xr:uid="{00000000-0005-0000-0000-00004A2F0000}"/>
    <cellStyle name="Porcentual 31 2 3" xfId="10204" xr:uid="{00000000-0005-0000-0000-00004B2F0000}"/>
    <cellStyle name="Porcentual 31 2 3 2" xfId="11940" xr:uid="{00000000-0005-0000-0000-00004C2F0000}"/>
    <cellStyle name="Porcentual 31 2 4" xfId="11214" xr:uid="{00000000-0005-0000-0000-00004D2F0000}"/>
    <cellStyle name="Porcentual 31 3" xfId="9525" xr:uid="{00000000-0005-0000-0000-00004E2F0000}"/>
    <cellStyle name="Porcentual 32" xfId="4011" xr:uid="{00000000-0005-0000-0000-00004F2F0000}"/>
    <cellStyle name="Porcentual 32 2" xfId="7543" xr:uid="{00000000-0005-0000-0000-0000502F0000}"/>
    <cellStyle name="Porcentual 32 2 2" xfId="9794" xr:uid="{00000000-0005-0000-0000-0000512F0000}"/>
    <cellStyle name="Porcentual 32 2 2 2" xfId="10492" xr:uid="{00000000-0005-0000-0000-0000522F0000}"/>
    <cellStyle name="Porcentual 32 2 2 2 2" xfId="12227" xr:uid="{00000000-0005-0000-0000-0000532F0000}"/>
    <cellStyle name="Porcentual 32 2 2 3" xfId="11580" xr:uid="{00000000-0005-0000-0000-0000542F0000}"/>
    <cellStyle name="Porcentual 32 2 3" xfId="10205" xr:uid="{00000000-0005-0000-0000-0000552F0000}"/>
    <cellStyle name="Porcentual 32 2 3 2" xfId="11941" xr:uid="{00000000-0005-0000-0000-0000562F0000}"/>
    <cellStyle name="Porcentual 32 2 4" xfId="11215" xr:uid="{00000000-0005-0000-0000-0000572F0000}"/>
    <cellStyle name="Porcentual 32 3" xfId="9526" xr:uid="{00000000-0005-0000-0000-0000582F0000}"/>
    <cellStyle name="Porcentual 33" xfId="4012" xr:uid="{00000000-0005-0000-0000-0000592F0000}"/>
    <cellStyle name="Porcentual 33 2" xfId="7544" xr:uid="{00000000-0005-0000-0000-00005A2F0000}"/>
    <cellStyle name="Porcentual 33 2 2" xfId="9795" xr:uid="{00000000-0005-0000-0000-00005B2F0000}"/>
    <cellStyle name="Porcentual 33 2 2 2" xfId="10493" xr:uid="{00000000-0005-0000-0000-00005C2F0000}"/>
    <cellStyle name="Porcentual 33 2 2 2 2" xfId="12228" xr:uid="{00000000-0005-0000-0000-00005D2F0000}"/>
    <cellStyle name="Porcentual 33 2 2 3" xfId="11581" xr:uid="{00000000-0005-0000-0000-00005E2F0000}"/>
    <cellStyle name="Porcentual 33 2 3" xfId="10206" xr:uid="{00000000-0005-0000-0000-00005F2F0000}"/>
    <cellStyle name="Porcentual 33 2 3 2" xfId="11942" xr:uid="{00000000-0005-0000-0000-0000602F0000}"/>
    <cellStyle name="Porcentual 33 2 4" xfId="11216" xr:uid="{00000000-0005-0000-0000-0000612F0000}"/>
    <cellStyle name="Porcentual 33 3" xfId="9527" xr:uid="{00000000-0005-0000-0000-0000622F0000}"/>
    <cellStyle name="Porcentual 34" xfId="4013" xr:uid="{00000000-0005-0000-0000-0000632F0000}"/>
    <cellStyle name="Porcentual 34 2" xfId="7545" xr:uid="{00000000-0005-0000-0000-0000642F0000}"/>
    <cellStyle name="Porcentual 34 2 2" xfId="9796" xr:uid="{00000000-0005-0000-0000-0000652F0000}"/>
    <cellStyle name="Porcentual 34 2 2 2" xfId="10494" xr:uid="{00000000-0005-0000-0000-0000662F0000}"/>
    <cellStyle name="Porcentual 34 2 2 2 2" xfId="12229" xr:uid="{00000000-0005-0000-0000-0000672F0000}"/>
    <cellStyle name="Porcentual 34 2 2 3" xfId="11582" xr:uid="{00000000-0005-0000-0000-0000682F0000}"/>
    <cellStyle name="Porcentual 34 2 3" xfId="10207" xr:uid="{00000000-0005-0000-0000-0000692F0000}"/>
    <cellStyle name="Porcentual 34 2 3 2" xfId="11943" xr:uid="{00000000-0005-0000-0000-00006A2F0000}"/>
    <cellStyle name="Porcentual 34 2 4" xfId="11217" xr:uid="{00000000-0005-0000-0000-00006B2F0000}"/>
    <cellStyle name="Porcentual 34 3" xfId="9528" xr:uid="{00000000-0005-0000-0000-00006C2F0000}"/>
    <cellStyle name="Porcentual 35" xfId="4014" xr:uid="{00000000-0005-0000-0000-00006D2F0000}"/>
    <cellStyle name="Porcentual 35 2" xfId="7546" xr:uid="{00000000-0005-0000-0000-00006E2F0000}"/>
    <cellStyle name="Porcentual 35 2 2" xfId="9797" xr:uid="{00000000-0005-0000-0000-00006F2F0000}"/>
    <cellStyle name="Porcentual 35 2 2 2" xfId="10495" xr:uid="{00000000-0005-0000-0000-0000702F0000}"/>
    <cellStyle name="Porcentual 35 2 2 2 2" xfId="12230" xr:uid="{00000000-0005-0000-0000-0000712F0000}"/>
    <cellStyle name="Porcentual 35 2 2 3" xfId="11583" xr:uid="{00000000-0005-0000-0000-0000722F0000}"/>
    <cellStyle name="Porcentual 35 2 3" xfId="10208" xr:uid="{00000000-0005-0000-0000-0000732F0000}"/>
    <cellStyle name="Porcentual 35 2 3 2" xfId="11944" xr:uid="{00000000-0005-0000-0000-0000742F0000}"/>
    <cellStyle name="Porcentual 35 2 4" xfId="11218" xr:uid="{00000000-0005-0000-0000-0000752F0000}"/>
    <cellStyle name="Porcentual 35 3" xfId="9529" xr:uid="{00000000-0005-0000-0000-0000762F0000}"/>
    <cellStyle name="Porcentual 36" xfId="4015" xr:uid="{00000000-0005-0000-0000-0000772F0000}"/>
    <cellStyle name="Porcentual 36 2" xfId="7547" xr:uid="{00000000-0005-0000-0000-0000782F0000}"/>
    <cellStyle name="Porcentual 36 2 2" xfId="9798" xr:uid="{00000000-0005-0000-0000-0000792F0000}"/>
    <cellStyle name="Porcentual 36 2 2 2" xfId="10496" xr:uid="{00000000-0005-0000-0000-00007A2F0000}"/>
    <cellStyle name="Porcentual 36 2 2 2 2" xfId="12231" xr:uid="{00000000-0005-0000-0000-00007B2F0000}"/>
    <cellStyle name="Porcentual 36 2 2 3" xfId="11584" xr:uid="{00000000-0005-0000-0000-00007C2F0000}"/>
    <cellStyle name="Porcentual 36 2 3" xfId="10209" xr:uid="{00000000-0005-0000-0000-00007D2F0000}"/>
    <cellStyle name="Porcentual 36 2 3 2" xfId="11945" xr:uid="{00000000-0005-0000-0000-00007E2F0000}"/>
    <cellStyle name="Porcentual 36 2 4" xfId="11219" xr:uid="{00000000-0005-0000-0000-00007F2F0000}"/>
    <cellStyle name="Porcentual 36 3" xfId="9530" xr:uid="{00000000-0005-0000-0000-0000802F0000}"/>
    <cellStyle name="Porcentual 37" xfId="4016" xr:uid="{00000000-0005-0000-0000-0000812F0000}"/>
    <cellStyle name="Porcentual 37 2" xfId="7548" xr:uid="{00000000-0005-0000-0000-0000822F0000}"/>
    <cellStyle name="Porcentual 37 2 2" xfId="9799" xr:uid="{00000000-0005-0000-0000-0000832F0000}"/>
    <cellStyle name="Porcentual 37 2 2 2" xfId="10497" xr:uid="{00000000-0005-0000-0000-0000842F0000}"/>
    <cellStyle name="Porcentual 37 2 2 2 2" xfId="12232" xr:uid="{00000000-0005-0000-0000-0000852F0000}"/>
    <cellStyle name="Porcentual 37 2 2 3" xfId="11585" xr:uid="{00000000-0005-0000-0000-0000862F0000}"/>
    <cellStyle name="Porcentual 37 2 3" xfId="10210" xr:uid="{00000000-0005-0000-0000-0000872F0000}"/>
    <cellStyle name="Porcentual 37 2 3 2" xfId="11946" xr:uid="{00000000-0005-0000-0000-0000882F0000}"/>
    <cellStyle name="Porcentual 37 2 4" xfId="11220" xr:uid="{00000000-0005-0000-0000-0000892F0000}"/>
    <cellStyle name="Porcentual 37 3" xfId="9531" xr:uid="{00000000-0005-0000-0000-00008A2F0000}"/>
    <cellStyle name="Porcentual 38" xfId="4017" xr:uid="{00000000-0005-0000-0000-00008B2F0000}"/>
    <cellStyle name="Porcentual 38 2" xfId="7549" xr:uid="{00000000-0005-0000-0000-00008C2F0000}"/>
    <cellStyle name="Porcentual 38 2 2" xfId="9800" xr:uid="{00000000-0005-0000-0000-00008D2F0000}"/>
    <cellStyle name="Porcentual 38 2 2 2" xfId="10498" xr:uid="{00000000-0005-0000-0000-00008E2F0000}"/>
    <cellStyle name="Porcentual 38 2 2 2 2" xfId="12233" xr:uid="{00000000-0005-0000-0000-00008F2F0000}"/>
    <cellStyle name="Porcentual 38 2 2 3" xfId="11586" xr:uid="{00000000-0005-0000-0000-0000902F0000}"/>
    <cellStyle name="Porcentual 38 2 3" xfId="10211" xr:uid="{00000000-0005-0000-0000-0000912F0000}"/>
    <cellStyle name="Porcentual 38 2 3 2" xfId="11947" xr:uid="{00000000-0005-0000-0000-0000922F0000}"/>
    <cellStyle name="Porcentual 38 2 4" xfId="11221" xr:uid="{00000000-0005-0000-0000-0000932F0000}"/>
    <cellStyle name="Porcentual 38 3" xfId="9532" xr:uid="{00000000-0005-0000-0000-0000942F0000}"/>
    <cellStyle name="Porcentual 39" xfId="4018" xr:uid="{00000000-0005-0000-0000-0000952F0000}"/>
    <cellStyle name="Porcentual 39 2" xfId="7550" xr:uid="{00000000-0005-0000-0000-0000962F0000}"/>
    <cellStyle name="Porcentual 39 2 2" xfId="9801" xr:uid="{00000000-0005-0000-0000-0000972F0000}"/>
    <cellStyle name="Porcentual 39 2 2 2" xfId="10499" xr:uid="{00000000-0005-0000-0000-0000982F0000}"/>
    <cellStyle name="Porcentual 39 2 2 2 2" xfId="12234" xr:uid="{00000000-0005-0000-0000-0000992F0000}"/>
    <cellStyle name="Porcentual 39 2 2 3" xfId="11587" xr:uid="{00000000-0005-0000-0000-00009A2F0000}"/>
    <cellStyle name="Porcentual 39 2 3" xfId="10212" xr:uid="{00000000-0005-0000-0000-00009B2F0000}"/>
    <cellStyle name="Porcentual 39 2 3 2" xfId="11948" xr:uid="{00000000-0005-0000-0000-00009C2F0000}"/>
    <cellStyle name="Porcentual 39 2 4" xfId="11222" xr:uid="{00000000-0005-0000-0000-00009D2F0000}"/>
    <cellStyle name="Porcentual 39 3" xfId="9533" xr:uid="{00000000-0005-0000-0000-00009E2F0000}"/>
    <cellStyle name="Porcentual 4" xfId="124" xr:uid="{00000000-0005-0000-0000-00009F2F0000}"/>
    <cellStyle name="Porcentual 4 2" xfId="125" xr:uid="{00000000-0005-0000-0000-0000A02F0000}"/>
    <cellStyle name="Porcentual 4 2 2" xfId="7551" xr:uid="{00000000-0005-0000-0000-0000A12F0000}"/>
    <cellStyle name="Porcentual 4 2 3" xfId="4020" xr:uid="{00000000-0005-0000-0000-0000A22F0000}"/>
    <cellStyle name="Porcentual 4 3" xfId="7552" xr:uid="{00000000-0005-0000-0000-0000A32F0000}"/>
    <cellStyle name="Porcentual 4 4" xfId="4019" xr:uid="{00000000-0005-0000-0000-0000A42F0000}"/>
    <cellStyle name="Porcentual 40" xfId="4021" xr:uid="{00000000-0005-0000-0000-0000A52F0000}"/>
    <cellStyle name="Porcentual 40 2" xfId="7553" xr:uid="{00000000-0005-0000-0000-0000A62F0000}"/>
    <cellStyle name="Porcentual 40 2 2" xfId="9802" xr:uid="{00000000-0005-0000-0000-0000A72F0000}"/>
    <cellStyle name="Porcentual 40 2 2 2" xfId="10500" xr:uid="{00000000-0005-0000-0000-0000A82F0000}"/>
    <cellStyle name="Porcentual 40 2 2 2 2" xfId="12235" xr:uid="{00000000-0005-0000-0000-0000A92F0000}"/>
    <cellStyle name="Porcentual 40 2 2 3" xfId="11588" xr:uid="{00000000-0005-0000-0000-0000AA2F0000}"/>
    <cellStyle name="Porcentual 40 2 3" xfId="10213" xr:uid="{00000000-0005-0000-0000-0000AB2F0000}"/>
    <cellStyle name="Porcentual 40 2 3 2" xfId="11949" xr:uid="{00000000-0005-0000-0000-0000AC2F0000}"/>
    <cellStyle name="Porcentual 40 2 4" xfId="11223" xr:uid="{00000000-0005-0000-0000-0000AD2F0000}"/>
    <cellStyle name="Porcentual 40 3" xfId="9534" xr:uid="{00000000-0005-0000-0000-0000AE2F0000}"/>
    <cellStyle name="Porcentual 41" xfId="4022" xr:uid="{00000000-0005-0000-0000-0000AF2F0000}"/>
    <cellStyle name="Porcentual 41 2" xfId="7554" xr:uid="{00000000-0005-0000-0000-0000B02F0000}"/>
    <cellStyle name="Porcentual 41 2 2" xfId="9803" xr:uid="{00000000-0005-0000-0000-0000B12F0000}"/>
    <cellStyle name="Porcentual 41 2 2 2" xfId="10501" xr:uid="{00000000-0005-0000-0000-0000B22F0000}"/>
    <cellStyle name="Porcentual 41 2 2 2 2" xfId="12236" xr:uid="{00000000-0005-0000-0000-0000B32F0000}"/>
    <cellStyle name="Porcentual 41 2 2 3" xfId="11589" xr:uid="{00000000-0005-0000-0000-0000B42F0000}"/>
    <cellStyle name="Porcentual 41 2 3" xfId="10214" xr:uid="{00000000-0005-0000-0000-0000B52F0000}"/>
    <cellStyle name="Porcentual 41 2 3 2" xfId="11950" xr:uid="{00000000-0005-0000-0000-0000B62F0000}"/>
    <cellStyle name="Porcentual 41 2 4" xfId="11224" xr:uid="{00000000-0005-0000-0000-0000B72F0000}"/>
    <cellStyle name="Porcentual 41 3" xfId="9535" xr:uid="{00000000-0005-0000-0000-0000B82F0000}"/>
    <cellStyle name="Porcentual 42" xfId="4023" xr:uid="{00000000-0005-0000-0000-0000B92F0000}"/>
    <cellStyle name="Porcentual 42 2" xfId="7555" xr:uid="{00000000-0005-0000-0000-0000BA2F0000}"/>
    <cellStyle name="Porcentual 42 2 2" xfId="9804" xr:uid="{00000000-0005-0000-0000-0000BB2F0000}"/>
    <cellStyle name="Porcentual 42 2 2 2" xfId="10502" xr:uid="{00000000-0005-0000-0000-0000BC2F0000}"/>
    <cellStyle name="Porcentual 42 2 2 2 2" xfId="12237" xr:uid="{00000000-0005-0000-0000-0000BD2F0000}"/>
    <cellStyle name="Porcentual 42 2 2 3" xfId="11590" xr:uid="{00000000-0005-0000-0000-0000BE2F0000}"/>
    <cellStyle name="Porcentual 42 2 3" xfId="10215" xr:uid="{00000000-0005-0000-0000-0000BF2F0000}"/>
    <cellStyle name="Porcentual 42 2 3 2" xfId="11951" xr:uid="{00000000-0005-0000-0000-0000C02F0000}"/>
    <cellStyle name="Porcentual 42 2 4" xfId="11225" xr:uid="{00000000-0005-0000-0000-0000C12F0000}"/>
    <cellStyle name="Porcentual 42 3" xfId="9536" xr:uid="{00000000-0005-0000-0000-0000C22F0000}"/>
    <cellStyle name="Porcentual 45" xfId="4024" xr:uid="{00000000-0005-0000-0000-0000C32F0000}"/>
    <cellStyle name="Porcentual 45 2" xfId="7556" xr:uid="{00000000-0005-0000-0000-0000C42F0000}"/>
    <cellStyle name="Porcentual 45 2 2" xfId="9805" xr:uid="{00000000-0005-0000-0000-0000C52F0000}"/>
    <cellStyle name="Porcentual 45 2 2 2" xfId="10503" xr:uid="{00000000-0005-0000-0000-0000C62F0000}"/>
    <cellStyle name="Porcentual 45 2 2 2 2" xfId="12238" xr:uid="{00000000-0005-0000-0000-0000C72F0000}"/>
    <cellStyle name="Porcentual 45 2 2 3" xfId="11591" xr:uid="{00000000-0005-0000-0000-0000C82F0000}"/>
    <cellStyle name="Porcentual 45 2 3" xfId="10216" xr:uid="{00000000-0005-0000-0000-0000C92F0000}"/>
    <cellStyle name="Porcentual 45 2 3 2" xfId="11952" xr:uid="{00000000-0005-0000-0000-0000CA2F0000}"/>
    <cellStyle name="Porcentual 45 2 4" xfId="11226" xr:uid="{00000000-0005-0000-0000-0000CB2F0000}"/>
    <cellStyle name="Porcentual 45 3" xfId="9537" xr:uid="{00000000-0005-0000-0000-0000CC2F0000}"/>
    <cellStyle name="Porcentual 46" xfId="4025" xr:uid="{00000000-0005-0000-0000-0000CD2F0000}"/>
    <cellStyle name="Porcentual 46 2" xfId="7557" xr:uid="{00000000-0005-0000-0000-0000CE2F0000}"/>
    <cellStyle name="Porcentual 46 2 2" xfId="9806" xr:uid="{00000000-0005-0000-0000-0000CF2F0000}"/>
    <cellStyle name="Porcentual 46 2 2 2" xfId="10504" xr:uid="{00000000-0005-0000-0000-0000D02F0000}"/>
    <cellStyle name="Porcentual 46 2 2 2 2" xfId="12239" xr:uid="{00000000-0005-0000-0000-0000D12F0000}"/>
    <cellStyle name="Porcentual 46 2 2 3" xfId="11592" xr:uid="{00000000-0005-0000-0000-0000D22F0000}"/>
    <cellStyle name="Porcentual 46 2 3" xfId="10217" xr:uid="{00000000-0005-0000-0000-0000D32F0000}"/>
    <cellStyle name="Porcentual 46 2 3 2" xfId="11953" xr:uid="{00000000-0005-0000-0000-0000D42F0000}"/>
    <cellStyle name="Porcentual 46 2 4" xfId="11227" xr:uid="{00000000-0005-0000-0000-0000D52F0000}"/>
    <cellStyle name="Porcentual 46 3" xfId="9538" xr:uid="{00000000-0005-0000-0000-0000D62F0000}"/>
    <cellStyle name="Porcentual 47" xfId="4026" xr:uid="{00000000-0005-0000-0000-0000D72F0000}"/>
    <cellStyle name="Porcentual 47 2" xfId="7558" xr:uid="{00000000-0005-0000-0000-0000D82F0000}"/>
    <cellStyle name="Porcentual 47 2 2" xfId="9807" xr:uid="{00000000-0005-0000-0000-0000D92F0000}"/>
    <cellStyle name="Porcentual 47 2 2 2" xfId="10505" xr:uid="{00000000-0005-0000-0000-0000DA2F0000}"/>
    <cellStyle name="Porcentual 47 2 2 2 2" xfId="12240" xr:uid="{00000000-0005-0000-0000-0000DB2F0000}"/>
    <cellStyle name="Porcentual 47 2 2 3" xfId="11593" xr:uid="{00000000-0005-0000-0000-0000DC2F0000}"/>
    <cellStyle name="Porcentual 47 2 3" xfId="10218" xr:uid="{00000000-0005-0000-0000-0000DD2F0000}"/>
    <cellStyle name="Porcentual 47 2 3 2" xfId="11954" xr:uid="{00000000-0005-0000-0000-0000DE2F0000}"/>
    <cellStyle name="Porcentual 47 2 4" xfId="11228" xr:uid="{00000000-0005-0000-0000-0000DF2F0000}"/>
    <cellStyle name="Porcentual 47 3" xfId="9539" xr:uid="{00000000-0005-0000-0000-0000E02F0000}"/>
    <cellStyle name="Porcentual 48" xfId="4027" xr:uid="{00000000-0005-0000-0000-0000E12F0000}"/>
    <cellStyle name="Porcentual 48 2" xfId="7559" xr:uid="{00000000-0005-0000-0000-0000E22F0000}"/>
    <cellStyle name="Porcentual 48 2 2" xfId="9808" xr:uid="{00000000-0005-0000-0000-0000E32F0000}"/>
    <cellStyle name="Porcentual 48 2 2 2" xfId="10506" xr:uid="{00000000-0005-0000-0000-0000E42F0000}"/>
    <cellStyle name="Porcentual 48 2 2 2 2" xfId="12241" xr:uid="{00000000-0005-0000-0000-0000E52F0000}"/>
    <cellStyle name="Porcentual 48 2 2 3" xfId="11594" xr:uid="{00000000-0005-0000-0000-0000E62F0000}"/>
    <cellStyle name="Porcentual 48 2 3" xfId="10219" xr:uid="{00000000-0005-0000-0000-0000E72F0000}"/>
    <cellStyle name="Porcentual 48 2 3 2" xfId="11955" xr:uid="{00000000-0005-0000-0000-0000E82F0000}"/>
    <cellStyle name="Porcentual 48 2 4" xfId="11229" xr:uid="{00000000-0005-0000-0000-0000E92F0000}"/>
    <cellStyle name="Porcentual 48 3" xfId="9540" xr:uid="{00000000-0005-0000-0000-0000EA2F0000}"/>
    <cellStyle name="Porcentual 49" xfId="4028" xr:uid="{00000000-0005-0000-0000-0000EB2F0000}"/>
    <cellStyle name="Porcentual 49 2" xfId="7560" xr:uid="{00000000-0005-0000-0000-0000EC2F0000}"/>
    <cellStyle name="Porcentual 49 2 2" xfId="9809" xr:uid="{00000000-0005-0000-0000-0000ED2F0000}"/>
    <cellStyle name="Porcentual 49 2 2 2" xfId="10507" xr:uid="{00000000-0005-0000-0000-0000EE2F0000}"/>
    <cellStyle name="Porcentual 49 2 2 2 2" xfId="12242" xr:uid="{00000000-0005-0000-0000-0000EF2F0000}"/>
    <cellStyle name="Porcentual 49 2 2 3" xfId="11595" xr:uid="{00000000-0005-0000-0000-0000F02F0000}"/>
    <cellStyle name="Porcentual 49 2 3" xfId="10220" xr:uid="{00000000-0005-0000-0000-0000F12F0000}"/>
    <cellStyle name="Porcentual 49 2 3 2" xfId="11956" xr:uid="{00000000-0005-0000-0000-0000F22F0000}"/>
    <cellStyle name="Porcentual 49 2 4" xfId="11230" xr:uid="{00000000-0005-0000-0000-0000F32F0000}"/>
    <cellStyle name="Porcentual 49 3" xfId="9541" xr:uid="{00000000-0005-0000-0000-0000F42F0000}"/>
    <cellStyle name="Porcentual 5" xfId="126" xr:uid="{00000000-0005-0000-0000-0000F52F0000}"/>
    <cellStyle name="Porcentual 5 2" xfId="4029" xr:uid="{00000000-0005-0000-0000-0000F62F0000}"/>
    <cellStyle name="Porcentual 50" xfId="4030" xr:uid="{00000000-0005-0000-0000-0000F72F0000}"/>
    <cellStyle name="Porcentual 50 2" xfId="7561" xr:uid="{00000000-0005-0000-0000-0000F82F0000}"/>
    <cellStyle name="Porcentual 50 2 2" xfId="9810" xr:uid="{00000000-0005-0000-0000-0000F92F0000}"/>
    <cellStyle name="Porcentual 50 2 2 2" xfId="10508" xr:uid="{00000000-0005-0000-0000-0000FA2F0000}"/>
    <cellStyle name="Porcentual 50 2 2 2 2" xfId="12243" xr:uid="{00000000-0005-0000-0000-0000FB2F0000}"/>
    <cellStyle name="Porcentual 50 2 2 3" xfId="11596" xr:uid="{00000000-0005-0000-0000-0000FC2F0000}"/>
    <cellStyle name="Porcentual 50 2 3" xfId="10221" xr:uid="{00000000-0005-0000-0000-0000FD2F0000}"/>
    <cellStyle name="Porcentual 50 2 3 2" xfId="11957" xr:uid="{00000000-0005-0000-0000-0000FE2F0000}"/>
    <cellStyle name="Porcentual 50 2 4" xfId="11231" xr:uid="{00000000-0005-0000-0000-0000FF2F0000}"/>
    <cellStyle name="Porcentual 50 3" xfId="9542" xr:uid="{00000000-0005-0000-0000-000000300000}"/>
    <cellStyle name="Porcentual 52" xfId="4031" xr:uid="{00000000-0005-0000-0000-000001300000}"/>
    <cellStyle name="Porcentual 52 2" xfId="7562" xr:uid="{00000000-0005-0000-0000-000002300000}"/>
    <cellStyle name="Porcentual 52 2 2" xfId="9811" xr:uid="{00000000-0005-0000-0000-000003300000}"/>
    <cellStyle name="Porcentual 52 2 2 2" xfId="10509" xr:uid="{00000000-0005-0000-0000-000004300000}"/>
    <cellStyle name="Porcentual 52 2 2 2 2" xfId="12244" xr:uid="{00000000-0005-0000-0000-000005300000}"/>
    <cellStyle name="Porcentual 52 2 2 3" xfId="11597" xr:uid="{00000000-0005-0000-0000-000006300000}"/>
    <cellStyle name="Porcentual 52 2 3" xfId="10222" xr:uid="{00000000-0005-0000-0000-000007300000}"/>
    <cellStyle name="Porcentual 52 2 3 2" xfId="11958" xr:uid="{00000000-0005-0000-0000-000008300000}"/>
    <cellStyle name="Porcentual 52 2 4" xfId="11232" xr:uid="{00000000-0005-0000-0000-000009300000}"/>
    <cellStyle name="Porcentual 52 3" xfId="9543" xr:uid="{00000000-0005-0000-0000-00000A300000}"/>
    <cellStyle name="Porcentual 53" xfId="4032" xr:uid="{00000000-0005-0000-0000-00000B300000}"/>
    <cellStyle name="Porcentual 53 2" xfId="7563" xr:uid="{00000000-0005-0000-0000-00000C300000}"/>
    <cellStyle name="Porcentual 53 2 2" xfId="9812" xr:uid="{00000000-0005-0000-0000-00000D300000}"/>
    <cellStyle name="Porcentual 53 2 2 2" xfId="10510" xr:uid="{00000000-0005-0000-0000-00000E300000}"/>
    <cellStyle name="Porcentual 53 2 2 2 2" xfId="12245" xr:uid="{00000000-0005-0000-0000-00000F300000}"/>
    <cellStyle name="Porcentual 53 2 2 3" xfId="11598" xr:uid="{00000000-0005-0000-0000-000010300000}"/>
    <cellStyle name="Porcentual 53 2 3" xfId="10223" xr:uid="{00000000-0005-0000-0000-000011300000}"/>
    <cellStyle name="Porcentual 53 2 3 2" xfId="11959" xr:uid="{00000000-0005-0000-0000-000012300000}"/>
    <cellStyle name="Porcentual 53 2 4" xfId="11233" xr:uid="{00000000-0005-0000-0000-000013300000}"/>
    <cellStyle name="Porcentual 53 3" xfId="9544" xr:uid="{00000000-0005-0000-0000-000014300000}"/>
    <cellStyle name="Porcentual 55" xfId="4033" xr:uid="{00000000-0005-0000-0000-000015300000}"/>
    <cellStyle name="Porcentual 55 2" xfId="7564" xr:uid="{00000000-0005-0000-0000-000016300000}"/>
    <cellStyle name="Porcentual 55 2 2" xfId="9813" xr:uid="{00000000-0005-0000-0000-000017300000}"/>
    <cellStyle name="Porcentual 55 2 2 2" xfId="10511" xr:uid="{00000000-0005-0000-0000-000018300000}"/>
    <cellStyle name="Porcentual 55 2 2 2 2" xfId="12246" xr:uid="{00000000-0005-0000-0000-000019300000}"/>
    <cellStyle name="Porcentual 55 2 2 3" xfId="11599" xr:uid="{00000000-0005-0000-0000-00001A300000}"/>
    <cellStyle name="Porcentual 55 2 3" xfId="10224" xr:uid="{00000000-0005-0000-0000-00001B300000}"/>
    <cellStyle name="Porcentual 55 2 3 2" xfId="11960" xr:uid="{00000000-0005-0000-0000-00001C300000}"/>
    <cellStyle name="Porcentual 55 2 4" xfId="11234" xr:uid="{00000000-0005-0000-0000-00001D300000}"/>
    <cellStyle name="Porcentual 55 3" xfId="9545" xr:uid="{00000000-0005-0000-0000-00001E300000}"/>
    <cellStyle name="Porcentual 56" xfId="4034" xr:uid="{00000000-0005-0000-0000-00001F300000}"/>
    <cellStyle name="Porcentual 56 2" xfId="7565" xr:uid="{00000000-0005-0000-0000-000020300000}"/>
    <cellStyle name="Porcentual 56 2 2" xfId="9814" xr:uid="{00000000-0005-0000-0000-000021300000}"/>
    <cellStyle name="Porcentual 56 2 2 2" xfId="10512" xr:uid="{00000000-0005-0000-0000-000022300000}"/>
    <cellStyle name="Porcentual 56 2 2 2 2" xfId="12247" xr:uid="{00000000-0005-0000-0000-000023300000}"/>
    <cellStyle name="Porcentual 56 2 2 3" xfId="11600" xr:uid="{00000000-0005-0000-0000-000024300000}"/>
    <cellStyle name="Porcentual 56 2 3" xfId="10225" xr:uid="{00000000-0005-0000-0000-000025300000}"/>
    <cellStyle name="Porcentual 56 2 3 2" xfId="11961" xr:uid="{00000000-0005-0000-0000-000026300000}"/>
    <cellStyle name="Porcentual 56 2 4" xfId="11235" xr:uid="{00000000-0005-0000-0000-000027300000}"/>
    <cellStyle name="Porcentual 56 3" xfId="9546" xr:uid="{00000000-0005-0000-0000-000028300000}"/>
    <cellStyle name="Porcentual 6" xfId="127" xr:uid="{00000000-0005-0000-0000-000029300000}"/>
    <cellStyle name="Porcentual 6 2" xfId="9547" xr:uid="{00000000-0005-0000-0000-00002A300000}"/>
    <cellStyle name="Porcentual 7" xfId="4035" xr:uid="{00000000-0005-0000-0000-00002B300000}"/>
    <cellStyle name="Porcentual 7 2" xfId="7566" xr:uid="{00000000-0005-0000-0000-00002C300000}"/>
    <cellStyle name="Porcentual 8" xfId="4036" xr:uid="{00000000-0005-0000-0000-00002D300000}"/>
    <cellStyle name="Porcentual 8 2" xfId="7567" xr:uid="{00000000-0005-0000-0000-00002E300000}"/>
    <cellStyle name="Porcentual 8 2 2" xfId="7568" xr:uid="{00000000-0005-0000-0000-00002F300000}"/>
    <cellStyle name="Porcentual 8 2 2 2" xfId="9816" xr:uid="{00000000-0005-0000-0000-000030300000}"/>
    <cellStyle name="Porcentual 8 2 2 2 2" xfId="10514" xr:uid="{00000000-0005-0000-0000-000031300000}"/>
    <cellStyle name="Porcentual 8 2 2 2 2 2" xfId="12249" xr:uid="{00000000-0005-0000-0000-000032300000}"/>
    <cellStyle name="Porcentual 8 2 2 2 3" xfId="11602" xr:uid="{00000000-0005-0000-0000-000033300000}"/>
    <cellStyle name="Porcentual 8 2 2 3" xfId="10227" xr:uid="{00000000-0005-0000-0000-000034300000}"/>
    <cellStyle name="Porcentual 8 2 2 3 2" xfId="11963" xr:uid="{00000000-0005-0000-0000-000035300000}"/>
    <cellStyle name="Porcentual 8 2 2 4" xfId="11237" xr:uid="{00000000-0005-0000-0000-000036300000}"/>
    <cellStyle name="Porcentual 8 2 3" xfId="9815" xr:uid="{00000000-0005-0000-0000-000037300000}"/>
    <cellStyle name="Porcentual 8 2 3 2" xfId="10513" xr:uid="{00000000-0005-0000-0000-000038300000}"/>
    <cellStyle name="Porcentual 8 2 3 2 2" xfId="12248" xr:uid="{00000000-0005-0000-0000-000039300000}"/>
    <cellStyle name="Porcentual 8 2 3 3" xfId="11601" xr:uid="{00000000-0005-0000-0000-00003A300000}"/>
    <cellStyle name="Porcentual 8 2 4" xfId="10226" xr:uid="{00000000-0005-0000-0000-00003B300000}"/>
    <cellStyle name="Porcentual 8 2 4 2" xfId="11962" xr:uid="{00000000-0005-0000-0000-00003C300000}"/>
    <cellStyle name="Porcentual 8 2 5" xfId="11236" xr:uid="{00000000-0005-0000-0000-00003D300000}"/>
    <cellStyle name="Porcentual 8 3" xfId="9548" xr:uid="{00000000-0005-0000-0000-00003E300000}"/>
    <cellStyle name="Porcentual 9" xfId="4037" xr:uid="{00000000-0005-0000-0000-00003F300000}"/>
    <cellStyle name="Porcentual 9 2" xfId="7569" xr:uid="{00000000-0005-0000-0000-000040300000}"/>
    <cellStyle name="Porcentual 9 2 2" xfId="9817" xr:uid="{00000000-0005-0000-0000-000041300000}"/>
    <cellStyle name="Porcentual 9 2 2 2" xfId="10515" xr:uid="{00000000-0005-0000-0000-000042300000}"/>
    <cellStyle name="Porcentual 9 2 2 2 2" xfId="12250" xr:uid="{00000000-0005-0000-0000-000043300000}"/>
    <cellStyle name="Porcentual 9 2 2 3" xfId="11603" xr:uid="{00000000-0005-0000-0000-000044300000}"/>
    <cellStyle name="Porcentual 9 2 3" xfId="10228" xr:uid="{00000000-0005-0000-0000-000045300000}"/>
    <cellStyle name="Porcentual 9 2 3 2" xfId="11964" xr:uid="{00000000-0005-0000-0000-000046300000}"/>
    <cellStyle name="Porcentual 9 2 4" xfId="11238" xr:uid="{00000000-0005-0000-0000-000047300000}"/>
    <cellStyle name="Porcentual 9 3" xfId="9549" xr:uid="{00000000-0005-0000-0000-000048300000}"/>
    <cellStyle name="Punto" xfId="4038" xr:uid="{00000000-0005-0000-0000-000049300000}"/>
    <cellStyle name="Punto0" xfId="128" xr:uid="{00000000-0005-0000-0000-00004A300000}"/>
    <cellStyle name="Punto0 2" xfId="4039" xr:uid="{00000000-0005-0000-0000-00004B300000}"/>
    <cellStyle name="Punto0 3" xfId="10619" xr:uid="{00000000-0005-0000-0000-00004C300000}"/>
    <cellStyle name="Salida" xfId="39" builtinId="21" customBuiltin="1"/>
    <cellStyle name="Salida 2" xfId="9913" xr:uid="{00000000-0005-0000-0000-00004E300000}"/>
    <cellStyle name="Salida 2 2" xfId="12358" xr:uid="{00000000-0005-0000-0000-00004F300000}"/>
    <cellStyle name="Salida 2 3" xfId="12350" xr:uid="{00000000-0005-0000-0000-000050300000}"/>
    <cellStyle name="Texto de advertencia" xfId="43" builtinId="11" customBuiltin="1"/>
    <cellStyle name="Texto de advertencia 2" xfId="9914" xr:uid="{00000000-0005-0000-0000-000052300000}"/>
    <cellStyle name="Texto explicativo" xfId="44" builtinId="53" customBuiltin="1"/>
    <cellStyle name="Texto explicativo 2" xfId="9915" xr:uid="{00000000-0005-0000-0000-000054300000}"/>
    <cellStyle name="Texto explicativo 3" xfId="10580" xr:uid="{00000000-0005-0000-0000-000055300000}"/>
    <cellStyle name="Título" xfId="30" builtinId="15" customBuiltin="1"/>
    <cellStyle name="Título 1" xfId="9917" xr:uid="{00000000-0005-0000-0000-000057300000}"/>
    <cellStyle name="Título 2" xfId="32" builtinId="17" customBuiltin="1"/>
    <cellStyle name="Título 2 2" xfId="9918" xr:uid="{00000000-0005-0000-0000-000059300000}"/>
    <cellStyle name="Título 3" xfId="33" builtinId="18" customBuiltin="1"/>
    <cellStyle name="Título 3 2" xfId="9919" xr:uid="{00000000-0005-0000-0000-00005B300000}"/>
    <cellStyle name="Título 4" xfId="9916" xr:uid="{00000000-0005-0000-0000-00005C300000}"/>
    <cellStyle name="Total" xfId="15" builtinId="25" customBuiltin="1"/>
    <cellStyle name="Total 2" xfId="71" xr:uid="{00000000-0005-0000-0000-00005E300000}"/>
    <cellStyle name="Total 2 2" xfId="80" xr:uid="{00000000-0005-0000-0000-00005F300000}"/>
    <cellStyle name="Total 2 2 2" xfId="4071" xr:uid="{00000000-0005-0000-0000-000060300000}"/>
    <cellStyle name="Total 2 3" xfId="4041" xr:uid="{00000000-0005-0000-0000-000061300000}"/>
    <cellStyle name="Total 3" xfId="4136" xr:uid="{00000000-0005-0000-0000-000062300000}"/>
    <cellStyle name="Total 4" xfId="4063" xr:uid="{00000000-0005-0000-0000-000063300000}"/>
    <cellStyle name="Total 5" xfId="4182" xr:uid="{00000000-0005-0000-0000-000064300000}"/>
    <cellStyle name="Total 6" xfId="9550" xr:uid="{00000000-0005-0000-0000-000065300000}"/>
    <cellStyle name="Total 7" xfId="4040" xr:uid="{00000000-0005-0000-0000-000066300000}"/>
    <cellStyle name="Total 8" xfId="9920" xr:uid="{00000000-0005-0000-0000-000067300000}"/>
    <cellStyle name="Total 8 2" xfId="12359" xr:uid="{00000000-0005-0000-0000-000068300000}"/>
    <cellStyle name="Total 8 3" xfId="12353" xr:uid="{00000000-0005-0000-0000-000069300000}"/>
    <cellStyle name="Total 9" xfId="10640" xr:uid="{00000000-0005-0000-0000-00006A300000}"/>
  </cellStyles>
  <dxfs count="0"/>
  <tableStyles count="0" defaultTableStyle="TableStyleMedium2" defaultPivotStyle="PivotStyleLight16"/>
  <colors>
    <mruColors>
      <color rgb="FF543904"/>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28575</xdr:colOff>
      <xdr:row>24</xdr:row>
      <xdr:rowOff>28575</xdr:rowOff>
    </xdr:from>
    <xdr:to>
      <xdr:col>8</xdr:col>
      <xdr:colOff>0</xdr:colOff>
      <xdr:row>29</xdr:row>
      <xdr:rowOff>100853</xdr:rowOff>
    </xdr:to>
    <xdr:sp macro="" textlink="">
      <xdr:nvSpPr>
        <xdr:cNvPr id="30725" name="Rectangle 5">
          <a:extLst>
            <a:ext uri="{FF2B5EF4-FFF2-40B4-BE49-F238E27FC236}">
              <a16:creationId xmlns:a16="http://schemas.microsoft.com/office/drawing/2014/main" id="{00000000-0008-0000-0000-000005780000}"/>
            </a:ext>
          </a:extLst>
        </xdr:cNvPr>
        <xdr:cNvSpPr>
          <a:spLocks noChangeArrowheads="1"/>
        </xdr:cNvSpPr>
      </xdr:nvSpPr>
      <xdr:spPr bwMode="auto">
        <a:xfrm>
          <a:off x="275104" y="4847104"/>
          <a:ext cx="8062072" cy="935131"/>
        </a:xfrm>
        <a:prstGeom prst="rect">
          <a:avLst/>
        </a:prstGeom>
        <a:solidFill>
          <a:srgbClr xmlns:mc="http://schemas.openxmlformats.org/markup-compatibility/2006" xmlns:a14="http://schemas.microsoft.com/office/drawing/2010/main" val="FFFFFF" mc:Ignorable="a14" a14:legacySpreadsheetColorIndex="65"/>
        </a:solidFill>
        <a:ln w="254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44000" tIns="0" rIns="144000" bIns="0" anchor="ctr" upright="1"/>
        <a:lstStyle/>
        <a:p>
          <a:pPr algn="just" rtl="0">
            <a:defRPr sz="1000"/>
          </a:pPr>
          <a:r>
            <a:rPr lang="es-AR" sz="1000" b="0" i="0" u="none" strike="noStrike" baseline="0">
              <a:solidFill>
                <a:srgbClr val="000000"/>
              </a:solidFill>
              <a:latin typeface="Arial"/>
              <a:cs typeface="Arial"/>
            </a:rPr>
            <a:t>Las series de datos expuestas como "originales" no coinciden necesariamente con los datos brutos, pues algunos indicadores están sujetos a cambios de bases, ajustes por inflación, cambios de unidad de medida, por mencionar algunas de las transformaciones. Las series "filtradas" son datos procesados por el equipo del CES con el objeto de obtener valores libres de irregularidades extremas, estacionalidad y otras frecuencias intra-anuales, pudiendo conocer el componente de tendencia-ciclo de cada una de las series (el software utilizado a estos fines es </a:t>
          </a:r>
          <a:r>
            <a:rPr lang="es-AR" sz="1000" b="0" i="0" u="none" strike="noStrike" baseline="0">
              <a:solidFill>
                <a:srgbClr val="000000"/>
              </a:solidFill>
              <a:latin typeface="Arial"/>
              <a:ea typeface="+mn-ea"/>
              <a:cs typeface="Arial"/>
            </a:rPr>
            <a:t>el X-13ARIMA-SEATS</a:t>
          </a:r>
          <a:r>
            <a:rPr lang="es-AR" sz="1000" b="0" i="0" u="none" strike="noStrike" baseline="0">
              <a:solidFill>
                <a:srgbClr val="000000"/>
              </a:solidFill>
              <a:latin typeface="Arial"/>
              <a:cs typeface="Arial"/>
            </a:rPr>
            <a:t>). </a:t>
          </a:r>
          <a:endParaRPr lang="es-AR" sz="1200" b="1" i="0" u="none" strike="noStrike" baseline="0">
            <a:solidFill>
              <a:srgbClr val="000000"/>
            </a:solidFill>
            <a:latin typeface="Arial"/>
            <a:cs typeface="Arial"/>
          </a:endParaRPr>
        </a:p>
      </xdr:txBody>
    </xdr:sp>
    <xdr:clientData/>
  </xdr:twoCellAnchor>
  <xdr:twoCellAnchor>
    <xdr:from>
      <xdr:col>7</xdr:col>
      <xdr:colOff>607360</xdr:colOff>
      <xdr:row>22</xdr:row>
      <xdr:rowOff>78329</xdr:rowOff>
    </xdr:from>
    <xdr:to>
      <xdr:col>7</xdr:col>
      <xdr:colOff>607360</xdr:colOff>
      <xdr:row>23</xdr:row>
      <xdr:rowOff>33618</xdr:rowOff>
    </xdr:to>
    <xdr:sp macro="" textlink="">
      <xdr:nvSpPr>
        <xdr:cNvPr id="30729" name="Line 9">
          <a:extLst>
            <a:ext uri="{FF2B5EF4-FFF2-40B4-BE49-F238E27FC236}">
              <a16:creationId xmlns:a16="http://schemas.microsoft.com/office/drawing/2014/main" id="{00000000-0008-0000-0000-000009780000}"/>
            </a:ext>
          </a:extLst>
        </xdr:cNvPr>
        <xdr:cNvSpPr>
          <a:spLocks noChangeShapeType="1"/>
        </xdr:cNvSpPr>
      </xdr:nvSpPr>
      <xdr:spPr bwMode="auto">
        <a:xfrm>
          <a:off x="7790331" y="5983829"/>
          <a:ext cx="0" cy="20181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93009</xdr:colOff>
      <xdr:row>0</xdr:row>
      <xdr:rowOff>109259</xdr:rowOff>
    </xdr:from>
    <xdr:to>
      <xdr:col>2</xdr:col>
      <xdr:colOff>2118128</xdr:colOff>
      <xdr:row>6</xdr:row>
      <xdr:rowOff>113740</xdr:rowOff>
    </xdr:to>
    <xdr:pic>
      <xdr:nvPicPr>
        <xdr:cNvPr id="3" name="Imagen 2">
          <a:extLst>
            <a:ext uri="{FF2B5EF4-FFF2-40B4-BE49-F238E27FC236}">
              <a16:creationId xmlns:a16="http://schemas.microsoft.com/office/drawing/2014/main" id="{24A4BD85-B51A-4FFC-95DC-4D63D8DF5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659" y="109259"/>
          <a:ext cx="2025119" cy="97603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E8488E-CC3D-47EC-B70A-F21EFB5C9DDF}">
  <we:reference id="wa200010725" version="1.0.0.1" store="en-US" storeType="OMEX"/>
  <we:alternateReferences>
    <we:reference id="WA200010725" version="1.0.0.1" store="" storeType="OMEX"/>
  </we:alternateReferences>
  <we:properties>
    <we:property name="claude.fileId" value="&quot;48b1821e-dc12-47ee-b94d-bbf21326e22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theme="1"/>
  </sheetPr>
  <dimension ref="A2:AF42"/>
  <sheetViews>
    <sheetView tabSelected="1" zoomScaleNormal="100" workbookViewId="0">
      <pane xSplit="1" ySplit="11" topLeftCell="B12" activePane="bottomRight" state="frozen"/>
      <selection pane="topRight" activeCell="B1" sqref="B1"/>
      <selection pane="bottomLeft" activeCell="A13" sqref="A13"/>
      <selection pane="bottomRight" activeCell="C11" sqref="C11"/>
    </sheetView>
  </sheetViews>
  <sheetFormatPr baseColWidth="10" defaultColWidth="11.42578125" defaultRowHeight="12.75" x14ac:dyDescent="0.2"/>
  <cols>
    <col min="1" max="1" width="1.7109375" style="2" bestFit="1" customWidth="1"/>
    <col min="2" max="2" width="2" style="2" customWidth="1"/>
    <col min="3" max="3" width="32.42578125" style="2" bestFit="1" customWidth="1"/>
    <col min="4" max="4" width="1.5703125" style="2" customWidth="1"/>
    <col min="5" max="5" width="41.5703125" style="2" customWidth="1"/>
    <col min="6" max="6" width="13.28515625" style="2" customWidth="1"/>
    <col min="7" max="7" width="15.28515625" style="2" customWidth="1"/>
    <col min="8" max="8" width="17.28515625" style="2" customWidth="1"/>
    <col min="9" max="9" width="11.42578125" style="2" customWidth="1"/>
    <col min="10" max="16384" width="11.42578125" style="2"/>
  </cols>
  <sheetData>
    <row r="2" spans="1:26" x14ac:dyDescent="0.2">
      <c r="E2" s="5" t="s">
        <v>2</v>
      </c>
    </row>
    <row r="3" spans="1:26" x14ac:dyDescent="0.2">
      <c r="E3" s="5" t="s">
        <v>14</v>
      </c>
    </row>
    <row r="4" spans="1:26" x14ac:dyDescent="0.2">
      <c r="E4" s="5" t="s">
        <v>23</v>
      </c>
    </row>
    <row r="5" spans="1:26" x14ac:dyDescent="0.2">
      <c r="E5" s="112" t="s">
        <v>111</v>
      </c>
      <c r="F5" s="62"/>
      <c r="G5" s="62"/>
    </row>
    <row r="6" spans="1:26" x14ac:dyDescent="0.2">
      <c r="E6" s="112" t="s">
        <v>112</v>
      </c>
      <c r="F6" s="62"/>
      <c r="G6" s="62"/>
    </row>
    <row r="7" spans="1:26" x14ac:dyDescent="0.2">
      <c r="A7" s="2" t="s">
        <v>1</v>
      </c>
      <c r="E7" s="5"/>
    </row>
    <row r="8" spans="1:26" s="63" customFormat="1" ht="20.100000000000001" customHeight="1" x14ac:dyDescent="0.2">
      <c r="C8" s="63" t="s">
        <v>73</v>
      </c>
    </row>
    <row r="9" spans="1:26" s="18" customFormat="1" ht="4.5" customHeight="1" x14ac:dyDescent="0.2"/>
    <row r="10" spans="1:26" s="18" customFormat="1" ht="20.25" customHeight="1" x14ac:dyDescent="0.2">
      <c r="C10" s="19" t="s">
        <v>116</v>
      </c>
      <c r="F10" s="27"/>
    </row>
    <row r="11" spans="1:26" s="116" customFormat="1" ht="6" customHeight="1" x14ac:dyDescent="0.2">
      <c r="A11" s="18"/>
      <c r="B11" s="18"/>
      <c r="C11" s="19"/>
      <c r="D11" s="18"/>
      <c r="E11" s="18"/>
      <c r="F11" s="18"/>
      <c r="G11" s="18"/>
      <c r="H11" s="18"/>
      <c r="I11" s="18"/>
      <c r="J11" s="18"/>
      <c r="K11" s="18"/>
      <c r="L11" s="18"/>
      <c r="M11" s="18"/>
      <c r="N11" s="18"/>
      <c r="O11" s="18"/>
      <c r="P11" s="18"/>
      <c r="Q11" s="18"/>
      <c r="R11" s="18"/>
      <c r="S11" s="18"/>
      <c r="T11" s="18"/>
      <c r="U11" s="18"/>
      <c r="V11" s="18"/>
      <c r="W11" s="18"/>
      <c r="X11" s="18"/>
      <c r="Y11" s="18"/>
      <c r="Z11" s="18"/>
    </row>
    <row r="12" spans="1:26" s="64" customFormat="1" ht="20.100000000000001" customHeight="1" x14ac:dyDescent="0.2">
      <c r="A12" s="64" t="s">
        <v>1</v>
      </c>
      <c r="C12" s="64" t="s">
        <v>72</v>
      </c>
      <c r="F12" s="65" t="s">
        <v>5</v>
      </c>
      <c r="G12" s="65" t="s">
        <v>4</v>
      </c>
      <c r="H12" s="65" t="s">
        <v>8</v>
      </c>
    </row>
    <row r="13" spans="1:26" s="7" customFormat="1" ht="19.5" customHeight="1" x14ac:dyDescent="0.2">
      <c r="A13" s="66"/>
      <c r="B13" s="66"/>
      <c r="C13" s="67" t="s">
        <v>88</v>
      </c>
      <c r="D13" s="67"/>
      <c r="E13" s="67"/>
      <c r="F13" s="30" t="s">
        <v>3</v>
      </c>
      <c r="G13" s="30">
        <f>COLUMNS('1.1'!B:O)</f>
        <v>14</v>
      </c>
      <c r="H13" s="30">
        <v>1994.01</v>
      </c>
      <c r="I13" s="29"/>
    </row>
    <row r="14" spans="1:26" s="7" customFormat="1" ht="20.100000000000001" customHeight="1" x14ac:dyDescent="0.2">
      <c r="A14" s="66"/>
      <c r="B14" s="66"/>
      <c r="C14" s="68" t="s">
        <v>90</v>
      </c>
      <c r="D14" s="67"/>
      <c r="E14" s="67"/>
      <c r="F14" s="30" t="s">
        <v>3</v>
      </c>
      <c r="G14" s="30">
        <f>COLUMNS('1.2'!B:C)</f>
        <v>2</v>
      </c>
      <c r="H14" s="30">
        <v>1994.01</v>
      </c>
      <c r="I14" s="29"/>
    </row>
    <row r="15" spans="1:26" s="7" customFormat="1" ht="19.5" customHeight="1" x14ac:dyDescent="0.2">
      <c r="A15" s="66"/>
      <c r="B15" s="66"/>
      <c r="C15" s="68" t="s">
        <v>83</v>
      </c>
      <c r="D15" s="67"/>
      <c r="E15" s="67"/>
      <c r="F15" s="30" t="s">
        <v>3</v>
      </c>
      <c r="G15" s="30">
        <f>COLUMNS('1.2'!B:C)</f>
        <v>2</v>
      </c>
      <c r="H15" s="30">
        <v>1994.01</v>
      </c>
      <c r="I15" s="29"/>
    </row>
    <row r="16" spans="1:26" s="7" customFormat="1" ht="19.5" customHeight="1" x14ac:dyDescent="0.2">
      <c r="A16" s="66"/>
      <c r="B16" s="66"/>
      <c r="C16" s="68" t="s">
        <v>92</v>
      </c>
      <c r="D16" s="67"/>
      <c r="E16" s="67"/>
      <c r="F16" s="30" t="s">
        <v>3</v>
      </c>
      <c r="G16" s="30">
        <f>COLUMNS('1.2'!B:C)</f>
        <v>2</v>
      </c>
      <c r="H16" s="30">
        <v>1994.01</v>
      </c>
      <c r="I16" s="29"/>
      <c r="J16" s="7" t="s">
        <v>91</v>
      </c>
      <c r="K16" s="7" t="s">
        <v>89</v>
      </c>
    </row>
    <row r="17" spans="1:32" s="29" customFormat="1" ht="19.5" customHeight="1" x14ac:dyDescent="0.2">
      <c r="A17" s="69"/>
      <c r="B17" s="69"/>
      <c r="C17" s="68" t="s">
        <v>97</v>
      </c>
      <c r="D17" s="67"/>
      <c r="E17" s="67"/>
      <c r="F17" s="58" t="s">
        <v>3</v>
      </c>
      <c r="G17" s="58">
        <f>COLUMNS('1.2'!B:C)</f>
        <v>2</v>
      </c>
      <c r="H17" s="58">
        <v>1994.01</v>
      </c>
      <c r="I17" s="57"/>
    </row>
    <row r="18" spans="1:32" s="7" customFormat="1" ht="19.5" customHeight="1" x14ac:dyDescent="0.2">
      <c r="A18" s="66"/>
      <c r="B18" s="66"/>
      <c r="C18" s="68" t="s">
        <v>79</v>
      </c>
      <c r="D18" s="67"/>
      <c r="E18" s="67"/>
      <c r="F18" s="30" t="s">
        <v>3</v>
      </c>
      <c r="G18" s="30">
        <f>COLUMNS('1.2'!B:C)</f>
        <v>2</v>
      </c>
      <c r="H18" s="30">
        <v>1994.01</v>
      </c>
      <c r="I18" s="29"/>
    </row>
    <row r="19" spans="1:32" s="7" customFormat="1" ht="19.5" customHeight="1" x14ac:dyDescent="0.2">
      <c r="A19" s="66"/>
      <c r="B19" s="66"/>
      <c r="C19" s="68" t="s">
        <v>77</v>
      </c>
      <c r="D19" s="67"/>
      <c r="E19" s="67"/>
      <c r="F19" s="30" t="s">
        <v>3</v>
      </c>
      <c r="G19" s="30">
        <f>COLUMNS('1.2'!B:C)</f>
        <v>2</v>
      </c>
      <c r="H19" s="30">
        <v>1994.01</v>
      </c>
      <c r="I19" s="29"/>
    </row>
    <row r="20" spans="1:32" s="7" customFormat="1" ht="19.5" customHeight="1" x14ac:dyDescent="0.2">
      <c r="A20" s="66"/>
      <c r="B20" s="66"/>
      <c r="C20" s="68" t="s">
        <v>81</v>
      </c>
      <c r="D20" s="67"/>
      <c r="E20" s="67"/>
      <c r="F20" s="30" t="s">
        <v>3</v>
      </c>
      <c r="G20" s="30">
        <f>COLUMNS('1.2'!B:C)</f>
        <v>2</v>
      </c>
      <c r="H20" s="30">
        <v>1994.01</v>
      </c>
      <c r="I20" s="29"/>
    </row>
    <row r="21" spans="1:32" s="7" customFormat="1" ht="19.5" customHeight="1" x14ac:dyDescent="0.2">
      <c r="A21" s="66"/>
      <c r="B21" s="66"/>
      <c r="C21" s="68" t="s">
        <v>86</v>
      </c>
      <c r="D21" s="67"/>
      <c r="E21" s="67"/>
      <c r="F21" s="30" t="s">
        <v>3</v>
      </c>
      <c r="G21" s="30">
        <f>COLUMNS('1.2'!B:C)</f>
        <v>2</v>
      </c>
      <c r="H21" s="30">
        <v>1994.01</v>
      </c>
      <c r="I21" s="29"/>
    </row>
    <row r="22" spans="1:32" s="7" customFormat="1" ht="3.75" customHeight="1" x14ac:dyDescent="0.2">
      <c r="C22" s="9"/>
      <c r="F22" s="20"/>
      <c r="G22" s="73"/>
      <c r="H22" s="75"/>
    </row>
    <row r="23" spans="1:32" s="7" customFormat="1" ht="20.100000000000001" customHeight="1" x14ac:dyDescent="0.2">
      <c r="C23" s="9"/>
      <c r="E23" s="21" t="s">
        <v>10</v>
      </c>
      <c r="F23" s="22"/>
      <c r="G23" s="74">
        <f>SUM(G13:G21)</f>
        <v>30</v>
      </c>
      <c r="H23" s="75"/>
    </row>
    <row r="24" spans="1:32" s="7" customFormat="1" ht="3.75" customHeight="1" x14ac:dyDescent="0.2">
      <c r="C24" s="9"/>
      <c r="F24" s="11"/>
      <c r="G24" s="73"/>
      <c r="H24" s="76"/>
    </row>
    <row r="25" spans="1:32" s="7" customFormat="1" ht="20.100000000000001" customHeight="1" x14ac:dyDescent="0.2">
      <c r="C25" s="19"/>
      <c r="F25" s="11"/>
      <c r="G25" s="10"/>
      <c r="H25" s="8"/>
    </row>
    <row r="26" spans="1:32" s="29" customFormat="1" ht="20.100000000000001" customHeight="1" x14ac:dyDescent="0.2">
      <c r="A26" s="7"/>
      <c r="B26" s="7"/>
      <c r="C26" s="9"/>
      <c r="D26" s="7"/>
      <c r="E26" s="7"/>
      <c r="F26" s="11"/>
      <c r="G26" s="10"/>
      <c r="H26" s="8"/>
      <c r="I26" s="7"/>
      <c r="J26" s="7"/>
      <c r="K26" s="7"/>
      <c r="L26" s="7"/>
      <c r="M26" s="7"/>
      <c r="N26" s="7"/>
      <c r="O26" s="7"/>
      <c r="P26" s="7"/>
      <c r="Q26" s="7"/>
      <c r="R26" s="7"/>
      <c r="S26" s="7"/>
      <c r="T26" s="7"/>
      <c r="U26" s="7"/>
      <c r="V26" s="7"/>
      <c r="W26" s="7"/>
      <c r="X26" s="7"/>
      <c r="Y26" s="7"/>
      <c r="Z26" s="7"/>
      <c r="AA26" s="7"/>
      <c r="AB26" s="7"/>
      <c r="AC26" s="7"/>
      <c r="AD26" s="7"/>
      <c r="AE26" s="7"/>
      <c r="AF26" s="7"/>
    </row>
    <row r="27" spans="1:32" s="62" customFormat="1" ht="4.5" customHeight="1" x14ac:dyDescent="0.2">
      <c r="A27" s="7"/>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s="62" customForma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s="62" customForma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s="62" customForma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s="62" customForma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row>
    <row r="32" spans="1:32" s="62" customForma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s="62" customForma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row>
    <row r="34" spans="1:32" s="62" customForma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row>
    <row r="35" spans="1:32" s="62" customForma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s="62" customForma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s="62" customForma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s="62" customForma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s="62" customForma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s="62" customForma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s="62" customForma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s="62" customForma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sheetData>
  <phoneticPr fontId="53" type="noConversion"/>
  <hyperlinks>
    <hyperlink ref="C14" location="'1.2'!B10" display="1.2. Actividad económica coincidente - Argentina -" xr:uid="{00000000-0004-0000-0000-000000000000}"/>
    <hyperlink ref="C15" location="'1.3'!B10" display="1.3. Índice de demanda laboral" xr:uid="{00000000-0004-0000-0000-000002000000}"/>
    <hyperlink ref="C16" location="'1.4'!B10" display="1.4. Masa de remuneraciones reales percibida por los asalariados" xr:uid="{00000000-0004-0000-0000-000003000000}"/>
    <hyperlink ref="C17" location="'1.5'!B10" display="1.5. Consumo de energía eléctrica industrial" xr:uid="{00000000-0004-0000-0000-000004000000}"/>
    <hyperlink ref="C18" location="'1.6'!A1" display="1.6. Ventas reales de supermercados" xr:uid="{00000000-0004-0000-0000-000005000000}"/>
    <hyperlink ref="C19" location="'1.7'!A1" display="1.7. Consumo de cemento Pórtland" xr:uid="{00000000-0004-0000-0000-000006000000}"/>
    <hyperlink ref="C20" location="'1.8'!A1" display="1.8. Patentamiento de vehículos nuevos" xr:uid="{00000000-0004-0000-0000-000007000000}"/>
    <hyperlink ref="C21" location="'1.9'!A1" display="1.9. Recaudación tributaria de la provincia y coparticipación" xr:uid="{00000000-0004-0000-0000-000008000000}"/>
    <hyperlink ref="C13" location="'1.1'!B10" display="1.1. Índice de Actividad Económica (ICASFe)" xr:uid="{00000000-0004-0000-0000-000001000000}"/>
  </hyperlinks>
  <pageMargins left="0.2" right="0.2" top="0.2" bottom="0.22" header="0" footer="0"/>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autoPageBreaks="0" fitToPage="1"/>
  </sheetPr>
  <dimension ref="A1:P453"/>
  <sheetViews>
    <sheetView zoomScaleNormal="100" workbookViewId="0">
      <pane xSplit="1" ySplit="9" topLeftCell="B383" activePane="bottomRight" state="frozen"/>
      <selection pane="topRight" activeCell="C1" sqref="C1"/>
      <selection pane="bottomLeft" activeCell="A10" sqref="A10"/>
      <selection pane="bottomRight" activeCell="P413" sqref="P413"/>
    </sheetView>
  </sheetViews>
  <sheetFormatPr baseColWidth="10" defaultColWidth="11.42578125" defaultRowHeight="12.75" x14ac:dyDescent="0.2"/>
  <cols>
    <col min="1" max="1" width="10.140625" style="6" customWidth="1"/>
    <col min="2" max="2" width="14.5703125" style="6" bestFit="1" customWidth="1"/>
    <col min="3" max="15" width="15.5703125" style="6" customWidth="1"/>
    <col min="16" max="16" width="15.5703125" style="77" customWidth="1"/>
    <col min="17" max="18" width="10.7109375" style="1" customWidth="1"/>
    <col min="19" max="16384" width="11.42578125" style="1"/>
  </cols>
  <sheetData>
    <row r="1" spans="1:16" s="3" customFormat="1" ht="22.5" x14ac:dyDescent="0.2">
      <c r="A1" s="71" t="s">
        <v>115</v>
      </c>
      <c r="B1" s="16"/>
      <c r="C1" s="17"/>
      <c r="D1" s="17"/>
      <c r="E1" s="17"/>
      <c r="F1" s="17"/>
      <c r="G1" s="17"/>
      <c r="H1" s="17"/>
      <c r="I1" s="17"/>
      <c r="J1" s="17"/>
      <c r="K1" s="17"/>
      <c r="L1" s="17"/>
      <c r="M1" s="17"/>
      <c r="N1" s="17"/>
      <c r="O1" s="17"/>
      <c r="P1" s="113"/>
    </row>
    <row r="2" spans="1:16" s="3" customFormat="1" ht="67.5" x14ac:dyDescent="0.2">
      <c r="A2" s="70" t="s">
        <v>7</v>
      </c>
      <c r="B2" s="15" t="s">
        <v>71</v>
      </c>
      <c r="C2" s="14"/>
      <c r="D2" s="14"/>
      <c r="E2" s="14"/>
      <c r="F2" s="14"/>
      <c r="G2" s="14"/>
      <c r="H2" s="14"/>
      <c r="I2" s="14"/>
      <c r="J2" s="14"/>
      <c r="K2" s="14"/>
      <c r="L2" s="14"/>
      <c r="M2" s="14"/>
      <c r="N2" s="14"/>
      <c r="O2" s="81"/>
      <c r="P2" s="12" t="s">
        <v>101</v>
      </c>
    </row>
    <row r="3" spans="1:16" s="3" customFormat="1" ht="45" x14ac:dyDescent="0.2">
      <c r="A3" s="70" t="s">
        <v>6</v>
      </c>
      <c r="B3" s="15" t="s">
        <v>24</v>
      </c>
      <c r="C3" s="14"/>
      <c r="D3" s="14"/>
      <c r="E3" s="14"/>
      <c r="F3" s="14"/>
      <c r="G3" s="14"/>
      <c r="H3" s="14"/>
      <c r="I3" s="14"/>
      <c r="J3" s="14"/>
      <c r="K3" s="14"/>
      <c r="L3" s="14"/>
      <c r="M3" s="14"/>
      <c r="N3" s="14"/>
      <c r="O3" s="81"/>
      <c r="P3" s="12" t="s">
        <v>113</v>
      </c>
    </row>
    <row r="4" spans="1:16" s="3" customFormat="1" x14ac:dyDescent="0.2">
      <c r="A4" s="86" t="s">
        <v>105</v>
      </c>
      <c r="B4" s="16"/>
      <c r="C4" s="17"/>
      <c r="D4" s="17"/>
      <c r="E4" s="17"/>
      <c r="F4" s="17"/>
      <c r="G4" s="17"/>
      <c r="H4" s="17"/>
      <c r="I4" s="17"/>
      <c r="J4" s="17"/>
      <c r="K4" s="17"/>
      <c r="L4" s="17"/>
      <c r="M4" s="17"/>
      <c r="N4" s="17"/>
      <c r="O4" s="17"/>
      <c r="P4" s="82"/>
    </row>
    <row r="5" spans="1:16" s="3" customFormat="1" ht="33.75" x14ac:dyDescent="0.2">
      <c r="A5" s="86" t="s">
        <v>106</v>
      </c>
      <c r="B5" s="13" t="s">
        <v>11</v>
      </c>
      <c r="C5" s="41" t="s">
        <v>12</v>
      </c>
      <c r="D5" s="41" t="s">
        <v>31</v>
      </c>
      <c r="E5" s="41" t="s">
        <v>32</v>
      </c>
      <c r="F5" s="41" t="s">
        <v>33</v>
      </c>
      <c r="G5" s="41" t="s">
        <v>47</v>
      </c>
      <c r="H5" s="41" t="s">
        <v>48</v>
      </c>
      <c r="I5" s="41" t="s">
        <v>49</v>
      </c>
      <c r="J5" s="41" t="s">
        <v>75</v>
      </c>
      <c r="K5" s="41" t="s">
        <v>60</v>
      </c>
      <c r="L5" s="41" t="s">
        <v>74</v>
      </c>
      <c r="M5" s="41" t="s">
        <v>59</v>
      </c>
      <c r="N5" s="41" t="s">
        <v>25</v>
      </c>
      <c r="O5" s="78" t="s">
        <v>26</v>
      </c>
      <c r="P5" s="83" t="s">
        <v>100</v>
      </c>
    </row>
    <row r="6" spans="1:16" s="3" customFormat="1" x14ac:dyDescent="0.2">
      <c r="A6" s="121" t="s">
        <v>107</v>
      </c>
      <c r="B6" s="16"/>
      <c r="C6" s="17"/>
      <c r="D6" s="17"/>
      <c r="E6" s="17"/>
      <c r="F6" s="17"/>
      <c r="G6" s="17"/>
      <c r="H6" s="17"/>
      <c r="I6" s="17"/>
      <c r="J6" s="17"/>
      <c r="K6" s="17"/>
      <c r="L6" s="17"/>
      <c r="M6" s="17"/>
      <c r="N6" s="17"/>
      <c r="O6" s="17"/>
      <c r="P6" s="82"/>
    </row>
    <row r="7" spans="1:16" s="3" customFormat="1" ht="22.5" x14ac:dyDescent="0.2">
      <c r="A7" s="71" t="s">
        <v>114</v>
      </c>
      <c r="B7" s="13" t="s">
        <v>102</v>
      </c>
      <c r="C7" s="39" t="s">
        <v>0</v>
      </c>
      <c r="D7" s="39" t="s">
        <v>0</v>
      </c>
      <c r="E7" s="39" t="s">
        <v>0</v>
      </c>
      <c r="F7" s="39" t="s">
        <v>0</v>
      </c>
      <c r="G7" s="39" t="s">
        <v>0</v>
      </c>
      <c r="H7" s="39" t="s">
        <v>0</v>
      </c>
      <c r="I7" s="39" t="s">
        <v>0</v>
      </c>
      <c r="J7" s="43" t="s">
        <v>58</v>
      </c>
      <c r="K7" s="39" t="s">
        <v>50</v>
      </c>
      <c r="L7" s="43" t="s">
        <v>103</v>
      </c>
      <c r="M7" s="43" t="s">
        <v>50</v>
      </c>
      <c r="N7" s="43" t="s">
        <v>61</v>
      </c>
      <c r="O7" s="79" t="s">
        <v>62</v>
      </c>
      <c r="P7" s="84" t="s">
        <v>61</v>
      </c>
    </row>
    <row r="8" spans="1:16" s="3" customFormat="1" x14ac:dyDescent="0.2">
      <c r="A8" s="86" t="s">
        <v>108</v>
      </c>
      <c r="B8" s="95" t="s">
        <v>110</v>
      </c>
      <c r="C8" s="96" t="s">
        <v>110</v>
      </c>
      <c r="D8" s="96" t="s">
        <v>110</v>
      </c>
      <c r="E8" s="96" t="s">
        <v>110</v>
      </c>
      <c r="F8" s="96" t="s">
        <v>110</v>
      </c>
      <c r="G8" s="96" t="s">
        <v>110</v>
      </c>
      <c r="H8" s="96" t="s">
        <v>110</v>
      </c>
      <c r="I8" s="96" t="s">
        <v>110</v>
      </c>
      <c r="J8" s="96" t="s">
        <v>110</v>
      </c>
      <c r="K8" s="96" t="s">
        <v>110</v>
      </c>
      <c r="L8" s="96" t="s">
        <v>110</v>
      </c>
      <c r="M8" s="96" t="s">
        <v>110</v>
      </c>
      <c r="N8" s="96" t="s">
        <v>109</v>
      </c>
      <c r="O8" s="97" t="s">
        <v>109</v>
      </c>
      <c r="P8" s="98" t="s">
        <v>109</v>
      </c>
    </row>
    <row r="9" spans="1:16" s="4" customFormat="1" ht="13.5" thickBot="1" x14ac:dyDescent="0.25">
      <c r="A9" s="72" t="s">
        <v>19</v>
      </c>
      <c r="B9" s="91" t="s">
        <v>15</v>
      </c>
      <c r="C9" s="106" t="s">
        <v>16</v>
      </c>
      <c r="D9" s="106" t="s">
        <v>17</v>
      </c>
      <c r="E9" s="106" t="s">
        <v>27</v>
      </c>
      <c r="F9" s="106" t="s">
        <v>28</v>
      </c>
      <c r="G9" s="106" t="s">
        <v>29</v>
      </c>
      <c r="H9" s="106" t="s">
        <v>30</v>
      </c>
      <c r="I9" s="106" t="s">
        <v>51</v>
      </c>
      <c r="J9" s="106" t="s">
        <v>52</v>
      </c>
      <c r="K9" s="106" t="s">
        <v>53</v>
      </c>
      <c r="L9" s="106" t="s">
        <v>54</v>
      </c>
      <c r="M9" s="106" t="s">
        <v>55</v>
      </c>
      <c r="N9" s="106" t="s">
        <v>56</v>
      </c>
      <c r="O9" s="107" t="s">
        <v>57</v>
      </c>
      <c r="P9" s="108" t="s">
        <v>99</v>
      </c>
    </row>
    <row r="10" spans="1:16" x14ac:dyDescent="0.2">
      <c r="A10" s="26">
        <v>1994.01</v>
      </c>
      <c r="B10" s="99">
        <v>80.52588834756061</v>
      </c>
      <c r="C10" s="100"/>
      <c r="D10" s="101"/>
      <c r="E10" s="100"/>
      <c r="F10" s="100"/>
      <c r="G10" s="101"/>
      <c r="H10" s="100"/>
      <c r="I10" s="100"/>
      <c r="J10" s="99">
        <v>77.181758884945495</v>
      </c>
      <c r="K10" s="102">
        <v>4.1188179562848815E-2</v>
      </c>
      <c r="L10" s="99">
        <v>98.281557093454225</v>
      </c>
      <c r="M10" s="100"/>
      <c r="N10" s="103">
        <v>0</v>
      </c>
      <c r="O10" s="104">
        <v>0</v>
      </c>
      <c r="P10" s="105">
        <v>0</v>
      </c>
    </row>
    <row r="11" spans="1:16" x14ac:dyDescent="0.2">
      <c r="A11" s="26">
        <v>1994.02</v>
      </c>
      <c r="B11" s="50">
        <v>80.221190100181474</v>
      </c>
      <c r="C11" s="49">
        <v>-3.7910314171338004E-3</v>
      </c>
      <c r="D11" s="40"/>
      <c r="E11" s="40"/>
      <c r="F11" s="40"/>
      <c r="G11" s="101"/>
      <c r="H11" s="100"/>
      <c r="I11" s="100"/>
      <c r="J11" s="50">
        <v>77.314355471863294</v>
      </c>
      <c r="K11" s="51">
        <v>3.5614990716326789E-2</v>
      </c>
      <c r="L11" s="50">
        <v>97.754412319651692</v>
      </c>
      <c r="M11" s="52"/>
      <c r="N11" s="53">
        <v>0</v>
      </c>
      <c r="O11" s="80">
        <v>0</v>
      </c>
      <c r="P11" s="85">
        <v>0</v>
      </c>
    </row>
    <row r="12" spans="1:16" x14ac:dyDescent="0.2">
      <c r="A12" s="26">
        <v>1994.03</v>
      </c>
      <c r="B12" s="50">
        <v>80.42522639287877</v>
      </c>
      <c r="C12" s="51">
        <v>2.5401923910257332E-3</v>
      </c>
      <c r="D12" s="40"/>
      <c r="E12" s="40"/>
      <c r="F12" s="40"/>
      <c r="G12" s="101"/>
      <c r="H12" s="100"/>
      <c r="I12" s="100"/>
      <c r="J12" s="50">
        <v>77.446977595467104</v>
      </c>
      <c r="K12" s="51">
        <v>3.661361042489375E-2</v>
      </c>
      <c r="L12" s="50">
        <v>97.84763326514215</v>
      </c>
      <c r="M12" s="52"/>
      <c r="N12" s="53">
        <v>0</v>
      </c>
      <c r="O12" s="80">
        <v>0</v>
      </c>
      <c r="P12" s="85">
        <v>0</v>
      </c>
    </row>
    <row r="13" spans="1:16" x14ac:dyDescent="0.2">
      <c r="A13" s="26">
        <v>1994.04</v>
      </c>
      <c r="B13" s="50">
        <v>80.565386254492992</v>
      </c>
      <c r="C13" s="51">
        <v>1.7412182576519346E-3</v>
      </c>
      <c r="D13" s="40"/>
      <c r="E13" s="42"/>
      <c r="F13" s="40"/>
      <c r="G13" s="101"/>
      <c r="H13" s="100"/>
      <c r="I13" s="100"/>
      <c r="J13" s="50">
        <v>77.579673214725105</v>
      </c>
      <c r="K13" s="51">
        <v>3.678356149730555E-2</v>
      </c>
      <c r="L13" s="50">
        <v>97.862722080663914</v>
      </c>
      <c r="M13" s="52"/>
      <c r="N13" s="53">
        <v>0</v>
      </c>
      <c r="O13" s="80">
        <v>0</v>
      </c>
      <c r="P13" s="85">
        <v>0</v>
      </c>
    </row>
    <row r="14" spans="1:16" x14ac:dyDescent="0.2">
      <c r="A14" s="26">
        <v>1994.05</v>
      </c>
      <c r="B14" s="50">
        <v>80.937665939041636</v>
      </c>
      <c r="C14" s="51">
        <v>4.6101957685445241E-3</v>
      </c>
      <c r="D14" s="40"/>
      <c r="E14" s="40"/>
      <c r="F14" s="40"/>
      <c r="G14" s="101"/>
      <c r="H14" s="100"/>
      <c r="I14" s="100"/>
      <c r="J14" s="50">
        <v>77.712513441930199</v>
      </c>
      <c r="K14" s="51">
        <v>3.993096031692156E-2</v>
      </c>
      <c r="L14" s="50">
        <v>98.159025671148427</v>
      </c>
      <c r="M14" s="52"/>
      <c r="N14" s="53">
        <v>0</v>
      </c>
      <c r="O14" s="80">
        <v>0</v>
      </c>
      <c r="P14" s="85">
        <v>0</v>
      </c>
    </row>
    <row r="15" spans="1:16" x14ac:dyDescent="0.2">
      <c r="A15" s="26">
        <v>1994.06</v>
      </c>
      <c r="B15" s="50">
        <v>80.959637168397492</v>
      </c>
      <c r="C15" s="51">
        <v>2.7142180961675107E-4</v>
      </c>
      <c r="D15" s="40"/>
      <c r="E15" s="40"/>
      <c r="F15" s="40"/>
      <c r="G15" s="101"/>
      <c r="H15" s="100"/>
      <c r="I15" s="100"/>
      <c r="J15" s="50">
        <v>77.845592607578496</v>
      </c>
      <c r="K15" s="51">
        <v>3.8568944435937169E-2</v>
      </c>
      <c r="L15" s="50">
        <v>98.029972461265942</v>
      </c>
      <c r="M15" s="52"/>
      <c r="N15" s="53">
        <v>0</v>
      </c>
      <c r="O15" s="80">
        <v>0</v>
      </c>
      <c r="P15" s="85">
        <v>0</v>
      </c>
    </row>
    <row r="16" spans="1:16" x14ac:dyDescent="0.2">
      <c r="A16" s="26">
        <v>1994.07</v>
      </c>
      <c r="B16" s="50">
        <v>81.223822594822167</v>
      </c>
      <c r="C16" s="51">
        <v>3.2578619357972356E-3</v>
      </c>
      <c r="D16" s="40"/>
      <c r="E16" s="52"/>
      <c r="F16" s="52"/>
      <c r="G16" s="101"/>
      <c r="H16" s="100"/>
      <c r="I16" s="100"/>
      <c r="J16" s="50">
        <v>77.9790300935327</v>
      </c>
      <c r="K16" s="51">
        <v>4.0306318876703218E-2</v>
      </c>
      <c r="L16" s="50">
        <v>98.19390167889955</v>
      </c>
      <c r="M16" s="48">
        <v>54.608691963715387</v>
      </c>
      <c r="N16" s="53">
        <v>0</v>
      </c>
      <c r="O16" s="80">
        <v>0</v>
      </c>
      <c r="P16" s="85">
        <v>0</v>
      </c>
    </row>
    <row r="17" spans="1:16" x14ac:dyDescent="0.2">
      <c r="A17" s="26">
        <v>1994.08</v>
      </c>
      <c r="B17" s="50">
        <v>80.785078163760517</v>
      </c>
      <c r="C17" s="51">
        <v>-5.4163135680472272E-3</v>
      </c>
      <c r="D17" s="40"/>
      <c r="E17" s="52"/>
      <c r="F17" s="52"/>
      <c r="G17" s="101"/>
      <c r="H17" s="100"/>
      <c r="I17" s="100"/>
      <c r="J17" s="50">
        <v>78.112969464181106</v>
      </c>
      <c r="K17" s="51">
        <v>3.3040412499595773E-2</v>
      </c>
      <c r="L17" s="50">
        <v>97.508619180622347</v>
      </c>
      <c r="M17" s="50">
        <v>51.245592422625776</v>
      </c>
      <c r="N17" s="53">
        <v>0</v>
      </c>
      <c r="O17" s="80">
        <v>0</v>
      </c>
      <c r="P17" s="85">
        <v>0</v>
      </c>
    </row>
    <row r="18" spans="1:16" x14ac:dyDescent="0.2">
      <c r="A18" s="26">
        <v>1994.09</v>
      </c>
      <c r="B18" s="50">
        <v>81.605105234293092</v>
      </c>
      <c r="C18" s="51">
        <v>1.0099551877536006E-2</v>
      </c>
      <c r="D18" s="40"/>
      <c r="E18" s="40"/>
      <c r="F18" s="40"/>
      <c r="G18" s="101"/>
      <c r="H18" s="100"/>
      <c r="I18" s="100"/>
      <c r="J18" s="50">
        <v>78.247579496286306</v>
      </c>
      <c r="K18" s="51">
        <v>4.185733536206504E-2</v>
      </c>
      <c r="L18" s="50">
        <v>98.342207065207432</v>
      </c>
      <c r="M18" s="50">
        <v>51.245592422625776</v>
      </c>
      <c r="N18" s="53">
        <v>0</v>
      </c>
      <c r="O18" s="80">
        <v>0</v>
      </c>
      <c r="P18" s="85">
        <v>0</v>
      </c>
    </row>
    <row r="19" spans="1:16" x14ac:dyDescent="0.2">
      <c r="A19" s="26">
        <v>1994.1</v>
      </c>
      <c r="B19" s="50">
        <v>81.930053735087967</v>
      </c>
      <c r="C19" s="51">
        <v>3.9740558605891188E-3</v>
      </c>
      <c r="D19" s="40"/>
      <c r="E19" s="40"/>
      <c r="F19" s="40"/>
      <c r="G19" s="101"/>
      <c r="H19" s="100"/>
      <c r="I19" s="100"/>
      <c r="J19" s="50">
        <v>78.383049785233894</v>
      </c>
      <c r="K19" s="51">
        <v>4.4321750523293124E-2</v>
      </c>
      <c r="L19" s="50">
        <v>98.577233552719477</v>
      </c>
      <c r="M19" s="50">
        <v>54.608691963715387</v>
      </c>
      <c r="N19" s="53">
        <v>0</v>
      </c>
      <c r="O19" s="80">
        <v>0</v>
      </c>
      <c r="P19" s="85">
        <v>0</v>
      </c>
    </row>
    <row r="20" spans="1:16" x14ac:dyDescent="0.2">
      <c r="A20" s="26">
        <v>1994.11</v>
      </c>
      <c r="B20" s="50">
        <v>81.984110649769221</v>
      </c>
      <c r="C20" s="51">
        <v>6.5957590478964428E-4</v>
      </c>
      <c r="D20" s="40"/>
      <c r="E20" s="40"/>
      <c r="F20" s="40"/>
      <c r="G20" s="101"/>
      <c r="H20" s="100"/>
      <c r="I20" s="100"/>
      <c r="J20" s="50">
        <v>78.519596007966697</v>
      </c>
      <c r="K20" s="51">
        <v>4.3314327624295101E-2</v>
      </c>
      <c r="L20" s="50">
        <v>98.485850777997243</v>
      </c>
      <c r="M20" s="50">
        <v>52.927142193170582</v>
      </c>
      <c r="N20" s="53">
        <v>0</v>
      </c>
      <c r="O20" s="80">
        <v>1</v>
      </c>
      <c r="P20" s="85">
        <v>1</v>
      </c>
    </row>
    <row r="21" spans="1:16" x14ac:dyDescent="0.2">
      <c r="A21" s="26">
        <v>1994.12</v>
      </c>
      <c r="B21" s="50">
        <v>81.674074960490017</v>
      </c>
      <c r="C21" s="51">
        <v>-3.7888243598465134E-3</v>
      </c>
      <c r="D21" s="40"/>
      <c r="E21" s="40"/>
      <c r="F21" s="40"/>
      <c r="G21" s="101"/>
      <c r="H21" s="100"/>
      <c r="I21" s="100"/>
      <c r="J21" s="50">
        <v>78.657461344671006</v>
      </c>
      <c r="K21" s="51">
        <v>3.7664685514691154E-2</v>
      </c>
      <c r="L21" s="50">
        <v>97.957826449113384</v>
      </c>
      <c r="M21" s="50">
        <v>47.882492881536166</v>
      </c>
      <c r="N21" s="53">
        <v>1</v>
      </c>
      <c r="O21" s="80">
        <v>1</v>
      </c>
      <c r="P21" s="85">
        <v>1</v>
      </c>
    </row>
    <row r="22" spans="1:16" x14ac:dyDescent="0.2">
      <c r="A22" s="26">
        <v>1995.01</v>
      </c>
      <c r="B22" s="50">
        <v>81.012491971041172</v>
      </c>
      <c r="C22" s="51">
        <v>-8.1332669181123762E-3</v>
      </c>
      <c r="D22" s="49">
        <v>6.0246375424112958E-3</v>
      </c>
      <c r="E22" s="49">
        <v>6.0246375424112958E-3</v>
      </c>
      <c r="F22" s="40"/>
      <c r="G22" s="102">
        <v>-1.2387318584971444E-2</v>
      </c>
      <c r="H22" s="102">
        <v>5.0154155629693165E-2</v>
      </c>
      <c r="I22" s="102">
        <v>1.8883418522360858E-2</v>
      </c>
      <c r="J22" s="50">
        <v>78.796915821561001</v>
      </c>
      <c r="K22" s="51">
        <v>2.7551543875197204E-2</v>
      </c>
      <c r="L22" s="50">
        <v>97.010260754894588</v>
      </c>
      <c r="M22" s="50">
        <v>41.156293799356959</v>
      </c>
      <c r="N22" s="53">
        <v>1</v>
      </c>
      <c r="O22" s="80">
        <v>1</v>
      </c>
      <c r="P22" s="85">
        <v>1</v>
      </c>
    </row>
    <row r="23" spans="1:16" x14ac:dyDescent="0.2">
      <c r="A23" s="26">
        <v>1995.02</v>
      </c>
      <c r="B23" s="50">
        <v>80.175846300383398</v>
      </c>
      <c r="C23" s="51">
        <v>-1.0381063458390492E-2</v>
      </c>
      <c r="D23" s="51">
        <v>-5.6539449884545289E-4</v>
      </c>
      <c r="E23" s="51">
        <v>-5.6539449884545289E-4</v>
      </c>
      <c r="F23" s="40"/>
      <c r="G23" s="51">
        <v>-1.2387318584971444E-2</v>
      </c>
      <c r="H23" s="51">
        <v>5.0154155629693165E-2</v>
      </c>
      <c r="I23" s="51">
        <v>1.8883418522360858E-2</v>
      </c>
      <c r="J23" s="50">
        <v>78.938252863641296</v>
      </c>
      <c r="K23" s="51">
        <v>1.5228717176036577E-2</v>
      </c>
      <c r="L23" s="50">
        <v>95.856153580792324</v>
      </c>
      <c r="M23" s="50">
        <v>41.156293799356959</v>
      </c>
      <c r="N23" s="53">
        <v>1</v>
      </c>
      <c r="O23" s="80">
        <v>1</v>
      </c>
      <c r="P23" s="85">
        <v>1</v>
      </c>
    </row>
    <row r="24" spans="1:16" x14ac:dyDescent="0.2">
      <c r="A24" s="26">
        <v>1995.03</v>
      </c>
      <c r="B24" s="50">
        <v>79.128296418349436</v>
      </c>
      <c r="C24" s="51">
        <v>-1.3151760695824065E-2</v>
      </c>
      <c r="D24" s="51">
        <v>-1.6257347585695341E-2</v>
      </c>
      <c r="E24" s="51">
        <v>-1.6257347585695341E-2</v>
      </c>
      <c r="F24" s="40"/>
      <c r="G24" s="51">
        <v>-1.2387318584971444E-2</v>
      </c>
      <c r="H24" s="51">
        <v>5.0154155629693165E-2</v>
      </c>
      <c r="I24" s="51">
        <v>1.8883418522360858E-2</v>
      </c>
      <c r="J24" s="50">
        <v>79.081783121712803</v>
      </c>
      <c r="K24" s="51">
        <v>2.5126235044647949E-4</v>
      </c>
      <c r="L24" s="50">
        <v>94.453711014800717</v>
      </c>
      <c r="M24" s="50">
        <v>36.11164448772255</v>
      </c>
      <c r="N24" s="53">
        <v>1</v>
      </c>
      <c r="O24" s="80">
        <v>1</v>
      </c>
      <c r="P24" s="85">
        <v>1</v>
      </c>
    </row>
    <row r="25" spans="1:16" x14ac:dyDescent="0.2">
      <c r="A25" s="26">
        <v>1995.04</v>
      </c>
      <c r="B25" s="50">
        <v>77.128240917610995</v>
      </c>
      <c r="C25" s="51">
        <v>-2.5601037527107854E-2</v>
      </c>
      <c r="D25" s="51">
        <v>-4.3599603370455091E-2</v>
      </c>
      <c r="E25" s="51">
        <v>-4.3599603370455091E-2</v>
      </c>
      <c r="F25" s="40"/>
      <c r="G25" s="51">
        <v>-1.2387318584971444E-2</v>
      </c>
      <c r="H25" s="51">
        <v>5.0154155629693165E-2</v>
      </c>
      <c r="I25" s="51">
        <v>1.8883418522360858E-2</v>
      </c>
      <c r="J25" s="50">
        <v>79.227826903107299</v>
      </c>
      <c r="K25" s="51">
        <v>-2.6728096902045251E-2</v>
      </c>
      <c r="L25" s="50">
        <v>91.920293226127328</v>
      </c>
      <c r="M25" s="50">
        <v>27.703895634998531</v>
      </c>
      <c r="N25" s="53">
        <v>1</v>
      </c>
      <c r="O25" s="80">
        <v>1</v>
      </c>
      <c r="P25" s="85">
        <v>1</v>
      </c>
    </row>
    <row r="26" spans="1:16" x14ac:dyDescent="0.2">
      <c r="A26" s="26">
        <v>1995.05</v>
      </c>
      <c r="B26" s="50">
        <v>76.39468514592437</v>
      </c>
      <c r="C26" s="51">
        <v>-9.556375365037565E-3</v>
      </c>
      <c r="D26" s="51">
        <v>-5.7766174504037308E-2</v>
      </c>
      <c r="E26" s="51">
        <v>-5.7766174504037308E-2</v>
      </c>
      <c r="F26" s="40"/>
      <c r="G26" s="51">
        <v>-1.2387318584971444E-2</v>
      </c>
      <c r="H26" s="51">
        <v>5.0154155629693165E-2</v>
      </c>
      <c r="I26" s="51">
        <v>1.8883418522360858E-2</v>
      </c>
      <c r="J26" s="50">
        <v>79.376704986943096</v>
      </c>
      <c r="K26" s="51">
        <v>-3.7696268085963935E-2</v>
      </c>
      <c r="L26" s="50">
        <v>90.90167476757405</v>
      </c>
      <c r="M26" s="50">
        <v>24.340796093908928</v>
      </c>
      <c r="N26" s="53">
        <v>1</v>
      </c>
      <c r="O26" s="80">
        <v>1</v>
      </c>
      <c r="P26" s="85">
        <v>1</v>
      </c>
    </row>
    <row r="27" spans="1:16" x14ac:dyDescent="0.2">
      <c r="A27" s="26">
        <v>1995.06</v>
      </c>
      <c r="B27" s="50">
        <v>76.208264252241449</v>
      </c>
      <c r="C27" s="51">
        <v>-2.4432160341816005E-3</v>
      </c>
      <c r="D27" s="51">
        <v>-6.0480812347835596E-2</v>
      </c>
      <c r="E27" s="51">
        <v>-6.0480812347835596E-2</v>
      </c>
      <c r="F27" s="40"/>
      <c r="G27" s="51">
        <v>-1.2387318584971444E-2</v>
      </c>
      <c r="H27" s="51">
        <v>5.0154155629693165E-2</v>
      </c>
      <c r="I27" s="51">
        <v>1.8883418522360858E-2</v>
      </c>
      <c r="J27" s="50">
        <v>79.528722078371203</v>
      </c>
      <c r="K27" s="51">
        <v>-4.1785958056790418E-2</v>
      </c>
      <c r="L27" s="50">
        <v>90.536056559329523</v>
      </c>
      <c r="M27" s="50">
        <v>29.385445405543329</v>
      </c>
      <c r="N27" s="53">
        <v>1</v>
      </c>
      <c r="O27" s="80">
        <v>1</v>
      </c>
      <c r="P27" s="85">
        <v>1</v>
      </c>
    </row>
    <row r="28" spans="1:16" x14ac:dyDescent="0.2">
      <c r="A28" s="26">
        <v>1995.07</v>
      </c>
      <c r="B28" s="50">
        <v>75.452774002620288</v>
      </c>
      <c r="C28" s="51">
        <v>-9.9629609226584825E-3</v>
      </c>
      <c r="D28" s="51">
        <v>-7.3701635206291444E-2</v>
      </c>
      <c r="E28" s="51">
        <v>-7.3701635206291444E-2</v>
      </c>
      <c r="F28" s="49">
        <v>-0.10110909533113466</v>
      </c>
      <c r="G28" s="51">
        <v>-1.2387318584971444E-2</v>
      </c>
      <c r="H28" s="51">
        <v>5.0154155629693165E-2</v>
      </c>
      <c r="I28" s="51">
        <v>1.8883418522360858E-2</v>
      </c>
      <c r="J28" s="50">
        <v>79.684159990801703</v>
      </c>
      <c r="K28" s="51">
        <v>-5.3046221494845947E-2</v>
      </c>
      <c r="L28" s="50">
        <v>89.496382240671522</v>
      </c>
      <c r="M28" s="50">
        <v>27.703895634998531</v>
      </c>
      <c r="N28" s="53">
        <v>1</v>
      </c>
      <c r="O28" s="80">
        <v>1</v>
      </c>
      <c r="P28" s="85">
        <v>1</v>
      </c>
    </row>
    <row r="29" spans="1:16" x14ac:dyDescent="0.2">
      <c r="A29" s="26">
        <v>1995.08</v>
      </c>
      <c r="B29" s="50">
        <v>74.952202661027755</v>
      </c>
      <c r="C29" s="51">
        <v>-6.6563381202252034E-3</v>
      </c>
      <c r="D29" s="51">
        <v>-7.4941659758469434E-2</v>
      </c>
      <c r="E29" s="51">
        <v>-7.4941659758469434E-2</v>
      </c>
      <c r="F29" s="51">
        <v>-0.10214063854276778</v>
      </c>
      <c r="G29" s="51">
        <v>-1.2387318584971444E-2</v>
      </c>
      <c r="H29" s="51">
        <v>5.0154155629693165E-2</v>
      </c>
      <c r="I29" s="51">
        <v>1.8883418522360858E-2</v>
      </c>
      <c r="J29" s="50">
        <v>79.843275038530095</v>
      </c>
      <c r="K29" s="51">
        <v>-6.1117166423076075E-2</v>
      </c>
      <c r="L29" s="50">
        <v>88.761663688820533</v>
      </c>
      <c r="M29" s="50">
        <v>24.340796093908928</v>
      </c>
      <c r="N29" s="53">
        <v>1</v>
      </c>
      <c r="O29" s="80">
        <v>1</v>
      </c>
      <c r="P29" s="85">
        <v>1</v>
      </c>
    </row>
    <row r="30" spans="1:16" x14ac:dyDescent="0.2">
      <c r="A30" s="26">
        <v>1995.09</v>
      </c>
      <c r="B30" s="50">
        <v>74.50140767578327</v>
      </c>
      <c r="C30" s="51">
        <v>-6.0325923387874224E-3</v>
      </c>
      <c r="D30" s="51">
        <v>-9.1073803974792797E-2</v>
      </c>
      <c r="E30" s="51">
        <v>-9.1073803974792797E-2</v>
      </c>
      <c r="F30" s="51">
        <v>-0.10196879332341691</v>
      </c>
      <c r="G30" s="51">
        <v>-1.2387318584971444E-2</v>
      </c>
      <c r="H30" s="51">
        <v>5.0154155629693165E-2</v>
      </c>
      <c r="I30" s="51">
        <v>1.8883418522360858E-2</v>
      </c>
      <c r="J30" s="50">
        <v>80.006291017562106</v>
      </c>
      <c r="K30" s="51">
        <v>-6.858323546881917E-2</v>
      </c>
      <c r="L30" s="50">
        <v>88.087904118982181</v>
      </c>
      <c r="M30" s="50">
        <v>20.977696552819314</v>
      </c>
      <c r="N30" s="53">
        <v>1</v>
      </c>
      <c r="O30" s="80">
        <v>1</v>
      </c>
      <c r="P30" s="85">
        <v>1</v>
      </c>
    </row>
    <row r="31" spans="1:16" x14ac:dyDescent="0.2">
      <c r="A31" s="26">
        <v>1995.1</v>
      </c>
      <c r="B31" s="50">
        <v>74.268966488080494</v>
      </c>
      <c r="C31" s="51">
        <v>-3.1248342037208748E-3</v>
      </c>
      <c r="D31" s="51">
        <v>-9.817269403910274E-2</v>
      </c>
      <c r="E31" s="51">
        <v>-9.817269403910274E-2</v>
      </c>
      <c r="F31" s="51">
        <v>-9.4645055436305636E-2</v>
      </c>
      <c r="G31" s="51">
        <v>-1.2387318584971444E-2</v>
      </c>
      <c r="H31" s="51">
        <v>5.0154155629693165E-2</v>
      </c>
      <c r="I31" s="51">
        <v>1.8883418522360858E-2</v>
      </c>
      <c r="J31" s="50">
        <v>80.173394114904596</v>
      </c>
      <c r="K31" s="51">
        <v>-7.3345783265475584E-2</v>
      </c>
      <c r="L31" s="50">
        <v>87.673822815564321</v>
      </c>
      <c r="M31" s="50">
        <v>24.340796093908928</v>
      </c>
      <c r="N31" s="53">
        <v>1</v>
      </c>
      <c r="O31" s="80">
        <v>1</v>
      </c>
      <c r="P31" s="85">
        <v>1</v>
      </c>
    </row>
    <row r="32" spans="1:16" x14ac:dyDescent="0.2">
      <c r="A32" s="26">
        <v>1995.11</v>
      </c>
      <c r="B32" s="50">
        <v>73.95250637182771</v>
      </c>
      <c r="C32" s="51">
        <v>-4.270104607683063E-3</v>
      </c>
      <c r="D32" s="51">
        <v>-0.10310237455157566</v>
      </c>
      <c r="E32" s="51">
        <v>-0.10310237455157566</v>
      </c>
      <c r="F32" s="51">
        <v>-8.8088426527584973E-2</v>
      </c>
      <c r="G32" s="51">
        <v>-1.2387318584971444E-2</v>
      </c>
      <c r="H32" s="51">
        <v>5.0154155629693165E-2</v>
      </c>
      <c r="I32" s="51">
        <v>1.8883418522360858E-2</v>
      </c>
      <c r="J32" s="50">
        <v>80.344728174197698</v>
      </c>
      <c r="K32" s="51">
        <v>-7.9187031945906594E-2</v>
      </c>
      <c r="L32" s="50">
        <v>87.161806992273156</v>
      </c>
      <c r="M32" s="50">
        <v>24.340796093908928</v>
      </c>
      <c r="N32" s="53">
        <v>1</v>
      </c>
      <c r="O32" s="80">
        <v>1</v>
      </c>
      <c r="P32" s="85">
        <v>1</v>
      </c>
    </row>
    <row r="33" spans="1:16" x14ac:dyDescent="0.2">
      <c r="A33" s="26">
        <v>1995.12</v>
      </c>
      <c r="B33" s="50">
        <v>73.881944763354056</v>
      </c>
      <c r="C33" s="51">
        <v>-9.5460311571767117E-4</v>
      </c>
      <c r="D33" s="51">
        <v>-0.10026815330744668</v>
      </c>
      <c r="E33" s="51">
        <v>-0.10026815330744668</v>
      </c>
      <c r="F33" s="51">
        <v>-7.5046112166496814E-2</v>
      </c>
      <c r="G33" s="51">
        <v>-1.2387318584971444E-2</v>
      </c>
      <c r="H33" s="51">
        <v>5.0154155629693165E-2</v>
      </c>
      <c r="I33" s="51">
        <v>1.8883418522360858E-2</v>
      </c>
      <c r="J33" s="50">
        <v>80.520391615781094</v>
      </c>
      <c r="K33" s="51">
        <v>-8.200139871568024E-2</v>
      </c>
      <c r="L33" s="50">
        <v>86.940555565614247</v>
      </c>
      <c r="M33" s="50">
        <v>24.340796093908928</v>
      </c>
      <c r="N33" s="53">
        <v>1</v>
      </c>
      <c r="O33" s="80">
        <v>1</v>
      </c>
      <c r="P33" s="85">
        <v>0</v>
      </c>
    </row>
    <row r="34" spans="1:16" x14ac:dyDescent="0.2">
      <c r="A34" s="26">
        <v>1996.01</v>
      </c>
      <c r="B34" s="50">
        <v>74.523565271953402</v>
      </c>
      <c r="C34" s="51">
        <v>8.6469094876738296E-3</v>
      </c>
      <c r="D34" s="51">
        <v>-8.3487976901660571E-2</v>
      </c>
      <c r="E34" s="51">
        <v>-8.3487976901660571E-2</v>
      </c>
      <c r="F34" s="51">
        <v>-4.5366312967471512E-2</v>
      </c>
      <c r="G34" s="51">
        <v>-1.2387318584971444E-2</v>
      </c>
      <c r="H34" s="51">
        <v>5.0154155629693165E-2</v>
      </c>
      <c r="I34" s="51">
        <v>1.8883418522360858E-2</v>
      </c>
      <c r="J34" s="50">
        <v>80.7004336529385</v>
      </c>
      <c r="K34" s="51">
        <v>-7.6027061982427813E-2</v>
      </c>
      <c r="L34" s="50">
        <v>87.556517782353211</v>
      </c>
      <c r="M34" s="50">
        <v>31.066995176088138</v>
      </c>
      <c r="N34" s="53">
        <v>0</v>
      </c>
      <c r="O34" s="80">
        <v>0</v>
      </c>
      <c r="P34" s="85">
        <v>0</v>
      </c>
    </row>
    <row r="35" spans="1:16" x14ac:dyDescent="0.2">
      <c r="A35" s="26">
        <v>1996.02</v>
      </c>
      <c r="B35" s="50">
        <v>75.55533727854008</v>
      </c>
      <c r="C35" s="51">
        <v>1.3749944124746104E-2</v>
      </c>
      <c r="D35" s="51">
        <v>-5.9356969318523904E-2</v>
      </c>
      <c r="E35" s="51">
        <v>-5.9356969318523904E-2</v>
      </c>
      <c r="F35" s="51">
        <v>-7.9022145123450738E-3</v>
      </c>
      <c r="G35" s="51">
        <v>-1.2387318584971444E-2</v>
      </c>
      <c r="H35" s="51">
        <v>5.0154155629693165E-2</v>
      </c>
      <c r="I35" s="51">
        <v>1.8883418522360858E-2</v>
      </c>
      <c r="J35" s="50">
        <v>80.884852369284204</v>
      </c>
      <c r="K35" s="51">
        <v>-6.5305850016996736E-2</v>
      </c>
      <c r="L35" s="50">
        <v>88.627963558619825</v>
      </c>
      <c r="M35" s="50">
        <v>42.837843569901757</v>
      </c>
      <c r="N35" s="53">
        <v>0</v>
      </c>
      <c r="O35" s="80">
        <v>0</v>
      </c>
      <c r="P35" s="85">
        <v>0</v>
      </c>
    </row>
    <row r="36" spans="1:16" x14ac:dyDescent="0.2">
      <c r="A36" s="26">
        <v>1996.03</v>
      </c>
      <c r="B36" s="50">
        <v>75.651909752256472</v>
      </c>
      <c r="C36" s="51">
        <v>1.2773526235497867E-3</v>
      </c>
      <c r="D36" s="51">
        <v>-4.4927855999149932E-2</v>
      </c>
      <c r="E36" s="51">
        <v>-4.4927855999149932E-2</v>
      </c>
      <c r="F36" s="51">
        <v>3.8236866497269872E-3</v>
      </c>
      <c r="G36" s="51">
        <v>-1.2387318584971444E-2</v>
      </c>
      <c r="H36" s="51">
        <v>5.0154155629693165E-2</v>
      </c>
      <c r="I36" s="51">
        <v>1.8883418522360858E-2</v>
      </c>
      <c r="J36" s="50">
        <v>81.073598288132104</v>
      </c>
      <c r="K36" s="51">
        <v>-6.6229467469438807E-2</v>
      </c>
      <c r="L36" s="50">
        <v>88.600522363021057</v>
      </c>
      <c r="M36" s="50">
        <v>51.245592422625776</v>
      </c>
      <c r="N36" s="53">
        <v>0</v>
      </c>
      <c r="O36" s="80">
        <v>0</v>
      </c>
      <c r="P36" s="85">
        <v>0</v>
      </c>
    </row>
    <row r="37" spans="1:16" x14ac:dyDescent="0.2">
      <c r="A37" s="26">
        <v>1996.04</v>
      </c>
      <c r="B37" s="50">
        <v>77.000720955017883</v>
      </c>
      <c r="C37" s="51">
        <v>1.7672100369220154E-2</v>
      </c>
      <c r="D37" s="51">
        <v>-1.6547181028218974E-3</v>
      </c>
      <c r="E37" s="51">
        <v>-1.6547181028218974E-3</v>
      </c>
      <c r="F37" s="51">
        <v>4.4501425922343296E-2</v>
      </c>
      <c r="G37" s="51">
        <v>-1.2387318584971444E-2</v>
      </c>
      <c r="H37" s="51">
        <v>5.0154155629693165E-2</v>
      </c>
      <c r="I37" s="51">
        <v>1.8883418522360858E-2</v>
      </c>
      <c r="J37" s="50">
        <v>81.266580921322202</v>
      </c>
      <c r="K37" s="51">
        <v>-5.1781025341495868E-2</v>
      </c>
      <c r="L37" s="50">
        <v>90.037192126946195</v>
      </c>
      <c r="M37" s="50">
        <v>57.97179150480499</v>
      </c>
      <c r="N37" s="53">
        <v>0</v>
      </c>
      <c r="O37" s="80">
        <v>0</v>
      </c>
      <c r="P37" s="85">
        <v>0</v>
      </c>
    </row>
    <row r="38" spans="1:16" x14ac:dyDescent="0.2">
      <c r="A38" s="26">
        <v>1996.05</v>
      </c>
      <c r="B38" s="50">
        <v>77.539630175907746</v>
      </c>
      <c r="C38" s="51">
        <v>6.9743779072650265E-3</v>
      </c>
      <c r="D38" s="51">
        <v>1.4876035169480632E-2</v>
      </c>
      <c r="E38" s="51">
        <v>1.4876035169480632E-2</v>
      </c>
      <c r="F38" s="51">
        <v>5.8313203498256527E-2</v>
      </c>
      <c r="G38" s="51">
        <v>-1.2387318584971444E-2</v>
      </c>
      <c r="H38" s="51">
        <v>5.0154155629693165E-2</v>
      </c>
      <c r="I38" s="51">
        <v>1.8883418522360858E-2</v>
      </c>
      <c r="J38" s="50">
        <v>81.463668054492601</v>
      </c>
      <c r="K38" s="51">
        <v>-4.7402115734819561E-2</v>
      </c>
      <c r="L38" s="50">
        <v>90.523563397108688</v>
      </c>
      <c r="M38" s="50">
        <v>64.697990586984218</v>
      </c>
      <c r="N38" s="53">
        <v>0</v>
      </c>
      <c r="O38" s="80">
        <v>0</v>
      </c>
      <c r="P38" s="85">
        <v>0</v>
      </c>
    </row>
    <row r="39" spans="1:16" x14ac:dyDescent="0.2">
      <c r="A39" s="26">
        <v>1996.06</v>
      </c>
      <c r="B39" s="50">
        <v>78.053645975554133</v>
      </c>
      <c r="C39" s="51">
        <v>6.6071964330029357E-3</v>
      </c>
      <c r="D39" s="51">
        <v>2.3926447636665009E-2</v>
      </c>
      <c r="E39" s="51">
        <v>2.3926447636665009E-2</v>
      </c>
      <c r="F39" s="51">
        <v>6.8796453568503502E-2</v>
      </c>
      <c r="G39" s="51">
        <v>-1.2387318584971444E-2</v>
      </c>
      <c r="H39" s="51">
        <v>5.0154155629693165E-2</v>
      </c>
      <c r="I39" s="51">
        <v>1.8883418522360858E-2</v>
      </c>
      <c r="J39" s="50">
        <v>81.664694662725395</v>
      </c>
      <c r="K39" s="51">
        <v>-4.3399695038304209E-2</v>
      </c>
      <c r="L39" s="50">
        <v>90.97915000060793</v>
      </c>
      <c r="M39" s="50">
        <v>66.379540357528995</v>
      </c>
      <c r="N39" s="53">
        <v>0</v>
      </c>
      <c r="O39" s="80">
        <v>0</v>
      </c>
      <c r="P39" s="85">
        <v>0</v>
      </c>
    </row>
    <row r="40" spans="1:16" x14ac:dyDescent="0.2">
      <c r="A40" s="26">
        <v>1996.07</v>
      </c>
      <c r="B40" s="50">
        <v>78.544009283137044</v>
      </c>
      <c r="C40" s="51">
        <v>6.2627363036669506E-3</v>
      </c>
      <c r="D40" s="51">
        <v>4.0152144862990485E-2</v>
      </c>
      <c r="E40" s="51">
        <v>4.0152144862990485E-2</v>
      </c>
      <c r="F40" s="51">
        <v>7.7160321749891958E-2</v>
      </c>
      <c r="G40" s="51">
        <v>-1.2387318584971444E-2</v>
      </c>
      <c r="H40" s="51">
        <v>5.0154155629693165E-2</v>
      </c>
      <c r="I40" s="51">
        <v>1.8883418522360858E-2</v>
      </c>
      <c r="J40" s="50">
        <v>81.869465528555196</v>
      </c>
      <c r="K40" s="51">
        <v>-3.9754423136122652E-2</v>
      </c>
      <c r="L40" s="50">
        <v>91.405538491426569</v>
      </c>
      <c r="M40" s="50">
        <v>68.061090128073801</v>
      </c>
      <c r="N40" s="53">
        <v>0</v>
      </c>
      <c r="O40" s="80">
        <v>0</v>
      </c>
      <c r="P40" s="85">
        <v>0</v>
      </c>
    </row>
    <row r="41" spans="1:16" x14ac:dyDescent="0.2">
      <c r="A41" s="26">
        <v>1996.08</v>
      </c>
      <c r="B41" s="50">
        <v>79.22029257605621</v>
      </c>
      <c r="C41" s="51">
        <v>8.5733898904800567E-3</v>
      </c>
      <c r="D41" s="51">
        <v>5.5381872873695975E-2</v>
      </c>
      <c r="E41" s="51">
        <v>5.5381872873695975E-2</v>
      </c>
      <c r="F41" s="51">
        <v>8.7480060973392781E-2</v>
      </c>
      <c r="G41" s="51">
        <v>-1.2387318584971444E-2</v>
      </c>
      <c r="H41" s="51">
        <v>5.0154155629693165E-2</v>
      </c>
      <c r="I41" s="51">
        <v>1.8883418522360858E-2</v>
      </c>
      <c r="J41" s="50">
        <v>82.077757642710196</v>
      </c>
      <c r="K41" s="51">
        <v>-3.3906060829901441E-2</v>
      </c>
      <c r="L41" s="50">
        <v>92.046367054861818</v>
      </c>
      <c r="M41" s="50">
        <v>68.061090128073801</v>
      </c>
      <c r="N41" s="53">
        <v>0</v>
      </c>
      <c r="O41" s="80">
        <v>0</v>
      </c>
      <c r="P41" s="85">
        <v>0</v>
      </c>
    </row>
    <row r="42" spans="1:16" x14ac:dyDescent="0.2">
      <c r="A42" s="26">
        <v>1996.09</v>
      </c>
      <c r="B42" s="50">
        <v>79.230743647086683</v>
      </c>
      <c r="C42" s="51">
        <v>1.3191546479894464E-4</v>
      </c>
      <c r="D42" s="51">
        <v>6.1546380677282346E-2</v>
      </c>
      <c r="E42" s="51">
        <v>6.1546380677282346E-2</v>
      </c>
      <c r="F42" s="51">
        <v>7.8372701388835786E-2</v>
      </c>
      <c r="G42" s="51">
        <v>-1.2387318584971444E-2</v>
      </c>
      <c r="H42" s="51">
        <v>5.0154155629693165E-2</v>
      </c>
      <c r="I42" s="51">
        <v>1.8883418522360858E-2</v>
      </c>
      <c r="J42" s="50">
        <v>82.289322430783301</v>
      </c>
      <c r="K42" s="51">
        <v>-3.6229953156271977E-2</v>
      </c>
      <c r="L42" s="50">
        <v>91.912527102493598</v>
      </c>
      <c r="M42" s="50">
        <v>64.697990586984218</v>
      </c>
      <c r="N42" s="53">
        <v>0</v>
      </c>
      <c r="O42" s="80">
        <v>0</v>
      </c>
      <c r="P42" s="85">
        <v>0</v>
      </c>
    </row>
    <row r="43" spans="1:16" x14ac:dyDescent="0.2">
      <c r="A43" s="26">
        <v>1996.1</v>
      </c>
      <c r="B43" s="50">
        <v>80.015766765167655</v>
      </c>
      <c r="C43" s="51">
        <v>9.8592989586208917E-3</v>
      </c>
      <c r="D43" s="51">
        <v>7.4530513839624099E-2</v>
      </c>
      <c r="E43" s="51">
        <v>7.4530513839624099E-2</v>
      </c>
      <c r="F43" s="51">
        <v>8.7752187387152292E-2</v>
      </c>
      <c r="G43" s="51">
        <v>-1.2387318584971444E-2</v>
      </c>
      <c r="H43" s="51">
        <v>5.0154155629693165E-2</v>
      </c>
      <c r="I43" s="51">
        <v>1.8883418522360858E-2</v>
      </c>
      <c r="J43" s="50">
        <v>82.503889395362904</v>
      </c>
      <c r="K43" s="51">
        <v>-2.9184650910052623E-2</v>
      </c>
      <c r="L43" s="50">
        <v>92.676006403281548</v>
      </c>
      <c r="M43" s="50">
        <v>64.697990586984218</v>
      </c>
      <c r="N43" s="53">
        <v>0</v>
      </c>
      <c r="O43" s="80">
        <v>0</v>
      </c>
      <c r="P43" s="85">
        <v>0</v>
      </c>
    </row>
    <row r="44" spans="1:16" x14ac:dyDescent="0.2">
      <c r="A44" s="26">
        <v>1996.11</v>
      </c>
      <c r="B44" s="50">
        <v>80.472618252165105</v>
      </c>
      <c r="C44" s="51">
        <v>5.6932808060642763E-3</v>
      </c>
      <c r="D44" s="51">
        <v>8.4493899253371488E-2</v>
      </c>
      <c r="E44" s="51">
        <v>8.4493899253371488E-2</v>
      </c>
      <c r="F44" s="51">
        <v>8.6645757751941943E-2</v>
      </c>
      <c r="G44" s="51">
        <v>-1.2387318584971444E-2</v>
      </c>
      <c r="H44" s="51">
        <v>5.0154155629693165E-2</v>
      </c>
      <c r="I44" s="51">
        <v>1.8883418522360858E-2</v>
      </c>
      <c r="J44" s="50">
        <v>82.721164573920305</v>
      </c>
      <c r="K44" s="51">
        <v>-2.6184332835520685E-2</v>
      </c>
      <c r="L44" s="50">
        <v>93.057340380649336</v>
      </c>
      <c r="M44" s="50">
        <v>66.379540357528995</v>
      </c>
      <c r="N44" s="53">
        <v>0</v>
      </c>
      <c r="O44" s="80">
        <v>0</v>
      </c>
      <c r="P44" s="85">
        <v>0</v>
      </c>
    </row>
    <row r="45" spans="1:16" x14ac:dyDescent="0.2">
      <c r="A45" s="26">
        <v>1996.12</v>
      </c>
      <c r="B45" s="50">
        <v>80.984269079883845</v>
      </c>
      <c r="C45" s="51">
        <v>6.3379462951970982E-3</v>
      </c>
      <c r="D45" s="51">
        <v>9.1786448664286341E-2</v>
      </c>
      <c r="E45" s="51">
        <v>9.1786448664286341E-2</v>
      </c>
      <c r="F45" s="51">
        <v>8.5242441811283376E-2</v>
      </c>
      <c r="G45" s="51">
        <v>-1.2387318584971444E-2</v>
      </c>
      <c r="H45" s="51">
        <v>5.0154155629693165E-2</v>
      </c>
      <c r="I45" s="51">
        <v>1.8883418522360858E-2</v>
      </c>
      <c r="J45" s="50">
        <v>82.940834937950598</v>
      </c>
      <c r="K45" s="51">
        <v>-2.2572083627865891E-2</v>
      </c>
      <c r="L45" s="50">
        <v>93.500500553984409</v>
      </c>
      <c r="M45" s="50">
        <v>68.061090128073801</v>
      </c>
      <c r="N45" s="53">
        <v>0</v>
      </c>
      <c r="O45" s="80">
        <v>0</v>
      </c>
      <c r="P45" s="85">
        <v>0</v>
      </c>
    </row>
    <row r="46" spans="1:16" x14ac:dyDescent="0.2">
      <c r="A46" s="26">
        <v>1997.01</v>
      </c>
      <c r="B46" s="50">
        <v>81.432654993248022</v>
      </c>
      <c r="C46" s="51">
        <v>5.5214326346221983E-3</v>
      </c>
      <c r="D46" s="51">
        <v>8.8660971811234709E-2</v>
      </c>
      <c r="E46" s="51">
        <v>8.8660971811234709E-2</v>
      </c>
      <c r="F46" s="51">
        <v>8.1065164664011036E-2</v>
      </c>
      <c r="G46" s="51">
        <v>-1.2387318584971444E-2</v>
      </c>
      <c r="H46" s="51">
        <v>5.0154155629693165E-2</v>
      </c>
      <c r="I46" s="51">
        <v>1.8883418522360858E-2</v>
      </c>
      <c r="J46" s="50">
        <v>83.162570233369706</v>
      </c>
      <c r="K46" s="51">
        <v>-1.9770500366577237E-2</v>
      </c>
      <c r="L46" s="50">
        <v>93.869094459178527</v>
      </c>
      <c r="M46" s="50">
        <v>64.697990586984218</v>
      </c>
      <c r="N46" s="53">
        <v>0</v>
      </c>
      <c r="O46" s="80">
        <v>0</v>
      </c>
      <c r="P46" s="85">
        <v>0</v>
      </c>
    </row>
    <row r="47" spans="1:16" x14ac:dyDescent="0.2">
      <c r="A47" s="26">
        <v>1997.02</v>
      </c>
      <c r="B47" s="50">
        <v>81.80847728069439</v>
      </c>
      <c r="C47" s="51">
        <v>4.6045129216129117E-3</v>
      </c>
      <c r="D47" s="51">
        <v>7.9515540608101426E-2</v>
      </c>
      <c r="E47" s="51">
        <v>7.9515540608101426E-2</v>
      </c>
      <c r="F47" s="51">
        <v>7.5603129891622434E-2</v>
      </c>
      <c r="G47" s="51">
        <v>-1.2387318584971444E-2</v>
      </c>
      <c r="H47" s="51">
        <v>5.0154155629693165E-2</v>
      </c>
      <c r="I47" s="51">
        <v>1.8883418522360858E-2</v>
      </c>
      <c r="J47" s="50">
        <v>83.386025222265005</v>
      </c>
      <c r="K47" s="51">
        <v>-1.7881073664672509E-2</v>
      </c>
      <c r="L47" s="50">
        <v>94.152771297191393</v>
      </c>
      <c r="M47" s="50">
        <v>61.334891045894587</v>
      </c>
      <c r="N47" s="53">
        <v>0</v>
      </c>
      <c r="O47" s="80">
        <v>0</v>
      </c>
      <c r="P47" s="85">
        <v>0</v>
      </c>
    </row>
    <row r="48" spans="1:16" x14ac:dyDescent="0.2">
      <c r="A48" s="26">
        <v>1997.03</v>
      </c>
      <c r="B48" s="50">
        <v>82.58948635364375</v>
      </c>
      <c r="C48" s="51">
        <v>9.501516094100871E-3</v>
      </c>
      <c r="D48" s="51">
        <v>8.7739704078652489E-2</v>
      </c>
      <c r="E48" s="51">
        <v>8.7739704078652489E-2</v>
      </c>
      <c r="F48" s="51">
        <v>8.1371575067202828E-2</v>
      </c>
      <c r="G48" s="51">
        <v>-1.2387318584971444E-2</v>
      </c>
      <c r="H48" s="51">
        <v>5.0154155629693165E-2</v>
      </c>
      <c r="I48" s="51">
        <v>1.8883418522360858E-2</v>
      </c>
      <c r="J48" s="50">
        <v>83.610841413669405</v>
      </c>
      <c r="K48" s="51">
        <v>-1.1172517905984836E-2</v>
      </c>
      <c r="L48" s="50">
        <v>94.900899388380481</v>
      </c>
      <c r="M48" s="50">
        <v>66.379540357528995</v>
      </c>
      <c r="N48" s="53">
        <v>0</v>
      </c>
      <c r="O48" s="80">
        <v>0</v>
      </c>
      <c r="P48" s="85">
        <v>0</v>
      </c>
    </row>
    <row r="49" spans="1:16" x14ac:dyDescent="0.2">
      <c r="A49" s="26">
        <v>1997.04</v>
      </c>
      <c r="B49" s="50">
        <v>82.98810372097816</v>
      </c>
      <c r="C49" s="51">
        <v>4.8148802896864429E-3</v>
      </c>
      <c r="D49" s="51">
        <v>7.4882483999118843E-2</v>
      </c>
      <c r="E49" s="51">
        <v>7.4882483999118843E-2</v>
      </c>
      <c r="F49" s="51">
        <v>7.6468357059406689E-2</v>
      </c>
      <c r="G49" s="51">
        <v>-1.2387318584971444E-2</v>
      </c>
      <c r="H49" s="51">
        <v>5.0154155629693165E-2</v>
      </c>
      <c r="I49" s="51">
        <v>1.8883418522360858E-2</v>
      </c>
      <c r="J49" s="50">
        <v>83.836648225859193</v>
      </c>
      <c r="K49" s="51">
        <v>-9.0837744113684282E-3</v>
      </c>
      <c r="L49" s="50">
        <v>95.207720880761855</v>
      </c>
      <c r="M49" s="50">
        <v>64.697990586984218</v>
      </c>
      <c r="N49" s="53">
        <v>0</v>
      </c>
      <c r="O49" s="80">
        <v>0</v>
      </c>
      <c r="P49" s="85">
        <v>0</v>
      </c>
    </row>
    <row r="50" spans="1:16" x14ac:dyDescent="0.2">
      <c r="A50" s="26">
        <v>1997.05</v>
      </c>
      <c r="B50" s="50">
        <v>83.599267047978415</v>
      </c>
      <c r="C50" s="51">
        <v>7.3374838223932981E-3</v>
      </c>
      <c r="D50" s="51">
        <v>7.524558991424718E-2</v>
      </c>
      <c r="E50" s="51">
        <v>7.524558991424718E-2</v>
      </c>
      <c r="F50" s="51">
        <v>7.8656369986976005E-2</v>
      </c>
      <c r="G50" s="51">
        <v>-1.2387318584971444E-2</v>
      </c>
      <c r="H50" s="51">
        <v>5.0154155629693165E-2</v>
      </c>
      <c r="I50" s="51">
        <v>1.8883418522360858E-2</v>
      </c>
      <c r="J50" s="50">
        <v>84.063067276500405</v>
      </c>
      <c r="K50" s="51">
        <v>-4.4886255109731765E-3</v>
      </c>
      <c r="L50" s="50">
        <v>95.756786337288702</v>
      </c>
      <c r="M50" s="50">
        <v>64.697990586984218</v>
      </c>
      <c r="N50" s="53">
        <v>0</v>
      </c>
      <c r="O50" s="80">
        <v>0</v>
      </c>
      <c r="P50" s="85">
        <v>0</v>
      </c>
    </row>
    <row r="51" spans="1:16" x14ac:dyDescent="0.2">
      <c r="A51" s="26">
        <v>1997.06</v>
      </c>
      <c r="B51" s="50">
        <v>84.229971744370744</v>
      </c>
      <c r="C51" s="51">
        <v>7.51606418565032E-3</v>
      </c>
      <c r="D51" s="51">
        <v>7.6154457666894479E-2</v>
      </c>
      <c r="E51" s="51">
        <v>7.6154457666894479E-2</v>
      </c>
      <c r="F51" s="51">
        <v>8.1133561492318318E-2</v>
      </c>
      <c r="G51" s="51">
        <v>-1.2387318584971444E-2</v>
      </c>
      <c r="H51" s="51">
        <v>5.0154155629693165E-2</v>
      </c>
      <c r="I51" s="51">
        <v>1.8883418522360858E-2</v>
      </c>
      <c r="J51" s="50">
        <v>84.289713717261094</v>
      </c>
      <c r="K51" s="51">
        <v>3.048894776718214E-4</v>
      </c>
      <c r="L51" s="50">
        <v>96.326218704146754</v>
      </c>
      <c r="M51" s="50">
        <v>66.379540357528995</v>
      </c>
      <c r="N51" s="53">
        <v>0</v>
      </c>
      <c r="O51" s="80">
        <v>0</v>
      </c>
      <c r="P51" s="85">
        <v>0</v>
      </c>
    </row>
    <row r="52" spans="1:16" x14ac:dyDescent="0.2">
      <c r="A52" s="26">
        <v>1997.07</v>
      </c>
      <c r="B52" s="50">
        <v>84.300651513933289</v>
      </c>
      <c r="C52" s="51">
        <v>8.3877662516069367E-4</v>
      </c>
      <c r="D52" s="51">
        <v>7.0730497988388277E-2</v>
      </c>
      <c r="E52" s="51">
        <v>7.0730497988388277E-2</v>
      </c>
      <c r="F52" s="51">
        <v>7.0181194309287598E-2</v>
      </c>
      <c r="G52" s="51">
        <v>-1.2387318584971444E-2</v>
      </c>
      <c r="H52" s="51">
        <v>5.0154155629693165E-2</v>
      </c>
      <c r="I52" s="51">
        <v>1.8883418522360858E-2</v>
      </c>
      <c r="J52" s="50">
        <v>84.516199218423907</v>
      </c>
      <c r="K52" s="51">
        <v>-1.5645913979105419E-3</v>
      </c>
      <c r="L52" s="50">
        <v>96.25416992971644</v>
      </c>
      <c r="M52" s="50">
        <v>68.061090128073801</v>
      </c>
      <c r="N52" s="53">
        <v>0</v>
      </c>
      <c r="O52" s="80">
        <v>0</v>
      </c>
      <c r="P52" s="85">
        <v>0</v>
      </c>
    </row>
    <row r="53" spans="1:16" x14ac:dyDescent="0.2">
      <c r="A53" s="26">
        <v>1997.08</v>
      </c>
      <c r="B53" s="50">
        <v>84.887836629326785</v>
      </c>
      <c r="C53" s="51">
        <v>6.9412225312934922E-3</v>
      </c>
      <c r="D53" s="51">
        <v>6.9098330629201732E-2</v>
      </c>
      <c r="E53" s="51">
        <v>6.9098330629201732E-2</v>
      </c>
      <c r="F53" s="51">
        <v>7.2267672652458037E-2</v>
      </c>
      <c r="G53" s="51">
        <v>-1.2387318584971444E-2</v>
      </c>
      <c r="H53" s="51">
        <v>5.0154155629693165E-2</v>
      </c>
      <c r="I53" s="51">
        <v>1.8883418522360858E-2</v>
      </c>
      <c r="J53" s="50">
        <v>84.742135091973495</v>
      </c>
      <c r="K53" s="51">
        <v>2.6771947044479383E-3</v>
      </c>
      <c r="L53" s="50">
        <v>96.770916118922557</v>
      </c>
      <c r="M53" s="50">
        <v>69.74263989861862</v>
      </c>
      <c r="N53" s="53">
        <v>0</v>
      </c>
      <c r="O53" s="80">
        <v>0</v>
      </c>
      <c r="P53" s="85">
        <v>0</v>
      </c>
    </row>
    <row r="54" spans="1:16" x14ac:dyDescent="0.2">
      <c r="A54" s="26">
        <v>1997.09</v>
      </c>
      <c r="B54" s="50">
        <v>85.097444104576113</v>
      </c>
      <c r="C54" s="51">
        <v>2.4661850788680337E-3</v>
      </c>
      <c r="D54" s="51">
        <v>7.1432600243270764E-2</v>
      </c>
      <c r="E54" s="51">
        <v>7.1432600243270764E-2</v>
      </c>
      <c r="F54" s="51">
        <v>6.5764290776600509E-2</v>
      </c>
      <c r="G54" s="51">
        <v>-1.2387318584971444E-2</v>
      </c>
      <c r="H54" s="51">
        <v>5.0154155629693165E-2</v>
      </c>
      <c r="I54" s="51">
        <v>1.8883418522360858E-2</v>
      </c>
      <c r="J54" s="50">
        <v>84.967131074078594</v>
      </c>
      <c r="K54" s="51">
        <v>2.4532493039912673E-3</v>
      </c>
      <c r="L54" s="50">
        <v>96.856030859153719</v>
      </c>
      <c r="M54" s="50">
        <v>68.061090128073801</v>
      </c>
      <c r="N54" s="53">
        <v>0</v>
      </c>
      <c r="O54" s="80">
        <v>0</v>
      </c>
      <c r="P54" s="85">
        <v>0</v>
      </c>
    </row>
    <row r="55" spans="1:16" x14ac:dyDescent="0.2">
      <c r="A55" s="26">
        <v>1997.1</v>
      </c>
      <c r="B55" s="50">
        <v>85.707241459402994</v>
      </c>
      <c r="C55" s="51">
        <v>7.1403187054801271E-3</v>
      </c>
      <c r="D55" s="51">
        <v>6.8713619990129898E-2</v>
      </c>
      <c r="E55" s="51">
        <v>6.8713619990129898E-2</v>
      </c>
      <c r="F55" s="51">
        <v>6.8150044590895353E-2</v>
      </c>
      <c r="G55" s="51">
        <v>-1.2387318584971444E-2</v>
      </c>
      <c r="H55" s="51">
        <v>5.0154155629693165E-2</v>
      </c>
      <c r="I55" s="51">
        <v>1.8883418522360858E-2</v>
      </c>
      <c r="J55" s="50">
        <v>85.190798120453806</v>
      </c>
      <c r="K55" s="51">
        <v>6.9417618906191247E-3</v>
      </c>
      <c r="L55" s="50">
        <v>97.395397295033561</v>
      </c>
      <c r="M55" s="50">
        <v>66.379540357528995</v>
      </c>
      <c r="N55" s="53">
        <v>0</v>
      </c>
      <c r="O55" s="80">
        <v>0</v>
      </c>
      <c r="P55" s="85">
        <v>0</v>
      </c>
    </row>
    <row r="56" spans="1:16" x14ac:dyDescent="0.2">
      <c r="A56" s="26">
        <v>1997.11</v>
      </c>
      <c r="B56" s="50">
        <v>85.860143953214916</v>
      </c>
      <c r="C56" s="51">
        <v>1.7824195889606749E-3</v>
      </c>
      <c r="D56" s="51">
        <v>6.4802758773026325E-2</v>
      </c>
      <c r="E56" s="51">
        <v>6.4802758773026325E-2</v>
      </c>
      <c r="F56" s="51">
        <v>6.0416072304671609E-2</v>
      </c>
      <c r="G56" s="51">
        <v>-1.2387318584971444E-2</v>
      </c>
      <c r="H56" s="51">
        <v>5.0154155629693165E-2</v>
      </c>
      <c r="I56" s="51">
        <v>1.8883418522360858E-2</v>
      </c>
      <c r="J56" s="50">
        <v>85.412748313570603</v>
      </c>
      <c r="K56" s="51">
        <v>6.0670184336462096E-3</v>
      </c>
      <c r="L56" s="50">
        <v>97.414429894003547</v>
      </c>
      <c r="M56" s="50">
        <v>59.653341275349803</v>
      </c>
      <c r="N56" s="53">
        <v>0</v>
      </c>
      <c r="O56" s="80">
        <v>0</v>
      </c>
      <c r="P56" s="85">
        <v>0</v>
      </c>
    </row>
    <row r="57" spans="1:16" x14ac:dyDescent="0.2">
      <c r="A57" s="26">
        <v>1997.12</v>
      </c>
      <c r="B57" s="50">
        <v>86.201814446656215</v>
      </c>
      <c r="C57" s="51">
        <v>3.9714873143116844E-3</v>
      </c>
      <c r="D57" s="51">
        <v>6.243629979214077E-2</v>
      </c>
      <c r="E57" s="51">
        <v>6.243629979214077E-2</v>
      </c>
      <c r="F57" s="51">
        <v>5.7655824078746809E-2</v>
      </c>
      <c r="G57" s="51">
        <v>-1.2387318584971444E-2</v>
      </c>
      <c r="H57" s="51">
        <v>5.0154155629693165E-2</v>
      </c>
      <c r="I57" s="51">
        <v>1.8883418522360858E-2</v>
      </c>
      <c r="J57" s="50">
        <v>85.632597839488</v>
      </c>
      <c r="K57" s="51">
        <v>7.4217751032712442E-3</v>
      </c>
      <c r="L57" s="50">
        <v>97.646988290376456</v>
      </c>
      <c r="M57" s="50">
        <v>57.97179150480499</v>
      </c>
      <c r="N57" s="53">
        <v>0</v>
      </c>
      <c r="O57" s="80">
        <v>0</v>
      </c>
      <c r="P57" s="85">
        <v>0</v>
      </c>
    </row>
    <row r="58" spans="1:16" x14ac:dyDescent="0.2">
      <c r="A58" s="26">
        <v>1998.01</v>
      </c>
      <c r="B58" s="50">
        <v>86.469131013666626</v>
      </c>
      <c r="C58" s="51">
        <v>3.0962566383946574E-3</v>
      </c>
      <c r="D58" s="51">
        <v>6.0011123795913252E-2</v>
      </c>
      <c r="E58" s="51">
        <v>6.0011123795913252E-2</v>
      </c>
      <c r="F58" s="51">
        <v>5.3583354835343044E-2</v>
      </c>
      <c r="G58" s="51">
        <v>-1.2387318584971444E-2</v>
      </c>
      <c r="H58" s="51">
        <v>5.0154155629693165E-2</v>
      </c>
      <c r="I58" s="51">
        <v>1.8883418522360858E-2</v>
      </c>
      <c r="J58" s="50">
        <v>85.849966438388705</v>
      </c>
      <c r="K58" s="51">
        <v>7.9261349462216302E-3</v>
      </c>
      <c r="L58" s="50">
        <v>97.794471686451175</v>
      </c>
      <c r="M58" s="50">
        <v>57.97179150480499</v>
      </c>
      <c r="N58" s="53">
        <v>0</v>
      </c>
      <c r="O58" s="80">
        <v>0</v>
      </c>
      <c r="P58" s="85">
        <v>0</v>
      </c>
    </row>
    <row r="59" spans="1:16" x14ac:dyDescent="0.2">
      <c r="A59" s="26">
        <v>1998.02</v>
      </c>
      <c r="B59" s="50">
        <v>87.006052684805638</v>
      </c>
      <c r="C59" s="51">
        <v>6.1902039726851339E-3</v>
      </c>
      <c r="D59" s="51">
        <v>6.1596814846985225E-2</v>
      </c>
      <c r="E59" s="51">
        <v>6.1596814846985225E-2</v>
      </c>
      <c r="F59" s="51">
        <v>5.5938761498026457E-2</v>
      </c>
      <c r="G59" s="51">
        <v>-1.2387318584971444E-2</v>
      </c>
      <c r="H59" s="51">
        <v>5.0154155629693165E-2</v>
      </c>
      <c r="I59" s="51">
        <v>1.8883418522360858E-2</v>
      </c>
      <c r="J59" s="50">
        <v>86.064478344283799</v>
      </c>
      <c r="K59" s="51">
        <v>1.1590367565074144E-2</v>
      </c>
      <c r="L59" s="50">
        <v>98.245675037606759</v>
      </c>
      <c r="M59" s="50">
        <v>57.97179150480499</v>
      </c>
      <c r="N59" s="53">
        <v>0</v>
      </c>
      <c r="O59" s="80">
        <v>0</v>
      </c>
      <c r="P59" s="85">
        <v>0</v>
      </c>
    </row>
    <row r="60" spans="1:16" x14ac:dyDescent="0.2">
      <c r="A60" s="26">
        <v>1998.03</v>
      </c>
      <c r="B60" s="50">
        <v>87.689422750584072</v>
      </c>
      <c r="C60" s="51">
        <v>7.8235976032386672E-3</v>
      </c>
      <c r="D60" s="51">
        <v>5.9918896356123089E-2</v>
      </c>
      <c r="E60" s="51">
        <v>5.9918896356123089E-2</v>
      </c>
      <c r="F60" s="51">
        <v>6.1234091114622302E-2</v>
      </c>
      <c r="G60" s="51">
        <v>-1.2387318584971444E-2</v>
      </c>
      <c r="H60" s="51">
        <v>5.0154155629693165E-2</v>
      </c>
      <c r="I60" s="51">
        <v>1.8883418522360858E-2</v>
      </c>
      <c r="J60" s="50">
        <v>86.275762657693406</v>
      </c>
      <c r="K60" s="51">
        <v>1.6966836807097208E-2</v>
      </c>
      <c r="L60" s="50">
        <v>98.860306134903183</v>
      </c>
      <c r="M60" s="50">
        <v>61.334891045894587</v>
      </c>
      <c r="N60" s="53">
        <v>0</v>
      </c>
      <c r="O60" s="80">
        <v>0</v>
      </c>
      <c r="P60" s="85">
        <v>0</v>
      </c>
    </row>
    <row r="61" spans="1:16" x14ac:dyDescent="0.2">
      <c r="A61" s="26">
        <v>1998.04</v>
      </c>
      <c r="B61" s="50">
        <v>88.04650838716951</v>
      </c>
      <c r="C61" s="51">
        <v>4.0638943410105004E-3</v>
      </c>
      <c r="D61" s="51">
        <v>5.9167910407447157E-2</v>
      </c>
      <c r="E61" s="51">
        <v>5.9167910407447157E-2</v>
      </c>
      <c r="F61" s="51">
        <v>5.9415993758068941E-2</v>
      </c>
      <c r="G61" s="51">
        <v>-1.2387318584971444E-2</v>
      </c>
      <c r="H61" s="51">
        <v>5.0154155629693165E-2</v>
      </c>
      <c r="I61" s="51">
        <v>1.8883418522360858E-2</v>
      </c>
      <c r="J61" s="50">
        <v>86.483455819947693</v>
      </c>
      <c r="K61" s="51">
        <v>1.8578763169015744E-2</v>
      </c>
      <c r="L61" s="50">
        <v>99.105473904450591</v>
      </c>
      <c r="M61" s="50">
        <v>61.334891045894587</v>
      </c>
      <c r="N61" s="53">
        <v>0</v>
      </c>
      <c r="O61" s="80">
        <v>0</v>
      </c>
      <c r="P61" s="85">
        <v>0</v>
      </c>
    </row>
    <row r="62" spans="1:16" x14ac:dyDescent="0.2">
      <c r="A62" s="26">
        <v>1998.05</v>
      </c>
      <c r="B62" s="50">
        <v>88.733329512765124</v>
      </c>
      <c r="C62" s="51">
        <v>7.7703949675620547E-3</v>
      </c>
      <c r="D62" s="51">
        <v>5.9600821552615937E-2</v>
      </c>
      <c r="E62" s="51">
        <v>5.9600821552615937E-2</v>
      </c>
      <c r="F62" s="51">
        <v>6.4990854002453746E-2</v>
      </c>
      <c r="G62" s="51">
        <v>-1.2387318584971444E-2</v>
      </c>
      <c r="H62" s="51">
        <v>5.0154155629693165E-2</v>
      </c>
      <c r="I62" s="51">
        <v>1.8883418522360858E-2</v>
      </c>
      <c r="J62" s="50">
        <v>86.687205257758094</v>
      </c>
      <c r="K62" s="51">
        <v>2.402938771566987E-2</v>
      </c>
      <c r="L62" s="50">
        <v>99.720178439861513</v>
      </c>
      <c r="M62" s="50">
        <v>66.379540357528995</v>
      </c>
      <c r="N62" s="53">
        <v>0</v>
      </c>
      <c r="O62" s="80">
        <v>0</v>
      </c>
      <c r="P62" s="85">
        <v>0</v>
      </c>
    </row>
    <row r="63" spans="1:16" x14ac:dyDescent="0.2">
      <c r="A63" s="26">
        <v>1998.06</v>
      </c>
      <c r="B63" s="50">
        <v>88.519750911228797</v>
      </c>
      <c r="C63" s="51">
        <v>-2.4098729837400703E-3</v>
      </c>
      <c r="D63" s="51">
        <v>4.9674884383225551E-2</v>
      </c>
      <c r="E63" s="51">
        <v>4.9674884383225551E-2</v>
      </c>
      <c r="F63" s="51">
        <v>5.0566793968702672E-2</v>
      </c>
      <c r="G63" s="51">
        <v>-1.2387318584971444E-2</v>
      </c>
      <c r="H63" s="51">
        <v>5.0154155629693165E-2</v>
      </c>
      <c r="I63" s="51">
        <v>1.8883418522360858E-2</v>
      </c>
      <c r="J63" s="50">
        <v>86.886670526797204</v>
      </c>
      <c r="K63" s="51">
        <v>1.9133112724234902E-2</v>
      </c>
      <c r="L63" s="50">
        <v>99.32240273417105</v>
      </c>
      <c r="M63" s="50">
        <v>63.016440816439399</v>
      </c>
      <c r="N63" s="53">
        <v>0</v>
      </c>
      <c r="O63" s="80">
        <v>0</v>
      </c>
      <c r="P63" s="85">
        <v>0</v>
      </c>
    </row>
    <row r="64" spans="1:16" x14ac:dyDescent="0.2">
      <c r="A64" s="26">
        <v>1998.07</v>
      </c>
      <c r="B64" s="50">
        <v>88.989726368231757</v>
      </c>
      <c r="C64" s="51">
        <v>5.2952277518846999E-3</v>
      </c>
      <c r="D64" s="51">
        <v>5.4131335509949537E-2</v>
      </c>
      <c r="E64" s="51">
        <v>5.4131335509949537E-2</v>
      </c>
      <c r="F64" s="51">
        <v>5.2811267817249208E-2</v>
      </c>
      <c r="G64" s="51">
        <v>-1.2387318584971444E-2</v>
      </c>
      <c r="H64" s="51">
        <v>5.0154155629693165E-2</v>
      </c>
      <c r="I64" s="51">
        <v>1.8883418522360858E-2</v>
      </c>
      <c r="J64" s="50">
        <v>87.081527031652499</v>
      </c>
      <c r="K64" s="51">
        <v>2.2160718705787952E-2</v>
      </c>
      <c r="L64" s="50">
        <v>99.691394276634441</v>
      </c>
      <c r="M64" s="50">
        <v>64.697990586984218</v>
      </c>
      <c r="N64" s="53">
        <v>0</v>
      </c>
      <c r="O64" s="80">
        <v>0</v>
      </c>
      <c r="P64" s="85">
        <v>0</v>
      </c>
    </row>
    <row r="65" spans="1:16" x14ac:dyDescent="0.2">
      <c r="A65" s="26">
        <v>1998.08</v>
      </c>
      <c r="B65" s="50">
        <v>89.223620653959856</v>
      </c>
      <c r="C65" s="51">
        <v>2.6248810645284086E-3</v>
      </c>
      <c r="D65" s="51">
        <v>4.9814994043184575E-2</v>
      </c>
      <c r="E65" s="51">
        <v>4.9814994043184575E-2</v>
      </c>
      <c r="F65" s="51">
        <v>4.9163322983716062E-2</v>
      </c>
      <c r="G65" s="51">
        <v>-1.2387318584971444E-2</v>
      </c>
      <c r="H65" s="51">
        <v>5.0154155629693165E-2</v>
      </c>
      <c r="I65" s="51">
        <v>1.8883418522360858E-2</v>
      </c>
      <c r="J65" s="50">
        <v>87.271462842912598</v>
      </c>
      <c r="K65" s="51">
        <v>2.2522222859568286E-2</v>
      </c>
      <c r="L65" s="50">
        <v>99.794913515429016</v>
      </c>
      <c r="M65" s="50">
        <v>63.016440816439399</v>
      </c>
      <c r="N65" s="53">
        <v>0</v>
      </c>
      <c r="O65" s="80">
        <v>0</v>
      </c>
      <c r="P65" s="85">
        <v>0</v>
      </c>
    </row>
    <row r="66" spans="1:16" x14ac:dyDescent="0.2">
      <c r="A66" s="26">
        <v>1998.09</v>
      </c>
      <c r="B66" s="50">
        <v>89.884669882503317</v>
      </c>
      <c r="C66" s="51">
        <v>7.3815927577678027E-3</v>
      </c>
      <c r="D66" s="51">
        <v>5.4730401722084404E-2</v>
      </c>
      <c r="E66" s="51">
        <v>5.4730401722084404E-2</v>
      </c>
      <c r="F66" s="51">
        <v>5.5446058121310093E-2</v>
      </c>
      <c r="G66" s="51">
        <v>-1.2387318584971444E-2</v>
      </c>
      <c r="H66" s="51">
        <v>5.0154155629693165E-2</v>
      </c>
      <c r="I66" s="51">
        <v>1.8883418522360858E-2</v>
      </c>
      <c r="J66" s="50">
        <v>87.456180820359407</v>
      </c>
      <c r="K66" s="51">
        <v>2.7823597385111754E-2</v>
      </c>
      <c r="L66" s="50">
        <v>100.3748607643912</v>
      </c>
      <c r="M66" s="50">
        <v>61.334891045894587</v>
      </c>
      <c r="N66" s="53">
        <v>0</v>
      </c>
      <c r="O66" s="80">
        <v>0</v>
      </c>
      <c r="P66" s="85">
        <v>1</v>
      </c>
    </row>
    <row r="67" spans="1:16" x14ac:dyDescent="0.2">
      <c r="A67" s="26">
        <v>1998.1</v>
      </c>
      <c r="B67" s="50">
        <v>89.760362793342154</v>
      </c>
      <c r="C67" s="51">
        <v>-1.3839192450727012E-3</v>
      </c>
      <c r="D67" s="51">
        <v>4.6206163771531569E-2</v>
      </c>
      <c r="E67" s="51">
        <v>4.6206163771531569E-2</v>
      </c>
      <c r="F67" s="51">
        <v>4.3928436961891526E-2</v>
      </c>
      <c r="G67" s="51">
        <v>-1.2387318584971444E-2</v>
      </c>
      <c r="H67" s="51">
        <v>5.0154155629693165E-2</v>
      </c>
      <c r="I67" s="51">
        <v>1.8883418522360858E-2</v>
      </c>
      <c r="J67" s="50">
        <v>87.635398950688398</v>
      </c>
      <c r="K67" s="51">
        <v>2.4201501073077836E-2</v>
      </c>
      <c r="L67" s="50">
        <v>100.07709540255757</v>
      </c>
      <c r="M67" s="50">
        <v>59.653341275349803</v>
      </c>
      <c r="N67" s="53">
        <v>0</v>
      </c>
      <c r="O67" s="80">
        <v>0</v>
      </c>
      <c r="P67" s="85">
        <v>1</v>
      </c>
    </row>
    <row r="68" spans="1:16" x14ac:dyDescent="0.2">
      <c r="A68" s="26">
        <v>1998.11</v>
      </c>
      <c r="B68" s="50">
        <v>89.943765367231819</v>
      </c>
      <c r="C68" s="51">
        <v>2.0411622086087527E-3</v>
      </c>
      <c r="D68" s="51">
        <v>4.6464906391179485E-2</v>
      </c>
      <c r="E68" s="51">
        <v>4.6464906391179485E-2</v>
      </c>
      <c r="F68" s="51">
        <v>4.045937156652557E-2</v>
      </c>
      <c r="G68" s="51">
        <v>-1.2387318584971444E-2</v>
      </c>
      <c r="H68" s="51">
        <v>5.0154155629693165E-2</v>
      </c>
      <c r="I68" s="51">
        <v>1.8883418522360858E-2</v>
      </c>
      <c r="J68" s="50">
        <v>87.8088540309233</v>
      </c>
      <c r="K68" s="51">
        <v>2.4162345300110077E-2</v>
      </c>
      <c r="L68" s="50">
        <v>100.12255466857492</v>
      </c>
      <c r="M68" s="50">
        <v>57.97179150480499</v>
      </c>
      <c r="N68" s="53">
        <v>0</v>
      </c>
      <c r="O68" s="80">
        <v>0</v>
      </c>
      <c r="P68" s="85">
        <v>1</v>
      </c>
    </row>
    <row r="69" spans="1:16" x14ac:dyDescent="0.2">
      <c r="A69" s="26">
        <v>1998.12</v>
      </c>
      <c r="B69" s="50">
        <v>90.08499976659148</v>
      </c>
      <c r="C69" s="51">
        <v>1.5690206865466034E-3</v>
      </c>
      <c r="D69" s="51">
        <v>4.4062439763414563E-2</v>
      </c>
      <c r="E69" s="51">
        <v>4.4062439763414563E-2</v>
      </c>
      <c r="F69" s="51">
        <v>3.6071473655329811E-2</v>
      </c>
      <c r="G69" s="51">
        <v>-1.2387318584971444E-2</v>
      </c>
      <c r="H69" s="51">
        <v>5.0154155629693165E-2</v>
      </c>
      <c r="I69" s="51">
        <v>1.8883418522360858E-2</v>
      </c>
      <c r="J69" s="50">
        <v>87.976299353049995</v>
      </c>
      <c r="K69" s="51">
        <v>2.3711124544734785E-2</v>
      </c>
      <c r="L69" s="50">
        <v>100.12075225866344</v>
      </c>
      <c r="M69" s="50">
        <v>59.653341275349803</v>
      </c>
      <c r="N69" s="53">
        <v>0</v>
      </c>
      <c r="O69" s="80">
        <v>0</v>
      </c>
      <c r="P69" s="85">
        <v>1</v>
      </c>
    </row>
    <row r="70" spans="1:16" x14ac:dyDescent="0.2">
      <c r="A70" s="26">
        <v>1999.01</v>
      </c>
      <c r="B70" s="50">
        <v>90.541703008471316</v>
      </c>
      <c r="C70" s="51">
        <v>5.0568848138247352E-3</v>
      </c>
      <c r="D70" s="51">
        <v>4.6023067938844607E-2</v>
      </c>
      <c r="E70" s="51">
        <v>4.6023067938844607E-2</v>
      </c>
      <c r="F70" s="51">
        <v>3.8756249975880896E-2</v>
      </c>
      <c r="G70" s="51">
        <v>-1.2387318584971444E-2</v>
      </c>
      <c r="H70" s="51">
        <v>5.0154155629693165E-2</v>
      </c>
      <c r="I70" s="51">
        <v>1.8883418522360858E-2</v>
      </c>
      <c r="J70" s="50">
        <v>88.137504805131101</v>
      </c>
      <c r="K70" s="51">
        <v>2.6909534369190524E-2</v>
      </c>
      <c r="L70" s="50">
        <v>100.4687608669181</v>
      </c>
      <c r="M70" s="50">
        <v>56.290241734260185</v>
      </c>
      <c r="N70" s="53">
        <v>0</v>
      </c>
      <c r="O70" s="80">
        <v>0</v>
      </c>
      <c r="P70" s="85">
        <v>0</v>
      </c>
    </row>
    <row r="71" spans="1:16" x14ac:dyDescent="0.2">
      <c r="A71" s="26">
        <v>1999.02</v>
      </c>
      <c r="B71" s="50">
        <v>90.985146271266743</v>
      </c>
      <c r="C71" s="51">
        <v>4.8857141149599307E-3</v>
      </c>
      <c r="D71" s="51">
        <v>4.471857808111953E-2</v>
      </c>
      <c r="E71" s="51">
        <v>4.471857808111953E-2</v>
      </c>
      <c r="F71" s="51">
        <v>4.0803830559131393E-2</v>
      </c>
      <c r="G71" s="51">
        <v>-1.2387318584971444E-2</v>
      </c>
      <c r="H71" s="51">
        <v>5.0154155629693165E-2</v>
      </c>
      <c r="I71" s="51">
        <v>1.8883418522360858E-2</v>
      </c>
      <c r="J71" s="50">
        <v>88.292256662405507</v>
      </c>
      <c r="K71" s="51">
        <v>3.0018524218777154E-2</v>
      </c>
      <c r="L71" s="50">
        <v>100.80072350734639</v>
      </c>
      <c r="M71" s="50">
        <v>54.608691963715387</v>
      </c>
      <c r="N71" s="53">
        <v>0</v>
      </c>
      <c r="O71" s="80">
        <v>0</v>
      </c>
      <c r="P71" s="85">
        <v>0</v>
      </c>
    </row>
    <row r="72" spans="1:16" x14ac:dyDescent="0.2">
      <c r="A72" s="26">
        <v>1999.03</v>
      </c>
      <c r="B72" s="50">
        <v>91.715006758248165</v>
      </c>
      <c r="C72" s="51">
        <v>7.9897510483342774E-3</v>
      </c>
      <c r="D72" s="51">
        <v>4.4884731526215062E-2</v>
      </c>
      <c r="E72" s="51">
        <v>4.4884731526215062E-2</v>
      </c>
      <c r="F72" s="51">
        <v>4.904564772263309E-2</v>
      </c>
      <c r="G72" s="51">
        <v>-1.2387318584971444E-2</v>
      </c>
      <c r="H72" s="51">
        <v>5.0154155629693165E-2</v>
      </c>
      <c r="I72" s="51">
        <v>1.8883418522360858E-2</v>
      </c>
      <c r="J72" s="50">
        <v>88.440359848758305</v>
      </c>
      <c r="K72" s="51">
        <v>3.6428459116867096E-2</v>
      </c>
      <c r="L72" s="50">
        <v>101.44819371454518</v>
      </c>
      <c r="M72" s="50">
        <v>52.927142193170582</v>
      </c>
      <c r="N72" s="53">
        <v>0</v>
      </c>
      <c r="O72" s="80">
        <v>0</v>
      </c>
      <c r="P72" s="85">
        <v>0</v>
      </c>
    </row>
    <row r="73" spans="1:16" x14ac:dyDescent="0.2">
      <c r="A73" s="26">
        <v>1999.04</v>
      </c>
      <c r="B73" s="50">
        <v>92.575780934495725</v>
      </c>
      <c r="C73" s="51">
        <v>9.3415460056304779E-3</v>
      </c>
      <c r="D73" s="51">
        <v>5.0162383190834943E-2</v>
      </c>
      <c r="E73" s="51">
        <v>5.0162383190834943E-2</v>
      </c>
      <c r="F73" s="51">
        <v>5.9937200386435574E-2</v>
      </c>
      <c r="G73" s="51">
        <v>-1.2387318584971444E-2</v>
      </c>
      <c r="H73" s="51">
        <v>5.0154155629693165E-2</v>
      </c>
      <c r="I73" s="51">
        <v>1.8883418522360858E-2</v>
      </c>
      <c r="J73" s="50">
        <v>88.581640154900796</v>
      </c>
      <c r="K73" s="51">
        <v>4.4371329535989323E-2</v>
      </c>
      <c r="L73" s="50">
        <v>102.23793415102405</v>
      </c>
      <c r="M73" s="50">
        <v>57.97179150480499</v>
      </c>
      <c r="N73" s="53">
        <v>0</v>
      </c>
      <c r="O73" s="80">
        <v>0</v>
      </c>
      <c r="P73" s="85">
        <v>0</v>
      </c>
    </row>
    <row r="74" spans="1:16" x14ac:dyDescent="0.2">
      <c r="A74" s="26">
        <v>1999.05</v>
      </c>
      <c r="B74" s="50">
        <v>92.940091738947871</v>
      </c>
      <c r="C74" s="51">
        <v>3.9275482740367788E-3</v>
      </c>
      <c r="D74" s="51">
        <v>4.6319536497309695E-2</v>
      </c>
      <c r="E74" s="51">
        <v>4.6319536497309695E-2</v>
      </c>
      <c r="F74" s="51">
        <v>5.9406433383817792E-2</v>
      </c>
      <c r="G74" s="51">
        <v>-1.2387318584971444E-2</v>
      </c>
      <c r="H74" s="51">
        <v>5.0154155629693165E-2</v>
      </c>
      <c r="I74" s="51">
        <v>1.8883418522360858E-2</v>
      </c>
      <c r="J74" s="50">
        <v>88.715948712743</v>
      </c>
      <c r="K74" s="51">
        <v>4.6777232626995957E-2</v>
      </c>
      <c r="L74" s="50">
        <v>102.47750488291504</v>
      </c>
      <c r="M74" s="50">
        <v>54.608691963715387</v>
      </c>
      <c r="N74" s="53">
        <v>0</v>
      </c>
      <c r="O74" s="80">
        <v>0</v>
      </c>
      <c r="P74" s="85">
        <v>0</v>
      </c>
    </row>
    <row r="75" spans="1:16" x14ac:dyDescent="0.2">
      <c r="A75" s="26">
        <v>1999.06</v>
      </c>
      <c r="B75" s="50">
        <v>93.341219865714493</v>
      </c>
      <c r="C75" s="51">
        <v>4.3066987590954786E-3</v>
      </c>
      <c r="D75" s="51">
        <v>5.3036108240145305E-2</v>
      </c>
      <c r="E75" s="51">
        <v>5.3036108240145305E-2</v>
      </c>
      <c r="F75" s="51">
        <v>6.0233196894749819E-2</v>
      </c>
      <c r="G75" s="51">
        <v>-1.2387318584971444E-2</v>
      </c>
      <c r="H75" s="51">
        <v>5.0154155629693165E-2</v>
      </c>
      <c r="I75" s="51">
        <v>1.8883418522360858E-2</v>
      </c>
      <c r="J75" s="50">
        <v>88.843167534355302</v>
      </c>
      <c r="K75" s="51">
        <v>4.9672570913064984E-2</v>
      </c>
      <c r="L75" s="50">
        <v>102.75658981880468</v>
      </c>
      <c r="M75" s="50">
        <v>56.290241734260185</v>
      </c>
      <c r="N75" s="53">
        <v>0</v>
      </c>
      <c r="O75" s="80">
        <v>0</v>
      </c>
      <c r="P75" s="85">
        <v>0</v>
      </c>
    </row>
    <row r="76" spans="1:16" x14ac:dyDescent="0.2">
      <c r="A76" s="26">
        <v>1999.07</v>
      </c>
      <c r="B76" s="50">
        <v>94.2968592946917</v>
      </c>
      <c r="C76" s="51">
        <v>1.0186074127645092E-2</v>
      </c>
      <c r="D76" s="51">
        <v>5.7926954615905815E-2</v>
      </c>
      <c r="E76" s="51">
        <v>5.7926954615905815E-2</v>
      </c>
      <c r="F76" s="51">
        <v>7.1553545961107634E-2</v>
      </c>
      <c r="G76" s="51">
        <v>-1.2387318584971444E-2</v>
      </c>
      <c r="H76" s="51">
        <v>5.0154155629693165E-2</v>
      </c>
      <c r="I76" s="51">
        <v>1.8883418522360858E-2</v>
      </c>
      <c r="J76" s="50">
        <v>88.963211275148097</v>
      </c>
      <c r="K76" s="51">
        <v>5.8870518432167396E-2</v>
      </c>
      <c r="L76" s="50">
        <v>103.64400901345599</v>
      </c>
      <c r="M76" s="50">
        <v>59.653341275349803</v>
      </c>
      <c r="N76" s="53">
        <v>0</v>
      </c>
      <c r="O76" s="80">
        <v>0</v>
      </c>
      <c r="P76" s="85">
        <v>0</v>
      </c>
    </row>
    <row r="77" spans="1:16" x14ac:dyDescent="0.2">
      <c r="A77" s="26">
        <v>1999.08</v>
      </c>
      <c r="B77" s="50">
        <v>94.449572934228172</v>
      </c>
      <c r="C77" s="51">
        <v>1.6181887101853235E-3</v>
      </c>
      <c r="D77" s="51">
        <v>5.6920262261562507E-2</v>
      </c>
      <c r="E77" s="51">
        <v>5.6920262261562507E-2</v>
      </c>
      <c r="F77" s="51">
        <v>6.5165129540734723E-2</v>
      </c>
      <c r="G77" s="51">
        <v>-1.2387318584971444E-2</v>
      </c>
      <c r="H77" s="51">
        <v>5.0154155629693165E-2</v>
      </c>
      <c r="I77" s="51">
        <v>1.8883418522360858E-2</v>
      </c>
      <c r="J77" s="50">
        <v>89.076029329681404</v>
      </c>
      <c r="K77" s="51">
        <v>5.9125014390954522E-2</v>
      </c>
      <c r="L77" s="50">
        <v>103.64723921482044</v>
      </c>
      <c r="M77" s="50">
        <v>56.290241734260185</v>
      </c>
      <c r="N77" s="53">
        <v>0</v>
      </c>
      <c r="O77" s="80">
        <v>0</v>
      </c>
      <c r="P77" s="85">
        <v>0</v>
      </c>
    </row>
    <row r="78" spans="1:16" x14ac:dyDescent="0.2">
      <c r="A78" s="26">
        <v>1999.09</v>
      </c>
      <c r="B78" s="50">
        <v>94.770842238022254</v>
      </c>
      <c r="C78" s="51">
        <v>3.3957182919400375E-3</v>
      </c>
      <c r="D78" s="51">
        <v>5.2934387795734679E-2</v>
      </c>
      <c r="E78" s="51">
        <v>5.2934387795734679E-2</v>
      </c>
      <c r="F78" s="51">
        <v>6.2485829145584981E-2</v>
      </c>
      <c r="G78" s="51">
        <v>-1.2387318584971444E-2</v>
      </c>
      <c r="H78" s="51">
        <v>5.0154155629693165E-2</v>
      </c>
      <c r="I78" s="51">
        <v>1.8883418522360858E-2</v>
      </c>
      <c r="J78" s="50">
        <v>89.181612284660304</v>
      </c>
      <c r="K78" s="51">
        <v>6.1353416711297237E-2</v>
      </c>
      <c r="L78" s="50">
        <v>103.83487513725582</v>
      </c>
      <c r="M78" s="50">
        <v>56.290241734260185</v>
      </c>
      <c r="N78" s="53">
        <v>0</v>
      </c>
      <c r="O78" s="80">
        <v>0</v>
      </c>
      <c r="P78" s="85">
        <v>0</v>
      </c>
    </row>
    <row r="79" spans="1:16" x14ac:dyDescent="0.2">
      <c r="A79" s="26">
        <v>1999.1</v>
      </c>
      <c r="B79" s="50">
        <v>95.080485416513937</v>
      </c>
      <c r="C79" s="51">
        <v>3.2619572049006271E-3</v>
      </c>
      <c r="D79" s="51">
        <v>5.7580264245708113E-2</v>
      </c>
      <c r="E79" s="51">
        <v>5.7580264245708113E-2</v>
      </c>
      <c r="F79" s="51">
        <v>6.0197065280907847E-2</v>
      </c>
      <c r="G79" s="51">
        <v>-1.2387318584971444E-2</v>
      </c>
      <c r="H79" s="51">
        <v>5.0154155629693165E-2</v>
      </c>
      <c r="I79" s="51">
        <v>1.8883418522360858E-2</v>
      </c>
      <c r="J79" s="50">
        <v>89.279992242371506</v>
      </c>
      <c r="K79" s="51">
        <v>6.3533333849645768E-2</v>
      </c>
      <c r="L79" s="50">
        <v>104.00893746397752</v>
      </c>
      <c r="M79" s="50">
        <v>54.608691963715387</v>
      </c>
      <c r="N79" s="53">
        <v>0</v>
      </c>
      <c r="O79" s="80">
        <v>0</v>
      </c>
      <c r="P79" s="85">
        <v>0</v>
      </c>
    </row>
    <row r="80" spans="1:16" x14ac:dyDescent="0.2">
      <c r="A80" s="26">
        <v>1999.11</v>
      </c>
      <c r="B80" s="50">
        <v>95.251069309294138</v>
      </c>
      <c r="C80" s="51">
        <v>1.7924924608554188E-3</v>
      </c>
      <c r="D80" s="51">
        <v>5.7331594497954955E-2</v>
      </c>
      <c r="E80" s="51">
        <v>5.7331594497954955E-2</v>
      </c>
      <c r="F80" s="51">
        <v>5.4324329621738165E-2</v>
      </c>
      <c r="G80" s="51">
        <v>-1.2387318584971444E-2</v>
      </c>
      <c r="H80" s="51">
        <v>5.0154155629693165E-2</v>
      </c>
      <c r="I80" s="51">
        <v>1.8883418522360858E-2</v>
      </c>
      <c r="J80" s="50">
        <v>89.371244485540004</v>
      </c>
      <c r="K80" s="51">
        <v>6.4241311589763539E-2</v>
      </c>
      <c r="L80" s="50">
        <v>104.03031033186747</v>
      </c>
      <c r="M80" s="50">
        <v>54.608691963715387</v>
      </c>
      <c r="N80" s="53">
        <v>0</v>
      </c>
      <c r="O80" s="80">
        <v>0</v>
      </c>
      <c r="P80" s="85">
        <v>0</v>
      </c>
    </row>
    <row r="81" spans="1:16" x14ac:dyDescent="0.2">
      <c r="A81" s="26">
        <v>1999.12</v>
      </c>
      <c r="B81" s="50">
        <v>95.179574079965633</v>
      </c>
      <c r="C81" s="51">
        <v>-7.508794951825127E-4</v>
      </c>
      <c r="D81" s="51">
        <v>5.5011694316225844E-2</v>
      </c>
      <c r="E81" s="51">
        <v>5.5011694316225844E-2</v>
      </c>
      <c r="F81" s="51">
        <v>4.3638884842937875E-2</v>
      </c>
      <c r="G81" s="51">
        <v>-1.2387318584971444E-2</v>
      </c>
      <c r="H81" s="51">
        <v>5.0154155629693165E-2</v>
      </c>
      <c r="I81" s="51">
        <v>1.8883418522360858E-2</v>
      </c>
      <c r="J81" s="50">
        <v>89.455489118772505</v>
      </c>
      <c r="K81" s="51">
        <v>6.2331773201684815E-2</v>
      </c>
      <c r="L81" s="50">
        <v>103.787381704052</v>
      </c>
      <c r="M81" s="50">
        <v>49.564042652080971</v>
      </c>
      <c r="N81" s="53">
        <v>0</v>
      </c>
      <c r="O81" s="80">
        <v>0</v>
      </c>
      <c r="P81" s="85">
        <v>0</v>
      </c>
    </row>
    <row r="82" spans="1:16" x14ac:dyDescent="0.2">
      <c r="A82" s="26">
        <v>2000.01</v>
      </c>
      <c r="B82" s="50">
        <v>95.767095095853449</v>
      </c>
      <c r="C82" s="51">
        <v>6.1537901917697903E-3</v>
      </c>
      <c r="D82" s="51">
        <v>5.6108599694170862E-2</v>
      </c>
      <c r="E82" s="51">
        <v>5.6108599694170862E-2</v>
      </c>
      <c r="F82" s="51">
        <v>4.6724801725232634E-2</v>
      </c>
      <c r="G82" s="51">
        <v>-1.2387318584971444E-2</v>
      </c>
      <c r="H82" s="51">
        <v>5.0154155629693165E-2</v>
      </c>
      <c r="I82" s="51">
        <v>1.8883418522360858E-2</v>
      </c>
      <c r="J82" s="50">
        <v>89.532891714154502</v>
      </c>
      <c r="K82" s="51">
        <v>6.7858780800406748E-2</v>
      </c>
      <c r="L82" s="50">
        <v>104.26243843679035</v>
      </c>
      <c r="M82" s="50">
        <v>49.564042652080971</v>
      </c>
      <c r="N82" s="53">
        <v>0</v>
      </c>
      <c r="O82" s="80">
        <v>0</v>
      </c>
      <c r="P82" s="85">
        <v>0</v>
      </c>
    </row>
    <row r="83" spans="1:16" x14ac:dyDescent="0.2">
      <c r="A83" s="26">
        <v>2000.02</v>
      </c>
      <c r="B83" s="50">
        <v>96.035858406404756</v>
      </c>
      <c r="C83" s="51">
        <v>2.8024958067533693E-3</v>
      </c>
      <c r="D83" s="51">
        <v>5.4025381385964195E-2</v>
      </c>
      <c r="E83" s="51">
        <v>5.4025381385964195E-2</v>
      </c>
      <c r="F83" s="51">
        <v>4.316072082504574E-2</v>
      </c>
      <c r="G83" s="51">
        <v>-1.2387318584971444E-2</v>
      </c>
      <c r="H83" s="51">
        <v>5.0154155629693165E-2</v>
      </c>
      <c r="I83" s="51">
        <v>1.8883418522360858E-2</v>
      </c>
      <c r="J83" s="50">
        <v>89.603662123466606</v>
      </c>
      <c r="K83" s="51">
        <v>6.9907100587396576E-2</v>
      </c>
      <c r="L83" s="50">
        <v>104.3892436559719</v>
      </c>
      <c r="M83" s="50">
        <v>52.927142193170582</v>
      </c>
      <c r="N83" s="53">
        <v>0</v>
      </c>
      <c r="O83" s="80">
        <v>0</v>
      </c>
      <c r="P83" s="85">
        <v>0</v>
      </c>
    </row>
    <row r="84" spans="1:16" x14ac:dyDescent="0.2">
      <c r="A84" s="26">
        <v>2000.03</v>
      </c>
      <c r="B84" s="50">
        <v>96.230046997184033</v>
      </c>
      <c r="C84" s="51">
        <v>2.0200009606726518E-3</v>
      </c>
      <c r="D84" s="51">
        <v>4.8055631298302558E-2</v>
      </c>
      <c r="E84" s="51">
        <v>4.8055631298302558E-2</v>
      </c>
      <c r="F84" s="51">
        <v>3.8445208782443618E-2</v>
      </c>
      <c r="G84" s="51">
        <v>-1.2387318584971444E-2</v>
      </c>
      <c r="H84" s="51">
        <v>5.0154155629693165E-2</v>
      </c>
      <c r="I84" s="51">
        <v>1.8883418522360858E-2</v>
      </c>
      <c r="J84" s="50">
        <v>89.668058394997999</v>
      </c>
      <c r="K84" s="51">
        <v>7.1202092405642681E-2</v>
      </c>
      <c r="L84" s="50">
        <v>104.43445169611191</v>
      </c>
      <c r="M84" s="50">
        <v>49.564042652080971</v>
      </c>
      <c r="N84" s="53">
        <v>0</v>
      </c>
      <c r="O84" s="80">
        <v>0</v>
      </c>
      <c r="P84" s="85">
        <v>0</v>
      </c>
    </row>
    <row r="85" spans="1:16" x14ac:dyDescent="0.2">
      <c r="A85" s="26">
        <v>2000.04</v>
      </c>
      <c r="B85" s="50">
        <v>96.181540249151226</v>
      </c>
      <c r="C85" s="51">
        <v>-5.041977955133007E-4</v>
      </c>
      <c r="D85" s="51">
        <v>3.8209887497158743E-2</v>
      </c>
      <c r="E85" s="51">
        <v>3.8209887497158743E-2</v>
      </c>
      <c r="F85" s="51">
        <v>2.9878748618404005E-2</v>
      </c>
      <c r="G85" s="51">
        <v>-1.2387318584971444E-2</v>
      </c>
      <c r="H85" s="51">
        <v>5.0154155629693165E-2</v>
      </c>
      <c r="I85" s="51">
        <v>1.8883418522360858E-2</v>
      </c>
      <c r="J85" s="50">
        <v>89.726388287103006</v>
      </c>
      <c r="K85" s="51">
        <v>6.9872669489445371E-2</v>
      </c>
      <c r="L85" s="50">
        <v>104.21628440840847</v>
      </c>
      <c r="M85" s="50">
        <v>46.200943110991368</v>
      </c>
      <c r="N85" s="53">
        <v>0</v>
      </c>
      <c r="O85" s="80">
        <v>0</v>
      </c>
      <c r="P85" s="85">
        <v>0</v>
      </c>
    </row>
    <row r="86" spans="1:16" x14ac:dyDescent="0.2">
      <c r="A86" s="26">
        <v>2000.05</v>
      </c>
      <c r="B86" s="50">
        <v>95.618714650795027</v>
      </c>
      <c r="C86" s="51">
        <v>-5.8688891121584435E-3</v>
      </c>
      <c r="D86" s="51">
        <v>2.8413450110963724E-2</v>
      </c>
      <c r="E86" s="51">
        <v>2.8413450110963724E-2</v>
      </c>
      <c r="F86" s="51">
        <v>1.2836911937557982E-2</v>
      </c>
      <c r="G86" s="51">
        <v>-1.2387318584971444E-2</v>
      </c>
      <c r="H86" s="51">
        <v>5.0154155629693165E-2</v>
      </c>
      <c r="I86" s="51">
        <v>1.8883418522360858E-2</v>
      </c>
      <c r="J86" s="50">
        <v>89.779010252033402</v>
      </c>
      <c r="K86" s="51">
        <v>6.2901257212289341E-2</v>
      </c>
      <c r="L86" s="50">
        <v>103.4421465014356</v>
      </c>
      <c r="M86" s="50">
        <v>46.200943110991368</v>
      </c>
      <c r="N86" s="53">
        <v>0</v>
      </c>
      <c r="O86" s="80">
        <v>0</v>
      </c>
      <c r="P86" s="85">
        <v>0</v>
      </c>
    </row>
    <row r="87" spans="1:16" x14ac:dyDescent="0.2">
      <c r="A87" s="26">
        <v>2000.06</v>
      </c>
      <c r="B87" s="50">
        <v>95.546401274650748</v>
      </c>
      <c r="C87" s="51">
        <v>-7.5655413639039604E-4</v>
      </c>
      <c r="D87" s="51">
        <v>2.3350197215477833E-2</v>
      </c>
      <c r="E87" s="51">
        <v>2.3350197215477833E-2</v>
      </c>
      <c r="F87" s="51">
        <v>7.0486581604218834E-3</v>
      </c>
      <c r="G87" s="51">
        <v>-1.2387318584971444E-2</v>
      </c>
      <c r="H87" s="51">
        <v>5.0154155629693165E-2</v>
      </c>
      <c r="I87" s="51">
        <v>1.8883418522360858E-2</v>
      </c>
      <c r="J87" s="50">
        <v>89.826332582955999</v>
      </c>
      <c r="K87" s="51">
        <v>6.1456480816660219E-2</v>
      </c>
      <c r="L87" s="50">
        <v>103.2000057124354</v>
      </c>
      <c r="M87" s="50">
        <v>46.200943110991368</v>
      </c>
      <c r="N87" s="53">
        <v>0</v>
      </c>
      <c r="O87" s="80">
        <v>0</v>
      </c>
      <c r="P87" s="85">
        <v>0</v>
      </c>
    </row>
    <row r="88" spans="1:16" x14ac:dyDescent="0.2">
      <c r="A88" s="26">
        <v>2000.07</v>
      </c>
      <c r="B88" s="50">
        <v>96.024187121646321</v>
      </c>
      <c r="C88" s="51">
        <v>4.9881022097444608E-3</v>
      </c>
      <c r="D88" s="51">
        <v>1.815222529757719E-2</v>
      </c>
      <c r="E88" s="51">
        <v>1.815222529757719E-2</v>
      </c>
      <c r="F88" s="51">
        <v>1.2752545146170302E-2</v>
      </c>
      <c r="G88" s="51">
        <v>-1.2387318584971444E-2</v>
      </c>
      <c r="H88" s="51">
        <v>5.0154155629693165E-2</v>
      </c>
      <c r="I88" s="51">
        <v>1.8883418522360858E-2</v>
      </c>
      <c r="J88" s="50">
        <v>89.868808659589803</v>
      </c>
      <c r="K88" s="51">
        <v>6.6184819722034938E-2</v>
      </c>
      <c r="L88" s="50">
        <v>103.55159467019509</v>
      </c>
      <c r="M88" s="50">
        <v>46.200943110991368</v>
      </c>
      <c r="N88" s="53">
        <v>0</v>
      </c>
      <c r="O88" s="80">
        <v>0</v>
      </c>
      <c r="P88" s="85">
        <v>0</v>
      </c>
    </row>
    <row r="89" spans="1:16" x14ac:dyDescent="0.2">
      <c r="A89" s="26">
        <v>2000.08</v>
      </c>
      <c r="B89" s="50">
        <v>96.264015849671154</v>
      </c>
      <c r="C89" s="51">
        <v>2.4944728660206928E-3</v>
      </c>
      <c r="D89" s="51">
        <v>1.9028509453412331E-2</v>
      </c>
      <c r="E89" s="51">
        <v>1.9028509453412331E-2</v>
      </c>
      <c r="F89" s="51">
        <v>1.4598208420797398E-2</v>
      </c>
      <c r="G89" s="51">
        <v>-1.2387318584971444E-2</v>
      </c>
      <c r="H89" s="51">
        <v>5.0154155629693165E-2</v>
      </c>
      <c r="I89" s="51">
        <v>1.8883418522360858E-2</v>
      </c>
      <c r="J89" s="50">
        <v>89.906936027208701</v>
      </c>
      <c r="K89" s="51">
        <v>6.8325868996883532E-2</v>
      </c>
      <c r="L89" s="50">
        <v>103.64560521125621</v>
      </c>
      <c r="M89" s="50">
        <v>46.200943110991368</v>
      </c>
      <c r="N89" s="53">
        <v>0</v>
      </c>
      <c r="O89" s="80">
        <v>0</v>
      </c>
      <c r="P89" s="85">
        <v>0</v>
      </c>
    </row>
    <row r="90" spans="1:16" x14ac:dyDescent="0.2">
      <c r="A90" s="26">
        <v>2000.09</v>
      </c>
      <c r="B90" s="50">
        <v>96.176480470086375</v>
      </c>
      <c r="C90" s="51">
        <v>-9.0973976159931672E-4</v>
      </c>
      <c r="D90" s="51">
        <v>1.4723051399873177E-2</v>
      </c>
      <c r="E90" s="51">
        <v>1.4723051399873177E-2</v>
      </c>
      <c r="F90" s="51">
        <v>9.9419279072605615E-3</v>
      </c>
      <c r="G90" s="51">
        <v>-1.2387318584971444E-2</v>
      </c>
      <c r="H90" s="51">
        <v>5.0154155629693165E-2</v>
      </c>
      <c r="I90" s="51">
        <v>1.8883418522360858E-2</v>
      </c>
      <c r="J90" s="50">
        <v>89.941259745662194</v>
      </c>
      <c r="K90" s="51">
        <v>6.6885995051240599E-2</v>
      </c>
      <c r="L90" s="50">
        <v>103.38714952116331</v>
      </c>
      <c r="M90" s="50">
        <v>47.882492881536166</v>
      </c>
      <c r="N90" s="53">
        <v>0</v>
      </c>
      <c r="O90" s="80">
        <v>0</v>
      </c>
      <c r="P90" s="85">
        <v>0</v>
      </c>
    </row>
    <row r="91" spans="1:16" x14ac:dyDescent="0.2">
      <c r="A91" s="26">
        <v>2000.1</v>
      </c>
      <c r="B91" s="50">
        <v>96.122211680333479</v>
      </c>
      <c r="C91" s="51">
        <v>-5.6442184381737357E-4</v>
      </c>
      <c r="D91" s="51">
        <v>1.0896672351155032E-2</v>
      </c>
      <c r="E91" s="51">
        <v>1.0896672351155032E-2</v>
      </c>
      <c r="F91" s="51">
        <v>6.6134049921617866E-3</v>
      </c>
      <c r="G91" s="51">
        <v>-1.2387318584971444E-2</v>
      </c>
      <c r="H91" s="51">
        <v>5.0154155629693165E-2</v>
      </c>
      <c r="I91" s="51">
        <v>1.8883418522360858E-2</v>
      </c>
      <c r="J91" s="50">
        <v>89.972373949458202</v>
      </c>
      <c r="K91" s="51">
        <v>6.5862047536443535E-2</v>
      </c>
      <c r="L91" s="50">
        <v>103.16495688655279</v>
      </c>
      <c r="M91" s="50">
        <v>46.200943110991368</v>
      </c>
      <c r="N91" s="53">
        <v>0</v>
      </c>
      <c r="O91" s="80">
        <v>0</v>
      </c>
      <c r="P91" s="85">
        <v>0</v>
      </c>
    </row>
    <row r="92" spans="1:16" x14ac:dyDescent="0.2">
      <c r="A92" s="26">
        <v>2000.11</v>
      </c>
      <c r="B92" s="50">
        <v>96.206220358692221</v>
      </c>
      <c r="C92" s="51">
        <v>8.7359609612407173E-4</v>
      </c>
      <c r="D92" s="51">
        <v>9.9777759864238449E-3</v>
      </c>
      <c r="E92" s="51">
        <v>9.9777759864238449E-3</v>
      </c>
      <c r="F92" s="51">
        <v>6.5532881541019439E-3</v>
      </c>
      <c r="G92" s="51">
        <v>-1.2387318584971444E-2</v>
      </c>
      <c r="H92" s="51">
        <v>5.0154155629693165E-2</v>
      </c>
      <c r="I92" s="51">
        <v>1.8883418522360858E-2</v>
      </c>
      <c r="J92" s="50">
        <v>90.000920931686395</v>
      </c>
      <c r="K92" s="51">
        <v>6.6410249652588238E-2</v>
      </c>
      <c r="L92" s="50">
        <v>103.09138249069238</v>
      </c>
      <c r="M92" s="50">
        <v>46.200943110991368</v>
      </c>
      <c r="N92" s="53">
        <v>0</v>
      </c>
      <c r="O92" s="80">
        <v>0</v>
      </c>
      <c r="P92" s="85">
        <v>0</v>
      </c>
    </row>
    <row r="93" spans="1:16" x14ac:dyDescent="0.2">
      <c r="A93" s="26">
        <v>2000.12</v>
      </c>
      <c r="B93" s="50">
        <v>96.651013149736585</v>
      </c>
      <c r="C93" s="51">
        <v>4.6126719915827808E-3</v>
      </c>
      <c r="D93" s="51">
        <v>1.534132747318917E-2</v>
      </c>
      <c r="E93" s="51">
        <v>1.534132747318917E-2</v>
      </c>
      <c r="F93" s="51">
        <v>1.3607169597039004E-2</v>
      </c>
      <c r="G93" s="51">
        <v>-1.2387318584971444E-2</v>
      </c>
      <c r="H93" s="51">
        <v>5.0154155629693165E-2</v>
      </c>
      <c r="I93" s="51">
        <v>1.8883418522360858E-2</v>
      </c>
      <c r="J93" s="50">
        <v>90.0275905028154</v>
      </c>
      <c r="K93" s="51">
        <v>7.0986786796191303E-2</v>
      </c>
      <c r="L93" s="50">
        <v>103.403773193994</v>
      </c>
      <c r="M93" s="50">
        <v>51.245592422625776</v>
      </c>
      <c r="N93" s="53">
        <v>0</v>
      </c>
      <c r="O93" s="80">
        <v>0</v>
      </c>
      <c r="P93" s="85">
        <v>0</v>
      </c>
    </row>
    <row r="94" spans="1:16" x14ac:dyDescent="0.2">
      <c r="A94" s="26">
        <v>2001.01</v>
      </c>
      <c r="B94" s="50">
        <v>96.94140314418226</v>
      </c>
      <c r="C94" s="51">
        <v>3.0000164035314347E-3</v>
      </c>
      <c r="D94" s="51">
        <v>1.2187553684950758E-2</v>
      </c>
      <c r="E94" s="51">
        <v>1.2187553684950758E-2</v>
      </c>
      <c r="F94" s="51">
        <v>1.6836177193996882E-2</v>
      </c>
      <c r="G94" s="51">
        <v>-1.2387318584971444E-2</v>
      </c>
      <c r="H94" s="51">
        <v>5.0154155629693165E-2</v>
      </c>
      <c r="I94" s="51">
        <v>1.8883418522360858E-2</v>
      </c>
      <c r="J94" s="50">
        <v>90.053120380389302</v>
      </c>
      <c r="K94" s="51">
        <v>7.3872608618786861E-2</v>
      </c>
      <c r="L94" s="50">
        <v>103.54998532934434</v>
      </c>
      <c r="M94" s="50">
        <v>49.564042652080971</v>
      </c>
      <c r="N94" s="53">
        <v>0</v>
      </c>
      <c r="O94" s="80">
        <v>0</v>
      </c>
      <c r="P94" s="85">
        <v>1</v>
      </c>
    </row>
    <row r="95" spans="1:16" x14ac:dyDescent="0.2">
      <c r="A95" s="26">
        <v>2001.02</v>
      </c>
      <c r="B95" s="50">
        <v>96.516858494268874</v>
      </c>
      <c r="C95" s="51">
        <v>-4.3890121603802675E-3</v>
      </c>
      <c r="D95" s="51">
        <v>4.9960457178171418E-3</v>
      </c>
      <c r="E95" s="51">
        <v>4.9960457178171418E-3</v>
      </c>
      <c r="F95" s="51">
        <v>6.7362129452162023E-3</v>
      </c>
      <c r="G95" s="51">
        <v>-1.2387318584971444E-2</v>
      </c>
      <c r="H95" s="51">
        <v>5.0154155629693165E-2</v>
      </c>
      <c r="I95" s="51">
        <v>1.8883418522360858E-2</v>
      </c>
      <c r="J95" s="50">
        <v>90.078299373545093</v>
      </c>
      <c r="K95" s="51">
        <v>6.8852930138215696E-2</v>
      </c>
      <c r="L95" s="50">
        <v>102.93301235026422</v>
      </c>
      <c r="M95" s="50">
        <v>47.882492881536166</v>
      </c>
      <c r="N95" s="53">
        <v>1</v>
      </c>
      <c r="O95" s="80">
        <v>1</v>
      </c>
      <c r="P95" s="85">
        <v>1</v>
      </c>
    </row>
    <row r="96" spans="1:16" x14ac:dyDescent="0.2">
      <c r="A96" s="26">
        <v>2001.03</v>
      </c>
      <c r="B96" s="50">
        <v>96.012306270027906</v>
      </c>
      <c r="C96" s="51">
        <v>-5.2413189442976739E-3</v>
      </c>
      <c r="D96" s="51">
        <v>-2.2652741871531925E-3</v>
      </c>
      <c r="E96" s="51">
        <v>-2.2652741871531925E-3</v>
      </c>
      <c r="F96" s="51">
        <v>-3.7250383440761148E-3</v>
      </c>
      <c r="G96" s="51">
        <v>-1.2387318584971444E-2</v>
      </c>
      <c r="H96" s="51">
        <v>5.0154155629693165E-2</v>
      </c>
      <c r="I96" s="51">
        <v>1.8883418522360858E-2</v>
      </c>
      <c r="J96" s="50">
        <v>90.103969475324007</v>
      </c>
      <c r="K96" s="51">
        <v>6.2954320931809971E-2</v>
      </c>
      <c r="L96" s="50">
        <v>102.23254479401653</v>
      </c>
      <c r="M96" s="50">
        <v>42.837843569901757</v>
      </c>
      <c r="N96" s="53">
        <v>1</v>
      </c>
      <c r="O96" s="80">
        <v>1</v>
      </c>
      <c r="P96" s="85">
        <v>1</v>
      </c>
    </row>
    <row r="97" spans="1:16" x14ac:dyDescent="0.2">
      <c r="A97" s="26">
        <v>2001.04</v>
      </c>
      <c r="B97" s="50">
        <v>95.39299070543133</v>
      </c>
      <c r="C97" s="51">
        <v>-6.4712704993593658E-3</v>
      </c>
      <c r="D97" s="51">
        <v>-8.2323468909993036E-3</v>
      </c>
      <c r="E97" s="51">
        <v>-8.2323468909993036E-3</v>
      </c>
      <c r="F97" s="51">
        <v>-1.5213810132736927E-2</v>
      </c>
      <c r="G97" s="51">
        <v>-1.2387318584971444E-2</v>
      </c>
      <c r="H97" s="51">
        <v>5.0154155629693165E-2</v>
      </c>
      <c r="I97" s="51">
        <v>1.8883418522360858E-2</v>
      </c>
      <c r="J97" s="50">
        <v>90.131022453461696</v>
      </c>
      <c r="K97" s="51">
        <v>5.5782641660552024E-2</v>
      </c>
      <c r="L97" s="50">
        <v>101.41203534757334</v>
      </c>
      <c r="M97" s="50">
        <v>39.474744028812147</v>
      </c>
      <c r="N97" s="53">
        <v>1</v>
      </c>
      <c r="O97" s="80">
        <v>1</v>
      </c>
      <c r="P97" s="85">
        <v>1</v>
      </c>
    </row>
    <row r="98" spans="1:16" x14ac:dyDescent="0.2">
      <c r="A98" s="26">
        <v>2001.05</v>
      </c>
      <c r="B98" s="50">
        <v>94.93961703788311</v>
      </c>
      <c r="C98" s="51">
        <v>-4.764023678350349E-3</v>
      </c>
      <c r="D98" s="51">
        <v>-7.1274814571913227E-3</v>
      </c>
      <c r="E98" s="51">
        <v>-7.1274814571913227E-3</v>
      </c>
      <c r="F98" s="51">
        <v>-2.260478685157763E-2</v>
      </c>
      <c r="G98" s="51">
        <v>-1.2387318584971444E-2</v>
      </c>
      <c r="H98" s="51">
        <v>5.0154155629693165E-2</v>
      </c>
      <c r="I98" s="51">
        <v>1.8883418522360858E-2</v>
      </c>
      <c r="J98" s="50">
        <v>90.160395752804206</v>
      </c>
      <c r="K98" s="51">
        <v>5.0434283826548576E-2</v>
      </c>
      <c r="L98" s="50">
        <v>100.77000373336824</v>
      </c>
      <c r="M98" s="50">
        <v>37.793194258267349</v>
      </c>
      <c r="N98" s="53">
        <v>1</v>
      </c>
      <c r="O98" s="80">
        <v>1</v>
      </c>
      <c r="P98" s="85">
        <v>1</v>
      </c>
    </row>
    <row r="99" spans="1:16" x14ac:dyDescent="0.2">
      <c r="A99" s="26">
        <v>2001.06</v>
      </c>
      <c r="B99" s="50">
        <v>94.482450144432036</v>
      </c>
      <c r="C99" s="51">
        <v>-4.8269748916264467E-3</v>
      </c>
      <c r="D99" s="51">
        <v>-1.1197902212427301E-2</v>
      </c>
      <c r="E99" s="51">
        <v>-1.1197902212427301E-2</v>
      </c>
      <c r="F99" s="51">
        <v>-3.022219623046829E-2</v>
      </c>
      <c r="G99" s="51">
        <v>-1.2387318584971444E-2</v>
      </c>
      <c r="H99" s="51">
        <v>5.0154155629693165E-2</v>
      </c>
      <c r="I99" s="51">
        <v>1.8883418522360858E-2</v>
      </c>
      <c r="J99" s="50">
        <v>90.193067468486106</v>
      </c>
      <c r="K99" s="51">
        <v>4.501926051075178E-2</v>
      </c>
      <c r="L99" s="50">
        <v>100.12573353597961</v>
      </c>
      <c r="M99" s="50">
        <v>29.385445405543329</v>
      </c>
      <c r="N99" s="53">
        <v>1</v>
      </c>
      <c r="O99" s="80">
        <v>1</v>
      </c>
      <c r="P99" s="85">
        <v>1</v>
      </c>
    </row>
    <row r="100" spans="1:16" x14ac:dyDescent="0.2">
      <c r="A100" s="26">
        <v>2001.07</v>
      </c>
      <c r="B100" s="50">
        <v>93.68815087813465</v>
      </c>
      <c r="C100" s="51">
        <v>-8.4423813252734528E-3</v>
      </c>
      <c r="D100" s="51">
        <v>-2.4628385747445348E-2</v>
      </c>
      <c r="E100" s="51">
        <v>-2.4628385747445348E-2</v>
      </c>
      <c r="F100" s="51">
        <v>-4.3590943464662191E-2</v>
      </c>
      <c r="G100" s="51">
        <v>-1.2387318584971444E-2</v>
      </c>
      <c r="H100" s="51">
        <v>5.0154155629693165E-2</v>
      </c>
      <c r="I100" s="51">
        <v>1.8883418522360858E-2</v>
      </c>
      <c r="J100" s="50">
        <v>90.230052588141902</v>
      </c>
      <c r="K100" s="51">
        <v>3.5841019095656401E-2</v>
      </c>
      <c r="L100" s="50">
        <v>99.126551060469822</v>
      </c>
      <c r="M100" s="50">
        <v>22.659246323364119</v>
      </c>
      <c r="N100" s="53">
        <v>1</v>
      </c>
      <c r="O100" s="80">
        <v>1</v>
      </c>
      <c r="P100" s="85">
        <v>1</v>
      </c>
    </row>
    <row r="101" spans="1:16" x14ac:dyDescent="0.2">
      <c r="A101" s="26">
        <v>2001.08</v>
      </c>
      <c r="B101" s="50">
        <v>92.499801643066419</v>
      </c>
      <c r="C101" s="51">
        <v>-1.2765223053542956E-2</v>
      </c>
      <c r="D101" s="51">
        <v>-3.9888081667008878E-2</v>
      </c>
      <c r="E101" s="51">
        <v>-3.9888081667008878E-2</v>
      </c>
      <c r="F101" s="51">
        <v>-6.2358698415795444E-2</v>
      </c>
      <c r="G101" s="51">
        <v>-1.2387318584971444E-2</v>
      </c>
      <c r="H101" s="51">
        <v>5.0154155629693165E-2</v>
      </c>
      <c r="I101" s="51">
        <v>1.8883418522360858E-2</v>
      </c>
      <c r="J101" s="50">
        <v>90.272399202479804</v>
      </c>
      <c r="K101" s="51">
        <v>2.2264048529793357E-2</v>
      </c>
      <c r="L101" s="50">
        <v>97.714023141397647</v>
      </c>
      <c r="M101" s="50">
        <v>17.614597011729707</v>
      </c>
      <c r="N101" s="53">
        <v>1</v>
      </c>
      <c r="O101" s="80">
        <v>1</v>
      </c>
      <c r="P101" s="85">
        <v>1</v>
      </c>
    </row>
    <row r="102" spans="1:16" x14ac:dyDescent="0.2">
      <c r="A102" s="26">
        <v>2001.09</v>
      </c>
      <c r="B102" s="50">
        <v>91.120901022613154</v>
      </c>
      <c r="C102" s="51">
        <v>-1.5019292718890243E-2</v>
      </c>
      <c r="D102" s="51">
        <v>-5.3997634624299712E-2</v>
      </c>
      <c r="E102" s="51">
        <v>-5.3997634624299712E-2</v>
      </c>
      <c r="F102" s="51">
        <v>-8.2460584828417338E-2</v>
      </c>
      <c r="G102" s="51">
        <v>-1.2387318584971444E-2</v>
      </c>
      <c r="H102" s="51">
        <v>5.0154155629693165E-2</v>
      </c>
      <c r="I102" s="51">
        <v>1.8883418522360858E-2</v>
      </c>
      <c r="J102" s="50">
        <v>90.321182096029503</v>
      </c>
      <c r="K102" s="51">
        <v>6.5319453642704861E-3</v>
      </c>
      <c r="L102" s="50">
        <v>96.104752246515275</v>
      </c>
      <c r="M102" s="50">
        <v>15.933047241184902</v>
      </c>
      <c r="N102" s="53">
        <v>1</v>
      </c>
      <c r="O102" s="80">
        <v>1</v>
      </c>
      <c r="P102" s="85">
        <v>1</v>
      </c>
    </row>
    <row r="103" spans="1:16" x14ac:dyDescent="0.2">
      <c r="A103" s="26">
        <v>2001.1</v>
      </c>
      <c r="B103" s="50">
        <v>89.409835160628006</v>
      </c>
      <c r="C103" s="51">
        <v>-1.8956518287007836E-2</v>
      </c>
      <c r="D103" s="51">
        <v>-7.2389731067490207E-2</v>
      </c>
      <c r="E103" s="51">
        <v>-7.2389731067490207E-2</v>
      </c>
      <c r="F103" s="51">
        <v>-0.10675235501312064</v>
      </c>
      <c r="G103" s="51">
        <v>-1.2387318584971444E-2</v>
      </c>
      <c r="H103" s="51">
        <v>5.0154155629693165E-2</v>
      </c>
      <c r="I103" s="51">
        <v>1.8883418522360858E-2</v>
      </c>
      <c r="J103" s="50">
        <v>90.377493252257395</v>
      </c>
      <c r="K103" s="51">
        <v>-1.2924625079196672E-2</v>
      </c>
      <c r="L103" s="50">
        <v>94.150562033341444</v>
      </c>
      <c r="M103" s="50">
        <v>14.251497470640103</v>
      </c>
      <c r="N103" s="53">
        <v>1</v>
      </c>
      <c r="O103" s="80">
        <v>1</v>
      </c>
      <c r="P103" s="85">
        <v>1</v>
      </c>
    </row>
    <row r="104" spans="1:16" x14ac:dyDescent="0.2">
      <c r="A104" s="26">
        <v>2001.11</v>
      </c>
      <c r="B104" s="50">
        <v>87.692789078586245</v>
      </c>
      <c r="C104" s="51">
        <v>-1.9391015706312867E-2</v>
      </c>
      <c r="D104" s="51">
        <v>-9.265434286992727E-2</v>
      </c>
      <c r="E104" s="51">
        <v>-9.265434286992727E-2</v>
      </c>
      <c r="F104" s="51">
        <v>-0.12872127285434143</v>
      </c>
      <c r="G104" s="51">
        <v>-1.2387318584971444E-2</v>
      </c>
      <c r="H104" s="51">
        <v>5.0154155629693165E-2</v>
      </c>
      <c r="I104" s="51">
        <v>1.8883418522360858E-2</v>
      </c>
      <c r="J104" s="50">
        <v>90.442430843491294</v>
      </c>
      <c r="K104" s="51">
        <v>-3.2508182958822851E-2</v>
      </c>
      <c r="L104" s="50">
        <v>92.196040600581668</v>
      </c>
      <c r="M104" s="50">
        <v>10.888397929550493</v>
      </c>
      <c r="N104" s="53">
        <v>1</v>
      </c>
      <c r="O104" s="80">
        <v>1</v>
      </c>
      <c r="P104" s="85">
        <v>1</v>
      </c>
    </row>
    <row r="105" spans="1:16" x14ac:dyDescent="0.2">
      <c r="A105" s="26">
        <v>2001.12</v>
      </c>
      <c r="B105" s="50">
        <v>86.402865477347618</v>
      </c>
      <c r="C105" s="51">
        <v>-1.4818832897453118E-2</v>
      </c>
      <c r="D105" s="51">
        <v>-0.11208584775896324</v>
      </c>
      <c r="E105" s="51">
        <v>-0.11208584775896324</v>
      </c>
      <c r="F105" s="51">
        <v>-0.1403563339155105</v>
      </c>
      <c r="G105" s="51">
        <v>-1.2387318584971444E-2</v>
      </c>
      <c r="H105" s="51">
        <v>5.0154155629693165E-2</v>
      </c>
      <c r="I105" s="51">
        <v>1.8883418522360858E-2</v>
      </c>
      <c r="J105" s="50">
        <v>90.517085624197094</v>
      </c>
      <c r="K105" s="51">
        <v>-4.745028320015332E-2</v>
      </c>
      <c r="L105" s="50">
        <v>90.695825460048738</v>
      </c>
      <c r="M105" s="50">
        <v>9.2068481590056948</v>
      </c>
      <c r="N105" s="53">
        <v>1</v>
      </c>
      <c r="O105" s="80">
        <v>1</v>
      </c>
      <c r="P105" s="85">
        <v>1</v>
      </c>
    </row>
    <row r="106" spans="1:16" x14ac:dyDescent="0.2">
      <c r="A106" s="26">
        <v>2002.01</v>
      </c>
      <c r="B106" s="50">
        <v>84.700802752413381</v>
      </c>
      <c r="C106" s="51">
        <v>-1.9895761297657702E-2</v>
      </c>
      <c r="D106" s="51">
        <v>-0.13498162546015235</v>
      </c>
      <c r="E106" s="51">
        <v>-0.13498162546015235</v>
      </c>
      <c r="F106" s="51">
        <v>-0.15724472294890146</v>
      </c>
      <c r="G106" s="51">
        <v>-1.2387318584971444E-2</v>
      </c>
      <c r="H106" s="51">
        <v>5.0154155629693165E-2</v>
      </c>
      <c r="I106" s="51">
        <v>1.8883418522360858E-2</v>
      </c>
      <c r="J106" s="50">
        <v>90.602527213380796</v>
      </c>
      <c r="K106" s="51">
        <v>-6.7012798544784591E-2</v>
      </c>
      <c r="L106" s="50">
        <v>88.768206065181005</v>
      </c>
      <c r="M106" s="50">
        <v>9.2068481590056948</v>
      </c>
      <c r="N106" s="53">
        <v>1</v>
      </c>
      <c r="O106" s="80">
        <v>1</v>
      </c>
      <c r="P106" s="85">
        <v>1</v>
      </c>
    </row>
    <row r="107" spans="1:16" x14ac:dyDescent="0.2">
      <c r="A107" s="26">
        <v>2002.02</v>
      </c>
      <c r="B107" s="50">
        <v>83.689586199830003</v>
      </c>
      <c r="C107" s="51">
        <v>-1.2010527616755055E-2</v>
      </c>
      <c r="D107" s="51">
        <v>-0.14260314091652712</v>
      </c>
      <c r="E107" s="51">
        <v>-0.14260314091652712</v>
      </c>
      <c r="F107" s="51">
        <v>-0.1587567484093918</v>
      </c>
      <c r="G107" s="51">
        <v>-1.2387318584971444E-2</v>
      </c>
      <c r="H107" s="51">
        <v>5.0154155629693165E-2</v>
      </c>
      <c r="I107" s="51">
        <v>1.8883418522360858E-2</v>
      </c>
      <c r="J107" s="50">
        <v>90.699793649244299</v>
      </c>
      <c r="K107" s="51">
        <v>-7.9050481497440872E-2</v>
      </c>
      <c r="L107" s="50">
        <v>87.569345157823818</v>
      </c>
      <c r="M107" s="50">
        <v>12.569947700095298</v>
      </c>
      <c r="N107" s="53">
        <v>1</v>
      </c>
      <c r="O107" s="80">
        <v>1</v>
      </c>
      <c r="P107" s="85">
        <v>1</v>
      </c>
    </row>
    <row r="108" spans="1:16" x14ac:dyDescent="0.2">
      <c r="A108" s="26">
        <v>2002.03</v>
      </c>
      <c r="B108" s="50">
        <v>82.747901985126177</v>
      </c>
      <c r="C108" s="51">
        <v>-1.1315891311022862E-2</v>
      </c>
      <c r="D108" s="51">
        <v>-0.14867771328325222</v>
      </c>
      <c r="E108" s="51">
        <v>-0.14867771328325222</v>
      </c>
      <c r="F108" s="51">
        <v>-0.15816140374807963</v>
      </c>
      <c r="G108" s="51">
        <v>-1.2387318584971444E-2</v>
      </c>
      <c r="H108" s="51">
        <v>5.0154155629693165E-2</v>
      </c>
      <c r="I108" s="51">
        <v>1.8883418522360858E-2</v>
      </c>
      <c r="J108" s="50">
        <v>90.809877700380099</v>
      </c>
      <c r="K108" s="51">
        <v>-9.042086602441346E-2</v>
      </c>
      <c r="L108" s="50">
        <v>86.446703659702962</v>
      </c>
      <c r="M108" s="50">
        <v>17.614597011729707</v>
      </c>
      <c r="N108" s="53">
        <v>1</v>
      </c>
      <c r="O108" s="80">
        <v>1</v>
      </c>
      <c r="P108" s="85">
        <v>1</v>
      </c>
    </row>
    <row r="109" spans="1:16" x14ac:dyDescent="0.2">
      <c r="A109" s="26">
        <v>2002.04</v>
      </c>
      <c r="B109" s="50">
        <v>81.477178546213921</v>
      </c>
      <c r="C109" s="51">
        <v>-1.5475697085062657E-2</v>
      </c>
      <c r="D109" s="51">
        <v>-0.15768213986895552</v>
      </c>
      <c r="E109" s="51">
        <v>-0.15768213986895552</v>
      </c>
      <c r="F109" s="51">
        <v>-0.16316986113716092</v>
      </c>
      <c r="G109" s="51">
        <v>-1.2387318584971444E-2</v>
      </c>
      <c r="H109" s="51">
        <v>5.0154155629693165E-2</v>
      </c>
      <c r="I109" s="51">
        <v>1.8883418522360858E-2</v>
      </c>
      <c r="J109" s="50">
        <v>90.933718283427993</v>
      </c>
      <c r="K109" s="51">
        <v>-0.10550698586878171</v>
      </c>
      <c r="L109" s="50">
        <v>84.984200386848855</v>
      </c>
      <c r="M109" s="50">
        <v>24.340796093908928</v>
      </c>
      <c r="N109" s="53">
        <v>1</v>
      </c>
      <c r="O109" s="80">
        <v>1</v>
      </c>
      <c r="P109" s="85">
        <v>1</v>
      </c>
    </row>
    <row r="110" spans="1:16" x14ac:dyDescent="0.2">
      <c r="A110" s="26">
        <v>2002.05</v>
      </c>
      <c r="B110" s="50">
        <v>80.448975332839737</v>
      </c>
      <c r="C110" s="51">
        <v>-1.2699826534946812E-2</v>
      </c>
      <c r="D110" s="51">
        <v>-0.16561794272555186</v>
      </c>
      <c r="E110" s="51">
        <v>-0.16561794272555186</v>
      </c>
      <c r="F110" s="51">
        <v>-0.16269373491343386</v>
      </c>
      <c r="G110" s="51">
        <v>-1.2387318584971444E-2</v>
      </c>
      <c r="H110" s="51">
        <v>5.0154155629693165E-2</v>
      </c>
      <c r="I110" s="51">
        <v>1.8883418522360858E-2</v>
      </c>
      <c r="J110" s="50">
        <v>91.072192230078599</v>
      </c>
      <c r="K110" s="51">
        <v>-0.11803124826934952</v>
      </c>
      <c r="L110" s="50">
        <v>83.778675990879478</v>
      </c>
      <c r="M110" s="50">
        <v>31.066995176088138</v>
      </c>
      <c r="N110" s="53">
        <v>1</v>
      </c>
      <c r="O110" s="80">
        <v>1</v>
      </c>
      <c r="P110" s="85">
        <v>1</v>
      </c>
    </row>
    <row r="111" spans="1:16" x14ac:dyDescent="0.2">
      <c r="A111" s="26">
        <v>2002.06</v>
      </c>
      <c r="B111" s="50">
        <v>79.258176448970701</v>
      </c>
      <c r="C111" s="51">
        <v>-1.4912556368578002E-2</v>
      </c>
      <c r="D111" s="51">
        <v>-0.17570352420250346</v>
      </c>
      <c r="E111" s="51">
        <v>-0.17570352420250346</v>
      </c>
      <c r="F111" s="51">
        <v>-0.16452354396053415</v>
      </c>
      <c r="G111" s="51">
        <v>-1.2387318584971444E-2</v>
      </c>
      <c r="H111" s="51">
        <v>5.0154155629693165E-2</v>
      </c>
      <c r="I111" s="51">
        <v>1.8883418522360858E-2</v>
      </c>
      <c r="J111" s="50">
        <v>91.2261034379097</v>
      </c>
      <c r="K111" s="51">
        <v>-0.13244116581617227</v>
      </c>
      <c r="L111" s="50">
        <v>82.407704415846496</v>
      </c>
      <c r="M111" s="50">
        <v>36.11164448772255</v>
      </c>
      <c r="N111" s="53">
        <v>1</v>
      </c>
      <c r="O111" s="80">
        <v>1</v>
      </c>
      <c r="P111" s="85">
        <v>1</v>
      </c>
    </row>
    <row r="112" spans="1:16" x14ac:dyDescent="0.2">
      <c r="A112" s="26">
        <v>2002.07</v>
      </c>
      <c r="B112" s="50">
        <v>78.428226385060583</v>
      </c>
      <c r="C112" s="51">
        <v>-1.0526687310458433E-2</v>
      </c>
      <c r="D112" s="51">
        <v>-0.17778783018768857</v>
      </c>
      <c r="E112" s="51">
        <v>-0.17778783018768857</v>
      </c>
      <c r="F112" s="51">
        <v>-0.15817289781950206</v>
      </c>
      <c r="G112" s="51">
        <v>-1.2387318584971444E-2</v>
      </c>
      <c r="H112" s="51">
        <v>5.0154155629693165E-2</v>
      </c>
      <c r="I112" s="51">
        <v>1.8883418522360858E-2</v>
      </c>
      <c r="J112" s="50">
        <v>91.396173828195003</v>
      </c>
      <c r="K112" s="51">
        <v>-0.14300840253701563</v>
      </c>
      <c r="L112" s="50">
        <v>81.4154633605322</v>
      </c>
      <c r="M112" s="50">
        <v>37.793194258267349</v>
      </c>
      <c r="N112" s="53">
        <v>1</v>
      </c>
      <c r="O112" s="80">
        <v>1</v>
      </c>
      <c r="P112" s="85">
        <v>1</v>
      </c>
    </row>
    <row r="113" spans="1:16" x14ac:dyDescent="0.2">
      <c r="A113" s="26">
        <v>2002.08</v>
      </c>
      <c r="B113" s="50">
        <v>78.485669169510302</v>
      </c>
      <c r="C113" s="51">
        <v>7.3215678971871412E-4</v>
      </c>
      <c r="D113" s="51">
        <v>-0.1642904503444268</v>
      </c>
      <c r="E113" s="51">
        <v>-0.1642904503444268</v>
      </c>
      <c r="F113" s="51">
        <v>-0.13355530084031775</v>
      </c>
      <c r="G113" s="51">
        <v>-1.2387318584971444E-2</v>
      </c>
      <c r="H113" s="51">
        <v>5.0154155629693165E-2</v>
      </c>
      <c r="I113" s="51">
        <v>1.8883418522360858E-2</v>
      </c>
      <c r="J113" s="50">
        <v>91.583032951085599</v>
      </c>
      <c r="K113" s="51">
        <v>-0.14401113024340428</v>
      </c>
      <c r="L113" s="50">
        <v>81.345893781817921</v>
      </c>
      <c r="M113" s="50">
        <v>39.474744028812147</v>
      </c>
      <c r="N113" s="53">
        <v>0</v>
      </c>
      <c r="O113" s="80">
        <v>1</v>
      </c>
      <c r="P113" s="85">
        <v>1</v>
      </c>
    </row>
    <row r="114" spans="1:16" x14ac:dyDescent="0.2">
      <c r="A114" s="26">
        <v>2002.09</v>
      </c>
      <c r="B114" s="50">
        <v>78.623950391748124</v>
      </c>
      <c r="C114" s="51">
        <v>1.7603156106134618E-3</v>
      </c>
      <c r="D114" s="51">
        <v>-0.14751084201492307</v>
      </c>
      <c r="E114" s="51">
        <v>-0.14751084201492307</v>
      </c>
      <c r="F114" s="51">
        <v>-0.10819941551296575</v>
      </c>
      <c r="G114" s="51">
        <v>-1.2387318584971444E-2</v>
      </c>
      <c r="H114" s="51">
        <v>5.0154155629693165E-2</v>
      </c>
      <c r="I114" s="51">
        <v>1.8883418522360858E-2</v>
      </c>
      <c r="J114" s="50">
        <v>91.787210245628103</v>
      </c>
      <c r="K114" s="51">
        <v>-0.14428699688678892</v>
      </c>
      <c r="L114" s="50">
        <v>81.359991654933438</v>
      </c>
      <c r="M114" s="50">
        <v>39.474744028812147</v>
      </c>
      <c r="N114" s="53">
        <v>0</v>
      </c>
      <c r="O114" s="80">
        <v>1</v>
      </c>
      <c r="P114" s="85">
        <v>1</v>
      </c>
    </row>
    <row r="115" spans="1:16" x14ac:dyDescent="0.2">
      <c r="A115" s="26">
        <v>2002.1</v>
      </c>
      <c r="B115" s="50">
        <v>79.268677674719868</v>
      </c>
      <c r="C115" s="51">
        <v>8.1667000442388737E-3</v>
      </c>
      <c r="D115" s="51">
        <v>-0.1203876236836763</v>
      </c>
      <c r="E115" s="51">
        <v>-0.1203876236836763</v>
      </c>
      <c r="F115" s="51">
        <v>-7.3470117844796401E-2</v>
      </c>
      <c r="G115" s="51">
        <v>-1.2387318584971444E-2</v>
      </c>
      <c r="H115" s="51">
        <v>5.0154155629693165E-2</v>
      </c>
      <c r="I115" s="51">
        <v>1.8883418522360858E-2</v>
      </c>
      <c r="J115" s="50">
        <v>92.0091340394859</v>
      </c>
      <c r="K115" s="51">
        <v>-0.13922324495013816</v>
      </c>
      <c r="L115" s="50">
        <v>81.897079127120278</v>
      </c>
      <c r="M115" s="50">
        <v>41.156293799356959</v>
      </c>
      <c r="N115" s="53">
        <v>0</v>
      </c>
      <c r="O115" s="80">
        <v>0</v>
      </c>
      <c r="P115" s="85">
        <v>0</v>
      </c>
    </row>
    <row r="116" spans="1:16" x14ac:dyDescent="0.2">
      <c r="A116" s="26">
        <v>2002.11</v>
      </c>
      <c r="B116" s="50">
        <v>79.935621578555072</v>
      </c>
      <c r="C116" s="51">
        <v>8.3785150093768548E-3</v>
      </c>
      <c r="D116" s="51">
        <v>-9.2618092967986398E-2</v>
      </c>
      <c r="E116" s="51">
        <v>-9.2618092967986398E-2</v>
      </c>
      <c r="F116" s="51">
        <v>-4.0994533787957699E-2</v>
      </c>
      <c r="G116" s="51">
        <v>-1.2387318584971444E-2</v>
      </c>
      <c r="H116" s="51">
        <v>5.0154155629693165E-2</v>
      </c>
      <c r="I116" s="51">
        <v>1.8883418522360858E-2</v>
      </c>
      <c r="J116" s="50">
        <v>92.249131082143194</v>
      </c>
      <c r="K116" s="51">
        <v>-0.13410791346619066</v>
      </c>
      <c r="L116" s="50">
        <v>82.455175503412093</v>
      </c>
      <c r="M116" s="50">
        <v>41.156293799356959</v>
      </c>
      <c r="N116" s="53">
        <v>0</v>
      </c>
      <c r="O116" s="80">
        <v>0</v>
      </c>
      <c r="P116" s="85">
        <v>0</v>
      </c>
    </row>
    <row r="117" spans="1:16" x14ac:dyDescent="0.2">
      <c r="A117" s="26">
        <v>2002.12</v>
      </c>
      <c r="B117" s="50">
        <v>80.653004443215508</v>
      </c>
      <c r="C117" s="51">
        <v>8.9344763014470481E-3</v>
      </c>
      <c r="D117" s="51">
        <v>-6.8864783769086252E-2</v>
      </c>
      <c r="E117" s="51">
        <v>-6.8864783769086252E-2</v>
      </c>
      <c r="F117" s="51">
        <v>-1.0653981964750647E-2</v>
      </c>
      <c r="G117" s="51">
        <v>-1.2387318584971444E-2</v>
      </c>
      <c r="H117" s="51">
        <v>5.0154155629693165E-2</v>
      </c>
      <c r="I117" s="51">
        <v>1.8883418522360858E-2</v>
      </c>
      <c r="J117" s="50">
        <v>92.507429846939203</v>
      </c>
      <c r="K117" s="51">
        <v>-0.12864214483682646</v>
      </c>
      <c r="L117" s="50">
        <v>83.063242199659442</v>
      </c>
      <c r="M117" s="50">
        <v>42.837843569901757</v>
      </c>
      <c r="N117" s="53">
        <v>0</v>
      </c>
      <c r="O117" s="80">
        <v>0</v>
      </c>
      <c r="P117" s="85">
        <v>0</v>
      </c>
    </row>
    <row r="118" spans="1:16" x14ac:dyDescent="0.2">
      <c r="A118" s="26">
        <v>2003.01</v>
      </c>
      <c r="B118" s="50">
        <v>81.402631758504484</v>
      </c>
      <c r="C118" s="51">
        <v>9.2515469333639411E-3</v>
      </c>
      <c r="D118" s="51">
        <v>-3.971747553806463E-2</v>
      </c>
      <c r="E118" s="51">
        <v>-3.971747553806463E-2</v>
      </c>
      <c r="F118" s="51">
        <v>1.7456023490125538E-2</v>
      </c>
      <c r="G118" s="51">
        <v>-1.2387318584971444E-2</v>
      </c>
      <c r="H118" s="51">
        <v>5.0154155629693165E-2</v>
      </c>
      <c r="I118" s="51">
        <v>1.8883418522360858E-2</v>
      </c>
      <c r="J118" s="50">
        <v>92.784163854630194</v>
      </c>
      <c r="K118" s="51">
        <v>-0.1230297564013122</v>
      </c>
      <c r="L118" s="50">
        <v>83.702328434324244</v>
      </c>
      <c r="M118" s="50">
        <v>47.882492881536166</v>
      </c>
      <c r="N118" s="53">
        <v>0</v>
      </c>
      <c r="O118" s="80">
        <v>0</v>
      </c>
      <c r="P118" s="85">
        <v>0</v>
      </c>
    </row>
    <row r="119" spans="1:16" x14ac:dyDescent="0.2">
      <c r="A119" s="26">
        <v>2003.02</v>
      </c>
      <c r="B119" s="50">
        <v>81.240678488708582</v>
      </c>
      <c r="C119" s="51">
        <v>-1.9915153359469705E-3</v>
      </c>
      <c r="D119" s="51">
        <v>-2.9698463257256613E-2</v>
      </c>
      <c r="E119" s="51">
        <v>-2.9698463257256613E-2</v>
      </c>
      <c r="F119" s="51">
        <v>2.0131532883876924E-2</v>
      </c>
      <c r="G119" s="51">
        <v>-1.2387318584971444E-2</v>
      </c>
      <c r="H119" s="51">
        <v>5.0154155629693165E-2</v>
      </c>
      <c r="I119" s="51">
        <v>1.8883418522360858E-2</v>
      </c>
      <c r="J119" s="50">
        <v>93.079375235912707</v>
      </c>
      <c r="K119" s="51">
        <v>-0.12741367335991904</v>
      </c>
      <c r="L119" s="50">
        <v>83.403331757405184</v>
      </c>
      <c r="M119" s="50">
        <v>46.200943110991368</v>
      </c>
      <c r="N119" s="53">
        <v>0</v>
      </c>
      <c r="O119" s="80">
        <v>0</v>
      </c>
      <c r="P119" s="85">
        <v>0</v>
      </c>
    </row>
    <row r="120" spans="1:16" x14ac:dyDescent="0.2">
      <c r="A120" s="26">
        <v>2003.03</v>
      </c>
      <c r="B120" s="50">
        <v>81.526274226443093</v>
      </c>
      <c r="C120" s="51">
        <v>3.5092631036122901E-3</v>
      </c>
      <c r="D120" s="51">
        <v>-1.4873308842621389E-2</v>
      </c>
      <c r="E120" s="51">
        <v>-1.4873308842621389E-2</v>
      </c>
      <c r="F120" s="51">
        <v>3.1592815401714658E-2</v>
      </c>
      <c r="G120" s="51">
        <v>-1.2387318584971444E-2</v>
      </c>
      <c r="H120" s="51">
        <v>5.0154155629693165E-2</v>
      </c>
      <c r="I120" s="51">
        <v>1.8883418522360858E-2</v>
      </c>
      <c r="J120" s="50">
        <v>93.393018385273393</v>
      </c>
      <c r="K120" s="51">
        <v>-0.12715000067032389</v>
      </c>
      <c r="L120" s="50">
        <v>83.563807182790427</v>
      </c>
      <c r="M120" s="50">
        <v>49.564042652080971</v>
      </c>
      <c r="N120" s="53">
        <v>0</v>
      </c>
      <c r="O120" s="80">
        <v>0</v>
      </c>
      <c r="P120" s="85">
        <v>0</v>
      </c>
    </row>
    <row r="121" spans="1:16" x14ac:dyDescent="0.2">
      <c r="A121" s="26">
        <v>2003.04</v>
      </c>
      <c r="B121" s="50">
        <v>82.414613565099785</v>
      </c>
      <c r="C121" s="51">
        <v>1.0837418842874692E-2</v>
      </c>
      <c r="D121" s="51">
        <v>1.143980708531598E-2</v>
      </c>
      <c r="E121" s="51">
        <v>1.143980708531598E-2</v>
      </c>
      <c r="F121" s="51">
        <v>5.4912193210639781E-2</v>
      </c>
      <c r="G121" s="51">
        <v>-1.2387318584971444E-2</v>
      </c>
      <c r="H121" s="51">
        <v>5.0154155629693165E-2</v>
      </c>
      <c r="I121" s="51">
        <v>1.8883418522360858E-2</v>
      </c>
      <c r="J121" s="50">
        <v>93.724956445079499</v>
      </c>
      <c r="K121" s="51">
        <v>-0.1206267444513528</v>
      </c>
      <c r="L121" s="50">
        <v>84.340391806905842</v>
      </c>
      <c r="M121" s="50">
        <v>51.245592422625776</v>
      </c>
      <c r="N121" s="53">
        <v>0</v>
      </c>
      <c r="O121" s="80">
        <v>0</v>
      </c>
      <c r="P121" s="85">
        <v>0</v>
      </c>
    </row>
    <row r="122" spans="1:16" x14ac:dyDescent="0.2">
      <c r="A122" s="26">
        <v>2003.05</v>
      </c>
      <c r="B122" s="50">
        <v>83.92856285112974</v>
      </c>
      <c r="C122" s="51">
        <v>1.8203224481738316E-2</v>
      </c>
      <c r="D122" s="51">
        <v>4.2342858102000946E-2</v>
      </c>
      <c r="E122" s="51">
        <v>4.2342858102000946E-2</v>
      </c>
      <c r="F122" s="51">
        <v>8.9003449270085522E-2</v>
      </c>
      <c r="G122" s="51">
        <v>-1.2387318584971444E-2</v>
      </c>
      <c r="H122" s="51">
        <v>5.0154155629693165E-2</v>
      </c>
      <c r="I122" s="51">
        <v>1.8883418522360858E-2</v>
      </c>
      <c r="J122" s="50">
        <v>94.074961090914798</v>
      </c>
      <c r="K122" s="51">
        <v>-0.10766635855804452</v>
      </c>
      <c r="L122" s="50">
        <v>85.753516630077826</v>
      </c>
      <c r="M122" s="50">
        <v>57.97179150480499</v>
      </c>
      <c r="N122" s="53">
        <v>0</v>
      </c>
      <c r="O122" s="80">
        <v>0</v>
      </c>
      <c r="P122" s="85">
        <v>0</v>
      </c>
    </row>
    <row r="123" spans="1:16" x14ac:dyDescent="0.2">
      <c r="A123" s="26">
        <v>2003.06</v>
      </c>
      <c r="B123" s="50">
        <v>85.711612013869726</v>
      </c>
      <c r="C123" s="51">
        <v>2.1022317739105907E-2</v>
      </c>
      <c r="D123" s="51">
        <v>7.8277732209684842E-2</v>
      </c>
      <c r="E123" s="51">
        <v>7.8277732209684842E-2</v>
      </c>
      <c r="F123" s="51">
        <v>0.12457559974904253</v>
      </c>
      <c r="G123" s="51">
        <v>-1.2387318584971444E-2</v>
      </c>
      <c r="H123" s="51">
        <v>5.0154155629693165E-2</v>
      </c>
      <c r="I123" s="51">
        <v>1.8883418522360858E-2</v>
      </c>
      <c r="J123" s="50">
        <v>94.442716791508204</v>
      </c>
      <c r="K123" s="51">
        <v>-9.2118685916896315E-2</v>
      </c>
      <c r="L123" s="50">
        <v>87.436462813476183</v>
      </c>
      <c r="M123" s="50">
        <v>64.697990586984218</v>
      </c>
      <c r="N123" s="53">
        <v>0</v>
      </c>
      <c r="O123" s="80">
        <v>0</v>
      </c>
      <c r="P123" s="85">
        <v>0</v>
      </c>
    </row>
    <row r="124" spans="1:16" x14ac:dyDescent="0.2">
      <c r="A124" s="26">
        <v>2003.07</v>
      </c>
      <c r="B124" s="50">
        <v>87.566543845875458</v>
      </c>
      <c r="C124" s="51">
        <v>2.1410692922065142E-2</v>
      </c>
      <c r="D124" s="51">
        <v>0.11021511244220859</v>
      </c>
      <c r="E124" s="51">
        <v>0.11021511244220859</v>
      </c>
      <c r="F124" s="51">
        <v>0.15561216029288105</v>
      </c>
      <c r="G124" s="51">
        <v>-1.2387318584971444E-2</v>
      </c>
      <c r="H124" s="51">
        <v>5.0154155629693165E-2</v>
      </c>
      <c r="I124" s="51">
        <v>1.8883418522360858E-2</v>
      </c>
      <c r="J124" s="50">
        <v>94.827829721770101</v>
      </c>
      <c r="K124" s="51">
        <v>-7.6098955279228053E-2</v>
      </c>
      <c r="L124" s="50">
        <v>89.187068790346444</v>
      </c>
      <c r="M124" s="50">
        <v>69.74263989861862</v>
      </c>
      <c r="N124" s="53">
        <v>0</v>
      </c>
      <c r="O124" s="80">
        <v>0</v>
      </c>
      <c r="P124" s="85">
        <v>0</v>
      </c>
    </row>
    <row r="125" spans="1:16" x14ac:dyDescent="0.2">
      <c r="A125" s="26">
        <v>2003.08</v>
      </c>
      <c r="B125" s="50">
        <v>89.341295201997667</v>
      </c>
      <c r="C125" s="51">
        <v>2.0064807841949823E-2</v>
      </c>
      <c r="D125" s="51">
        <v>0.12954776349443961</v>
      </c>
      <c r="E125" s="51">
        <v>0.12954776349443961</v>
      </c>
      <c r="F125" s="51">
        <v>0.17867456277890392</v>
      </c>
      <c r="G125" s="51">
        <v>-1.2387318584971444E-2</v>
      </c>
      <c r="H125" s="51">
        <v>5.0154155629693165E-2</v>
      </c>
      <c r="I125" s="51">
        <v>1.8883418522360858E-2</v>
      </c>
      <c r="J125" s="50">
        <v>95.229838626634503</v>
      </c>
      <c r="K125" s="51">
        <v>-6.1215364116692594E-2</v>
      </c>
      <c r="L125" s="50">
        <v>90.850367986244621</v>
      </c>
      <c r="M125" s="50">
        <v>79.831938521887437</v>
      </c>
      <c r="N125" s="53">
        <v>0</v>
      </c>
      <c r="O125" s="80">
        <v>0</v>
      </c>
      <c r="P125" s="85">
        <v>0</v>
      </c>
    </row>
    <row r="126" spans="1:16" x14ac:dyDescent="0.2">
      <c r="A126" s="26">
        <v>2003.09</v>
      </c>
      <c r="B126" s="50">
        <v>91.070672959651816</v>
      </c>
      <c r="C126" s="51">
        <v>1.9172017762410114E-2</v>
      </c>
      <c r="D126" s="51">
        <v>0.14695946564623605</v>
      </c>
      <c r="E126" s="51">
        <v>0.14695946564623605</v>
      </c>
      <c r="F126" s="51">
        <v>0.19657457616462093</v>
      </c>
      <c r="G126" s="51">
        <v>-1.2387318584971444E-2</v>
      </c>
      <c r="H126" s="51">
        <v>5.0154155629693165E-2</v>
      </c>
      <c r="I126" s="51">
        <v>1.8883418522360858E-2</v>
      </c>
      <c r="J126" s="50">
        <v>95.648226152864595</v>
      </c>
      <c r="K126" s="51">
        <v>-4.7093236319199483E-2</v>
      </c>
      <c r="L126" s="50">
        <v>92.462100866003624</v>
      </c>
      <c r="M126" s="50">
        <v>84.876587833521853</v>
      </c>
      <c r="N126" s="53">
        <v>0</v>
      </c>
      <c r="O126" s="80">
        <v>0</v>
      </c>
      <c r="P126" s="85">
        <v>0</v>
      </c>
    </row>
    <row r="127" spans="1:16" x14ac:dyDescent="0.2">
      <c r="A127" s="26">
        <v>2003.1</v>
      </c>
      <c r="B127" s="50">
        <v>92.878163256743605</v>
      </c>
      <c r="C127" s="51">
        <v>1.9652730720687822E-2</v>
      </c>
      <c r="D127" s="51">
        <v>0.15844549632268501</v>
      </c>
      <c r="E127" s="51">
        <v>0.15844549632268501</v>
      </c>
      <c r="F127" s="51">
        <v>0.21253867682155514</v>
      </c>
      <c r="G127" s="51">
        <v>-1.2387318584971444E-2</v>
      </c>
      <c r="H127" s="51">
        <v>5.0154155629693165E-2</v>
      </c>
      <c r="I127" s="51">
        <v>1.8883418522360858E-2</v>
      </c>
      <c r="J127" s="50">
        <v>96.082429466083298</v>
      </c>
      <c r="K127" s="51">
        <v>-3.2438699102406487E-2</v>
      </c>
      <c r="L127" s="50">
        <v>94.147673857595848</v>
      </c>
      <c r="M127" s="50">
        <v>86.558137604066644</v>
      </c>
      <c r="N127" s="53">
        <v>0</v>
      </c>
      <c r="O127" s="80">
        <v>0</v>
      </c>
      <c r="P127" s="85">
        <v>0</v>
      </c>
    </row>
    <row r="128" spans="1:16" x14ac:dyDescent="0.2">
      <c r="A128" s="26">
        <v>2003.11</v>
      </c>
      <c r="B128" s="50">
        <v>94.54042589498485</v>
      </c>
      <c r="C128" s="51">
        <v>1.7738968523426851E-2</v>
      </c>
      <c r="D128" s="51">
        <v>0.16780594983673505</v>
      </c>
      <c r="E128" s="51">
        <v>0.16780594983673505</v>
      </c>
      <c r="F128" s="51">
        <v>0.2221475237366406</v>
      </c>
      <c r="G128" s="51">
        <v>-1.2387318584971444E-2</v>
      </c>
      <c r="H128" s="51">
        <v>5.0154155629693165E-2</v>
      </c>
      <c r="I128" s="51">
        <v>1.8883418522360858E-2</v>
      </c>
      <c r="J128" s="50">
        <v>96.531850399909899</v>
      </c>
      <c r="K128" s="51">
        <v>-1.9576575861179668E-2</v>
      </c>
      <c r="L128" s="50">
        <v>95.680689229879121</v>
      </c>
      <c r="M128" s="50">
        <v>83.195038062977034</v>
      </c>
      <c r="N128" s="53">
        <v>0</v>
      </c>
      <c r="O128" s="80">
        <v>0</v>
      </c>
      <c r="P128" s="85">
        <v>0</v>
      </c>
    </row>
    <row r="129" spans="1:16" x14ac:dyDescent="0.2">
      <c r="A129" s="26">
        <v>2003.12</v>
      </c>
      <c r="B129" s="50">
        <v>95.477765360952588</v>
      </c>
      <c r="C129" s="51">
        <v>9.8658666602400025E-3</v>
      </c>
      <c r="D129" s="51">
        <v>0.168737340195528</v>
      </c>
      <c r="E129" s="51">
        <v>0.168737340195528</v>
      </c>
      <c r="F129" s="51">
        <v>0.21229739644360901</v>
      </c>
      <c r="G129" s="51">
        <v>-1.2387318584971444E-2</v>
      </c>
      <c r="H129" s="51">
        <v>5.0154155629693165E-2</v>
      </c>
      <c r="I129" s="51">
        <v>1.8883418522360858E-2</v>
      </c>
      <c r="J129" s="50">
        <v>96.995866071239206</v>
      </c>
      <c r="K129" s="51">
        <v>-1.4466617954215555E-2</v>
      </c>
      <c r="L129" s="50">
        <v>96.476102717202735</v>
      </c>
      <c r="M129" s="50">
        <v>81.513488292432228</v>
      </c>
      <c r="N129" s="53">
        <v>0</v>
      </c>
      <c r="O129" s="80">
        <v>0</v>
      </c>
      <c r="P129" s="85">
        <v>0</v>
      </c>
    </row>
    <row r="130" spans="1:16" x14ac:dyDescent="0.2">
      <c r="A130" s="26">
        <v>2004.01</v>
      </c>
      <c r="B130" s="50">
        <v>95.871292771124004</v>
      </c>
      <c r="C130" s="51">
        <v>4.1131946907189947E-3</v>
      </c>
      <c r="D130" s="51">
        <v>0.16359898795288308</v>
      </c>
      <c r="E130" s="51">
        <v>0.16359898795288308</v>
      </c>
      <c r="F130" s="51">
        <v>0.18980128833174059</v>
      </c>
      <c r="G130" s="51">
        <v>-1.2387318584971444E-2</v>
      </c>
      <c r="H130" s="51">
        <v>5.0154155629693165E-2</v>
      </c>
      <c r="I130" s="51">
        <v>1.8883418522360858E-2</v>
      </c>
      <c r="J130" s="50">
        <v>97.473838250799702</v>
      </c>
      <c r="K130" s="51">
        <v>-1.513686074619025E-2</v>
      </c>
      <c r="L130" s="50">
        <v>96.720126020401281</v>
      </c>
      <c r="M130" s="50">
        <v>78.150388751342632</v>
      </c>
      <c r="N130" s="53">
        <v>0</v>
      </c>
      <c r="O130" s="80">
        <v>0</v>
      </c>
      <c r="P130" s="85">
        <v>0</v>
      </c>
    </row>
    <row r="131" spans="1:16" x14ac:dyDescent="0.2">
      <c r="A131" s="26">
        <v>2004.02</v>
      </c>
      <c r="B131" s="50">
        <v>97.070778482470871</v>
      </c>
      <c r="C131" s="51">
        <v>1.2433795872676467E-2</v>
      </c>
      <c r="D131" s="51">
        <v>0.17802429916150667</v>
      </c>
      <c r="E131" s="51">
        <v>0.17802429916150667</v>
      </c>
      <c r="F131" s="51">
        <v>0.18697228820257306</v>
      </c>
      <c r="G131" s="51">
        <v>-1.2387318584971444E-2</v>
      </c>
      <c r="H131" s="51">
        <v>5.0154155629693165E-2</v>
      </c>
      <c r="I131" s="51">
        <v>1.8883418522360858E-2</v>
      </c>
      <c r="J131" s="50">
        <v>97.965117028796797</v>
      </c>
      <c r="K131" s="51">
        <v>-7.7004268754774507E-3</v>
      </c>
      <c r="L131" s="50">
        <v>97.774937579666371</v>
      </c>
      <c r="M131" s="50">
        <v>76.468838980797813</v>
      </c>
      <c r="N131" s="53">
        <v>0</v>
      </c>
      <c r="O131" s="80">
        <v>0</v>
      </c>
      <c r="P131" s="85">
        <v>0</v>
      </c>
    </row>
    <row r="132" spans="1:16" x14ac:dyDescent="0.2">
      <c r="A132" s="26">
        <v>2004.03</v>
      </c>
      <c r="B132" s="50">
        <v>98.280720838398722</v>
      </c>
      <c r="C132" s="51">
        <v>1.2387494667150865E-2</v>
      </c>
      <c r="D132" s="51">
        <v>0.18690253072504506</v>
      </c>
      <c r="E132" s="51">
        <v>0.18690253072504506</v>
      </c>
      <c r="F132" s="51">
        <v>0.18169327591645557</v>
      </c>
      <c r="G132" s="51">
        <v>-1.2387318584971444E-2</v>
      </c>
      <c r="H132" s="51">
        <v>5.0154155629693165E-2</v>
      </c>
      <c r="I132" s="51">
        <v>1.8883418522360858E-2</v>
      </c>
      <c r="J132" s="50">
        <v>98.469040163800202</v>
      </c>
      <c r="K132" s="51">
        <v>-3.6379314786205708E-4</v>
      </c>
      <c r="L132" s="50">
        <v>98.836676352808581</v>
      </c>
      <c r="M132" s="50">
        <v>74.787289210253022</v>
      </c>
      <c r="N132" s="53">
        <v>0</v>
      </c>
      <c r="O132" s="80">
        <v>0</v>
      </c>
      <c r="P132" s="85">
        <v>0</v>
      </c>
    </row>
    <row r="133" spans="1:16" x14ac:dyDescent="0.2">
      <c r="A133" s="26">
        <v>2004.04</v>
      </c>
      <c r="B133" s="50">
        <v>99.43129998486819</v>
      </c>
      <c r="C133" s="51">
        <v>1.1639071114996883E-2</v>
      </c>
      <c r="D133" s="51">
        <v>0.18770418299716723</v>
      </c>
      <c r="E133" s="51">
        <v>0.18770418299716723</v>
      </c>
      <c r="F133" s="51">
        <v>0.17344937664281135</v>
      </c>
      <c r="G133" s="51">
        <v>-1.2387318584971444E-2</v>
      </c>
      <c r="H133" s="51">
        <v>5.0154155629693165E-2</v>
      </c>
      <c r="I133" s="51">
        <v>1.8883418522360858E-2</v>
      </c>
      <c r="J133" s="50">
        <v>98.984938558907601</v>
      </c>
      <c r="K133" s="51">
        <v>6.1715801756558886E-3</v>
      </c>
      <c r="L133" s="50">
        <v>99.835197574261684</v>
      </c>
      <c r="M133" s="50">
        <v>74.787289210253022</v>
      </c>
      <c r="N133" s="53">
        <v>0</v>
      </c>
      <c r="O133" s="80">
        <v>0</v>
      </c>
      <c r="P133" s="85">
        <v>0</v>
      </c>
    </row>
    <row r="134" spans="1:16" x14ac:dyDescent="0.2">
      <c r="A134" s="26">
        <v>2004.05</v>
      </c>
      <c r="B134" s="50">
        <v>100.1167593133093</v>
      </c>
      <c r="C134" s="51">
        <v>6.8701447353218519E-3</v>
      </c>
      <c r="D134" s="51">
        <v>0.17637110325075064</v>
      </c>
      <c r="E134" s="51">
        <v>0.17637110325075064</v>
      </c>
      <c r="F134" s="51">
        <v>0.15504559267525475</v>
      </c>
      <c r="G134" s="51">
        <v>-1.2387318584971444E-2</v>
      </c>
      <c r="H134" s="51">
        <v>5.0154155629693165E-2</v>
      </c>
      <c r="I134" s="51">
        <v>1.8883418522360858E-2</v>
      </c>
      <c r="J134" s="50">
        <v>99.512141723986403</v>
      </c>
      <c r="K134" s="51">
        <v>7.8373902049790889E-3</v>
      </c>
      <c r="L134" s="50">
        <v>100.36403481370121</v>
      </c>
      <c r="M134" s="50">
        <v>73.105739439708216</v>
      </c>
      <c r="N134" s="53">
        <v>0</v>
      </c>
      <c r="O134" s="80">
        <v>0</v>
      </c>
      <c r="P134" s="85">
        <v>0</v>
      </c>
    </row>
    <row r="135" spans="1:16" x14ac:dyDescent="0.2">
      <c r="A135" s="26">
        <v>2004.06</v>
      </c>
      <c r="B135" s="50">
        <v>100.68914066287167</v>
      </c>
      <c r="C135" s="51">
        <v>5.7008573933153553E-3</v>
      </c>
      <c r="D135" s="51">
        <v>0.16104964290496032</v>
      </c>
      <c r="E135" s="51">
        <v>0.16104964290496032</v>
      </c>
      <c r="F135" s="51">
        <v>0.13651050370689721</v>
      </c>
      <c r="G135" s="51">
        <v>-1.2387318584971444E-2</v>
      </c>
      <c r="H135" s="51">
        <v>5.0154155629693165E-2</v>
      </c>
      <c r="I135" s="51">
        <v>1.8883418522360858E-2</v>
      </c>
      <c r="J135" s="50">
        <v>100.049982658836</v>
      </c>
      <c r="K135" s="51">
        <v>8.2402335368383373E-3</v>
      </c>
      <c r="L135" s="50">
        <v>100.77776627136238</v>
      </c>
      <c r="M135" s="50">
        <v>69.74263989861862</v>
      </c>
      <c r="N135" s="53">
        <v>0</v>
      </c>
      <c r="O135" s="80">
        <v>0</v>
      </c>
      <c r="P135" s="85">
        <v>0</v>
      </c>
    </row>
    <row r="136" spans="1:16" x14ac:dyDescent="0.2">
      <c r="A136" s="26">
        <v>2004.07</v>
      </c>
      <c r="B136" s="50">
        <v>100.6169110489771</v>
      </c>
      <c r="C136" s="51">
        <v>-7.1760999115502407E-4</v>
      </c>
      <c r="D136" s="51">
        <v>0.13892133999173989</v>
      </c>
      <c r="E136" s="51">
        <v>0.13892133999173989</v>
      </c>
      <c r="F136" s="51">
        <v>0.1076849121398622</v>
      </c>
      <c r="G136" s="51">
        <v>-1.2387318584971444E-2</v>
      </c>
      <c r="H136" s="51">
        <v>5.0154155629693165E-2</v>
      </c>
      <c r="I136" s="51">
        <v>1.8883418522360858E-2</v>
      </c>
      <c r="J136" s="50">
        <v>100.59779901595</v>
      </c>
      <c r="K136" s="51">
        <v>2.1124244663281999E-3</v>
      </c>
      <c r="L136" s="50">
        <v>100.54577794463428</v>
      </c>
      <c r="M136" s="50">
        <v>64.697990586984218</v>
      </c>
      <c r="N136" s="53">
        <v>0</v>
      </c>
      <c r="O136" s="80">
        <v>0</v>
      </c>
      <c r="P136" s="85">
        <v>0</v>
      </c>
    </row>
    <row r="137" spans="1:16" x14ac:dyDescent="0.2">
      <c r="A137" s="26">
        <v>2004.08</v>
      </c>
      <c r="B137" s="50">
        <v>100.50919427143891</v>
      </c>
      <c r="C137" s="51">
        <v>-1.0711368140452085E-3</v>
      </c>
      <c r="D137" s="51">
        <v>0.11778539533574489</v>
      </c>
      <c r="E137" s="51">
        <v>0.11778539533574489</v>
      </c>
      <c r="F137" s="51">
        <v>8.2554204792318231E-2</v>
      </c>
      <c r="G137" s="51">
        <v>-1.2387318584971444E-2</v>
      </c>
      <c r="H137" s="51">
        <v>5.0154155629693165E-2</v>
      </c>
      <c r="I137" s="51">
        <v>1.8883418522360858E-2</v>
      </c>
      <c r="J137" s="50">
        <v>101.154933281152</v>
      </c>
      <c r="K137" s="51">
        <v>-4.3996150865218686E-3</v>
      </c>
      <c r="L137" s="50">
        <v>100.27886611405424</v>
      </c>
      <c r="M137" s="50">
        <v>57.97179150480499</v>
      </c>
      <c r="N137" s="53">
        <v>0</v>
      </c>
      <c r="O137" s="80">
        <v>0</v>
      </c>
      <c r="P137" s="85">
        <v>0</v>
      </c>
    </row>
    <row r="138" spans="1:16" x14ac:dyDescent="0.2">
      <c r="A138" s="26">
        <v>2004.09</v>
      </c>
      <c r="B138" s="50">
        <v>101.0903106418732</v>
      </c>
      <c r="C138" s="51">
        <v>5.765073482550633E-3</v>
      </c>
      <c r="D138" s="51">
        <v>0.10437845105588543</v>
      </c>
      <c r="E138" s="51">
        <v>0.10437845105588543</v>
      </c>
      <c r="F138" s="51">
        <v>7.4878166744858143E-2</v>
      </c>
      <c r="G138" s="51">
        <v>-1.2387318584971444E-2</v>
      </c>
      <c r="H138" s="51">
        <v>5.0154155629693165E-2</v>
      </c>
      <c r="I138" s="51">
        <v>1.8883418522360858E-2</v>
      </c>
      <c r="J138" s="50">
        <v>101.720727987712</v>
      </c>
      <c r="K138" s="51">
        <v>-4.1461267837941129E-3</v>
      </c>
      <c r="L138" s="50">
        <v>100.69871275001091</v>
      </c>
      <c r="M138" s="50">
        <v>56.290241734260185</v>
      </c>
      <c r="N138" s="53">
        <v>0</v>
      </c>
      <c r="O138" s="80">
        <v>0</v>
      </c>
      <c r="P138" s="85">
        <v>0</v>
      </c>
    </row>
    <row r="139" spans="1:16" x14ac:dyDescent="0.2">
      <c r="A139" s="26">
        <v>2004.1</v>
      </c>
      <c r="B139" s="50">
        <v>101.382620332139</v>
      </c>
      <c r="C139" s="51">
        <v>2.8873972628665561E-3</v>
      </c>
      <c r="D139" s="51">
        <v>8.76131175980642E-2</v>
      </c>
      <c r="E139" s="51">
        <v>8.76131175980642E-2</v>
      </c>
      <c r="F139" s="51">
        <v>6.3695129827864516E-2</v>
      </c>
      <c r="G139" s="51">
        <v>-1.2387318584971444E-2</v>
      </c>
      <c r="H139" s="51">
        <v>5.0154155629693165E-2</v>
      </c>
      <c r="I139" s="51">
        <v>1.8883418522360858E-2</v>
      </c>
      <c r="J139" s="50">
        <v>102.294520643829</v>
      </c>
      <c r="K139" s="51">
        <v>-6.8091360844679816E-3</v>
      </c>
      <c r="L139" s="50">
        <v>100.82974395226343</v>
      </c>
      <c r="M139" s="50">
        <v>49.564042652080971</v>
      </c>
      <c r="N139" s="53">
        <v>0</v>
      </c>
      <c r="O139" s="80">
        <v>0</v>
      </c>
      <c r="P139" s="85">
        <v>0</v>
      </c>
    </row>
    <row r="140" spans="1:16" x14ac:dyDescent="0.2">
      <c r="A140" s="26">
        <v>2004.11</v>
      </c>
      <c r="B140" s="50">
        <v>102.07305033347362</v>
      </c>
      <c r="C140" s="51">
        <v>6.7870573419056661E-3</v>
      </c>
      <c r="D140" s="51">
        <v>7.666120641654306E-2</v>
      </c>
      <c r="E140" s="51">
        <v>7.666120641654306E-2</v>
      </c>
      <c r="F140" s="51">
        <v>6.2880280868093497E-2</v>
      </c>
      <c r="G140" s="51">
        <v>-1.2387318584971444E-2</v>
      </c>
      <c r="H140" s="51">
        <v>5.0154155629693165E-2</v>
      </c>
      <c r="I140" s="51">
        <v>1.8883418522360858E-2</v>
      </c>
      <c r="J140" s="50">
        <v>102.875643875511</v>
      </c>
      <c r="K140" s="51">
        <v>-5.6415806392166035E-3</v>
      </c>
      <c r="L140" s="50">
        <v>101.35542769729739</v>
      </c>
      <c r="M140" s="50">
        <v>51.245592422625776</v>
      </c>
      <c r="N140" s="53">
        <v>0</v>
      </c>
      <c r="O140" s="80">
        <v>0</v>
      </c>
      <c r="P140" s="85">
        <v>0</v>
      </c>
    </row>
    <row r="141" spans="1:16" x14ac:dyDescent="0.2">
      <c r="A141" s="26">
        <v>2004.12</v>
      </c>
      <c r="B141" s="50">
        <v>102.86792131905524</v>
      </c>
      <c r="C141" s="51">
        <v>7.7571113766831167E-3</v>
      </c>
      <c r="D141" s="51">
        <v>7.4552451132986045E-2</v>
      </c>
      <c r="E141" s="51">
        <v>7.4552451132986045E-2</v>
      </c>
      <c r="F141" s="51">
        <v>6.5672277662064626E-2</v>
      </c>
      <c r="G141" s="51">
        <v>-1.2387318584971444E-2</v>
      </c>
      <c r="H141" s="51">
        <v>5.0154155629693165E-2</v>
      </c>
      <c r="I141" s="51">
        <v>1.8883418522360858E-2</v>
      </c>
      <c r="J141" s="50">
        <v>103.463423284375</v>
      </c>
      <c r="K141" s="51">
        <v>-3.5460304357423089E-3</v>
      </c>
      <c r="L141" s="50">
        <v>101.98273292953812</v>
      </c>
      <c r="M141" s="50">
        <v>51.245592422625776</v>
      </c>
      <c r="N141" s="53">
        <v>0</v>
      </c>
      <c r="O141" s="80">
        <v>0</v>
      </c>
      <c r="P141" s="85">
        <v>0</v>
      </c>
    </row>
    <row r="142" spans="1:16" x14ac:dyDescent="0.2">
      <c r="A142" s="26">
        <v>2005.01</v>
      </c>
      <c r="B142" s="50">
        <v>104.22903574435857</v>
      </c>
      <c r="C142" s="51">
        <v>1.3144896412465789E-2</v>
      </c>
      <c r="D142" s="51">
        <v>8.3584152854732904E-2</v>
      </c>
      <c r="E142" s="51">
        <v>8.3584152854732904E-2</v>
      </c>
      <c r="F142" s="51">
        <v>7.9468427672282571E-2</v>
      </c>
      <c r="G142" s="51">
        <v>-1.2387318584971444E-2</v>
      </c>
      <c r="H142" s="51">
        <v>5.0154155629693165E-2</v>
      </c>
      <c r="I142" s="51">
        <v>1.8883418522360858E-2</v>
      </c>
      <c r="J142" s="50">
        <v>104.057178318612</v>
      </c>
      <c r="K142" s="51">
        <v>3.9159636566457046E-3</v>
      </c>
      <c r="L142" s="50">
        <v>103.16827443058901</v>
      </c>
      <c r="M142" s="50">
        <v>57.97179150480499</v>
      </c>
      <c r="N142" s="53">
        <v>0</v>
      </c>
      <c r="O142" s="80">
        <v>0</v>
      </c>
      <c r="P142" s="85">
        <v>0</v>
      </c>
    </row>
    <row r="143" spans="1:16" x14ac:dyDescent="0.2">
      <c r="A143" s="26">
        <v>2005.02</v>
      </c>
      <c r="B143" s="50">
        <v>105.32206043845997</v>
      </c>
      <c r="C143" s="51">
        <v>1.043215355874123E-2</v>
      </c>
      <c r="D143" s="51">
        <v>8.1582510540797501E-2</v>
      </c>
      <c r="E143" s="51">
        <v>8.1582510540797501E-2</v>
      </c>
      <c r="F143" s="51">
        <v>8.6449008457149201E-2</v>
      </c>
      <c r="G143" s="51">
        <v>-1.2387318584971444E-2</v>
      </c>
      <c r="H143" s="51">
        <v>5.0154155629693165E-2</v>
      </c>
      <c r="I143" s="51">
        <v>1.8883418522360858E-2</v>
      </c>
      <c r="J143" s="50">
        <v>104.65622386699199</v>
      </c>
      <c r="K143" s="51">
        <v>8.6684773028797846E-3</v>
      </c>
      <c r="L143" s="50">
        <v>104.0848589784805</v>
      </c>
      <c r="M143" s="50">
        <v>64.697990586984218</v>
      </c>
      <c r="N143" s="53">
        <v>0</v>
      </c>
      <c r="O143" s="80">
        <v>0</v>
      </c>
      <c r="P143" s="85">
        <v>0</v>
      </c>
    </row>
    <row r="144" spans="1:16" x14ac:dyDescent="0.2">
      <c r="A144" s="26">
        <v>2005.03</v>
      </c>
      <c r="B144" s="50">
        <v>105.93682530647096</v>
      </c>
      <c r="C144" s="51">
        <v>5.8200307282449343E-3</v>
      </c>
      <c r="D144" s="51">
        <v>7.5015046601891608E-2</v>
      </c>
      <c r="E144" s="51">
        <v>7.5015046601891608E-2</v>
      </c>
      <c r="F144" s="51">
        <v>8.4474597822032038E-2</v>
      </c>
      <c r="G144" s="51">
        <v>-1.2387318584971444E-2</v>
      </c>
      <c r="H144" s="51">
        <v>5.0154155629693165E-2</v>
      </c>
      <c r="I144" s="51">
        <v>1.8883418522360858E-2</v>
      </c>
      <c r="J144" s="50">
        <v>105.259876169685</v>
      </c>
      <c r="K144" s="51">
        <v>8.7619816671420381E-3</v>
      </c>
      <c r="L144" s="50">
        <v>104.52638483478336</v>
      </c>
      <c r="M144" s="50">
        <v>64.697990586984218</v>
      </c>
      <c r="N144" s="53">
        <v>0</v>
      </c>
      <c r="O144" s="80">
        <v>0</v>
      </c>
      <c r="P144" s="85">
        <v>0</v>
      </c>
    </row>
    <row r="145" spans="1:16" x14ac:dyDescent="0.2">
      <c r="A145" s="26">
        <v>2005.04</v>
      </c>
      <c r="B145" s="50">
        <v>107.32817756524467</v>
      </c>
      <c r="C145" s="51">
        <v>1.3048291850145983E-2</v>
      </c>
      <c r="D145" s="51">
        <v>7.6424267337040663E-2</v>
      </c>
      <c r="E145" s="51">
        <v>7.6424267337040663E-2</v>
      </c>
      <c r="F145" s="51">
        <v>9.8124103238910187E-2</v>
      </c>
      <c r="G145" s="51">
        <v>-1.2387318584971444E-2</v>
      </c>
      <c r="H145" s="51">
        <v>5.0154155629693165E-2</v>
      </c>
      <c r="I145" s="51">
        <v>1.8883418522360858E-2</v>
      </c>
      <c r="J145" s="50">
        <v>105.867456612784</v>
      </c>
      <c r="K145" s="51">
        <v>1.6162953796552193E-2</v>
      </c>
      <c r="L145" s="50">
        <v>105.73128147789998</v>
      </c>
      <c r="M145" s="50">
        <v>71.424189669163411</v>
      </c>
      <c r="N145" s="53">
        <v>0</v>
      </c>
      <c r="O145" s="80">
        <v>0</v>
      </c>
      <c r="P145" s="85">
        <v>0</v>
      </c>
    </row>
    <row r="146" spans="1:16" x14ac:dyDescent="0.2">
      <c r="A146" s="26">
        <v>2005.05</v>
      </c>
      <c r="B146" s="50">
        <v>108.19086698362413</v>
      </c>
      <c r="C146" s="51">
        <v>8.0057335794895407E-3</v>
      </c>
      <c r="D146" s="51">
        <v>7.7559856181208503E-2</v>
      </c>
      <c r="E146" s="51">
        <v>7.7559856181208503E-2</v>
      </c>
      <c r="F146" s="51">
        <v>0.1013240901261212</v>
      </c>
      <c r="G146" s="51">
        <v>-1.2387318584971444E-2</v>
      </c>
      <c r="H146" s="51">
        <v>5.0154155629693165E-2</v>
      </c>
      <c r="I146" s="51">
        <v>1.8883418522360858E-2</v>
      </c>
      <c r="J146" s="50">
        <v>106.478291779679</v>
      </c>
      <c r="K146" s="51">
        <v>1.8465186005560907E-2</v>
      </c>
      <c r="L146" s="50">
        <v>106.41212270892653</v>
      </c>
      <c r="M146" s="50">
        <v>74.787289210253022</v>
      </c>
      <c r="N146" s="53">
        <v>0</v>
      </c>
      <c r="O146" s="80">
        <v>0</v>
      </c>
      <c r="P146" s="85">
        <v>0</v>
      </c>
    </row>
    <row r="147" spans="1:16" x14ac:dyDescent="0.2">
      <c r="A147" s="26">
        <v>2005.06</v>
      </c>
      <c r="B147" s="50">
        <v>108.75616622726207</v>
      </c>
      <c r="C147" s="51">
        <v>5.2114151060473147E-3</v>
      </c>
      <c r="D147" s="51">
        <v>7.7070413893940343E-2</v>
      </c>
      <c r="E147" s="51">
        <v>7.7070413893940343E-2</v>
      </c>
      <c r="F147" s="51">
        <v>9.8643503802372967E-2</v>
      </c>
      <c r="G147" s="51">
        <v>-1.2387318584971444E-2</v>
      </c>
      <c r="H147" s="51">
        <v>5.0154155629693165E-2</v>
      </c>
      <c r="I147" s="51">
        <v>1.8883418522360858E-2</v>
      </c>
      <c r="J147" s="50">
        <v>107.091719475914</v>
      </c>
      <c r="K147" s="51">
        <v>1.7926516479433552E-2</v>
      </c>
      <c r="L147" s="50">
        <v>106.7985017502919</v>
      </c>
      <c r="M147" s="50">
        <v>76.468838980797813</v>
      </c>
      <c r="N147" s="53">
        <v>0</v>
      </c>
      <c r="O147" s="80">
        <v>0</v>
      </c>
      <c r="P147" s="85">
        <v>0</v>
      </c>
    </row>
    <row r="148" spans="1:16" x14ac:dyDescent="0.2">
      <c r="A148" s="26">
        <v>2005.07</v>
      </c>
      <c r="B148" s="50">
        <v>109.46982399060524</v>
      </c>
      <c r="C148" s="51">
        <v>6.5405619812416082E-3</v>
      </c>
      <c r="D148" s="51">
        <v>8.4328585866337111E-2</v>
      </c>
      <c r="E148" s="51">
        <v>8.4328585866337111E-2</v>
      </c>
      <c r="F148" s="51">
        <v>9.875952109875219E-2</v>
      </c>
      <c r="G148" s="51">
        <v>-1.2387318584971444E-2</v>
      </c>
      <c r="H148" s="51">
        <v>5.0154155629693165E-2</v>
      </c>
      <c r="I148" s="51">
        <v>1.8883418522360858E-2</v>
      </c>
      <c r="J148" s="50">
        <v>107.707090698054</v>
      </c>
      <c r="K148" s="51">
        <v>1.8749946318716626E-2</v>
      </c>
      <c r="L148" s="50">
        <v>107.32884475705963</v>
      </c>
      <c r="M148" s="50">
        <v>74.787289210253022</v>
      </c>
      <c r="N148" s="53">
        <v>0</v>
      </c>
      <c r="O148" s="80">
        <v>0</v>
      </c>
      <c r="P148" s="85">
        <v>0</v>
      </c>
    </row>
    <row r="149" spans="1:16" x14ac:dyDescent="0.2">
      <c r="A149" s="26">
        <v>2005.08</v>
      </c>
      <c r="B149" s="50">
        <v>110.17475019918359</v>
      </c>
      <c r="C149" s="51">
        <v>6.418812133112425E-3</v>
      </c>
      <c r="D149" s="51">
        <v>9.1818534813494709E-2</v>
      </c>
      <c r="E149" s="51">
        <v>9.1818534813494709E-2</v>
      </c>
      <c r="F149" s="51">
        <v>9.7445617937314433E-2</v>
      </c>
      <c r="G149" s="51">
        <v>-1.2387318584971444E-2</v>
      </c>
      <c r="H149" s="51">
        <v>5.0154155629693165E-2</v>
      </c>
      <c r="I149" s="51">
        <v>1.8883418522360858E-2</v>
      </c>
      <c r="J149" s="50">
        <v>108.323769274657</v>
      </c>
      <c r="K149" s="51">
        <v>1.9464729808627679E-2</v>
      </c>
      <c r="L149" s="50">
        <v>107.84868999507927</v>
      </c>
      <c r="M149" s="50">
        <v>71.424189669163411</v>
      </c>
      <c r="N149" s="53">
        <v>0</v>
      </c>
      <c r="O149" s="80">
        <v>0</v>
      </c>
      <c r="P149" s="85">
        <v>0</v>
      </c>
    </row>
    <row r="150" spans="1:16" x14ac:dyDescent="0.2">
      <c r="A150" s="26">
        <v>2005.09</v>
      </c>
      <c r="B150" s="50">
        <v>111.18229774303441</v>
      </c>
      <c r="C150" s="51">
        <v>9.1034327695636626E-3</v>
      </c>
      <c r="D150" s="51">
        <v>9.5156894100507775E-2</v>
      </c>
      <c r="E150" s="51">
        <v>9.5156894100507775E-2</v>
      </c>
      <c r="F150" s="51">
        <v>0.10037597191810876</v>
      </c>
      <c r="G150" s="51">
        <v>-1.2387318584971444E-2</v>
      </c>
      <c r="H150" s="51">
        <v>5.0154155629693165E-2</v>
      </c>
      <c r="I150" s="51">
        <v>1.8883418522360858E-2</v>
      </c>
      <c r="J150" s="50">
        <v>108.941132587178</v>
      </c>
      <c r="K150" s="51">
        <v>2.2943276842591009E-2</v>
      </c>
      <c r="L150" s="50">
        <v>108.66237913422725</v>
      </c>
      <c r="M150" s="50">
        <v>73.105739439708216</v>
      </c>
      <c r="N150" s="53">
        <v>0</v>
      </c>
      <c r="O150" s="80">
        <v>0</v>
      </c>
      <c r="P150" s="85">
        <v>0</v>
      </c>
    </row>
    <row r="151" spans="1:16" x14ac:dyDescent="0.2">
      <c r="A151" s="26">
        <v>2005.1</v>
      </c>
      <c r="B151" s="50">
        <v>112.09298954372825</v>
      </c>
      <c r="C151" s="51">
        <v>8.1576144144518484E-3</v>
      </c>
      <c r="D151" s="51">
        <v>0.10042711125209311</v>
      </c>
      <c r="E151" s="51">
        <v>0.10042711125209311</v>
      </c>
      <c r="F151" s="51">
        <v>0.10082866439613647</v>
      </c>
      <c r="G151" s="51">
        <v>-1.2387318584971444E-2</v>
      </c>
      <c r="H151" s="51">
        <v>5.0154155629693165E-2</v>
      </c>
      <c r="I151" s="51">
        <v>1.8883418522360858E-2</v>
      </c>
      <c r="J151" s="50">
        <v>109.558572239208</v>
      </c>
      <c r="K151" s="51">
        <v>2.5489857649317438E-2</v>
      </c>
      <c r="L151" s="50">
        <v>109.37870601060656</v>
      </c>
      <c r="M151" s="50">
        <v>71.424189669163411</v>
      </c>
      <c r="N151" s="53">
        <v>0</v>
      </c>
      <c r="O151" s="80">
        <v>0</v>
      </c>
      <c r="P151" s="85">
        <v>0</v>
      </c>
    </row>
    <row r="152" spans="1:16" x14ac:dyDescent="0.2">
      <c r="A152" s="26">
        <v>2005.11</v>
      </c>
      <c r="B152" s="50">
        <v>112.54151952131372</v>
      </c>
      <c r="C152" s="51">
        <v>3.9934253693056998E-3</v>
      </c>
      <c r="D152" s="51">
        <v>9.7633479279493313E-2</v>
      </c>
      <c r="E152" s="51">
        <v>9.7633479279493313E-2</v>
      </c>
      <c r="F152" s="51">
        <v>9.2004829344952022E-2</v>
      </c>
      <c r="G152" s="51">
        <v>-1.2387318584971444E-2</v>
      </c>
      <c r="H152" s="51">
        <v>5.0154155629693165E-2</v>
      </c>
      <c r="I152" s="51">
        <v>1.8883418522360858E-2</v>
      </c>
      <c r="J152" s="50">
        <v>110.175497071751</v>
      </c>
      <c r="K152" s="51">
        <v>2.3802602649235949E-2</v>
      </c>
      <c r="L152" s="50">
        <v>109.6422321482487</v>
      </c>
      <c r="M152" s="50">
        <v>69.74263989861862</v>
      </c>
      <c r="N152" s="53">
        <v>0</v>
      </c>
      <c r="O152" s="80">
        <v>0</v>
      </c>
      <c r="P152" s="85">
        <v>0</v>
      </c>
    </row>
    <row r="153" spans="1:16" x14ac:dyDescent="0.2">
      <c r="A153" s="26">
        <v>2005.12</v>
      </c>
      <c r="B153" s="50">
        <v>113.35338241475272</v>
      </c>
      <c r="C153" s="51">
        <v>7.1880009867009258E-3</v>
      </c>
      <c r="D153" s="51">
        <v>9.706436888951088E-2</v>
      </c>
      <c r="E153" s="51">
        <v>9.706436888951088E-2</v>
      </c>
      <c r="F153" s="51">
        <v>9.0173421327316872E-2</v>
      </c>
      <c r="G153" s="51">
        <v>-1.2387318584971444E-2</v>
      </c>
      <c r="H153" s="51">
        <v>5.0154155629693165E-2</v>
      </c>
      <c r="I153" s="51">
        <v>1.8883418522360858E-2</v>
      </c>
      <c r="J153" s="50">
        <v>110.791335415714</v>
      </c>
      <c r="K153" s="51">
        <v>2.5425645121945228E-2</v>
      </c>
      <c r="L153" s="50">
        <v>110.25805889563399</v>
      </c>
      <c r="M153" s="50">
        <v>69.74263989861862</v>
      </c>
      <c r="N153" s="53">
        <v>0</v>
      </c>
      <c r="O153" s="80">
        <v>0</v>
      </c>
      <c r="P153" s="85">
        <v>0</v>
      </c>
    </row>
    <row r="154" spans="1:16" x14ac:dyDescent="0.2">
      <c r="A154" s="26">
        <v>2006.01</v>
      </c>
      <c r="B154" s="50">
        <v>114.04098472874087</v>
      </c>
      <c r="C154" s="51">
        <v>6.0476819927244591E-3</v>
      </c>
      <c r="D154" s="51">
        <v>8.9967154469769675E-2</v>
      </c>
      <c r="E154" s="51">
        <v>8.9967154469769675E-2</v>
      </c>
      <c r="F154" s="51">
        <v>8.6160679146822794E-2</v>
      </c>
      <c r="G154" s="51">
        <v>-1.2387318584971444E-2</v>
      </c>
      <c r="H154" s="51">
        <v>5.0154155629693165E-2</v>
      </c>
      <c r="I154" s="51">
        <v>1.8883418522360858E-2</v>
      </c>
      <c r="J154" s="50">
        <v>111.40553378194301</v>
      </c>
      <c r="K154" s="51">
        <v>2.5922709623591667E-2</v>
      </c>
      <c r="L154" s="50">
        <v>110.75098107177841</v>
      </c>
      <c r="M154" s="50">
        <v>68.061090128073801</v>
      </c>
      <c r="N154" s="53">
        <v>0</v>
      </c>
      <c r="O154" s="80">
        <v>0</v>
      </c>
      <c r="P154" s="85">
        <v>0</v>
      </c>
    </row>
    <row r="155" spans="1:16" x14ac:dyDescent="0.2">
      <c r="A155" s="26">
        <v>2006.02</v>
      </c>
      <c r="B155" s="50">
        <v>114.78352657044903</v>
      </c>
      <c r="C155" s="51">
        <v>6.4900778669295259E-3</v>
      </c>
      <c r="D155" s="51">
        <v>8.6025078777957856E-2</v>
      </c>
      <c r="E155" s="51">
        <v>8.6025078777957856E-2</v>
      </c>
      <c r="F155" s="51">
        <v>8.4197084680634582E-2</v>
      </c>
      <c r="G155" s="51">
        <v>-1.2387318584971444E-2</v>
      </c>
      <c r="H155" s="51">
        <v>5.0154155629693165E-2</v>
      </c>
      <c r="I155" s="51">
        <v>1.8883418522360858E-2</v>
      </c>
      <c r="J155" s="50">
        <v>112.01755838362</v>
      </c>
      <c r="K155" s="51">
        <v>2.6920780452288184E-2</v>
      </c>
      <c r="L155" s="50">
        <v>111.29533262351467</v>
      </c>
      <c r="M155" s="50">
        <v>69.74263989861862</v>
      </c>
      <c r="N155" s="53">
        <v>0</v>
      </c>
      <c r="O155" s="80">
        <v>0</v>
      </c>
      <c r="P155" s="85">
        <v>0</v>
      </c>
    </row>
    <row r="156" spans="1:16" x14ac:dyDescent="0.2">
      <c r="A156" s="26">
        <v>2006.03</v>
      </c>
      <c r="B156" s="50">
        <v>115.6757471565991</v>
      </c>
      <c r="C156" s="51">
        <v>7.7430170582624804E-3</v>
      </c>
      <c r="D156" s="51">
        <v>8.794806510797544E-2</v>
      </c>
      <c r="E156" s="51">
        <v>8.794806510797544E-2</v>
      </c>
      <c r="F156" s="51">
        <v>8.538290569944218E-2</v>
      </c>
      <c r="G156" s="51">
        <v>-1.2387318584971444E-2</v>
      </c>
      <c r="H156" s="51">
        <v>5.0154155629693165E-2</v>
      </c>
      <c r="I156" s="51">
        <v>1.8883418522360858E-2</v>
      </c>
      <c r="J156" s="50">
        <v>112.626895722808</v>
      </c>
      <c r="K156" s="51">
        <v>2.9259566679332938E-2</v>
      </c>
      <c r="L156" s="50">
        <v>111.98257921528456</v>
      </c>
      <c r="M156" s="50">
        <v>69.74263989861862</v>
      </c>
      <c r="N156" s="53">
        <v>0</v>
      </c>
      <c r="O156" s="80">
        <v>0</v>
      </c>
      <c r="P156" s="85">
        <v>0</v>
      </c>
    </row>
    <row r="157" spans="1:16" x14ac:dyDescent="0.2">
      <c r="A157" s="26">
        <v>2006.04</v>
      </c>
      <c r="B157" s="50">
        <v>116.7089568770141</v>
      </c>
      <c r="C157" s="51">
        <v>8.8922937758962768E-3</v>
      </c>
      <c r="D157" s="51">
        <v>8.3792067033725756E-2</v>
      </c>
      <c r="E157" s="51">
        <v>8.3792067033725756E-2</v>
      </c>
      <c r="F157" s="51">
        <v>8.8562976805851568E-2</v>
      </c>
      <c r="G157" s="51">
        <v>-1.2387318584971444E-2</v>
      </c>
      <c r="H157" s="51">
        <v>5.0154155629693165E-2</v>
      </c>
      <c r="I157" s="51">
        <v>1.8883418522360858E-2</v>
      </c>
      <c r="J157" s="50">
        <v>113.233053589916</v>
      </c>
      <c r="K157" s="51">
        <v>3.2845220683674237E-2</v>
      </c>
      <c r="L157" s="50">
        <v>112.8036376672292</v>
      </c>
      <c r="M157" s="50">
        <v>69.74263989861862</v>
      </c>
      <c r="N157" s="53">
        <v>0</v>
      </c>
      <c r="O157" s="80">
        <v>0</v>
      </c>
      <c r="P157" s="85">
        <v>0</v>
      </c>
    </row>
    <row r="158" spans="1:16" x14ac:dyDescent="0.2">
      <c r="A158" s="26">
        <v>2006.05</v>
      </c>
      <c r="B158" s="50">
        <v>117.24458089804082</v>
      </c>
      <c r="C158" s="51">
        <v>4.5789002548056361E-3</v>
      </c>
      <c r="D158" s="51">
        <v>8.0365233709041861E-2</v>
      </c>
      <c r="E158" s="51">
        <v>8.0365233709041861E-2</v>
      </c>
      <c r="F158" s="51">
        <v>8.373083685389715E-2</v>
      </c>
      <c r="G158" s="51">
        <v>-1.2387318584971444E-2</v>
      </c>
      <c r="H158" s="51">
        <v>5.0154155629693165E-2</v>
      </c>
      <c r="I158" s="51">
        <v>1.8883418522360858E-2</v>
      </c>
      <c r="J158" s="50">
        <v>113.83556323317499</v>
      </c>
      <c r="K158" s="51">
        <v>3.204140031158742E-2</v>
      </c>
      <c r="L158" s="50">
        <v>113.14163769314167</v>
      </c>
      <c r="M158" s="50">
        <v>66.379540357528995</v>
      </c>
      <c r="N158" s="53">
        <v>0</v>
      </c>
      <c r="O158" s="80">
        <v>0</v>
      </c>
      <c r="P158" s="85">
        <v>0</v>
      </c>
    </row>
    <row r="159" spans="1:16" x14ac:dyDescent="0.2">
      <c r="A159" s="26">
        <v>2006.06</v>
      </c>
      <c r="B159" s="50">
        <v>117.80249113300052</v>
      </c>
      <c r="C159" s="51">
        <v>4.7472302284208498E-3</v>
      </c>
      <c r="D159" s="51">
        <v>7.9901048831415411E-2</v>
      </c>
      <c r="E159" s="51">
        <v>7.9901048831415411E-2</v>
      </c>
      <c r="F159" s="51">
        <v>7.9832798146546757E-2</v>
      </c>
      <c r="G159" s="51">
        <v>-1.2387318584971444E-2</v>
      </c>
      <c r="H159" s="51">
        <v>5.0154155629693165E-2</v>
      </c>
      <c r="I159" s="51">
        <v>1.8883418522360858E-2</v>
      </c>
      <c r="J159" s="50">
        <v>114.43398257190699</v>
      </c>
      <c r="K159" s="51">
        <v>3.1474234401132284E-2</v>
      </c>
      <c r="L159" s="50">
        <v>113.49975429069589</v>
      </c>
      <c r="M159" s="50">
        <v>64.697990586984218</v>
      </c>
      <c r="N159" s="53">
        <v>0</v>
      </c>
      <c r="O159" s="80">
        <v>0</v>
      </c>
      <c r="P159" s="85">
        <v>0</v>
      </c>
    </row>
    <row r="160" spans="1:16" x14ac:dyDescent="0.2">
      <c r="A160" s="26">
        <v>2006.07</v>
      </c>
      <c r="B160" s="50">
        <v>118.53181649404597</v>
      </c>
      <c r="C160" s="51">
        <v>6.1720000247531097E-3</v>
      </c>
      <c r="D160" s="51">
        <v>7.9532486874926936E-2</v>
      </c>
      <c r="E160" s="51">
        <v>7.9532486874926936E-2</v>
      </c>
      <c r="F160" s="51">
        <v>7.888218912276268E-2</v>
      </c>
      <c r="G160" s="51">
        <v>-1.2387318584971444E-2</v>
      </c>
      <c r="H160" s="51">
        <v>5.0154155629693165E-2</v>
      </c>
      <c r="I160" s="51">
        <v>1.8883418522360858E-2</v>
      </c>
      <c r="J160" s="50">
        <v>115.027895583599</v>
      </c>
      <c r="K160" s="51">
        <v>3.2442888145851612E-2</v>
      </c>
      <c r="L160" s="50">
        <v>114.02134289161411</v>
      </c>
      <c r="M160" s="50">
        <v>68.061090128073801</v>
      </c>
      <c r="N160" s="53">
        <v>0</v>
      </c>
      <c r="O160" s="80">
        <v>0</v>
      </c>
      <c r="P160" s="85">
        <v>0</v>
      </c>
    </row>
    <row r="161" spans="1:16" x14ac:dyDescent="0.2">
      <c r="A161" s="26">
        <v>2006.08</v>
      </c>
      <c r="B161" s="50">
        <v>119.2805542006755</v>
      </c>
      <c r="C161" s="51">
        <v>6.2968985040841568E-3</v>
      </c>
      <c r="D161" s="51">
        <v>7.9410573245898661E-2</v>
      </c>
      <c r="E161" s="51">
        <v>7.9410573245898661E-2</v>
      </c>
      <c r="F161" s="51">
        <v>7.8245722287653141E-2</v>
      </c>
      <c r="G161" s="51">
        <v>-1.2387318584971444E-2</v>
      </c>
      <c r="H161" s="51">
        <v>5.0154155629693165E-2</v>
      </c>
      <c r="I161" s="51">
        <v>1.8883418522360858E-2</v>
      </c>
      <c r="J161" s="50">
        <v>115.616912053581</v>
      </c>
      <c r="K161" s="51">
        <v>3.36101487373337E-2</v>
      </c>
      <c r="L161" s="50">
        <v>114.55963588596217</v>
      </c>
      <c r="M161" s="50">
        <v>68.061090128073801</v>
      </c>
      <c r="N161" s="53">
        <v>0</v>
      </c>
      <c r="O161" s="80">
        <v>0</v>
      </c>
      <c r="P161" s="85">
        <v>0</v>
      </c>
    </row>
    <row r="162" spans="1:16" x14ac:dyDescent="0.2">
      <c r="A162" s="26">
        <v>2006.09</v>
      </c>
      <c r="B162" s="50">
        <v>119.57172616200037</v>
      </c>
      <c r="C162" s="51">
        <v>2.4380935791544806E-3</v>
      </c>
      <c r="D162" s="51">
        <v>7.2745234055489494E-2</v>
      </c>
      <c r="E162" s="51">
        <v>7.2745234055489494E-2</v>
      </c>
      <c r="F162" s="51">
        <v>6.9983419511179479E-2</v>
      </c>
      <c r="G162" s="51">
        <v>-1.2387318584971444E-2</v>
      </c>
      <c r="H162" s="51">
        <v>5.0154155629693165E-2</v>
      </c>
      <c r="I162" s="51">
        <v>1.8883418522360858E-2</v>
      </c>
      <c r="J162" s="50">
        <v>116.20066872424201</v>
      </c>
      <c r="K162" s="51">
        <v>3.0864440902416357E-2</v>
      </c>
      <c r="L162" s="50">
        <v>114.65717573552232</v>
      </c>
      <c r="M162" s="50">
        <v>64.697990586984218</v>
      </c>
      <c r="N162" s="53">
        <v>0</v>
      </c>
      <c r="O162" s="80">
        <v>0</v>
      </c>
      <c r="P162" s="85">
        <v>0</v>
      </c>
    </row>
    <row r="163" spans="1:16" x14ac:dyDescent="0.2">
      <c r="A163" s="26">
        <v>2006.1</v>
      </c>
      <c r="B163" s="50">
        <v>119.73680477477092</v>
      </c>
      <c r="C163" s="51">
        <v>1.3796302063138869E-3</v>
      </c>
      <c r="D163" s="51">
        <v>6.5967249847351472E-2</v>
      </c>
      <c r="E163" s="51">
        <v>6.5967249847351472E-2</v>
      </c>
      <c r="F163" s="51">
        <v>6.0803823284249603E-2</v>
      </c>
      <c r="G163" s="51">
        <v>-1.2387318584971444E-2</v>
      </c>
      <c r="H163" s="51">
        <v>5.0154155629693165E-2</v>
      </c>
      <c r="I163" s="51">
        <v>1.8883418522360858E-2</v>
      </c>
      <c r="J163" s="50">
        <v>116.77883054702799</v>
      </c>
      <c r="K163" s="51">
        <v>2.7111428488568734E-2</v>
      </c>
      <c r="L163" s="50">
        <v>114.63339914230519</v>
      </c>
      <c r="M163" s="50">
        <v>63.016440816439399</v>
      </c>
      <c r="N163" s="53">
        <v>0</v>
      </c>
      <c r="O163" s="80">
        <v>0</v>
      </c>
      <c r="P163" s="85">
        <v>0</v>
      </c>
    </row>
    <row r="164" spans="1:16" x14ac:dyDescent="0.2">
      <c r="A164" s="26">
        <v>2006.11</v>
      </c>
      <c r="B164" s="50">
        <v>119.86269393517121</v>
      </c>
      <c r="C164" s="51">
        <v>1.0508300114354923E-3</v>
      </c>
      <c r="D164" s="51">
        <v>6.3024654489481177E-2</v>
      </c>
      <c r="E164" s="51">
        <v>6.3024654489481177E-2</v>
      </c>
      <c r="F164" s="51">
        <v>5.21695727297391E-2</v>
      </c>
      <c r="G164" s="51">
        <v>-1.2387318584971444E-2</v>
      </c>
      <c r="H164" s="51">
        <v>5.0154155629693165E-2</v>
      </c>
      <c r="I164" s="51">
        <v>1.8883418522360858E-2</v>
      </c>
      <c r="J164" s="50">
        <v>117.351088413312</v>
      </c>
      <c r="K164" s="51">
        <v>2.3110444783430717E-2</v>
      </c>
      <c r="L164" s="50">
        <v>114.57195000633762</v>
      </c>
      <c r="M164" s="50">
        <v>63.016440816439399</v>
      </c>
      <c r="N164" s="53">
        <v>0</v>
      </c>
      <c r="O164" s="80">
        <v>0</v>
      </c>
      <c r="P164" s="85">
        <v>0</v>
      </c>
    </row>
    <row r="165" spans="1:16" x14ac:dyDescent="0.2">
      <c r="A165" s="26">
        <v>2006.12</v>
      </c>
      <c r="B165" s="50">
        <v>120.50853091319273</v>
      </c>
      <c r="C165" s="51">
        <v>5.3736759260463902E-3</v>
      </c>
      <c r="D165" s="51">
        <v>6.12103294288266E-2</v>
      </c>
      <c r="E165" s="51">
        <v>6.12103294288266E-2</v>
      </c>
      <c r="F165" s="51">
        <v>5.2471058225975309E-2</v>
      </c>
      <c r="G165" s="51">
        <v>-1.2387318584971444E-2</v>
      </c>
      <c r="H165" s="51">
        <v>5.0154155629693165E-2</v>
      </c>
      <c r="I165" s="51">
        <v>1.8883418522360858E-2</v>
      </c>
      <c r="J165" s="50">
        <v>117.917155959998</v>
      </c>
      <c r="K165" s="51">
        <v>2.3616727644286017E-2</v>
      </c>
      <c r="L165" s="50">
        <v>115.00661667575788</v>
      </c>
      <c r="M165" s="50">
        <v>63.016440816439399</v>
      </c>
      <c r="N165" s="53">
        <v>0</v>
      </c>
      <c r="O165" s="80">
        <v>0</v>
      </c>
      <c r="P165" s="85">
        <v>0</v>
      </c>
    </row>
    <row r="166" spans="1:16" x14ac:dyDescent="0.2">
      <c r="A166" s="26">
        <v>2007.01</v>
      </c>
      <c r="B166" s="50">
        <v>121.38117909244089</v>
      </c>
      <c r="C166" s="51">
        <v>7.2152880342944165E-3</v>
      </c>
      <c r="D166" s="51">
        <v>6.2377935470396696E-2</v>
      </c>
      <c r="E166" s="51">
        <v>6.2377935470396696E-2</v>
      </c>
      <c r="F166" s="51">
        <v>5.6639925175804073E-2</v>
      </c>
      <c r="G166" s="51">
        <v>-1.2387318584971444E-2</v>
      </c>
      <c r="H166" s="51">
        <v>5.0154155629693165E-2</v>
      </c>
      <c r="I166" s="51">
        <v>1.8883418522360858E-2</v>
      </c>
      <c r="J166" s="50">
        <v>118.47676609694101</v>
      </c>
      <c r="K166" s="51">
        <v>2.608945114521366E-2</v>
      </c>
      <c r="L166" s="50">
        <v>115.65572938399298</v>
      </c>
      <c r="M166" s="50">
        <v>61.334891045894587</v>
      </c>
      <c r="N166" s="53">
        <v>0</v>
      </c>
      <c r="O166" s="80">
        <v>0</v>
      </c>
      <c r="P166" s="85">
        <v>0</v>
      </c>
    </row>
    <row r="167" spans="1:16" x14ac:dyDescent="0.2">
      <c r="A167" s="26">
        <v>2007.02</v>
      </c>
      <c r="B167" s="50">
        <v>122.43479678791536</v>
      </c>
      <c r="C167" s="51">
        <v>8.6427827399707998E-3</v>
      </c>
      <c r="D167" s="51">
        <v>6.4530640343437959E-2</v>
      </c>
      <c r="E167" s="51">
        <v>6.4530640343437959E-2</v>
      </c>
      <c r="F167" s="51">
        <v>6.3419275716203094E-2</v>
      </c>
      <c r="G167" s="51">
        <v>-1.2387318584971444E-2</v>
      </c>
      <c r="H167" s="51">
        <v>5.0154155629693165E-2</v>
      </c>
      <c r="I167" s="51">
        <v>1.8883418522360858E-2</v>
      </c>
      <c r="J167" s="50">
        <v>119.02967159801899</v>
      </c>
      <c r="K167" s="51">
        <v>3.0117612283768747E-2</v>
      </c>
      <c r="L167" s="50">
        <v>116.47465410700256</v>
      </c>
      <c r="M167" s="50">
        <v>63.016440816439399</v>
      </c>
      <c r="N167" s="53">
        <v>0</v>
      </c>
      <c r="O167" s="80">
        <v>0</v>
      </c>
      <c r="P167" s="85">
        <v>0</v>
      </c>
    </row>
    <row r="168" spans="1:16" x14ac:dyDescent="0.2">
      <c r="A168" s="26">
        <v>2007.03</v>
      </c>
      <c r="B168" s="50">
        <v>122.74928541857035</v>
      </c>
      <c r="C168" s="51">
        <v>2.5653280612118095E-3</v>
      </c>
      <c r="D168" s="51">
        <v>5.9352951346387253E-2</v>
      </c>
      <c r="E168" s="51">
        <v>5.9352951346387253E-2</v>
      </c>
      <c r="F168" s="51">
        <v>5.7927961175822773E-2</v>
      </c>
      <c r="G168" s="51">
        <v>-1.2387318584971444E-2</v>
      </c>
      <c r="H168" s="51">
        <v>5.0154155629693165E-2</v>
      </c>
      <c r="I168" s="51">
        <v>1.8883418522360858E-2</v>
      </c>
      <c r="J168" s="50">
        <v>119.57564753377299</v>
      </c>
      <c r="K168" s="51">
        <v>2.7976756726271867E-2</v>
      </c>
      <c r="L168" s="50">
        <v>116.58865761999147</v>
      </c>
      <c r="M168" s="50">
        <v>64.697990586984218</v>
      </c>
      <c r="N168" s="53">
        <v>0</v>
      </c>
      <c r="O168" s="80">
        <v>0</v>
      </c>
      <c r="P168" s="85">
        <v>0</v>
      </c>
    </row>
    <row r="169" spans="1:16" x14ac:dyDescent="0.2">
      <c r="A169" s="26">
        <v>2007.04</v>
      </c>
      <c r="B169" s="50">
        <v>123.28279474810299</v>
      </c>
      <c r="C169" s="51">
        <v>4.336915457488817E-3</v>
      </c>
      <c r="D169" s="51">
        <v>5.4797573027979732E-2</v>
      </c>
      <c r="E169" s="51">
        <v>5.4797573027979732E-2</v>
      </c>
      <c r="F169" s="51">
        <v>5.6753313421595619E-2</v>
      </c>
      <c r="G169" s="51">
        <v>-1.2387318584971444E-2</v>
      </c>
      <c r="H169" s="51">
        <v>5.0154155629693165E-2</v>
      </c>
      <c r="I169" s="51">
        <v>1.8883418522360858E-2</v>
      </c>
      <c r="J169" s="50">
        <v>120.114495145753</v>
      </c>
      <c r="K169" s="51">
        <v>2.7741457612821652E-2</v>
      </c>
      <c r="L169" s="50">
        <v>116.90970512433753</v>
      </c>
      <c r="M169" s="50">
        <v>64.697990586984218</v>
      </c>
      <c r="N169" s="53">
        <v>0</v>
      </c>
      <c r="O169" s="80">
        <v>0</v>
      </c>
      <c r="P169" s="85">
        <v>0</v>
      </c>
    </row>
    <row r="170" spans="1:16" x14ac:dyDescent="0.2">
      <c r="A170" s="26">
        <v>2007.05</v>
      </c>
      <c r="B170" s="50">
        <v>124.14228049174491</v>
      </c>
      <c r="C170" s="51">
        <v>6.9474704606821199E-3</v>
      </c>
      <c r="D170" s="51">
        <v>5.7166143233856173E-2</v>
      </c>
      <c r="E170" s="51">
        <v>5.7166143233856173E-2</v>
      </c>
      <c r="F170" s="51">
        <v>6.140564993439801E-2</v>
      </c>
      <c r="G170" s="51">
        <v>-1.2387318584971444E-2</v>
      </c>
      <c r="H170" s="51">
        <v>5.0154155629693165E-2</v>
      </c>
      <c r="I170" s="51">
        <v>1.8883418522360858E-2</v>
      </c>
      <c r="J170" s="50">
        <v>120.646040061658</v>
      </c>
      <c r="K170" s="51">
        <v>3.0275166115292018E-2</v>
      </c>
      <c r="L170" s="50">
        <v>117.53807613999162</v>
      </c>
      <c r="M170" s="50">
        <v>66.379540357528995</v>
      </c>
      <c r="N170" s="53">
        <v>0</v>
      </c>
      <c r="O170" s="80">
        <v>0</v>
      </c>
      <c r="P170" s="85">
        <v>0</v>
      </c>
    </row>
    <row r="171" spans="1:16" x14ac:dyDescent="0.2">
      <c r="A171" s="26">
        <v>2007.06</v>
      </c>
      <c r="B171" s="50">
        <v>124.69858330608572</v>
      </c>
      <c r="C171" s="51">
        <v>4.471160665633139E-3</v>
      </c>
      <c r="D171" s="51">
        <v>5.6890073671068304E-2</v>
      </c>
      <c r="E171" s="51">
        <v>5.6890073671068304E-2</v>
      </c>
      <c r="F171" s="51">
        <v>6.0818774954669585E-2</v>
      </c>
      <c r="G171" s="51">
        <v>-1.2387318584971444E-2</v>
      </c>
      <c r="H171" s="51">
        <v>5.0154155629693165E-2</v>
      </c>
      <c r="I171" s="51">
        <v>1.8883418522360858E-2</v>
      </c>
      <c r="J171" s="50">
        <v>121.17013227891</v>
      </c>
      <c r="K171" s="51">
        <v>3.0344351777886525E-2</v>
      </c>
      <c r="L171" s="50">
        <v>117.87756147191605</v>
      </c>
      <c r="M171" s="50">
        <v>66.379540357528995</v>
      </c>
      <c r="N171" s="53">
        <v>0</v>
      </c>
      <c r="O171" s="80">
        <v>0</v>
      </c>
      <c r="P171" s="85">
        <v>0</v>
      </c>
    </row>
    <row r="172" spans="1:16" x14ac:dyDescent="0.2">
      <c r="A172" s="26">
        <v>2007.07</v>
      </c>
      <c r="B172" s="50">
        <v>125.01551356565031</v>
      </c>
      <c r="C172" s="51">
        <v>2.5383463224972177E-3</v>
      </c>
      <c r="D172" s="51">
        <v>5.3256419968812509E-2</v>
      </c>
      <c r="E172" s="51">
        <v>5.3256419968812509E-2</v>
      </c>
      <c r="F172" s="51">
        <v>5.6502102459723869E-2</v>
      </c>
      <c r="G172" s="51">
        <v>-1.2387318584971444E-2</v>
      </c>
      <c r="H172" s="51">
        <v>5.0154155629693165E-2</v>
      </c>
      <c r="I172" s="51">
        <v>1.8883418522360858E-2</v>
      </c>
      <c r="J172" s="50">
        <v>121.686648696383</v>
      </c>
      <c r="K172" s="51">
        <v>2.8507669434319594E-2</v>
      </c>
      <c r="L172" s="50">
        <v>117.98975451633142</v>
      </c>
      <c r="M172" s="50">
        <v>66.379540357528995</v>
      </c>
      <c r="N172" s="53">
        <v>0</v>
      </c>
      <c r="O172" s="80">
        <v>0</v>
      </c>
      <c r="P172" s="85">
        <v>0</v>
      </c>
    </row>
    <row r="173" spans="1:16" x14ac:dyDescent="0.2">
      <c r="A173" s="26">
        <v>2007.08</v>
      </c>
      <c r="B173" s="50">
        <v>125.66019113315478</v>
      </c>
      <c r="C173" s="51">
        <v>5.1435298811442513E-3</v>
      </c>
      <c r="D173" s="51">
        <v>5.2103051345872689E-2</v>
      </c>
      <c r="E173" s="51">
        <v>5.2103051345872689E-2</v>
      </c>
      <c r="F173" s="51">
        <v>5.7870025747521314E-2</v>
      </c>
      <c r="G173" s="51">
        <v>-1.2387318584971444E-2</v>
      </c>
      <c r="H173" s="51">
        <v>5.0154155629693165E-2</v>
      </c>
      <c r="I173" s="51">
        <v>1.8883418522360858E-2</v>
      </c>
      <c r="J173" s="50">
        <v>122.195493304618</v>
      </c>
      <c r="K173" s="51">
        <v>2.9436389694221354E-2</v>
      </c>
      <c r="L173" s="50">
        <v>118.41013300010361</v>
      </c>
      <c r="M173" s="50">
        <v>64.697990586984218</v>
      </c>
      <c r="N173" s="53">
        <v>0</v>
      </c>
      <c r="O173" s="80">
        <v>0</v>
      </c>
      <c r="P173" s="85">
        <v>0</v>
      </c>
    </row>
    <row r="174" spans="1:16" x14ac:dyDescent="0.2">
      <c r="A174" s="26">
        <v>2007.09</v>
      </c>
      <c r="B174" s="50">
        <v>126.39692878384106</v>
      </c>
      <c r="C174" s="51">
        <v>5.8458158135496485E-3</v>
      </c>
      <c r="D174" s="51">
        <v>5.5510773580267694E-2</v>
      </c>
      <c r="E174" s="51">
        <v>5.5510773580267694E-2</v>
      </c>
      <c r="F174" s="51">
        <v>6.079112958828814E-2</v>
      </c>
      <c r="G174" s="51">
        <v>-1.2387318584971444E-2</v>
      </c>
      <c r="H174" s="51">
        <v>5.0154155629693165E-2</v>
      </c>
      <c r="I174" s="51">
        <v>1.8883418522360858E-2</v>
      </c>
      <c r="J174" s="50">
        <v>122.696595558292</v>
      </c>
      <c r="K174" s="51">
        <v>3.117380384559354E-2</v>
      </c>
      <c r="L174" s="50">
        <v>118.91549258423959</v>
      </c>
      <c r="M174" s="50">
        <v>64.697990586984218</v>
      </c>
      <c r="N174" s="53">
        <v>0</v>
      </c>
      <c r="O174" s="80">
        <v>0</v>
      </c>
      <c r="P174" s="85">
        <v>0</v>
      </c>
    </row>
    <row r="175" spans="1:16" x14ac:dyDescent="0.2">
      <c r="A175" s="26">
        <v>2007.1</v>
      </c>
      <c r="B175" s="50">
        <v>127.56496107550927</v>
      </c>
      <c r="C175" s="51">
        <v>9.1985496581967544E-3</v>
      </c>
      <c r="D175" s="51">
        <v>6.3329693032150483E-2</v>
      </c>
      <c r="E175" s="51">
        <v>6.3329693032150483E-2</v>
      </c>
      <c r="F175" s="51">
        <v>6.9765559100255059E-2</v>
      </c>
      <c r="G175" s="51">
        <v>-1.2387318584971444E-2</v>
      </c>
      <c r="H175" s="51">
        <v>5.0154155629693165E-2</v>
      </c>
      <c r="I175" s="51">
        <v>1.8883418522360858E-2</v>
      </c>
      <c r="J175" s="50">
        <v>123.189911390571</v>
      </c>
      <c r="K175" s="51">
        <v>3.6467136180752036E-2</v>
      </c>
      <c r="L175" s="50">
        <v>119.82407450096215</v>
      </c>
      <c r="M175" s="50">
        <v>68.061090128073801</v>
      </c>
      <c r="N175" s="53">
        <v>0</v>
      </c>
      <c r="O175" s="80">
        <v>0</v>
      </c>
      <c r="P175" s="85">
        <v>0</v>
      </c>
    </row>
    <row r="176" spans="1:16" x14ac:dyDescent="0.2">
      <c r="A176" s="26">
        <v>2007.11</v>
      </c>
      <c r="B176" s="50">
        <v>129.4211198840986</v>
      </c>
      <c r="C176" s="51">
        <v>1.4445849211314929E-2</v>
      </c>
      <c r="D176" s="51">
        <v>7.6724712232029993E-2</v>
      </c>
      <c r="E176" s="51">
        <v>7.6724712232029993E-2</v>
      </c>
      <c r="F176" s="51">
        <v>8.8001447232230801E-2</v>
      </c>
      <c r="G176" s="51">
        <v>-1.2387318584971444E-2</v>
      </c>
      <c r="H176" s="51">
        <v>5.0154155629693165E-2</v>
      </c>
      <c r="I176" s="51">
        <v>1.8883418522360858E-2</v>
      </c>
      <c r="J176" s="50">
        <v>123.675425112052</v>
      </c>
      <c r="K176" s="51">
        <v>4.7352986131021346E-2</v>
      </c>
      <c r="L176" s="50">
        <v>121.37482048341718</v>
      </c>
      <c r="M176" s="50">
        <v>71.424189669163411</v>
      </c>
      <c r="N176" s="53">
        <v>0</v>
      </c>
      <c r="O176" s="80">
        <v>0</v>
      </c>
      <c r="P176" s="85">
        <v>0</v>
      </c>
    </row>
    <row r="177" spans="1:16" x14ac:dyDescent="0.2">
      <c r="A177" s="26">
        <v>2007.12</v>
      </c>
      <c r="B177" s="50">
        <v>130.50008817439183</v>
      </c>
      <c r="C177" s="51">
        <v>8.3023197374744954E-3</v>
      </c>
      <c r="D177" s="51">
        <v>7.965335604345801E-2</v>
      </c>
      <c r="E177" s="51">
        <v>7.965335604345801E-2</v>
      </c>
      <c r="F177" s="51">
        <v>9.1785585886285714E-2</v>
      </c>
      <c r="G177" s="51">
        <v>-1.2387318584971444E-2</v>
      </c>
      <c r="H177" s="51">
        <v>5.0154155629693165E-2</v>
      </c>
      <c r="I177" s="51">
        <v>1.8883418522360858E-2</v>
      </c>
      <c r="J177" s="50">
        <v>124.153154727219</v>
      </c>
      <c r="K177" s="51">
        <v>5.1955014772535391E-2</v>
      </c>
      <c r="L177" s="50">
        <v>122.19263128119606</v>
      </c>
      <c r="M177" s="50">
        <v>74.787289210253022</v>
      </c>
      <c r="N177" s="53">
        <v>0</v>
      </c>
      <c r="O177" s="80">
        <v>0</v>
      </c>
      <c r="P177" s="85">
        <v>0</v>
      </c>
    </row>
    <row r="178" spans="1:16" x14ac:dyDescent="0.2">
      <c r="A178" s="26">
        <f t="shared" ref="A178:A241" si="0">A166+1</f>
        <v>2008.01</v>
      </c>
      <c r="B178" s="50">
        <v>131.1753298585096</v>
      </c>
      <c r="C178" s="51">
        <v>5.1609217858880055E-3</v>
      </c>
      <c r="D178" s="51">
        <v>7.7598989795051726E-2</v>
      </c>
      <c r="E178" s="51">
        <v>7.7598989795051726E-2</v>
      </c>
      <c r="F178" s="51">
        <v>8.8750457312081643E-2</v>
      </c>
      <c r="G178" s="51">
        <v>-1.2387318584971444E-2</v>
      </c>
      <c r="H178" s="51">
        <v>5.0154155629693165E-2</v>
      </c>
      <c r="I178" s="51">
        <v>1.8883418522360858E-2</v>
      </c>
      <c r="J178" s="50">
        <v>124.623162691551</v>
      </c>
      <c r="K178" s="51">
        <v>5.3346193646630402E-2</v>
      </c>
      <c r="L178" s="50">
        <v>122.630116690438</v>
      </c>
      <c r="M178" s="50">
        <v>74.787289210253022</v>
      </c>
      <c r="N178" s="53">
        <v>0</v>
      </c>
      <c r="O178" s="80">
        <v>0</v>
      </c>
      <c r="P178" s="85">
        <v>0</v>
      </c>
    </row>
    <row r="179" spans="1:16" x14ac:dyDescent="0.2">
      <c r="A179" s="26">
        <f t="shared" si="0"/>
        <v>2008.02</v>
      </c>
      <c r="B179" s="50">
        <v>131.11174617595921</v>
      </c>
      <c r="C179" s="51">
        <v>-4.8484038754227231E-4</v>
      </c>
      <c r="D179" s="51">
        <v>6.847136666753853E-2</v>
      </c>
      <c r="E179" s="51">
        <v>6.847136666753853E-2</v>
      </c>
      <c r="F179" s="51">
        <v>7.4812575154494132E-2</v>
      </c>
      <c r="G179" s="51">
        <v>-1.2387318584971444E-2</v>
      </c>
      <c r="H179" s="51">
        <v>5.0154155629693165E-2</v>
      </c>
      <c r="I179" s="51">
        <v>1.8883418522360858E-2</v>
      </c>
      <c r="J179" s="50">
        <v>125.085560626226</v>
      </c>
      <c r="K179" s="51">
        <v>4.8882097468259555E-2</v>
      </c>
      <c r="L179" s="50">
        <v>122.37630687592386</v>
      </c>
      <c r="M179" s="50">
        <v>71.424189669163411</v>
      </c>
      <c r="N179" s="53">
        <v>0</v>
      </c>
      <c r="O179" s="80">
        <v>1</v>
      </c>
      <c r="P179" s="85">
        <v>1</v>
      </c>
    </row>
    <row r="180" spans="1:16" x14ac:dyDescent="0.2">
      <c r="A180" s="26">
        <f t="shared" si="0"/>
        <v>2008.03</v>
      </c>
      <c r="B180" s="50">
        <v>131.4491106655293</v>
      </c>
      <c r="C180" s="51">
        <v>2.5698017540621404E-3</v>
      </c>
      <c r="D180" s="51">
        <v>6.8475840360388951E-2</v>
      </c>
      <c r="E180" s="51">
        <v>6.8475840360388951E-2</v>
      </c>
      <c r="F180" s="51">
        <v>6.8583050350519814E-2</v>
      </c>
      <c r="G180" s="51">
        <v>-1.2387318584971444E-2</v>
      </c>
      <c r="H180" s="51">
        <v>5.0154155629693165E-2</v>
      </c>
      <c r="I180" s="51">
        <v>1.8883418522360858E-2</v>
      </c>
      <c r="J180" s="50">
        <v>125.540510685215</v>
      </c>
      <c r="K180" s="51">
        <v>4.7711019252006714E-2</v>
      </c>
      <c r="L180" s="50">
        <v>122.49663484255743</v>
      </c>
      <c r="M180" s="50">
        <v>69.74263989861862</v>
      </c>
      <c r="N180" s="53">
        <v>0</v>
      </c>
      <c r="O180" s="80">
        <v>1</v>
      </c>
      <c r="P180" s="85">
        <v>1</v>
      </c>
    </row>
    <row r="181" spans="1:16" x14ac:dyDescent="0.2">
      <c r="A181" s="26">
        <f t="shared" si="0"/>
        <v>2008.04</v>
      </c>
      <c r="B181" s="50">
        <v>131.34111295619968</v>
      </c>
      <c r="C181" s="51">
        <v>-8.2193099820247382E-4</v>
      </c>
      <c r="D181" s="51">
        <v>6.331699390469768E-2</v>
      </c>
      <c r="E181" s="51">
        <v>6.331699390469768E-2</v>
      </c>
      <c r="F181" s="51">
        <v>5.579233153458496E-2</v>
      </c>
      <c r="G181" s="51">
        <v>-1.2387318584971444E-2</v>
      </c>
      <c r="H181" s="51">
        <v>5.0154155629693165E-2</v>
      </c>
      <c r="I181" s="51">
        <v>1.8883418522360858E-2</v>
      </c>
      <c r="J181" s="50">
        <v>125.988221355004</v>
      </c>
      <c r="K181" s="51">
        <v>4.30738321227353E-2</v>
      </c>
      <c r="L181" s="50">
        <v>122.20190124068685</v>
      </c>
      <c r="M181" s="50">
        <v>63.016440816439399</v>
      </c>
      <c r="N181" s="53">
        <v>0</v>
      </c>
      <c r="O181" s="80">
        <v>1</v>
      </c>
      <c r="P181" s="85">
        <v>1</v>
      </c>
    </row>
    <row r="182" spans="1:16" x14ac:dyDescent="0.2">
      <c r="A182" s="26">
        <f t="shared" si="0"/>
        <v>2008.05</v>
      </c>
      <c r="B182" s="50">
        <v>131.36413950857744</v>
      </c>
      <c r="C182" s="51">
        <v>1.7530332736554325E-4</v>
      </c>
      <c r="D182" s="51">
        <v>5.6544826771381056E-2</v>
      </c>
      <c r="E182" s="51">
        <v>5.6544826771381056E-2</v>
      </c>
      <c r="F182" s="51">
        <v>4.5944022805090912E-2</v>
      </c>
      <c r="G182" s="51">
        <v>-1.2387318584971444E-2</v>
      </c>
      <c r="H182" s="51">
        <v>5.0154155629693165E-2</v>
      </c>
      <c r="I182" s="51">
        <v>1.8883418522360858E-2</v>
      </c>
      <c r="J182" s="50">
        <v>126.42894655726499</v>
      </c>
      <c r="K182" s="51">
        <v>3.9566503150579413E-2</v>
      </c>
      <c r="L182" s="50">
        <v>122.02950814066729</v>
      </c>
      <c r="M182" s="50">
        <v>52.927142193170582</v>
      </c>
      <c r="N182" s="53">
        <v>0</v>
      </c>
      <c r="O182" s="80">
        <v>1</v>
      </c>
      <c r="P182" s="85">
        <v>1</v>
      </c>
    </row>
    <row r="183" spans="1:16" x14ac:dyDescent="0.2">
      <c r="A183" s="26">
        <f t="shared" si="0"/>
        <v>2008.06</v>
      </c>
      <c r="B183" s="50">
        <v>131.32303424979341</v>
      </c>
      <c r="C183" s="51">
        <v>-3.1295977288435338E-4</v>
      </c>
      <c r="D183" s="51">
        <v>5.1760706332863587E-2</v>
      </c>
      <c r="E183" s="51">
        <v>5.1760706332863587E-2</v>
      </c>
      <c r="F183" s="51">
        <v>3.6340968260414552E-2</v>
      </c>
      <c r="G183" s="51">
        <v>-1.2387318584971444E-2</v>
      </c>
      <c r="H183" s="51">
        <v>5.0154155629693165E-2</v>
      </c>
      <c r="I183" s="51">
        <v>1.8883418522360858E-2</v>
      </c>
      <c r="J183" s="50">
        <v>126.862981370268</v>
      </c>
      <c r="K183" s="51">
        <v>3.5635203608916255E-2</v>
      </c>
      <c r="L183" s="50">
        <v>121.79787431121696</v>
      </c>
      <c r="M183" s="50">
        <v>46.200943110991368</v>
      </c>
      <c r="N183" s="53">
        <v>0</v>
      </c>
      <c r="O183" s="80">
        <v>1</v>
      </c>
      <c r="P183" s="85">
        <v>1</v>
      </c>
    </row>
    <row r="184" spans="1:16" x14ac:dyDescent="0.2">
      <c r="A184" s="26">
        <f t="shared" si="0"/>
        <v>2008.07</v>
      </c>
      <c r="B184" s="50">
        <v>131.68832655789711</v>
      </c>
      <c r="C184" s="51">
        <v>2.7777700694375414E-3</v>
      </c>
      <c r="D184" s="51">
        <v>5.2000130079803961E-2</v>
      </c>
      <c r="E184" s="51">
        <v>5.2000130079803961E-2</v>
      </c>
      <c r="F184" s="51">
        <v>3.3477352201290556E-2</v>
      </c>
      <c r="G184" s="51">
        <v>-1.2387318584971444E-2</v>
      </c>
      <c r="H184" s="51">
        <v>5.0154155629693165E-2</v>
      </c>
      <c r="I184" s="51">
        <v>1.8883418522360858E-2</v>
      </c>
      <c r="J184" s="50">
        <v>127.29065882504599</v>
      </c>
      <c r="K184" s="51">
        <v>3.4979167273317735E-2</v>
      </c>
      <c r="L184" s="50">
        <v>121.94299116867747</v>
      </c>
      <c r="M184" s="50">
        <v>44.519393340446555</v>
      </c>
      <c r="N184" s="53">
        <v>0</v>
      </c>
      <c r="O184" s="80">
        <v>1</v>
      </c>
      <c r="P184" s="85">
        <v>1</v>
      </c>
    </row>
    <row r="185" spans="1:16" x14ac:dyDescent="0.2">
      <c r="A185" s="26">
        <f t="shared" si="0"/>
        <v>2008.08</v>
      </c>
      <c r="B185" s="50">
        <v>131.58965490304814</v>
      </c>
      <c r="C185" s="51">
        <v>-7.4956256441408573E-4</v>
      </c>
      <c r="D185" s="51">
        <v>4.6107037634245646E-2</v>
      </c>
      <c r="E185" s="51">
        <v>4.6107037634245646E-2</v>
      </c>
      <c r="F185" s="51">
        <v>2.3907831107983446E-2</v>
      </c>
      <c r="G185" s="51">
        <v>-1.2387318584971444E-2</v>
      </c>
      <c r="H185" s="51">
        <v>5.0154155629693165E-2</v>
      </c>
      <c r="I185" s="51">
        <v>1.8883418522360858E-2</v>
      </c>
      <c r="J185" s="50">
        <v>127.71234622994901</v>
      </c>
      <c r="K185" s="51">
        <v>3.0744520172379497E-2</v>
      </c>
      <c r="L185" s="50">
        <v>121.65839357259458</v>
      </c>
      <c r="M185" s="50">
        <v>44.519393340446555</v>
      </c>
      <c r="N185" s="53">
        <v>1</v>
      </c>
      <c r="O185" s="80">
        <v>1</v>
      </c>
      <c r="P185" s="85">
        <v>1</v>
      </c>
    </row>
    <row r="186" spans="1:16" x14ac:dyDescent="0.2">
      <c r="A186" s="26">
        <f t="shared" si="0"/>
        <v>2008.09</v>
      </c>
      <c r="B186" s="50">
        <v>130.94118094772071</v>
      </c>
      <c r="C186" s="51">
        <v>-4.9401836708570747E-3</v>
      </c>
      <c r="D186" s="51">
        <v>3.5321038149839119E-2</v>
      </c>
      <c r="E186" s="51">
        <v>3.5321038149839119E-2</v>
      </c>
      <c r="F186" s="51">
        <v>7.5260378172334885E-3</v>
      </c>
      <c r="G186" s="51">
        <v>-1.2387318584971444E-2</v>
      </c>
      <c r="H186" s="51">
        <v>5.0154155629693165E-2</v>
      </c>
      <c r="I186" s="51">
        <v>1.8883418522360858E-2</v>
      </c>
      <c r="J186" s="50">
        <v>128.128444698088</v>
      </c>
      <c r="K186" s="51">
        <v>2.229316017496541E-2</v>
      </c>
      <c r="L186" s="50">
        <v>120.8668900719948</v>
      </c>
      <c r="M186" s="50">
        <v>39.474744028812147</v>
      </c>
      <c r="N186" s="53">
        <v>1</v>
      </c>
      <c r="O186" s="80">
        <v>1</v>
      </c>
      <c r="P186" s="85">
        <v>1</v>
      </c>
    </row>
    <row r="187" spans="1:16" x14ac:dyDescent="0.2">
      <c r="A187" s="26">
        <f t="shared" si="0"/>
        <v>2008.1</v>
      </c>
      <c r="B187" s="50">
        <v>129.8212266809324</v>
      </c>
      <c r="C187" s="51">
        <v>-8.5898973200020171E-3</v>
      </c>
      <c r="D187" s="51">
        <v>1.7532591171640362E-2</v>
      </c>
      <c r="E187" s="51">
        <v>1.7532591171640362E-2</v>
      </c>
      <c r="F187" s="51">
        <v>-1.3619929612394555E-2</v>
      </c>
      <c r="G187" s="51">
        <v>-1.2387318584971444E-2</v>
      </c>
      <c r="H187" s="51">
        <v>5.0154155629693165E-2</v>
      </c>
      <c r="I187" s="51">
        <v>1.8883418522360858E-2</v>
      </c>
      <c r="J187" s="50">
        <v>128.53938516942301</v>
      </c>
      <c r="K187" s="51">
        <v>1.0271562471534601E-2</v>
      </c>
      <c r="L187" s="50">
        <v>119.6430752715399</v>
      </c>
      <c r="M187" s="50">
        <v>36.11164448772255</v>
      </c>
      <c r="N187" s="53">
        <v>1</v>
      </c>
      <c r="O187" s="80">
        <v>1</v>
      </c>
      <c r="P187" s="85">
        <v>1</v>
      </c>
    </row>
    <row r="188" spans="1:16" x14ac:dyDescent="0.2">
      <c r="A188" s="26">
        <f t="shared" si="0"/>
        <v>2008.11</v>
      </c>
      <c r="B188" s="50">
        <v>128.57958199319827</v>
      </c>
      <c r="C188" s="51">
        <v>-9.610296890235806E-3</v>
      </c>
      <c r="D188" s="51">
        <v>-6.5235549299105617E-3</v>
      </c>
      <c r="E188" s="51">
        <v>-6.5235549299105617E-3</v>
      </c>
      <c r="F188" s="51">
        <v>-3.3532626481177163E-2</v>
      </c>
      <c r="G188" s="51">
        <v>-1.2387318584971444E-2</v>
      </c>
      <c r="H188" s="51">
        <v>5.0154155629693165E-2</v>
      </c>
      <c r="I188" s="51">
        <v>1.8883418522360858E-2</v>
      </c>
      <c r="J188" s="50">
        <v>128.94562020416299</v>
      </c>
      <c r="K188" s="51">
        <v>-2.5773242774469463E-3</v>
      </c>
      <c r="L188" s="50">
        <v>118.31086600470687</v>
      </c>
      <c r="M188" s="50">
        <v>32.74854494663294</v>
      </c>
      <c r="N188" s="53">
        <v>1</v>
      </c>
      <c r="O188" s="80">
        <v>1</v>
      </c>
      <c r="P188" s="85">
        <v>1</v>
      </c>
    </row>
    <row r="189" spans="1:16" x14ac:dyDescent="0.2">
      <c r="A189" s="26">
        <f t="shared" si="0"/>
        <v>2008.12</v>
      </c>
      <c r="B189" s="50">
        <v>127.7321057834687</v>
      </c>
      <c r="C189" s="51">
        <v>-6.6128806332371465E-3</v>
      </c>
      <c r="D189" s="51">
        <v>-2.1438755300622024E-2</v>
      </c>
      <c r="E189" s="51">
        <v>-2.1438755300622024E-2</v>
      </c>
      <c r="F189" s="51">
        <v>-4.4315456484564031E-2</v>
      </c>
      <c r="G189" s="51">
        <v>-1.2387318584971444E-2</v>
      </c>
      <c r="H189" s="51">
        <v>5.0154155629693165E-2</v>
      </c>
      <c r="I189" s="51">
        <v>1.8883418522360858E-2</v>
      </c>
      <c r="J189" s="50">
        <v>129.34761214251299</v>
      </c>
      <c r="K189" s="51">
        <v>-1.2261542823360339E-2</v>
      </c>
      <c r="L189" s="50">
        <v>117.34469498647697</v>
      </c>
      <c r="M189" s="50">
        <v>27.703895634998531</v>
      </c>
      <c r="N189" s="53">
        <v>1</v>
      </c>
      <c r="O189" s="80">
        <v>1</v>
      </c>
      <c r="P189" s="85">
        <v>1</v>
      </c>
    </row>
    <row r="190" spans="1:16" x14ac:dyDescent="0.2">
      <c r="A190" s="26">
        <f t="shared" si="0"/>
        <v>2009.01</v>
      </c>
      <c r="B190" s="50">
        <v>127.25657428485478</v>
      </c>
      <c r="C190" s="51">
        <v>-3.7298287105994349E-3</v>
      </c>
      <c r="D190" s="51">
        <v>-3.0329505797109475E-2</v>
      </c>
      <c r="E190" s="51">
        <v>-3.0329505797109475E-2</v>
      </c>
      <c r="F190" s="51">
        <v>-4.7778251695228646E-2</v>
      </c>
      <c r="G190" s="51">
        <v>-1.2387318584971444E-2</v>
      </c>
      <c r="H190" s="51">
        <v>5.0154155629693165E-2</v>
      </c>
      <c r="I190" s="51">
        <v>1.8883418522360858E-2</v>
      </c>
      <c r="J190" s="50">
        <v>129.74582033044001</v>
      </c>
      <c r="K190" s="51">
        <v>-1.8986629253031406E-2</v>
      </c>
      <c r="L190" s="50">
        <v>116.72244632541066</v>
      </c>
      <c r="M190" s="50">
        <v>20.977696552819314</v>
      </c>
      <c r="N190" s="53">
        <v>1</v>
      </c>
      <c r="O190" s="80">
        <v>1</v>
      </c>
      <c r="P190" s="85">
        <v>1</v>
      </c>
    </row>
    <row r="191" spans="1:16" x14ac:dyDescent="0.2">
      <c r="A191" s="26">
        <f t="shared" si="0"/>
        <v>2009.02</v>
      </c>
      <c r="B191" s="50">
        <v>126.77316618616985</v>
      </c>
      <c r="C191" s="51">
        <v>-3.8059219468082623E-3</v>
      </c>
      <c r="D191" s="51">
        <v>-3.3650587356375439E-2</v>
      </c>
      <c r="E191" s="51">
        <v>-3.3650587356375439E-2</v>
      </c>
      <c r="F191" s="51">
        <v>-5.0067461509287758E-2</v>
      </c>
      <c r="G191" s="51">
        <v>-1.2387318584971444E-2</v>
      </c>
      <c r="H191" s="51">
        <v>5.0154155629693165E-2</v>
      </c>
      <c r="I191" s="51">
        <v>1.8883418522360858E-2</v>
      </c>
      <c r="J191" s="50">
        <v>130.140691463948</v>
      </c>
      <c r="K191" s="51">
        <v>-2.5703078922844846E-2</v>
      </c>
      <c r="L191" s="50">
        <v>116.09466293382958</v>
      </c>
      <c r="M191" s="50">
        <v>15.933047241184902</v>
      </c>
      <c r="N191" s="53">
        <v>1</v>
      </c>
      <c r="O191" s="80">
        <v>1</v>
      </c>
      <c r="P191" s="85">
        <v>1</v>
      </c>
    </row>
    <row r="192" spans="1:16" x14ac:dyDescent="0.2">
      <c r="A192" s="26">
        <f t="shared" si="0"/>
        <v>2009.03</v>
      </c>
      <c r="B192" s="50">
        <v>126.43132991170742</v>
      </c>
      <c r="C192" s="51">
        <v>-2.700082245051875E-3</v>
      </c>
      <c r="D192" s="51">
        <v>-3.8920471355489428E-2</v>
      </c>
      <c r="E192" s="51">
        <v>-3.8920471355489428E-2</v>
      </c>
      <c r="F192" s="51">
        <v>-4.9931628036515852E-2</v>
      </c>
      <c r="G192" s="51">
        <v>-1.2387318584971444E-2</v>
      </c>
      <c r="H192" s="51">
        <v>5.0154155629693165E-2</v>
      </c>
      <c r="I192" s="51">
        <v>1.8883418522360858E-2</v>
      </c>
      <c r="J192" s="50">
        <v>130.532652902428</v>
      </c>
      <c r="K192" s="51">
        <v>-3.1269666940035079E-2</v>
      </c>
      <c r="L192" s="50">
        <v>115.59801825339456</v>
      </c>
      <c r="M192" s="50">
        <v>15.933047241184902</v>
      </c>
      <c r="N192" s="53">
        <v>1</v>
      </c>
      <c r="O192" s="80">
        <v>1</v>
      </c>
      <c r="P192" s="85">
        <v>1</v>
      </c>
    </row>
    <row r="193" spans="1:16" x14ac:dyDescent="0.2">
      <c r="A193" s="26">
        <f t="shared" si="0"/>
        <v>2009.04</v>
      </c>
      <c r="B193" s="50">
        <v>126.04215794605787</v>
      </c>
      <c r="C193" s="51">
        <v>-3.0828763620285595E-3</v>
      </c>
      <c r="D193" s="51">
        <v>-4.1181416719315474E-2</v>
      </c>
      <c r="E193" s="51">
        <v>-4.1181416719315474E-2</v>
      </c>
      <c r="F193" s="51">
        <v>-4.9687575031138187E-2</v>
      </c>
      <c r="G193" s="51">
        <v>-1.2387318584971444E-2</v>
      </c>
      <c r="H193" s="51">
        <v>5.0154155629693165E-2</v>
      </c>
      <c r="I193" s="51">
        <v>1.8883418522360858E-2</v>
      </c>
      <c r="J193" s="50">
        <v>130.92210591938201</v>
      </c>
      <c r="K193" s="51">
        <v>-3.7143333348977792E-2</v>
      </c>
      <c r="L193" s="50">
        <v>115.05944567355935</v>
      </c>
      <c r="M193" s="50">
        <v>19.296146782274516</v>
      </c>
      <c r="N193" s="53">
        <v>1</v>
      </c>
      <c r="O193" s="80">
        <v>1</v>
      </c>
      <c r="P193" s="85">
        <v>1</v>
      </c>
    </row>
    <row r="194" spans="1:16" x14ac:dyDescent="0.2">
      <c r="A194" s="26">
        <f t="shared" si="0"/>
        <v>2009.05</v>
      </c>
      <c r="B194" s="50">
        <v>125.67872270704517</v>
      </c>
      <c r="C194" s="51">
        <v>-2.8876070241367806E-3</v>
      </c>
      <c r="D194" s="51">
        <v>-4.4244327070817678E-2</v>
      </c>
      <c r="E194" s="51">
        <v>-4.4244327070817678E-2</v>
      </c>
      <c r="F194" s="51">
        <v>-4.8763862742769004E-2</v>
      </c>
      <c r="G194" s="51">
        <v>-1.2387318584971444E-2</v>
      </c>
      <c r="H194" s="51">
        <v>5.0154155629693165E-2</v>
      </c>
      <c r="I194" s="51">
        <v>1.8883418522360858E-2</v>
      </c>
      <c r="J194" s="50">
        <v>131.309420029173</v>
      </c>
      <c r="K194" s="51">
        <v>-4.2767934110961026E-2</v>
      </c>
      <c r="L194" s="50">
        <v>114.5457473985296</v>
      </c>
      <c r="M194" s="50">
        <v>24.340796093908928</v>
      </c>
      <c r="N194" s="53">
        <v>1</v>
      </c>
      <c r="O194" s="80">
        <v>1</v>
      </c>
      <c r="P194" s="85">
        <v>1</v>
      </c>
    </row>
    <row r="195" spans="1:16" x14ac:dyDescent="0.2">
      <c r="A195" s="26">
        <f t="shared" si="0"/>
        <v>2009.06</v>
      </c>
      <c r="B195" s="50">
        <v>125.63965151896687</v>
      </c>
      <c r="C195" s="51">
        <v>-3.1092981970299742E-4</v>
      </c>
      <c r="D195" s="51">
        <v>-4.4242297117636276E-2</v>
      </c>
      <c r="E195" s="51">
        <v>-4.4242297117636276E-2</v>
      </c>
      <c r="F195" s="51">
        <v>-4.2836253752772113E-2</v>
      </c>
      <c r="G195" s="51">
        <v>-1.2387318584971444E-2</v>
      </c>
      <c r="H195" s="51">
        <v>5.0154155629693165E-2</v>
      </c>
      <c r="I195" s="51">
        <v>1.8883418522360858E-2</v>
      </c>
      <c r="J195" s="50">
        <v>131.6949269756</v>
      </c>
      <c r="K195" s="51">
        <v>-4.588069452521959E-2</v>
      </c>
      <c r="L195" s="50">
        <v>114.32855116668772</v>
      </c>
      <c r="M195" s="50">
        <v>31.066995176088138</v>
      </c>
      <c r="N195" s="53">
        <v>1</v>
      </c>
      <c r="O195" s="80">
        <v>1</v>
      </c>
      <c r="P195" s="85">
        <v>0</v>
      </c>
    </row>
    <row r="196" spans="1:16" x14ac:dyDescent="0.2">
      <c r="A196" s="26">
        <f t="shared" si="0"/>
        <v>2009.07</v>
      </c>
      <c r="B196" s="50">
        <v>125.76497969660279</v>
      </c>
      <c r="C196" s="51">
        <v>9.970237016866956E-4</v>
      </c>
      <c r="D196" s="51">
        <v>-4.6023043485387237E-2</v>
      </c>
      <c r="E196" s="51">
        <v>-4.6023043485387237E-2</v>
      </c>
      <c r="F196" s="51">
        <v>-3.4521431626424848E-2</v>
      </c>
      <c r="G196" s="51">
        <v>-1.2387318584971444E-2</v>
      </c>
      <c r="H196" s="51">
        <v>5.0154155629693165E-2</v>
      </c>
      <c r="I196" s="51">
        <v>1.8883418522360858E-2</v>
      </c>
      <c r="J196" s="50">
        <v>132.07891493933499</v>
      </c>
      <c r="K196" s="51">
        <v>-4.7717310137553315E-2</v>
      </c>
      <c r="L196" s="50">
        <v>114.26111730974485</v>
      </c>
      <c r="M196" s="50">
        <v>34.430094717177738</v>
      </c>
      <c r="N196" s="53">
        <v>1</v>
      </c>
      <c r="O196" s="80">
        <v>1</v>
      </c>
      <c r="P196" s="85">
        <v>0</v>
      </c>
    </row>
    <row r="197" spans="1:16" x14ac:dyDescent="0.2">
      <c r="A197" s="26">
        <f t="shared" si="0"/>
        <v>2009.08</v>
      </c>
      <c r="B197" s="50">
        <v>125.61513131889357</v>
      </c>
      <c r="C197" s="51">
        <v>-1.1922056590145617E-3</v>
      </c>
      <c r="D197" s="51">
        <v>-4.6465686579987724E-2</v>
      </c>
      <c r="E197" s="51">
        <v>-4.6465686579987724E-2</v>
      </c>
      <c r="F197" s="51">
        <v>-2.9757558950278984E-2</v>
      </c>
      <c r="G197" s="51">
        <v>-1.2387318584971444E-2</v>
      </c>
      <c r="H197" s="51">
        <v>5.0154155629693165E-2</v>
      </c>
      <c r="I197" s="51">
        <v>1.8883418522360858E-2</v>
      </c>
      <c r="J197" s="50">
        <v>132.461625260875</v>
      </c>
      <c r="K197" s="51">
        <v>-5.1609654350778356E-2</v>
      </c>
      <c r="L197" s="50">
        <v>113.94400042527418</v>
      </c>
      <c r="M197" s="50">
        <v>36.11164448772255</v>
      </c>
      <c r="N197" s="53">
        <v>1</v>
      </c>
      <c r="O197" s="80">
        <v>1</v>
      </c>
      <c r="P197" s="85">
        <v>0</v>
      </c>
    </row>
    <row r="198" spans="1:16" x14ac:dyDescent="0.2">
      <c r="A198" s="26">
        <f t="shared" si="0"/>
        <v>2009.09</v>
      </c>
      <c r="B198" s="50">
        <v>125.57913160343884</v>
      </c>
      <c r="C198" s="51">
        <v>-2.8662848651387398E-4</v>
      </c>
      <c r="D198" s="51">
        <v>-4.1812131395644533E-2</v>
      </c>
      <c r="E198" s="51">
        <v>-4.1812131395644533E-2</v>
      </c>
      <c r="F198" s="51">
        <v>-2.3251321903719813E-2</v>
      </c>
      <c r="G198" s="51">
        <v>-1.2387318584971444E-2</v>
      </c>
      <c r="H198" s="51">
        <v>5.0154155629693165E-2</v>
      </c>
      <c r="I198" s="51">
        <v>1.8883418522360858E-2</v>
      </c>
      <c r="J198" s="50">
        <v>132.843250460647</v>
      </c>
      <c r="K198" s="51">
        <v>-5.4612877826672013E-2</v>
      </c>
      <c r="L198" s="50">
        <v>113.73070897187021</v>
      </c>
      <c r="M198" s="50">
        <v>36.11164448772255</v>
      </c>
      <c r="N198" s="53">
        <v>1</v>
      </c>
      <c r="O198" s="80">
        <v>1</v>
      </c>
      <c r="P198" s="85">
        <v>0</v>
      </c>
    </row>
    <row r="199" spans="1:16" x14ac:dyDescent="0.2">
      <c r="A199" s="26">
        <f t="shared" si="0"/>
        <v>2009.1</v>
      </c>
      <c r="B199" s="50">
        <v>126.3832669045652</v>
      </c>
      <c r="C199" s="51">
        <v>6.3830002897733978E-3</v>
      </c>
      <c r="D199" s="51">
        <v>-2.6839233785869016E-2</v>
      </c>
      <c r="E199" s="51">
        <v>-2.6839233785869016E-2</v>
      </c>
      <c r="F199" s="51">
        <v>-5.2309174064320008E-3</v>
      </c>
      <c r="G199" s="51">
        <v>-1.2387318584971444E-2</v>
      </c>
      <c r="H199" s="51">
        <v>5.0154155629693165E-2</v>
      </c>
      <c r="I199" s="51">
        <v>1.8883418522360858E-2</v>
      </c>
      <c r="J199" s="50">
        <v>133.223930139766</v>
      </c>
      <c r="K199" s="51">
        <v>-5.1283891094177858E-2</v>
      </c>
      <c r="L199" s="50">
        <v>114.2774689585377</v>
      </c>
      <c r="M199" s="50">
        <v>42.837843569901757</v>
      </c>
      <c r="N199" s="53">
        <v>0</v>
      </c>
      <c r="O199" s="80">
        <v>0</v>
      </c>
      <c r="P199" s="85">
        <v>0</v>
      </c>
    </row>
    <row r="200" spans="1:16" x14ac:dyDescent="0.2">
      <c r="A200" s="26">
        <f t="shared" si="0"/>
        <v>2009.11</v>
      </c>
      <c r="B200" s="50">
        <v>126.72878675361609</v>
      </c>
      <c r="C200" s="51">
        <v>2.7301747086189228E-3</v>
      </c>
      <c r="D200" s="51">
        <v>-1.4498762187014366E-2</v>
      </c>
      <c r="E200" s="51">
        <v>-1.4498762187014366E-2</v>
      </c>
      <c r="F200" s="51">
        <v>3.9814556643062993E-3</v>
      </c>
      <c r="G200" s="51">
        <v>-1.2387318584971444E-2</v>
      </c>
      <c r="H200" s="51">
        <v>5.0154155629693165E-2</v>
      </c>
      <c r="I200" s="51">
        <v>1.8883418522360858E-2</v>
      </c>
      <c r="J200" s="50">
        <v>133.60374773167999</v>
      </c>
      <c r="K200" s="51">
        <v>-5.139912880980757E-2</v>
      </c>
      <c r="L200" s="50">
        <v>114.40818015267023</v>
      </c>
      <c r="M200" s="50">
        <v>42.837843569901757</v>
      </c>
      <c r="N200" s="53">
        <v>0</v>
      </c>
      <c r="O200" s="80">
        <v>0</v>
      </c>
      <c r="P200" s="85">
        <v>0</v>
      </c>
    </row>
    <row r="201" spans="1:16" x14ac:dyDescent="0.2">
      <c r="A201" s="26">
        <f t="shared" si="0"/>
        <v>2009.12</v>
      </c>
      <c r="B201" s="50">
        <v>126.89858731377362</v>
      </c>
      <c r="C201" s="51">
        <v>1.3389768052516128E-3</v>
      </c>
      <c r="D201" s="51">
        <v>-6.5469047485255958E-3</v>
      </c>
      <c r="E201" s="51">
        <v>-6.5469047485255958E-3</v>
      </c>
      <c r="F201" s="51">
        <v>8.7364930894446857E-3</v>
      </c>
      <c r="G201" s="51">
        <v>-1.2387318584971444E-2</v>
      </c>
      <c r="H201" s="51">
        <v>5.0154155629693165E-2</v>
      </c>
      <c r="I201" s="51">
        <v>1.8883418522360858E-2</v>
      </c>
      <c r="J201" s="50">
        <v>133.98273373987001</v>
      </c>
      <c r="K201" s="51">
        <v>-5.281807121208737E-2</v>
      </c>
      <c r="L201" s="50">
        <v>114.37980517134757</v>
      </c>
      <c r="M201" s="50">
        <v>41.156293799356959</v>
      </c>
      <c r="N201" s="53">
        <v>0</v>
      </c>
      <c r="O201" s="80">
        <v>0</v>
      </c>
      <c r="P201" s="85">
        <v>0</v>
      </c>
    </row>
    <row r="202" spans="1:16" x14ac:dyDescent="0.2">
      <c r="A202" s="26">
        <f t="shared" si="0"/>
        <v>2010.01</v>
      </c>
      <c r="B202" s="50">
        <v>127.43528215326998</v>
      </c>
      <c r="C202" s="51">
        <v>4.2204023966269013E-3</v>
      </c>
      <c r="D202" s="51">
        <v>1.4033263587007237E-3</v>
      </c>
      <c r="E202" s="51">
        <v>1.4033263587007237E-3</v>
      </c>
      <c r="F202" s="51">
        <v>1.765975672519926E-2</v>
      </c>
      <c r="G202" s="51">
        <v>-1.2387318584971444E-2</v>
      </c>
      <c r="H202" s="51">
        <v>5.0154155629693165E-2</v>
      </c>
      <c r="I202" s="51">
        <v>1.8883418522360858E-2</v>
      </c>
      <c r="J202" s="50">
        <v>134.360865428441</v>
      </c>
      <c r="K202" s="51">
        <v>-5.1491003036800875E-2</v>
      </c>
      <c r="L202" s="50">
        <v>114.68140754925622</v>
      </c>
      <c r="M202" s="50">
        <v>44.519393340446555</v>
      </c>
      <c r="N202" s="53">
        <v>0</v>
      </c>
      <c r="O202" s="80">
        <v>0</v>
      </c>
      <c r="P202" s="85">
        <v>0</v>
      </c>
    </row>
    <row r="203" spans="1:16" x14ac:dyDescent="0.2">
      <c r="A203" s="26">
        <f t="shared" si="0"/>
        <v>2010.02</v>
      </c>
      <c r="B203" s="50">
        <v>128.46885722598506</v>
      </c>
      <c r="C203" s="51">
        <v>8.077873968408358E-3</v>
      </c>
      <c r="D203" s="51">
        <v>1.328712227391737E-2</v>
      </c>
      <c r="E203" s="51">
        <v>1.328712227391737E-2</v>
      </c>
      <c r="F203" s="51">
        <v>3.2724902730459249E-2</v>
      </c>
      <c r="G203" s="51">
        <v>-1.2387318584971444E-2</v>
      </c>
      <c r="H203" s="51">
        <v>5.0154155629693165E-2</v>
      </c>
      <c r="I203" s="51">
        <v>1.8883418522360858E-2</v>
      </c>
      <c r="J203" s="50">
        <v>134.738065173482</v>
      </c>
      <c r="K203" s="51">
        <v>-4.6475862018252379E-2</v>
      </c>
      <c r="L203" s="50">
        <v>115.42820855274013</v>
      </c>
      <c r="M203" s="50">
        <v>51.245592422625776</v>
      </c>
      <c r="N203" s="53">
        <v>0</v>
      </c>
      <c r="O203" s="80">
        <v>0</v>
      </c>
      <c r="P203" s="85">
        <v>0</v>
      </c>
    </row>
    <row r="204" spans="1:16" x14ac:dyDescent="0.2">
      <c r="A204" s="26">
        <f t="shared" si="0"/>
        <v>2010.03</v>
      </c>
      <c r="B204" s="50">
        <v>130.14707631088933</v>
      </c>
      <c r="C204" s="51">
        <v>1.2978648447769622E-2</v>
      </c>
      <c r="D204" s="51">
        <v>2.8965852966738544E-2</v>
      </c>
      <c r="E204" s="51">
        <v>2.8965852966738544E-2</v>
      </c>
      <c r="F204" s="51">
        <v>5.5586146059072306E-2</v>
      </c>
      <c r="G204" s="51">
        <v>-1.2387318584971444E-2</v>
      </c>
      <c r="H204" s="51">
        <v>5.0154155629693165E-2</v>
      </c>
      <c r="I204" s="51">
        <v>1.8883418522360858E-2</v>
      </c>
      <c r="J204" s="50">
        <v>135.11420172820701</v>
      </c>
      <c r="K204" s="51">
        <v>-3.6708973647625709E-2</v>
      </c>
      <c r="L204" s="50">
        <v>116.750641513589</v>
      </c>
      <c r="M204" s="50">
        <v>61.334891045894587</v>
      </c>
      <c r="N204" s="53">
        <v>0</v>
      </c>
      <c r="O204" s="80">
        <v>0</v>
      </c>
      <c r="P204" s="85">
        <v>0</v>
      </c>
    </row>
    <row r="205" spans="1:16" x14ac:dyDescent="0.2">
      <c r="A205" s="26">
        <f t="shared" si="0"/>
        <v>2010.04</v>
      </c>
      <c r="B205" s="50">
        <v>131.64455175287938</v>
      </c>
      <c r="C205" s="51">
        <v>1.1440333563370429E-2</v>
      </c>
      <c r="D205" s="51">
        <v>4.3489062892137553E-2</v>
      </c>
      <c r="E205" s="51">
        <v>4.3489062892137553E-2</v>
      </c>
      <c r="F205" s="51">
        <v>7.3258529219494939E-2</v>
      </c>
      <c r="G205" s="51">
        <v>-1.2387318584971444E-2</v>
      </c>
      <c r="H205" s="51">
        <v>5.0154155629693165E-2</v>
      </c>
      <c r="I205" s="51">
        <v>1.8883418522360858E-2</v>
      </c>
      <c r="J205" s="50">
        <v>135.489095331784</v>
      </c>
      <c r="K205" s="51">
        <v>-2.8320774279035676E-2</v>
      </c>
      <c r="L205" s="50">
        <v>117.90670804431694</v>
      </c>
      <c r="M205" s="50">
        <v>61.334891045894587</v>
      </c>
      <c r="N205" s="53">
        <v>0</v>
      </c>
      <c r="O205" s="80">
        <v>0</v>
      </c>
      <c r="P205" s="85">
        <v>0</v>
      </c>
    </row>
    <row r="206" spans="1:16" x14ac:dyDescent="0.2">
      <c r="A206" s="26">
        <f t="shared" si="0"/>
        <v>2010.05</v>
      </c>
      <c r="B206" s="50">
        <v>133.02100502321682</v>
      </c>
      <c r="C206" s="51">
        <v>1.0401547501732965E-2</v>
      </c>
      <c r="D206" s="51">
        <v>5.6778217418007419E-2</v>
      </c>
      <c r="E206" s="51">
        <v>5.6778217418007419E-2</v>
      </c>
      <c r="F206" s="51">
        <v>8.6663417027699419E-2</v>
      </c>
      <c r="G206" s="51">
        <v>-1.2387318584971444E-2</v>
      </c>
      <c r="H206" s="51">
        <v>5.0154155629693165E-2</v>
      </c>
      <c r="I206" s="51">
        <v>1.8883418522360858E-2</v>
      </c>
      <c r="J206" s="50">
        <v>135.86252773385499</v>
      </c>
      <c r="K206" s="51">
        <v>-2.0858587008919405E-2</v>
      </c>
      <c r="L206" s="50">
        <v>118.95059354323379</v>
      </c>
      <c r="M206" s="50">
        <v>68.061090128073801</v>
      </c>
      <c r="N206" s="53">
        <v>0</v>
      </c>
      <c r="O206" s="80">
        <v>0</v>
      </c>
      <c r="P206" s="85">
        <v>0</v>
      </c>
    </row>
    <row r="207" spans="1:16" x14ac:dyDescent="0.2">
      <c r="A207" s="26">
        <f t="shared" si="0"/>
        <v>2010.06</v>
      </c>
      <c r="B207" s="50">
        <v>134.29207532353283</v>
      </c>
      <c r="C207" s="51">
        <v>9.5100462602856171E-3</v>
      </c>
      <c r="D207" s="51">
        <v>6.6599193497995923E-2</v>
      </c>
      <c r="E207" s="51">
        <v>6.6599193497995923E-2</v>
      </c>
      <c r="F207" s="51">
        <v>9.6153731500149053E-2</v>
      </c>
      <c r="G207" s="51">
        <v>-1.2387318584971444E-2</v>
      </c>
      <c r="H207" s="51">
        <v>5.0154155629693165E-2</v>
      </c>
      <c r="I207" s="51">
        <v>1.8883418522360858E-2</v>
      </c>
      <c r="J207" s="50">
        <v>136.234250818992</v>
      </c>
      <c r="K207" s="51">
        <v>-1.4198092587788369E-2</v>
      </c>
      <c r="L207" s="50">
        <v>119.89678527624156</v>
      </c>
      <c r="M207" s="50">
        <v>73.105739439708216</v>
      </c>
      <c r="N207" s="53">
        <v>0</v>
      </c>
      <c r="O207" s="80">
        <v>0</v>
      </c>
      <c r="P207" s="85">
        <v>0</v>
      </c>
    </row>
    <row r="208" spans="1:16" x14ac:dyDescent="0.2">
      <c r="A208" s="26">
        <f t="shared" si="0"/>
        <v>2010.07</v>
      </c>
      <c r="B208" s="50">
        <v>135.40132062880639</v>
      </c>
      <c r="C208" s="51">
        <v>8.2260194494415007E-3</v>
      </c>
      <c r="D208" s="51">
        <v>7.3828189245750922E-2</v>
      </c>
      <c r="E208" s="51">
        <v>7.3828189245750922E-2</v>
      </c>
      <c r="F208" s="51">
        <v>0.10142582309458925</v>
      </c>
      <c r="G208" s="51">
        <v>-1.2387318584971444E-2</v>
      </c>
      <c r="H208" s="51">
        <v>5.0154155629693165E-2</v>
      </c>
      <c r="I208" s="51">
        <v>1.8883418522360858E-2</v>
      </c>
      <c r="J208" s="50">
        <v>136.60399433341399</v>
      </c>
      <c r="K208" s="51">
        <v>-8.7438684278455803E-3</v>
      </c>
      <c r="L208" s="50">
        <v>120.69542778072606</v>
      </c>
      <c r="M208" s="50">
        <v>74.787289210253022</v>
      </c>
      <c r="N208" s="53">
        <v>0</v>
      </c>
      <c r="O208" s="80">
        <v>0</v>
      </c>
      <c r="P208" s="85">
        <v>0</v>
      </c>
    </row>
    <row r="209" spans="1:16" x14ac:dyDescent="0.2">
      <c r="A209" s="26">
        <f t="shared" si="0"/>
        <v>2010.08</v>
      </c>
      <c r="B209" s="50">
        <v>136.11066460591141</v>
      </c>
      <c r="C209" s="51">
        <v>5.2251512240166489E-3</v>
      </c>
      <c r="D209" s="51">
        <v>8.0245546128782208E-2</v>
      </c>
      <c r="E209" s="51">
        <v>8.0245546128782208E-2</v>
      </c>
      <c r="F209" s="51">
        <v>9.9384682604411134E-2</v>
      </c>
      <c r="G209" s="51">
        <v>-1.2387318584971444E-2</v>
      </c>
      <c r="H209" s="51">
        <v>5.0154155629693165E-2</v>
      </c>
      <c r="I209" s="51">
        <v>1.8883418522360858E-2</v>
      </c>
      <c r="J209" s="50">
        <v>136.97147283379601</v>
      </c>
      <c r="K209" s="51">
        <v>-6.2222136194944877E-3</v>
      </c>
      <c r="L209" s="50">
        <v>121.13533296742958</v>
      </c>
      <c r="M209" s="50">
        <v>73.105739439708216</v>
      </c>
      <c r="N209" s="53">
        <v>0</v>
      </c>
      <c r="O209" s="80">
        <v>0</v>
      </c>
      <c r="P209" s="85">
        <v>0</v>
      </c>
    </row>
    <row r="210" spans="1:16" x14ac:dyDescent="0.2">
      <c r="A210" s="26">
        <f t="shared" si="0"/>
        <v>2010.09</v>
      </c>
      <c r="B210" s="50">
        <v>136.75540007618946</v>
      </c>
      <c r="C210" s="51">
        <v>4.7256640057172011E-3</v>
      </c>
      <c r="D210" s="51">
        <v>8.5257838621013382E-2</v>
      </c>
      <c r="E210" s="51">
        <v>8.5257838621013382E-2</v>
      </c>
      <c r="F210" s="51">
        <v>9.5300901672375149E-2</v>
      </c>
      <c r="G210" s="51">
        <v>-1.2387318584971444E-2</v>
      </c>
      <c r="H210" s="51">
        <v>5.0154155629693165E-2</v>
      </c>
      <c r="I210" s="51">
        <v>1.8883418522360858E-2</v>
      </c>
      <c r="J210" s="50">
        <v>137.33639143021099</v>
      </c>
      <c r="K210" s="51">
        <v>-4.165899644675064E-3</v>
      </c>
      <c r="L210" s="50">
        <v>121.51613058553502</v>
      </c>
      <c r="M210" s="50">
        <v>69.74263989861862</v>
      </c>
      <c r="N210" s="53">
        <v>0</v>
      </c>
      <c r="O210" s="80">
        <v>0</v>
      </c>
      <c r="P210" s="85">
        <v>0</v>
      </c>
    </row>
    <row r="211" spans="1:16" x14ac:dyDescent="0.2">
      <c r="A211" s="26">
        <f t="shared" si="0"/>
        <v>2010.1</v>
      </c>
      <c r="B211" s="50">
        <v>137.25467850434532</v>
      </c>
      <c r="C211" s="51">
        <v>3.6442380754502443E-3</v>
      </c>
      <c r="D211" s="51">
        <v>8.2519076406689998E-2</v>
      </c>
      <c r="E211" s="51">
        <v>8.2519076406689998E-2</v>
      </c>
      <c r="F211" s="51">
        <v>8.8276758200057204E-2</v>
      </c>
      <c r="G211" s="51">
        <v>-1.2387318584971444E-2</v>
      </c>
      <c r="H211" s="51">
        <v>5.0154155629693165E-2</v>
      </c>
      <c r="I211" s="51">
        <v>1.8883418522360858E-2</v>
      </c>
      <c r="J211" s="50">
        <v>137.69844844648699</v>
      </c>
      <c r="K211" s="51">
        <v>-3.1562083797512797E-3</v>
      </c>
      <c r="L211" s="50">
        <v>121.76637272792959</v>
      </c>
      <c r="M211" s="50">
        <v>63.016440816439399</v>
      </c>
      <c r="N211" s="53">
        <v>0</v>
      </c>
      <c r="O211" s="80">
        <v>0</v>
      </c>
      <c r="P211" s="85">
        <v>0</v>
      </c>
    </row>
    <row r="212" spans="1:16" x14ac:dyDescent="0.2">
      <c r="A212" s="26">
        <f t="shared" si="0"/>
        <v>2010.11</v>
      </c>
      <c r="B212" s="50">
        <v>138.37543945597048</v>
      </c>
      <c r="C212" s="51">
        <v>8.13239958530022E-3</v>
      </c>
      <c r="D212" s="51">
        <v>8.7921301283371417E-2</v>
      </c>
      <c r="E212" s="51">
        <v>8.7921301283371417E-2</v>
      </c>
      <c r="F212" s="51">
        <v>9.0783342662788868E-2</v>
      </c>
      <c r="G212" s="51">
        <v>-1.2387318584971444E-2</v>
      </c>
      <c r="H212" s="51">
        <v>5.0154155629693165E-2</v>
      </c>
      <c r="I212" s="51">
        <v>1.8883418522360858E-2</v>
      </c>
      <c r="J212" s="50">
        <v>138.05733756953501</v>
      </c>
      <c r="K212" s="51">
        <v>2.3728837960261817E-3</v>
      </c>
      <c r="L212" s="50">
        <v>122.5659935618316</v>
      </c>
      <c r="M212" s="50">
        <v>63.016440816439399</v>
      </c>
      <c r="N212" s="53">
        <v>0</v>
      </c>
      <c r="O212" s="80">
        <v>0</v>
      </c>
      <c r="P212" s="85">
        <v>0</v>
      </c>
    </row>
    <row r="213" spans="1:16" x14ac:dyDescent="0.2">
      <c r="A213" s="26">
        <f t="shared" si="0"/>
        <v>2010.12</v>
      </c>
      <c r="B213" s="50">
        <v>139.58565489728875</v>
      </c>
      <c r="C213" s="51">
        <v>8.7078595755041097E-3</v>
      </c>
      <c r="D213" s="51">
        <v>9.52901840536238E-2</v>
      </c>
      <c r="E213" s="51">
        <v>9.52901840536238E-2</v>
      </c>
      <c r="F213" s="51">
        <v>9.3571525575124159E-2</v>
      </c>
      <c r="G213" s="51">
        <v>-1.2387318584971444E-2</v>
      </c>
      <c r="H213" s="51">
        <v>5.0154155629693165E-2</v>
      </c>
      <c r="I213" s="51">
        <v>1.8883418522360858E-2</v>
      </c>
      <c r="J213" s="50">
        <v>138.41274890645201</v>
      </c>
      <c r="K213" s="51">
        <v>8.5447685146842201E-3</v>
      </c>
      <c r="L213" s="50">
        <v>123.44188080969433</v>
      </c>
      <c r="M213" s="50">
        <v>64.697990586984218</v>
      </c>
      <c r="N213" s="53">
        <v>0</v>
      </c>
      <c r="O213" s="80">
        <v>0</v>
      </c>
      <c r="P213" s="85">
        <v>0</v>
      </c>
    </row>
    <row r="214" spans="1:16" x14ac:dyDescent="0.2">
      <c r="A214" s="26">
        <f t="shared" si="0"/>
        <v>2011.01</v>
      </c>
      <c r="B214" s="50">
        <v>140.53650578549664</v>
      </c>
      <c r="C214" s="51">
        <v>6.7888562463879112E-3</v>
      </c>
      <c r="D214" s="51">
        <v>9.785863790338474E-2</v>
      </c>
      <c r="E214" s="51">
        <v>9.785863790338474E-2</v>
      </c>
      <c r="F214" s="51">
        <v>9.1292607424425576E-2</v>
      </c>
      <c r="G214" s="51">
        <v>-1.2387318584971444E-2</v>
      </c>
      <c r="H214" s="51">
        <v>5.0154155629693165E-2</v>
      </c>
      <c r="I214" s="51">
        <v>1.8883418522360858E-2</v>
      </c>
      <c r="J214" s="50">
        <v>138.76437488307701</v>
      </c>
      <c r="K214" s="51">
        <v>1.2843229879132556E-2</v>
      </c>
      <c r="L214" s="50">
        <v>124.08567791435426</v>
      </c>
      <c r="M214" s="50">
        <v>64.697990586984218</v>
      </c>
      <c r="N214" s="53">
        <v>0</v>
      </c>
      <c r="O214" s="80">
        <v>0</v>
      </c>
      <c r="P214" s="85">
        <v>0</v>
      </c>
    </row>
    <row r="215" spans="1:16" x14ac:dyDescent="0.2">
      <c r="A215" s="26">
        <f t="shared" si="0"/>
        <v>2011.02</v>
      </c>
      <c r="B215" s="50">
        <v>141.20113437518125</v>
      </c>
      <c r="C215" s="51">
        <v>4.7180761662132358E-3</v>
      </c>
      <c r="D215" s="51">
        <v>9.4498840101189502E-2</v>
      </c>
      <c r="E215" s="51">
        <v>9.4498840101189502E-2</v>
      </c>
      <c r="F215" s="51">
        <v>8.4476179702857701E-2</v>
      </c>
      <c r="G215" s="51">
        <v>-1.2387318584971444E-2</v>
      </c>
      <c r="H215" s="51">
        <v>5.0154155629693165E-2</v>
      </c>
      <c r="I215" s="51">
        <v>1.8883418522360858E-2</v>
      </c>
      <c r="J215" s="50">
        <v>139.111916845916</v>
      </c>
      <c r="K215" s="51">
        <v>1.5091866613055505E-2</v>
      </c>
      <c r="L215" s="50">
        <v>124.47480565523844</v>
      </c>
      <c r="M215" s="50">
        <v>66.379540357528995</v>
      </c>
      <c r="N215" s="53">
        <v>0</v>
      </c>
      <c r="O215" s="80">
        <v>0</v>
      </c>
      <c r="P215" s="85">
        <v>0</v>
      </c>
    </row>
    <row r="216" spans="1:16" x14ac:dyDescent="0.2">
      <c r="A216" s="26">
        <f t="shared" si="0"/>
        <v>2011.03</v>
      </c>
      <c r="B216" s="50">
        <v>142.29610040739152</v>
      </c>
      <c r="C216" s="51">
        <v>7.7247418509219651E-3</v>
      </c>
      <c r="D216" s="51">
        <v>8.9244933504342025E-2</v>
      </c>
      <c r="E216" s="51">
        <v>8.9244933504342025E-2</v>
      </c>
      <c r="F216" s="51">
        <v>8.4283389109832685E-2</v>
      </c>
      <c r="G216" s="51">
        <v>-1.2387318584971444E-2</v>
      </c>
      <c r="H216" s="51">
        <v>5.0154155629693165E-2</v>
      </c>
      <c r="I216" s="51">
        <v>1.8883418522360858E-2</v>
      </c>
      <c r="J216" s="50">
        <v>139.45508964601001</v>
      </c>
      <c r="K216" s="51">
        <v>2.0446893608214056E-2</v>
      </c>
      <c r="L216" s="50">
        <v>125.24114641698486</v>
      </c>
      <c r="M216" s="50">
        <v>66.379540357528995</v>
      </c>
      <c r="N216" s="53">
        <v>0</v>
      </c>
      <c r="O216" s="80">
        <v>0</v>
      </c>
      <c r="P216" s="85">
        <v>0</v>
      </c>
    </row>
    <row r="217" spans="1:16" x14ac:dyDescent="0.2">
      <c r="A217" s="26">
        <f t="shared" si="0"/>
        <v>2011.04</v>
      </c>
      <c r="B217" s="50">
        <v>143.26367552358039</v>
      </c>
      <c r="C217" s="51">
        <v>6.7767164750873136E-3</v>
      </c>
      <c r="D217" s="51">
        <v>8.4581316416058983E-2</v>
      </c>
      <c r="E217" s="51">
        <v>8.4581316416058983E-2</v>
      </c>
      <c r="F217" s="51">
        <v>8.3024112023709629E-2</v>
      </c>
      <c r="G217" s="51">
        <v>-1.2387318584971444E-2</v>
      </c>
      <c r="H217" s="51">
        <v>5.0154155629693165E-2</v>
      </c>
      <c r="I217" s="51">
        <v>1.8883418522360858E-2</v>
      </c>
      <c r="J217" s="50">
        <v>139.79362404603401</v>
      </c>
      <c r="K217" s="51">
        <v>2.4897945913637809E-2</v>
      </c>
      <c r="L217" s="50">
        <v>125.8927990679324</v>
      </c>
      <c r="M217" s="50">
        <v>74.787289210253022</v>
      </c>
      <c r="N217" s="53">
        <v>0</v>
      </c>
      <c r="O217" s="80">
        <v>0</v>
      </c>
      <c r="P217" s="85">
        <v>0</v>
      </c>
    </row>
    <row r="218" spans="1:16" x14ac:dyDescent="0.2">
      <c r="A218" s="26">
        <f t="shared" si="0"/>
        <v>2011.05</v>
      </c>
      <c r="B218" s="50">
        <v>143.6641349497512</v>
      </c>
      <c r="C218" s="51">
        <v>2.7913619494175494E-3</v>
      </c>
      <c r="D218" s="51">
        <v>7.697113086374352E-2</v>
      </c>
      <c r="E218" s="51">
        <v>7.697113086374352E-2</v>
      </c>
      <c r="F218" s="51">
        <v>7.4577988160095199E-2</v>
      </c>
      <c r="G218" s="51">
        <v>-1.2387318584971444E-2</v>
      </c>
      <c r="H218" s="51">
        <v>5.0154155629693165E-2</v>
      </c>
      <c r="I218" s="51">
        <v>1.8883418522360858E-2</v>
      </c>
      <c r="J218" s="50">
        <v>140.12727250392001</v>
      </c>
      <c r="K218" s="51">
        <v>2.5315546967489055E-2</v>
      </c>
      <c r="L218" s="50">
        <v>126.0445080199047</v>
      </c>
      <c r="M218" s="50">
        <v>69.74263989861862</v>
      </c>
      <c r="N218" s="53">
        <v>0</v>
      </c>
      <c r="O218" s="80">
        <v>0</v>
      </c>
      <c r="P218" s="85">
        <v>0</v>
      </c>
    </row>
    <row r="219" spans="1:16" x14ac:dyDescent="0.2">
      <c r="A219" s="26">
        <f t="shared" si="0"/>
        <v>2011.06</v>
      </c>
      <c r="B219" s="50">
        <v>144.40113838756923</v>
      </c>
      <c r="C219" s="51">
        <v>5.1169308772131463E-3</v>
      </c>
      <c r="D219" s="51">
        <v>7.2578015480670874E-2</v>
      </c>
      <c r="E219" s="51">
        <v>7.2578015480670874E-2</v>
      </c>
      <c r="F219" s="51">
        <v>7.2038803371543558E-2</v>
      </c>
      <c r="G219" s="51">
        <v>-1.2387318584971444E-2</v>
      </c>
      <c r="H219" s="51">
        <v>5.0154155629693165E-2</v>
      </c>
      <c r="I219" s="51">
        <v>1.8883418522360858E-2</v>
      </c>
      <c r="J219" s="50">
        <v>140.455814020242</v>
      </c>
      <c r="K219" s="51">
        <v>2.8164323375510003E-2</v>
      </c>
      <c r="L219" s="50">
        <v>126.49021973395716</v>
      </c>
      <c r="M219" s="50">
        <v>68.061090128073801</v>
      </c>
      <c r="N219" s="53">
        <v>0</v>
      </c>
      <c r="O219" s="80">
        <v>0</v>
      </c>
      <c r="P219" s="85">
        <v>0</v>
      </c>
    </row>
    <row r="220" spans="1:16" x14ac:dyDescent="0.2">
      <c r="A220" s="26">
        <f t="shared" si="0"/>
        <v>2011.07</v>
      </c>
      <c r="B220" s="50">
        <v>144.80166633430608</v>
      </c>
      <c r="C220" s="51">
        <v>2.7698777209321343E-3</v>
      </c>
      <c r="D220" s="51">
        <v>6.712187375216154E-2</v>
      </c>
      <c r="E220" s="51">
        <v>6.712187375216154E-2</v>
      </c>
      <c r="F220" s="51">
        <v>6.5586954659907715E-2</v>
      </c>
      <c r="G220" s="51">
        <v>-1.2387318584971444E-2</v>
      </c>
      <c r="H220" s="51">
        <v>5.0154155629693165E-2</v>
      </c>
      <c r="I220" s="51">
        <v>1.8883418522360858E-2</v>
      </c>
      <c r="J220" s="50">
        <v>140.779054644604</v>
      </c>
      <c r="K220" s="51">
        <v>2.8647962959202244E-2</v>
      </c>
      <c r="L220" s="50">
        <v>126.63992782603667</v>
      </c>
      <c r="M220" s="50">
        <v>66.379540357528995</v>
      </c>
      <c r="N220" s="53">
        <v>0</v>
      </c>
      <c r="O220" s="80">
        <v>0</v>
      </c>
      <c r="P220" s="85">
        <v>1</v>
      </c>
    </row>
    <row r="221" spans="1:16" x14ac:dyDescent="0.2">
      <c r="A221" s="26">
        <f t="shared" si="0"/>
        <v>2011.08</v>
      </c>
      <c r="B221" s="50">
        <v>145.30431406833597</v>
      </c>
      <c r="C221" s="51">
        <v>3.4652731827172286E-3</v>
      </c>
      <c r="D221" s="51">
        <v>6.5361995710861889E-2</v>
      </c>
      <c r="E221" s="51">
        <v>6.5361995710861889E-2</v>
      </c>
      <c r="F221" s="51">
        <v>6.1427698082927806E-2</v>
      </c>
      <c r="G221" s="51">
        <v>-1.2387318584971444E-2</v>
      </c>
      <c r="H221" s="51">
        <v>5.0154155629693165E-2</v>
      </c>
      <c r="I221" s="51">
        <v>1.8883418522360858E-2</v>
      </c>
      <c r="J221" s="50">
        <v>141.09683061766901</v>
      </c>
      <c r="K221" s="51">
        <v>2.9892674894772764E-2</v>
      </c>
      <c r="L221" s="50">
        <v>126.87801282975381</v>
      </c>
      <c r="M221" s="50">
        <v>64.697990586984218</v>
      </c>
      <c r="N221" s="53">
        <v>0</v>
      </c>
      <c r="O221" s="80">
        <v>0</v>
      </c>
      <c r="P221" s="85">
        <v>1</v>
      </c>
    </row>
    <row r="222" spans="1:16" x14ac:dyDescent="0.2">
      <c r="A222" s="26">
        <f t="shared" si="0"/>
        <v>2011.09</v>
      </c>
      <c r="B222" s="50">
        <v>146.07961868030193</v>
      </c>
      <c r="C222" s="51">
        <v>5.3215455931013064E-3</v>
      </c>
      <c r="D222" s="51">
        <v>6.5957877298246037E-2</v>
      </c>
      <c r="E222" s="51">
        <v>6.5957877298246037E-2</v>
      </c>
      <c r="F222" s="51">
        <v>6.1213420689131715E-2</v>
      </c>
      <c r="G222" s="51">
        <v>-1.2387318584971444E-2</v>
      </c>
      <c r="H222" s="51">
        <v>5.0154155629693165E-2</v>
      </c>
      <c r="I222" s="51">
        <v>1.8883418522360858E-2</v>
      </c>
      <c r="J222" s="50">
        <v>141.409008979775</v>
      </c>
      <c r="K222" s="51">
        <v>3.3100524957959676E-2</v>
      </c>
      <c r="L222" s="50">
        <v>127.35272751444049</v>
      </c>
      <c r="M222" s="50">
        <v>64.697990586984218</v>
      </c>
      <c r="N222" s="53">
        <v>0</v>
      </c>
      <c r="O222" s="80">
        <v>0</v>
      </c>
      <c r="P222" s="85">
        <v>1</v>
      </c>
    </row>
    <row r="223" spans="1:16" x14ac:dyDescent="0.2">
      <c r="A223" s="26">
        <f t="shared" si="0"/>
        <v>2011.1</v>
      </c>
      <c r="B223" s="50">
        <v>146.32268911184326</v>
      </c>
      <c r="C223" s="51">
        <v>1.6625757119846137E-3</v>
      </c>
      <c r="D223" s="51">
        <v>6.3976214934780576E-2</v>
      </c>
      <c r="E223" s="51">
        <v>6.3976214934780576E-2</v>
      </c>
      <c r="F223" s="51">
        <v>5.3764500902132584E-2</v>
      </c>
      <c r="G223" s="51">
        <v>-1.2387318584971444E-2</v>
      </c>
      <c r="H223" s="51">
        <v>5.0154155629693165E-2</v>
      </c>
      <c r="I223" s="51">
        <v>1.8883418522360858E-2</v>
      </c>
      <c r="J223" s="50">
        <v>141.71548902423399</v>
      </c>
      <c r="K223" s="51">
        <v>3.2579659050818943E-2</v>
      </c>
      <c r="L223" s="50">
        <v>127.36234973647062</v>
      </c>
      <c r="M223" s="50">
        <v>57.97179150480499</v>
      </c>
      <c r="N223" s="53">
        <v>0</v>
      </c>
      <c r="O223" s="80">
        <v>1</v>
      </c>
      <c r="P223" s="85">
        <v>1</v>
      </c>
    </row>
    <row r="224" spans="1:16" x14ac:dyDescent="0.2">
      <c r="A224" s="26">
        <f t="shared" si="0"/>
        <v>2011.11</v>
      </c>
      <c r="B224" s="50">
        <v>146.12499369266934</v>
      </c>
      <c r="C224" s="51">
        <v>-1.3520055785180274E-3</v>
      </c>
      <c r="D224" s="51">
        <v>5.4491809770962359E-2</v>
      </c>
      <c r="E224" s="51">
        <v>5.4491809770962359E-2</v>
      </c>
      <c r="F224" s="51">
        <v>4.0904825418239588E-2</v>
      </c>
      <c r="G224" s="51">
        <v>-1.2387318584971444E-2</v>
      </c>
      <c r="H224" s="51">
        <v>5.0154155629693165E-2</v>
      </c>
      <c r="I224" s="51">
        <v>1.8883418522360858E-2</v>
      </c>
      <c r="J224" s="50">
        <v>142.01620589004901</v>
      </c>
      <c r="K224" s="51">
        <v>2.8998782818418167E-2</v>
      </c>
      <c r="L224" s="50">
        <v>126.98857769774881</v>
      </c>
      <c r="M224" s="50">
        <v>56.290241734260185</v>
      </c>
      <c r="N224" s="53">
        <v>1</v>
      </c>
      <c r="O224" s="80">
        <v>1</v>
      </c>
      <c r="P224" s="85">
        <v>1</v>
      </c>
    </row>
    <row r="225" spans="1:16" x14ac:dyDescent="0.2">
      <c r="A225" s="26">
        <f t="shared" si="0"/>
        <v>2011.12</v>
      </c>
      <c r="B225" s="50">
        <v>146.02620117023537</v>
      </c>
      <c r="C225" s="51">
        <v>-6.7631095088240651E-4</v>
      </c>
      <c r="D225" s="51">
        <v>4.5107639244575795E-2</v>
      </c>
      <c r="E225" s="51">
        <v>4.5107639244575795E-2</v>
      </c>
      <c r="F225" s="51">
        <v>3.0992990192055814E-2</v>
      </c>
      <c r="G225" s="51">
        <v>-1.2387318584971444E-2</v>
      </c>
      <c r="H225" s="51">
        <v>5.0154155629693165E-2</v>
      </c>
      <c r="I225" s="51">
        <v>1.8883418522360858E-2</v>
      </c>
      <c r="J225" s="50">
        <v>142.31113006894199</v>
      </c>
      <c r="K225" s="51">
        <v>2.6169533441357418E-2</v>
      </c>
      <c r="L225" s="50">
        <v>126.70148516870323</v>
      </c>
      <c r="M225" s="50">
        <v>51.245592422625776</v>
      </c>
      <c r="N225" s="53">
        <v>1</v>
      </c>
      <c r="O225" s="80">
        <v>1</v>
      </c>
      <c r="P225" s="85">
        <v>1</v>
      </c>
    </row>
    <row r="226" spans="1:16" x14ac:dyDescent="0.2">
      <c r="A226" s="26">
        <f t="shared" si="0"/>
        <v>2012.01</v>
      </c>
      <c r="B226" s="50">
        <v>145.78220246755936</v>
      </c>
      <c r="C226" s="51">
        <v>-1.6723216775071216E-3</v>
      </c>
      <c r="D226" s="51">
        <v>3.6646461320680737E-2</v>
      </c>
      <c r="E226" s="51">
        <v>3.6646461320680737E-2</v>
      </c>
      <c r="F226" s="51">
        <v>2.0761926517241625E-2</v>
      </c>
      <c r="G226" s="51">
        <v>-1.2387318584971444E-2</v>
      </c>
      <c r="H226" s="51">
        <v>5.0154155629693165E-2</v>
      </c>
      <c r="I226" s="51">
        <v>1.8883418522360858E-2</v>
      </c>
      <c r="J226" s="50">
        <v>142.600263536456</v>
      </c>
      <c r="K226" s="51">
        <v>2.2374966622380477E-2</v>
      </c>
      <c r="L226" s="50">
        <v>126.28919363698438</v>
      </c>
      <c r="M226" s="50">
        <v>47.882492881536166</v>
      </c>
      <c r="N226" s="53">
        <v>1</v>
      </c>
      <c r="O226" s="80">
        <v>1</v>
      </c>
      <c r="P226" s="85">
        <v>1</v>
      </c>
    </row>
    <row r="227" spans="1:16" x14ac:dyDescent="0.2">
      <c r="A227" s="26">
        <f t="shared" si="0"/>
        <v>2012.02</v>
      </c>
      <c r="B227" s="50">
        <v>145.41861141870771</v>
      </c>
      <c r="C227" s="51">
        <v>-2.4971855877973662E-3</v>
      </c>
      <c r="D227" s="51">
        <v>2.9431199566670074E-2</v>
      </c>
      <c r="E227" s="51">
        <v>2.9431199566670074E-2</v>
      </c>
      <c r="F227" s="51">
        <v>1.0403534395148517E-2</v>
      </c>
      <c r="G227" s="51">
        <v>-1.2387318584971444E-2</v>
      </c>
      <c r="H227" s="51">
        <v>5.0154155629693165E-2</v>
      </c>
      <c r="I227" s="51">
        <v>1.8883418522360858E-2</v>
      </c>
      <c r="J227" s="50">
        <v>142.88363669804801</v>
      </c>
      <c r="K227" s="51">
        <v>1.7799572702716704E-2</v>
      </c>
      <c r="L227" s="50">
        <v>125.77445410955356</v>
      </c>
      <c r="M227" s="50">
        <v>41.156293799356959</v>
      </c>
      <c r="N227" s="53">
        <v>1</v>
      </c>
      <c r="O227" s="80">
        <v>1</v>
      </c>
      <c r="P227" s="85">
        <v>1</v>
      </c>
    </row>
    <row r="228" spans="1:16" x14ac:dyDescent="0.2">
      <c r="A228" s="26">
        <f t="shared" si="0"/>
        <v>2012.03</v>
      </c>
      <c r="B228" s="50">
        <v>145.26090176992298</v>
      </c>
      <c r="C228" s="51">
        <v>-1.0851102819701326E-3</v>
      </c>
      <c r="D228" s="51">
        <v>2.0621347433778133E-2</v>
      </c>
      <c r="E228" s="51">
        <v>2.0621347433778133E-2</v>
      </c>
      <c r="F228" s="51">
        <v>3.8724524883613221E-3</v>
      </c>
      <c r="G228" s="51">
        <v>-1.2387318584971444E-2</v>
      </c>
      <c r="H228" s="51">
        <v>5.0154155629693165E-2</v>
      </c>
      <c r="I228" s="51">
        <v>1.8883418522360858E-2</v>
      </c>
      <c r="J228" s="50">
        <v>143.16130426303101</v>
      </c>
      <c r="K228" s="51">
        <v>1.4720678016011401E-2</v>
      </c>
      <c r="L228" s="50">
        <v>125.43881665282686</v>
      </c>
      <c r="M228" s="50">
        <v>37.793194258267349</v>
      </c>
      <c r="N228" s="53">
        <v>1</v>
      </c>
      <c r="O228" s="80">
        <v>1</v>
      </c>
      <c r="P228" s="85">
        <v>1</v>
      </c>
    </row>
    <row r="229" spans="1:16" x14ac:dyDescent="0.2">
      <c r="A229" s="26">
        <f t="shared" si="0"/>
        <v>2012.04</v>
      </c>
      <c r="B229" s="50">
        <v>144.28377874191943</v>
      </c>
      <c r="C229" s="51">
        <v>-6.7494021000848638E-3</v>
      </c>
      <c r="D229" s="51">
        <v>7.0952288586061396E-3</v>
      </c>
      <c r="E229" s="51">
        <v>7.0952288586061396E-3</v>
      </c>
      <c r="F229" s="51">
        <v>-1.167075302280951E-2</v>
      </c>
      <c r="G229" s="51">
        <v>-1.2387318584971444E-2</v>
      </c>
      <c r="H229" s="51">
        <v>5.0154155629693165E-2</v>
      </c>
      <c r="I229" s="51">
        <v>1.8883418522360858E-2</v>
      </c>
      <c r="J229" s="50">
        <v>143.43334024948399</v>
      </c>
      <c r="K229" s="51">
        <v>5.9801121011704428E-3</v>
      </c>
      <c r="L229" s="50">
        <v>124.3974520274592</v>
      </c>
      <c r="M229" s="50">
        <v>34.430094717177738</v>
      </c>
      <c r="N229" s="53">
        <v>1</v>
      </c>
      <c r="O229" s="80">
        <v>1</v>
      </c>
      <c r="P229" s="85">
        <v>1</v>
      </c>
    </row>
    <row r="230" spans="1:16" x14ac:dyDescent="0.2">
      <c r="A230" s="26">
        <f t="shared" si="0"/>
        <v>2012.05</v>
      </c>
      <c r="B230" s="50">
        <v>143.88593670126812</v>
      </c>
      <c r="C230" s="51">
        <v>-2.7611665771546706E-3</v>
      </c>
      <c r="D230" s="51">
        <v>1.5427003320340157E-3</v>
      </c>
      <c r="E230" s="51">
        <v>1.5427003320340157E-3</v>
      </c>
      <c r="F230" s="51">
        <v>-1.7757865847258913E-2</v>
      </c>
      <c r="G230" s="51">
        <v>-1.2387318584971444E-2</v>
      </c>
      <c r="H230" s="51">
        <v>5.0154155629693165E-2</v>
      </c>
      <c r="I230" s="51">
        <v>1.8883418522360858E-2</v>
      </c>
      <c r="J230" s="50">
        <v>143.69983464831901</v>
      </c>
      <c r="K230" s="51">
        <v>1.3423566442405388E-3</v>
      </c>
      <c r="L230" s="50">
        <v>123.85772261064794</v>
      </c>
      <c r="M230" s="50">
        <v>36.11164448772255</v>
      </c>
      <c r="N230" s="53">
        <v>1</v>
      </c>
      <c r="O230" s="80">
        <v>1</v>
      </c>
      <c r="P230" s="85">
        <v>1</v>
      </c>
    </row>
    <row r="231" spans="1:16" x14ac:dyDescent="0.2">
      <c r="A231" s="26">
        <f t="shared" si="0"/>
        <v>2012.06</v>
      </c>
      <c r="B231" s="50">
        <v>143.16221731603162</v>
      </c>
      <c r="C231" s="51">
        <v>-5.0425052981517317E-3</v>
      </c>
      <c r="D231" s="51">
        <v>-8.6167358433310269E-3</v>
      </c>
      <c r="E231" s="51">
        <v>-8.6167358433310269E-3</v>
      </c>
      <c r="F231" s="51">
        <v>-2.7087879716620078E-2</v>
      </c>
      <c r="G231" s="51">
        <v>-1.2387318584971444E-2</v>
      </c>
      <c r="H231" s="51">
        <v>5.0154155629693165E-2</v>
      </c>
      <c r="I231" s="51">
        <v>1.8883418522360858E-2</v>
      </c>
      <c r="J231" s="50">
        <v>143.96088379667</v>
      </c>
      <c r="K231" s="51">
        <v>-5.5044152114872569E-3</v>
      </c>
      <c r="L231" s="50">
        <v>123.03932015636344</v>
      </c>
      <c r="M231" s="50">
        <v>32.74854494663294</v>
      </c>
      <c r="N231" s="53">
        <v>1</v>
      </c>
      <c r="O231" s="80">
        <v>1</v>
      </c>
      <c r="P231" s="85">
        <v>0</v>
      </c>
    </row>
    <row r="232" spans="1:16" x14ac:dyDescent="0.2">
      <c r="A232" s="26">
        <f t="shared" si="0"/>
        <v>2012.07</v>
      </c>
      <c r="B232" s="50">
        <v>142.35330389840971</v>
      </c>
      <c r="C232" s="51">
        <v>-5.6663510167942223E-3</v>
      </c>
      <c r="D232" s="51">
        <v>-1.7052964581057393E-2</v>
      </c>
      <c r="E232" s="51">
        <v>-1.7052964581057393E-2</v>
      </c>
      <c r="F232" s="51">
        <v>-3.5948234223863396E-2</v>
      </c>
      <c r="G232" s="51">
        <v>-1.2387318584971444E-2</v>
      </c>
      <c r="H232" s="51">
        <v>5.0154155629693165E-2</v>
      </c>
      <c r="I232" s="51">
        <v>1.8883418522360858E-2</v>
      </c>
      <c r="J232" s="50">
        <v>144.21658525417999</v>
      </c>
      <c r="K232" s="51">
        <v>-1.2880652759273303E-2</v>
      </c>
      <c r="L232" s="50">
        <v>122.15009878873015</v>
      </c>
      <c r="M232" s="50">
        <v>31.066995176088138</v>
      </c>
      <c r="N232" s="53">
        <v>1</v>
      </c>
      <c r="O232" s="80">
        <v>1</v>
      </c>
      <c r="P232" s="85">
        <v>0</v>
      </c>
    </row>
    <row r="233" spans="1:16" x14ac:dyDescent="0.2">
      <c r="A233" s="26">
        <f t="shared" si="0"/>
        <v>2012.08</v>
      </c>
      <c r="B233" s="50">
        <v>141.76629348002163</v>
      </c>
      <c r="C233" s="51">
        <v>-4.1321419504418465E-3</v>
      </c>
      <c r="D233" s="51">
        <v>-2.4650379714216519E-2</v>
      </c>
      <c r="E233" s="51">
        <v>-2.4650379714216519E-2</v>
      </c>
      <c r="F233" s="51">
        <v>-4.0787801173369664E-2</v>
      </c>
      <c r="G233" s="51">
        <v>-1.2387318584971444E-2</v>
      </c>
      <c r="H233" s="51">
        <v>5.0154155629693165E-2</v>
      </c>
      <c r="I233" s="51">
        <v>1.8883418522360858E-2</v>
      </c>
      <c r="J233" s="50">
        <v>144.46703021641099</v>
      </c>
      <c r="K233" s="51">
        <v>-1.8659175057424982E-2</v>
      </c>
      <c r="L233" s="50">
        <v>121.45349613051596</v>
      </c>
      <c r="M233" s="50">
        <v>32.74854494663294</v>
      </c>
      <c r="N233" s="53">
        <v>1</v>
      </c>
      <c r="O233" s="80">
        <v>1</v>
      </c>
      <c r="P233" s="85">
        <v>0</v>
      </c>
    </row>
    <row r="234" spans="1:16" x14ac:dyDescent="0.2">
      <c r="A234" s="26">
        <f t="shared" si="0"/>
        <v>2012.09</v>
      </c>
      <c r="B234" s="50">
        <v>141.74961656393089</v>
      </c>
      <c r="C234" s="51">
        <v>-1.176435996652821E-4</v>
      </c>
      <c r="D234" s="51">
        <v>-3.0089568906983097E-2</v>
      </c>
      <c r="E234" s="51">
        <v>-3.0089568906983097E-2</v>
      </c>
      <c r="F234" s="51">
        <v>-3.7385699880522316E-2</v>
      </c>
      <c r="G234" s="51">
        <v>-1.2387318584971444E-2</v>
      </c>
      <c r="H234" s="51">
        <v>5.0154155629693165E-2</v>
      </c>
      <c r="I234" s="51">
        <v>1.8883418522360858E-2</v>
      </c>
      <c r="J234" s="50">
        <v>144.71229530518801</v>
      </c>
      <c r="K234" s="51">
        <v>-2.0441624581802875E-2</v>
      </c>
      <c r="L234" s="50">
        <v>121.24663479106189</v>
      </c>
      <c r="M234" s="50">
        <v>32.74854494663294</v>
      </c>
      <c r="N234" s="53">
        <v>1</v>
      </c>
      <c r="O234" s="80">
        <v>1</v>
      </c>
      <c r="P234" s="85">
        <v>0</v>
      </c>
    </row>
    <row r="235" spans="1:16" x14ac:dyDescent="0.2">
      <c r="A235" s="26">
        <f t="shared" si="0"/>
        <v>2012.1</v>
      </c>
      <c r="B235" s="50">
        <v>142.12500663899934</v>
      </c>
      <c r="C235" s="51">
        <v>2.6447611952531047E-3</v>
      </c>
      <c r="D235" s="51">
        <v>-2.9107383423714658E-2</v>
      </c>
      <c r="E235" s="51">
        <v>-2.9107383423714658E-2</v>
      </c>
      <c r="F235" s="51">
        <v>-2.8205159918883949E-2</v>
      </c>
      <c r="G235" s="51">
        <v>-1.2387318584971444E-2</v>
      </c>
      <c r="H235" s="51">
        <v>5.0154155629693165E-2</v>
      </c>
      <c r="I235" s="51">
        <v>1.8883418522360858E-2</v>
      </c>
      <c r="J235" s="50">
        <v>144.95243610665401</v>
      </c>
      <c r="K235" s="51">
        <v>-1.9478774115595288E-2</v>
      </c>
      <c r="L235" s="50">
        <v>121.37494985153985</v>
      </c>
      <c r="M235" s="50">
        <v>36.11164448772255</v>
      </c>
      <c r="N235" s="53">
        <v>0</v>
      </c>
      <c r="O235" s="80">
        <v>0</v>
      </c>
      <c r="P235" s="85">
        <v>0</v>
      </c>
    </row>
    <row r="236" spans="1:16" x14ac:dyDescent="0.2">
      <c r="A236" s="26">
        <f t="shared" si="0"/>
        <v>2012.11</v>
      </c>
      <c r="B236" s="50">
        <v>142.66041376633731</v>
      </c>
      <c r="C236" s="51">
        <v>3.7600784294580217E-3</v>
      </c>
      <c r="D236" s="51">
        <v>-2.3995299415738525E-2</v>
      </c>
      <c r="E236" s="51">
        <v>-2.3995299415738525E-2</v>
      </c>
      <c r="F236" s="51">
        <v>-1.7042564616484568E-2</v>
      </c>
      <c r="G236" s="51">
        <v>-1.2387318584971444E-2</v>
      </c>
      <c r="H236" s="51">
        <v>5.0154155629693165E-2</v>
      </c>
      <c r="I236" s="51">
        <v>1.8883418522360858E-2</v>
      </c>
      <c r="J236" s="50">
        <v>145.18748514594699</v>
      </c>
      <c r="K236" s="51">
        <v>-1.7382728939510539E-2</v>
      </c>
      <c r="L236" s="50">
        <v>121.63899114352169</v>
      </c>
      <c r="M236" s="50">
        <v>37.793194258267349</v>
      </c>
      <c r="N236" s="53">
        <v>0</v>
      </c>
      <c r="O236" s="80">
        <v>0</v>
      </c>
      <c r="P236" s="85">
        <v>0</v>
      </c>
    </row>
    <row r="237" spans="1:16" x14ac:dyDescent="0.2">
      <c r="A237" s="26">
        <f t="shared" si="0"/>
        <v>2012.12</v>
      </c>
      <c r="B237" s="50">
        <v>143.24059790501255</v>
      </c>
      <c r="C237" s="51">
        <v>4.0586420573368717E-3</v>
      </c>
      <c r="D237" s="51">
        <v>-1.9260346407519158E-2</v>
      </c>
      <c r="E237" s="51">
        <v>-1.9260346407519158E-2</v>
      </c>
      <c r="F237" s="51">
        <v>-5.9733503285582801E-3</v>
      </c>
      <c r="G237" s="51">
        <v>-1.2387318584971444E-2</v>
      </c>
      <c r="H237" s="51">
        <v>5.0154155629693165E-2</v>
      </c>
      <c r="I237" s="51">
        <v>1.8883418522360858E-2</v>
      </c>
      <c r="J237" s="50">
        <v>145.41745292338399</v>
      </c>
      <c r="K237" s="51">
        <v>-1.495135945743109E-2</v>
      </c>
      <c r="L237" s="50">
        <v>121.94000825268031</v>
      </c>
      <c r="M237" s="50">
        <v>42.837843569901757</v>
      </c>
      <c r="N237" s="53">
        <v>0</v>
      </c>
      <c r="O237" s="80">
        <v>0</v>
      </c>
      <c r="P237" s="85">
        <v>0</v>
      </c>
    </row>
    <row r="238" spans="1:16" x14ac:dyDescent="0.2">
      <c r="A238" s="26">
        <f t="shared" si="0"/>
        <v>2013.01</v>
      </c>
      <c r="B238" s="50">
        <v>144.22366890817167</v>
      </c>
      <c r="C238" s="51">
        <v>6.8396315579586312E-3</v>
      </c>
      <c r="D238" s="51">
        <v>-1.0748393172053327E-2</v>
      </c>
      <c r="E238" s="51">
        <v>-1.0748393172053327E-2</v>
      </c>
      <c r="F238" s="51">
        <v>9.6667412943884923E-3</v>
      </c>
      <c r="G238" s="51">
        <v>-1.2387318584971444E-2</v>
      </c>
      <c r="H238" s="51">
        <v>5.0154155629693165E-2</v>
      </c>
      <c r="I238" s="51">
        <v>1.8883418522360858E-2</v>
      </c>
      <c r="J238" s="50">
        <v>145.642330205424</v>
      </c>
      <c r="K238" s="51">
        <v>-9.7270954090835637E-3</v>
      </c>
      <c r="L238" s="50">
        <v>122.5821965028592</v>
      </c>
      <c r="M238" s="50">
        <v>49.564042652080971</v>
      </c>
      <c r="N238" s="53">
        <v>0</v>
      </c>
      <c r="O238" s="80">
        <v>0</v>
      </c>
      <c r="P238" s="85">
        <v>0</v>
      </c>
    </row>
    <row r="239" spans="1:16" x14ac:dyDescent="0.2">
      <c r="A239" s="26">
        <f t="shared" si="0"/>
        <v>2013.02</v>
      </c>
      <c r="B239" s="50">
        <v>145.49567826291909</v>
      </c>
      <c r="C239" s="51">
        <v>8.7810326822153045E-3</v>
      </c>
      <c r="D239" s="51">
        <v>5.2982509795956542E-4</v>
      </c>
      <c r="E239" s="51">
        <v>5.2982509795956542E-4</v>
      </c>
      <c r="F239" s="51">
        <v>2.7885125393890098E-2</v>
      </c>
      <c r="G239" s="51">
        <v>-1.2387318584971444E-2</v>
      </c>
      <c r="H239" s="51">
        <v>5.0154155629693165E-2</v>
      </c>
      <c r="I239" s="51">
        <v>1.8883418522360858E-2</v>
      </c>
      <c r="J239" s="50">
        <v>145.86209068053901</v>
      </c>
      <c r="K239" s="51">
        <v>-2.5034024359695817E-3</v>
      </c>
      <c r="L239" s="50">
        <v>123.46723369152518</v>
      </c>
      <c r="M239" s="50">
        <v>57.97179150480499</v>
      </c>
      <c r="N239" s="53">
        <v>0</v>
      </c>
      <c r="O239" s="80">
        <v>0</v>
      </c>
      <c r="P239" s="85">
        <v>0</v>
      </c>
    </row>
    <row r="240" spans="1:16" x14ac:dyDescent="0.2">
      <c r="A240" s="26">
        <f t="shared" si="0"/>
        <v>2013.03</v>
      </c>
      <c r="B240" s="50">
        <v>146.1632656927365</v>
      </c>
      <c r="C240" s="51">
        <v>4.5778715827705166E-3</v>
      </c>
      <c r="D240" s="51">
        <v>6.1928069626999115E-3</v>
      </c>
      <c r="E240" s="51">
        <v>6.1928069626999115E-3</v>
      </c>
      <c r="F240" s="51">
        <v>3.6523327926794913E-2</v>
      </c>
      <c r="G240" s="51">
        <v>-1.2387318584971444E-2</v>
      </c>
      <c r="H240" s="51">
        <v>5.0154155629693165E-2</v>
      </c>
      <c r="I240" s="51">
        <v>1.8883418522360858E-2</v>
      </c>
      <c r="J240" s="50">
        <v>146.07669680759801</v>
      </c>
      <c r="K240" s="51">
        <v>5.9594734020085305E-4</v>
      </c>
      <c r="L240" s="50">
        <v>123.83705827559295</v>
      </c>
      <c r="M240" s="50">
        <v>57.97179150480499</v>
      </c>
      <c r="N240" s="53">
        <v>0</v>
      </c>
      <c r="O240" s="80">
        <v>0</v>
      </c>
      <c r="P240" s="85">
        <v>0</v>
      </c>
    </row>
    <row r="241" spans="1:16" x14ac:dyDescent="0.2">
      <c r="A241" s="26">
        <f t="shared" si="0"/>
        <v>2013.04</v>
      </c>
      <c r="B241" s="50">
        <v>147.18449517593726</v>
      </c>
      <c r="C241" s="51">
        <v>6.9626139689605744E-3</v>
      </c>
      <c r="D241" s="51">
        <v>1.9904823031745317E-2</v>
      </c>
      <c r="E241" s="51">
        <v>1.9904823031745317E-2</v>
      </c>
      <c r="F241" s="51">
        <v>4.8916826917419831E-2</v>
      </c>
      <c r="G241" s="51">
        <v>-1.2387318584971444E-2</v>
      </c>
      <c r="H241" s="51">
        <v>5.0154155629693165E-2</v>
      </c>
      <c r="I241" s="51">
        <v>1.8883418522360858E-2</v>
      </c>
      <c r="J241" s="50">
        <v>146.286107997502</v>
      </c>
      <c r="K241" s="51">
        <v>6.1389912612253017E-3</v>
      </c>
      <c r="L241" s="50">
        <v>124.50454813076577</v>
      </c>
      <c r="M241" s="50">
        <v>61.334891045894587</v>
      </c>
      <c r="N241" s="53">
        <v>0</v>
      </c>
      <c r="O241" s="80">
        <v>0</v>
      </c>
      <c r="P241" s="85">
        <v>0</v>
      </c>
    </row>
    <row r="242" spans="1:16" x14ac:dyDescent="0.2">
      <c r="A242" s="26">
        <f t="shared" ref="A242:A306" si="1">A230+1</f>
        <v>2013.05</v>
      </c>
      <c r="B242" s="50">
        <v>147.95651570061636</v>
      </c>
      <c r="C242" s="51">
        <v>5.2315486971994136E-3</v>
      </c>
      <c r="D242" s="51">
        <v>2.7897538306099309E-2</v>
      </c>
      <c r="E242" s="51">
        <v>2.7897538306099309E-2</v>
      </c>
      <c r="F242" s="51">
        <v>5.580914858154129E-2</v>
      </c>
      <c r="G242" s="51">
        <v>-1.2387318584971444E-2</v>
      </c>
      <c r="H242" s="51">
        <v>5.0154155629693165E-2</v>
      </c>
      <c r="I242" s="51">
        <v>1.8883418522360858E-2</v>
      </c>
      <c r="J242" s="50">
        <v>146.49028413289099</v>
      </c>
      <c r="K242" s="51">
        <v>1.0000793420247067E-2</v>
      </c>
      <c r="L242" s="50">
        <v>124.95913604563962</v>
      </c>
      <c r="M242" s="50">
        <v>63.016440816439399</v>
      </c>
      <c r="N242" s="53">
        <v>0</v>
      </c>
      <c r="O242" s="80">
        <v>0</v>
      </c>
      <c r="P242" s="85">
        <v>1</v>
      </c>
    </row>
    <row r="243" spans="1:16" x14ac:dyDescent="0.2">
      <c r="A243" s="26">
        <f t="shared" si="1"/>
        <v>2013.06</v>
      </c>
      <c r="B243" s="50">
        <v>148.47408871630734</v>
      </c>
      <c r="C243" s="51">
        <v>3.4920385003008188E-3</v>
      </c>
      <c r="D243" s="51">
        <v>3.6432082104551872E-2</v>
      </c>
      <c r="E243" s="51">
        <v>3.6432082104551872E-2</v>
      </c>
      <c r="F243" s="51">
        <v>5.8021276916346176E-2</v>
      </c>
      <c r="G243" s="51">
        <v>-1.2387318584971444E-2</v>
      </c>
      <c r="H243" s="51">
        <v>5.0154155629693165E-2</v>
      </c>
      <c r="I243" s="51">
        <v>1.8883418522360858E-2</v>
      </c>
      <c r="J243" s="50">
        <v>146.68919179135099</v>
      </c>
      <c r="K243" s="51">
        <v>1.2153319541694074E-2</v>
      </c>
      <c r="L243" s="50">
        <v>125.19741203871911</v>
      </c>
      <c r="M243" s="50">
        <v>63.016440816439399</v>
      </c>
      <c r="N243" s="53">
        <v>0</v>
      </c>
      <c r="O243" s="80">
        <v>0</v>
      </c>
      <c r="P243" s="85">
        <v>1</v>
      </c>
    </row>
    <row r="244" spans="1:16" x14ac:dyDescent="0.2">
      <c r="A244" s="26">
        <f t="shared" si="1"/>
        <v>2013.07</v>
      </c>
      <c r="B244" s="50">
        <v>148.61909218877352</v>
      </c>
      <c r="C244" s="51">
        <v>9.7614818043611096E-4</v>
      </c>
      <c r="D244" s="51">
        <v>4.3074581301782287E-2</v>
      </c>
      <c r="E244" s="51">
        <v>4.3074581301782287E-2</v>
      </c>
      <c r="F244" s="51">
        <v>5.3940985288948751E-2</v>
      </c>
      <c r="G244" s="51">
        <v>-1.2387318584971444E-2</v>
      </c>
      <c r="H244" s="51">
        <v>5.0154155629693165E-2</v>
      </c>
      <c r="I244" s="51">
        <v>1.8883418522360858E-2</v>
      </c>
      <c r="J244" s="50">
        <v>146.88280859718699</v>
      </c>
      <c r="K244" s="51">
        <v>1.1799740797890257E-2</v>
      </c>
      <c r="L244" s="50">
        <v>125.12095546165438</v>
      </c>
      <c r="M244" s="50">
        <v>59.653341275349803</v>
      </c>
      <c r="N244" s="53">
        <v>0</v>
      </c>
      <c r="O244" s="80">
        <v>0</v>
      </c>
      <c r="P244" s="85">
        <v>1</v>
      </c>
    </row>
    <row r="245" spans="1:16" x14ac:dyDescent="0.2">
      <c r="A245" s="26">
        <f t="shared" si="1"/>
        <v>2013.08</v>
      </c>
      <c r="B245" s="50">
        <v>148.88436919939949</v>
      </c>
      <c r="C245" s="51">
        <v>1.7833545848131604E-3</v>
      </c>
      <c r="D245" s="51">
        <v>4.8990077837037391E-2</v>
      </c>
      <c r="E245" s="51">
        <v>4.8990077837037391E-2</v>
      </c>
      <c r="F245" s="51">
        <v>5.0396220111327494E-2</v>
      </c>
      <c r="G245" s="51">
        <v>-1.2387318584971444E-2</v>
      </c>
      <c r="H245" s="51">
        <v>5.0154155629693165E-2</v>
      </c>
      <c r="I245" s="51">
        <v>1.8883418522360858E-2</v>
      </c>
      <c r="J245" s="50">
        <v>147.071125684702</v>
      </c>
      <c r="K245" s="51">
        <v>1.2300973780715818E-2</v>
      </c>
      <c r="L245" s="50">
        <v>125.14552308309949</v>
      </c>
      <c r="M245" s="50">
        <v>54.608691963715387</v>
      </c>
      <c r="N245" s="53">
        <v>0</v>
      </c>
      <c r="O245" s="80">
        <v>0</v>
      </c>
      <c r="P245" s="85">
        <v>1</v>
      </c>
    </row>
    <row r="246" spans="1:16" x14ac:dyDescent="0.2">
      <c r="A246" s="26">
        <f t="shared" si="1"/>
        <v>2013.09</v>
      </c>
      <c r="B246" s="50">
        <v>149.20281689173456</v>
      </c>
      <c r="C246" s="51">
        <v>2.1366085383023059E-3</v>
      </c>
      <c r="D246" s="51">
        <v>5.1244329975005103E-2</v>
      </c>
      <c r="E246" s="51">
        <v>5.1244329975005103E-2</v>
      </c>
      <c r="F246" s="51">
        <v>4.6627980011903825E-2</v>
      </c>
      <c r="G246" s="51">
        <v>-1.2387318584971444E-2</v>
      </c>
      <c r="H246" s="51">
        <v>5.0154155629693165E-2</v>
      </c>
      <c r="I246" s="51">
        <v>1.8883418522360858E-2</v>
      </c>
      <c r="J246" s="50">
        <v>147.25414734511099</v>
      </c>
      <c r="K246" s="51">
        <v>1.3198054288297456E-2</v>
      </c>
      <c r="L246" s="50">
        <v>125.21432017032991</v>
      </c>
      <c r="M246" s="50">
        <v>52.927142193170582</v>
      </c>
      <c r="N246" s="53">
        <v>0</v>
      </c>
      <c r="O246" s="80">
        <v>0</v>
      </c>
      <c r="P246" s="85">
        <v>1</v>
      </c>
    </row>
    <row r="247" spans="1:16" x14ac:dyDescent="0.2">
      <c r="A247" s="26">
        <f t="shared" si="1"/>
        <v>2013.1</v>
      </c>
      <c r="B247" s="50">
        <v>149.04896668619992</v>
      </c>
      <c r="C247" s="51">
        <v>-1.0316801283469573E-3</v>
      </c>
      <c r="D247" s="51">
        <v>4.7567888651404919E-2</v>
      </c>
      <c r="E247" s="51">
        <v>4.7567888651404919E-2</v>
      </c>
      <c r="F247" s="51">
        <v>3.6457284764706444E-2</v>
      </c>
      <c r="G247" s="51">
        <v>-1.2387318584971444E-2</v>
      </c>
      <c r="H247" s="51">
        <v>5.0154155629693165E-2</v>
      </c>
      <c r="I247" s="51">
        <v>1.8883418522360858E-2</v>
      </c>
      <c r="J247" s="50">
        <v>147.43189162924699</v>
      </c>
      <c r="K247" s="51">
        <v>1.0925463606391572E-2</v>
      </c>
      <c r="L247" s="50">
        <v>124.88685001342198</v>
      </c>
      <c r="M247" s="50">
        <v>46.200943110991368</v>
      </c>
      <c r="N247" s="53">
        <v>1</v>
      </c>
      <c r="O247" s="80">
        <v>1</v>
      </c>
      <c r="P247" s="85">
        <v>1</v>
      </c>
    </row>
    <row r="248" spans="1:16" x14ac:dyDescent="0.2">
      <c r="A248" s="26">
        <f t="shared" si="1"/>
        <v>2013.11</v>
      </c>
      <c r="B248" s="50">
        <v>148.50648709101259</v>
      </c>
      <c r="C248" s="51">
        <v>-3.646246031306386E-3</v>
      </c>
      <c r="D248" s="51">
        <v>4.0161564190640466E-2</v>
      </c>
      <c r="E248" s="51">
        <v>4.0161564190640466E-2</v>
      </c>
      <c r="F248" s="51">
        <v>2.2043923119982045E-2</v>
      </c>
      <c r="G248" s="51">
        <v>-1.2387318584971444E-2</v>
      </c>
      <c r="H248" s="51">
        <v>5.0154155629693165E-2</v>
      </c>
      <c r="I248" s="51">
        <v>1.8883418522360858E-2</v>
      </c>
      <c r="J248" s="50">
        <v>147.604391384764</v>
      </c>
      <c r="K248" s="51">
        <v>6.0610576397359672E-3</v>
      </c>
      <c r="L248" s="50">
        <v>124.23499070837639</v>
      </c>
      <c r="M248" s="50">
        <v>41.156293799356959</v>
      </c>
      <c r="N248" s="53">
        <v>1</v>
      </c>
      <c r="O248" s="80">
        <v>1</v>
      </c>
      <c r="P248" s="85">
        <v>1</v>
      </c>
    </row>
    <row r="249" spans="1:16" x14ac:dyDescent="0.2">
      <c r="A249" s="26">
        <f t="shared" si="1"/>
        <v>2013.12</v>
      </c>
      <c r="B249" s="50">
        <v>148.23621818594458</v>
      </c>
      <c r="C249" s="51">
        <v>-1.8215711793006168E-3</v>
      </c>
      <c r="D249" s="51">
        <v>3.4281350954002955E-2</v>
      </c>
      <c r="E249" s="51">
        <v>3.4281350954002955E-2</v>
      </c>
      <c r="F249" s="51">
        <v>1.2399736971578479E-2</v>
      </c>
      <c r="G249" s="51">
        <v>-1.2387318584971444E-2</v>
      </c>
      <c r="H249" s="51">
        <v>5.0154155629693165E-2</v>
      </c>
      <c r="I249" s="51">
        <v>1.8883418522360858E-2</v>
      </c>
      <c r="J249" s="50">
        <v>147.77169167800199</v>
      </c>
      <c r="K249" s="51">
        <v>3.0849127393515197E-3</v>
      </c>
      <c r="L249" s="50">
        <v>123.81224495007191</v>
      </c>
      <c r="M249" s="50">
        <v>39.474744028812147</v>
      </c>
      <c r="N249" s="53">
        <v>1</v>
      </c>
      <c r="O249" s="80">
        <v>1</v>
      </c>
      <c r="P249" s="85">
        <v>1</v>
      </c>
    </row>
    <row r="250" spans="1:16" x14ac:dyDescent="0.2">
      <c r="A250" s="26">
        <f t="shared" si="1"/>
        <v>2014.01</v>
      </c>
      <c r="B250" s="50">
        <v>147.61231783977064</v>
      </c>
      <c r="C250" s="51">
        <v>-4.2177073406411952E-3</v>
      </c>
      <c r="D250" s="51">
        <v>2.3224012055403077E-2</v>
      </c>
      <c r="E250" s="51">
        <v>2.3224012055403077E-2</v>
      </c>
      <c r="F250" s="51">
        <v>-6.7485674367162574E-4</v>
      </c>
      <c r="G250" s="51">
        <v>-1.2387318584971444E-2</v>
      </c>
      <c r="H250" s="51">
        <v>5.0154155629693165E-2</v>
      </c>
      <c r="I250" s="51">
        <v>1.8883418522360858E-2</v>
      </c>
      <c r="J250" s="50">
        <v>147.933844259945</v>
      </c>
      <c r="K250" s="51">
        <v>-2.2403745985569712E-3</v>
      </c>
      <c r="L250" s="50">
        <v>123.09563015941571</v>
      </c>
      <c r="M250" s="50">
        <v>36.11164448772255</v>
      </c>
      <c r="N250" s="53">
        <v>1</v>
      </c>
      <c r="O250" s="80">
        <v>1</v>
      </c>
      <c r="P250" s="85">
        <v>1</v>
      </c>
    </row>
    <row r="251" spans="1:16" x14ac:dyDescent="0.2">
      <c r="A251" s="26">
        <f t="shared" si="1"/>
        <v>2014.02</v>
      </c>
      <c r="B251" s="50">
        <v>146.72954669472347</v>
      </c>
      <c r="C251" s="51">
        <v>-5.998289052391379E-3</v>
      </c>
      <c r="D251" s="51">
        <v>8.4446903207963352E-3</v>
      </c>
      <c r="E251" s="51">
        <v>8.4446903207963352E-3</v>
      </c>
      <c r="F251" s="51">
        <v>-1.5159856411804729E-2</v>
      </c>
      <c r="G251" s="51">
        <v>-1.2387318584971444E-2</v>
      </c>
      <c r="H251" s="51">
        <v>5.0154155629693165E-2</v>
      </c>
      <c r="I251" s="51">
        <v>1.8883418522360858E-2</v>
      </c>
      <c r="J251" s="50">
        <v>148.09090425951899</v>
      </c>
      <c r="K251" s="51">
        <v>-9.2681332970971919E-3</v>
      </c>
      <c r="L251" s="50">
        <v>122.1654437435481</v>
      </c>
      <c r="M251" s="50">
        <v>29.385445405543329</v>
      </c>
      <c r="N251" s="53">
        <v>1</v>
      </c>
      <c r="O251" s="80">
        <v>1</v>
      </c>
      <c r="P251" s="85">
        <v>1</v>
      </c>
    </row>
    <row r="252" spans="1:16" x14ac:dyDescent="0.2">
      <c r="A252" s="26">
        <f t="shared" si="1"/>
        <v>2014.03</v>
      </c>
      <c r="B252" s="50">
        <v>145.75359252052175</v>
      </c>
      <c r="C252" s="51">
        <v>-6.6736003927301878E-3</v>
      </c>
      <c r="D252" s="51">
        <v>-2.8067816547043254E-3</v>
      </c>
      <c r="E252" s="51">
        <v>-2.8067816547043254E-3</v>
      </c>
      <c r="F252" s="51">
        <v>-2.8466027305645514E-2</v>
      </c>
      <c r="G252" s="51">
        <v>-1.2387318584971444E-2</v>
      </c>
      <c r="H252" s="51">
        <v>5.0154155629693165E-2</v>
      </c>
      <c r="I252" s="51">
        <v>1.8883418522360858E-2</v>
      </c>
      <c r="J252" s="50">
        <v>148.24292422041299</v>
      </c>
      <c r="K252" s="51">
        <v>-1.6876411450496009E-2</v>
      </c>
      <c r="L252" s="50">
        <v>121.16043773813449</v>
      </c>
      <c r="M252" s="50">
        <v>27.703895634998531</v>
      </c>
      <c r="N252" s="53">
        <v>1</v>
      </c>
      <c r="O252" s="80">
        <v>1</v>
      </c>
      <c r="P252" s="85">
        <v>1</v>
      </c>
    </row>
    <row r="253" spans="1:16" x14ac:dyDescent="0.2">
      <c r="A253" s="26">
        <f t="shared" si="1"/>
        <v>2014.04</v>
      </c>
      <c r="B253" s="50">
        <v>145.75332782555535</v>
      </c>
      <c r="C253" s="51">
        <v>-1.8160458495857276E-6</v>
      </c>
      <c r="D253" s="51">
        <v>-9.7712116695143295E-3</v>
      </c>
      <c r="E253" s="51">
        <v>-9.7712116695143295E-3</v>
      </c>
      <c r="F253" s="51">
        <v>-2.8055560881097397E-2</v>
      </c>
      <c r="G253" s="51">
        <v>-1.2387318584971444E-2</v>
      </c>
      <c r="H253" s="51">
        <v>5.0154155629693165E-2</v>
      </c>
      <c r="I253" s="51">
        <v>1.8883418522360858E-2</v>
      </c>
      <c r="J253" s="50">
        <v>148.38994605688501</v>
      </c>
      <c r="K253" s="51">
        <v>-1.7862029699561521E-2</v>
      </c>
      <c r="L253" s="50">
        <v>120.968086166031</v>
      </c>
      <c r="M253" s="50">
        <v>31.066995176088138</v>
      </c>
      <c r="N253" s="53">
        <v>1</v>
      </c>
      <c r="O253" s="80">
        <v>1</v>
      </c>
      <c r="P253" s="85">
        <v>1</v>
      </c>
    </row>
    <row r="254" spans="1:16" x14ac:dyDescent="0.2">
      <c r="A254" s="26">
        <f t="shared" si="1"/>
        <v>2014.05</v>
      </c>
      <c r="B254" s="50">
        <v>145.85502831110122</v>
      </c>
      <c r="C254" s="51">
        <v>6.9751423461630608E-4</v>
      </c>
      <c r="D254" s="51">
        <v>-1.4305246132097346E-2</v>
      </c>
      <c r="E254" s="51">
        <v>-1.4305246132097346E-2</v>
      </c>
      <c r="F254" s="51">
        <v>-2.5353847195269341E-2</v>
      </c>
      <c r="G254" s="51">
        <v>-1.2387318584971444E-2</v>
      </c>
      <c r="H254" s="51">
        <v>5.0154155629693165E-2</v>
      </c>
      <c r="I254" s="51">
        <v>1.8883418522360858E-2</v>
      </c>
      <c r="J254" s="50">
        <v>148.531992269829</v>
      </c>
      <c r="K254" s="51">
        <v>-1.812690086676183E-2</v>
      </c>
      <c r="L254" s="50">
        <v>120.86053184926125</v>
      </c>
      <c r="M254" s="50">
        <v>31.066995176088138</v>
      </c>
      <c r="N254" s="53">
        <v>0</v>
      </c>
      <c r="O254" s="80">
        <v>1</v>
      </c>
      <c r="P254" s="85">
        <v>1</v>
      </c>
    </row>
    <row r="255" spans="1:16" x14ac:dyDescent="0.2">
      <c r="A255" s="26">
        <f t="shared" si="1"/>
        <v>2014.06</v>
      </c>
      <c r="B255" s="50">
        <v>146.14493675544483</v>
      </c>
      <c r="C255" s="51">
        <v>1.9856751663265104E-3</v>
      </c>
      <c r="D255" s="51">
        <v>-1.5811609466071696E-2</v>
      </c>
      <c r="E255" s="51">
        <v>-1.5811609466071696E-2</v>
      </c>
      <c r="F255" s="51">
        <v>-1.9632358946357842E-2</v>
      </c>
      <c r="G255" s="51">
        <v>-1.2387318584971444E-2</v>
      </c>
      <c r="H255" s="51">
        <v>5.0154155629693165E-2</v>
      </c>
      <c r="I255" s="51">
        <v>1.8883418522360858E-2</v>
      </c>
      <c r="J255" s="50">
        <v>148.66906476819099</v>
      </c>
      <c r="K255" s="51">
        <v>-1.7093148836347605E-2</v>
      </c>
      <c r="L255" s="50">
        <v>120.90872278103559</v>
      </c>
      <c r="M255" s="50">
        <v>32.74854494663294</v>
      </c>
      <c r="N255" s="53">
        <v>0</v>
      </c>
      <c r="O255" s="80">
        <v>0</v>
      </c>
      <c r="P255" s="85">
        <v>1</v>
      </c>
    </row>
    <row r="256" spans="1:16" x14ac:dyDescent="0.2">
      <c r="A256" s="26">
        <f t="shared" si="1"/>
        <v>2014.07</v>
      </c>
      <c r="B256" s="50">
        <v>146.63240722269731</v>
      </c>
      <c r="C256" s="51">
        <v>3.3299770472802509E-3</v>
      </c>
      <c r="D256" s="51">
        <v>-1.3457780599227592E-2</v>
      </c>
      <c r="E256" s="51">
        <v>-1.3457780599227592E-2</v>
      </c>
      <c r="F256" s="51">
        <v>-1.1189618009598168E-2</v>
      </c>
      <c r="G256" s="51">
        <v>-1.2387318584971444E-2</v>
      </c>
      <c r="H256" s="51">
        <v>5.0154155629693165E-2</v>
      </c>
      <c r="I256" s="51">
        <v>1.8883418522360858E-2</v>
      </c>
      <c r="J256" s="50">
        <v>148.80114456550601</v>
      </c>
      <c r="K256" s="51">
        <v>-1.4701349945160258E-2</v>
      </c>
      <c r="L256" s="50">
        <v>121.11964490301752</v>
      </c>
      <c r="M256" s="50">
        <v>37.793194258267349</v>
      </c>
      <c r="N256" s="53">
        <v>0</v>
      </c>
      <c r="O256" s="80">
        <v>0</v>
      </c>
      <c r="P256" s="85">
        <v>1</v>
      </c>
    </row>
    <row r="257" spans="1:16" x14ac:dyDescent="0.2">
      <c r="A257" s="26">
        <f t="shared" si="1"/>
        <v>2014.08</v>
      </c>
      <c r="B257" s="50">
        <v>147.44632769819725</v>
      </c>
      <c r="C257" s="51">
        <v>5.5354057067518777E-3</v>
      </c>
      <c r="D257" s="51">
        <v>-9.7057294772887655E-3</v>
      </c>
      <c r="E257" s="51">
        <v>-9.7057294772887655E-3</v>
      </c>
      <c r="F257" s="51">
        <v>1.0399773495937126E-3</v>
      </c>
      <c r="G257" s="51">
        <v>-1.2387318584971444E-2</v>
      </c>
      <c r="H257" s="51">
        <v>5.0154155629693165E-2</v>
      </c>
      <c r="I257" s="51">
        <v>1.8883418522360858E-2</v>
      </c>
      <c r="J257" s="50">
        <v>148.92819297313901</v>
      </c>
      <c r="K257" s="51">
        <v>-1.0089381440610778E-2</v>
      </c>
      <c r="L257" s="50">
        <v>121.59881698317686</v>
      </c>
      <c r="M257" s="50">
        <v>47.882492881536166</v>
      </c>
      <c r="N257" s="53">
        <v>0</v>
      </c>
      <c r="O257" s="80">
        <v>0</v>
      </c>
      <c r="P257" s="85">
        <v>1</v>
      </c>
    </row>
    <row r="258" spans="1:16" x14ac:dyDescent="0.2">
      <c r="A258" s="26">
        <f t="shared" si="1"/>
        <v>2014.09</v>
      </c>
      <c r="B258" s="50">
        <v>147.75323677193217</v>
      </c>
      <c r="C258" s="51">
        <v>2.0793335848300894E-3</v>
      </c>
      <c r="D258" s="51">
        <v>-9.7630044307611286E-3</v>
      </c>
      <c r="E258" s="51">
        <v>-9.7630044307611286E-3</v>
      </c>
      <c r="F258" s="51">
        <v>6.4005176714756473E-3</v>
      </c>
      <c r="G258" s="51">
        <v>-1.2387318584971444E-2</v>
      </c>
      <c r="H258" s="51">
        <v>5.0154155629693165E-2</v>
      </c>
      <c r="I258" s="51">
        <v>1.8883418522360858E-2</v>
      </c>
      <c r="J258" s="50">
        <v>149.05015430310499</v>
      </c>
      <c r="K258" s="51">
        <v>-8.8531551616044535E-3</v>
      </c>
      <c r="L258" s="50">
        <v>121.65869612018068</v>
      </c>
      <c r="M258" s="50">
        <v>51.245592422625776</v>
      </c>
      <c r="N258" s="53">
        <v>0</v>
      </c>
      <c r="O258" s="80">
        <v>0</v>
      </c>
      <c r="P258" s="85">
        <v>0</v>
      </c>
    </row>
    <row r="259" spans="1:16" x14ac:dyDescent="0.2">
      <c r="A259" s="26">
        <f t="shared" si="1"/>
        <v>2014.1</v>
      </c>
      <c r="B259" s="50">
        <v>148.42180328100608</v>
      </c>
      <c r="C259" s="51">
        <v>4.5146791879053091E-3</v>
      </c>
      <c r="D259" s="51">
        <v>-4.2166451145088336E-3</v>
      </c>
      <c r="E259" s="51">
        <v>-4.2166451145088336E-3</v>
      </c>
      <c r="F259" s="51">
        <v>1.6362540938004377E-2</v>
      </c>
      <c r="G259" s="51">
        <v>-1.2387318584971444E-2</v>
      </c>
      <c r="H259" s="51">
        <v>5.0154155629693165E-2</v>
      </c>
      <c r="I259" s="51">
        <v>1.8883418522360858E-2</v>
      </c>
      <c r="J259" s="50">
        <v>149.16696113499799</v>
      </c>
      <c r="K259" s="51">
        <v>-5.1612155941315185E-3</v>
      </c>
      <c r="L259" s="50">
        <v>122.01539285658453</v>
      </c>
      <c r="M259" s="50">
        <v>52.927142193170582</v>
      </c>
      <c r="N259" s="53">
        <v>0</v>
      </c>
      <c r="O259" s="80">
        <v>0</v>
      </c>
      <c r="P259" s="85">
        <v>0</v>
      </c>
    </row>
    <row r="260" spans="1:16" x14ac:dyDescent="0.2">
      <c r="A260" s="26">
        <f t="shared" si="1"/>
        <v>2014.11</v>
      </c>
      <c r="B260" s="50">
        <v>148.52788439661401</v>
      </c>
      <c r="C260" s="51">
        <v>7.1447201005776697E-4</v>
      </c>
      <c r="D260" s="51">
        <v>1.4407292685534684E-4</v>
      </c>
      <c r="E260" s="51">
        <v>1.4407292685534684E-4</v>
      </c>
      <c r="F260" s="51">
        <v>1.837180617847034E-2</v>
      </c>
      <c r="G260" s="51">
        <v>-1.2387318584971444E-2</v>
      </c>
      <c r="H260" s="51">
        <v>5.0154155629693165E-2</v>
      </c>
      <c r="I260" s="51">
        <v>1.8883418522360858E-2</v>
      </c>
      <c r="J260" s="50">
        <v>149.27853576624599</v>
      </c>
      <c r="K260" s="51">
        <v>-5.2081566619919251E-3</v>
      </c>
      <c r="L260" s="50">
        <v>121.90897465314677</v>
      </c>
      <c r="M260" s="50">
        <v>51.245592422625776</v>
      </c>
      <c r="N260" s="53">
        <v>0</v>
      </c>
      <c r="O260" s="80">
        <v>0</v>
      </c>
      <c r="P260" s="85">
        <v>0</v>
      </c>
    </row>
    <row r="261" spans="1:16" x14ac:dyDescent="0.2">
      <c r="A261" s="26">
        <f t="shared" si="1"/>
        <v>2014.12</v>
      </c>
      <c r="B261" s="50">
        <v>148.45716786516272</v>
      </c>
      <c r="C261" s="51">
        <v>-4.7622957619752253E-4</v>
      </c>
      <c r="D261" s="51">
        <v>1.4894145299584884E-3</v>
      </c>
      <c r="E261" s="51">
        <v>1.4894145299584884E-3</v>
      </c>
      <c r="F261" s="51">
        <v>1.7454080326136934E-2</v>
      </c>
      <c r="G261" s="51">
        <v>-1.2387318584971444E-2</v>
      </c>
      <c r="H261" s="51">
        <v>5.0154155629693165E-2</v>
      </c>
      <c r="I261" s="51">
        <v>1.8883418522360858E-2</v>
      </c>
      <c r="J261" s="50">
        <v>149.38479445845701</v>
      </c>
      <c r="K261" s="51">
        <v>-6.4035701202794781E-3</v>
      </c>
      <c r="L261" s="50">
        <v>121.65770496664504</v>
      </c>
      <c r="M261" s="50">
        <v>49.564042652080971</v>
      </c>
      <c r="N261" s="53">
        <v>0</v>
      </c>
      <c r="O261" s="80">
        <v>0</v>
      </c>
      <c r="P261" s="85">
        <v>0</v>
      </c>
    </row>
    <row r="262" spans="1:16" x14ac:dyDescent="0.2">
      <c r="A262" s="26">
        <f t="shared" si="1"/>
        <v>2015.01</v>
      </c>
      <c r="B262" s="50">
        <v>148.81094959702716</v>
      </c>
      <c r="C262" s="51">
        <v>2.3802209393490818E-3</v>
      </c>
      <c r="D262" s="51">
        <v>8.0873428099489213E-3</v>
      </c>
      <c r="E262" s="51">
        <v>8.0873428099489213E-3</v>
      </c>
      <c r="F262" s="51">
        <v>2.1698715729141727E-2</v>
      </c>
      <c r="G262" s="51">
        <v>-1.2387318584971444E-2</v>
      </c>
      <c r="H262" s="51">
        <v>5.0154155629693165E-2</v>
      </c>
      <c r="I262" s="51">
        <v>1.8883418522360858E-2</v>
      </c>
      <c r="J262" s="50">
        <v>149.48564735319999</v>
      </c>
      <c r="K262" s="51">
        <v>-4.722908546631821E-3</v>
      </c>
      <c r="L262" s="50">
        <v>121.75424190287048</v>
      </c>
      <c r="M262" s="50">
        <v>47.882492881536166</v>
      </c>
      <c r="N262" s="53">
        <v>0</v>
      </c>
      <c r="O262" s="80">
        <v>0</v>
      </c>
      <c r="P262" s="85">
        <v>0</v>
      </c>
    </row>
    <row r="263" spans="1:16" x14ac:dyDescent="0.2">
      <c r="A263" s="26">
        <f t="shared" si="1"/>
        <v>2015.02</v>
      </c>
      <c r="B263" s="50">
        <v>149.79915683155346</v>
      </c>
      <c r="C263" s="51">
        <v>6.6187367462631104E-3</v>
      </c>
      <c r="D263" s="51">
        <v>2.0704368608603429E-2</v>
      </c>
      <c r="E263" s="51">
        <v>2.0704368608603429E-2</v>
      </c>
      <c r="F263" s="51">
        <v>3.2964268327238866E-2</v>
      </c>
      <c r="G263" s="51">
        <v>-1.2387318584971444E-2</v>
      </c>
      <c r="H263" s="51">
        <v>5.0154155629693165E-2</v>
      </c>
      <c r="I263" s="51">
        <v>1.8883418522360858E-2</v>
      </c>
      <c r="J263" s="50">
        <v>149.580997101143</v>
      </c>
      <c r="K263" s="51">
        <v>1.2318223491392111E-3</v>
      </c>
      <c r="L263" s="50">
        <v>122.36841829358899</v>
      </c>
      <c r="M263" s="50">
        <v>49.564042652080971</v>
      </c>
      <c r="N263" s="53">
        <v>0</v>
      </c>
      <c r="O263" s="80">
        <v>0</v>
      </c>
      <c r="P263" s="85">
        <v>0</v>
      </c>
    </row>
    <row r="264" spans="1:16" x14ac:dyDescent="0.2">
      <c r="A264" s="26">
        <f t="shared" si="1"/>
        <v>2015.03</v>
      </c>
      <c r="B264" s="50">
        <v>150.4192799793087</v>
      </c>
      <c r="C264" s="51">
        <v>4.1311522122524881E-3</v>
      </c>
      <c r="D264" s="51">
        <v>3.1509121213586073E-2</v>
      </c>
      <c r="E264" s="51">
        <v>3.1509121213586073E-2</v>
      </c>
      <c r="F264" s="51">
        <v>3.7541233364876803E-2</v>
      </c>
      <c r="G264" s="51">
        <v>-1.2387318584971444E-2</v>
      </c>
      <c r="H264" s="51">
        <v>5.0154155629693165E-2</v>
      </c>
      <c r="I264" s="51">
        <v>1.8883418522360858E-2</v>
      </c>
      <c r="J264" s="50">
        <v>149.67074082468901</v>
      </c>
      <c r="K264" s="51">
        <v>4.7571184271357758E-3</v>
      </c>
      <c r="L264" s="50">
        <v>122.68013573185789</v>
      </c>
      <c r="M264" s="50">
        <v>52.927142193170582</v>
      </c>
      <c r="N264" s="53">
        <v>0</v>
      </c>
      <c r="O264" s="80">
        <v>0</v>
      </c>
      <c r="P264" s="85">
        <v>0</v>
      </c>
    </row>
    <row r="265" spans="1:16" x14ac:dyDescent="0.2">
      <c r="A265" s="26">
        <f t="shared" si="1"/>
        <v>2015.04</v>
      </c>
      <c r="B265" s="50">
        <v>151.26846777597834</v>
      </c>
      <c r="C265" s="51">
        <v>5.6295958037178261E-3</v>
      </c>
      <c r="D265" s="51">
        <v>3.7140533063153486E-2</v>
      </c>
      <c r="E265" s="51">
        <v>3.7140533063153486E-2</v>
      </c>
      <c r="F265" s="51">
        <v>4.3296094681089414E-2</v>
      </c>
      <c r="G265" s="51">
        <v>-1.2387318584971444E-2</v>
      </c>
      <c r="H265" s="51">
        <v>5.0154155629693165E-2</v>
      </c>
      <c r="I265" s="51">
        <v>1.8883418522360858E-2</v>
      </c>
      <c r="J265" s="50">
        <v>149.75477692210799</v>
      </c>
      <c r="K265" s="51">
        <v>9.8450192029739814E-3</v>
      </c>
      <c r="L265" s="50">
        <v>123.17708292203855</v>
      </c>
      <c r="M265" s="50">
        <v>54.608691963715387</v>
      </c>
      <c r="N265" s="53">
        <v>0</v>
      </c>
      <c r="O265" s="80">
        <v>0</v>
      </c>
      <c r="P265" s="85">
        <v>0</v>
      </c>
    </row>
    <row r="266" spans="1:16" x14ac:dyDescent="0.2">
      <c r="A266" s="26">
        <f t="shared" si="1"/>
        <v>2015.05</v>
      </c>
      <c r="B266" s="50">
        <v>152.32271563053604</v>
      </c>
      <c r="C266" s="51">
        <v>6.9452088854710494E-3</v>
      </c>
      <c r="D266" s="51">
        <v>4.3388227714008104E-2</v>
      </c>
      <c r="E266" s="51">
        <v>4.3388227714008104E-2</v>
      </c>
      <c r="F266" s="51">
        <v>5.0720860914434063E-2</v>
      </c>
      <c r="G266" s="51">
        <v>-1.2387318584971444E-2</v>
      </c>
      <c r="H266" s="51">
        <v>5.0154155629693165E-2</v>
      </c>
      <c r="I266" s="51">
        <v>1.8883418522360858E-2</v>
      </c>
      <c r="J266" s="50">
        <v>149.83300906745799</v>
      </c>
      <c r="K266" s="51">
        <v>1.6333887593522167E-2</v>
      </c>
      <c r="L266" s="50">
        <v>123.83886002237301</v>
      </c>
      <c r="M266" s="50">
        <v>64.697990586984218</v>
      </c>
      <c r="N266" s="53">
        <v>0</v>
      </c>
      <c r="O266" s="80">
        <v>0</v>
      </c>
      <c r="P266" s="85">
        <v>0</v>
      </c>
    </row>
    <row r="267" spans="1:16" x14ac:dyDescent="0.2">
      <c r="A267" s="26">
        <f t="shared" si="1"/>
        <v>2015.06</v>
      </c>
      <c r="B267" s="50">
        <v>153.0666625940446</v>
      </c>
      <c r="C267" s="51">
        <v>4.872130389489652E-3</v>
      </c>
      <c r="D267" s="51">
        <v>4.6274682937171144E-2</v>
      </c>
      <c r="E267" s="51">
        <v>4.6274682937171144E-2</v>
      </c>
      <c r="F267" s="51">
        <v>5.3137203986866055E-2</v>
      </c>
      <c r="G267" s="51">
        <v>-1.2387318584971444E-2</v>
      </c>
      <c r="H267" s="51">
        <v>5.0154155629693165E-2</v>
      </c>
      <c r="I267" s="51">
        <v>1.8883418522360858E-2</v>
      </c>
      <c r="J267" s="50">
        <v>149.905352216149</v>
      </c>
      <c r="K267" s="51">
        <v>2.0785905791431469E-2</v>
      </c>
      <c r="L267" s="50">
        <v>124.24635295330802</v>
      </c>
      <c r="M267" s="50">
        <v>68.061090128073801</v>
      </c>
      <c r="N267" s="53">
        <v>0</v>
      </c>
      <c r="O267" s="80">
        <v>0</v>
      </c>
      <c r="P267" s="85">
        <v>0</v>
      </c>
    </row>
    <row r="268" spans="1:16" x14ac:dyDescent="0.2">
      <c r="A268" s="26">
        <f t="shared" si="1"/>
        <v>2015.07</v>
      </c>
      <c r="B268" s="50">
        <v>153.49737645407242</v>
      </c>
      <c r="C268" s="51">
        <v>2.8099456463811889E-3</v>
      </c>
      <c r="D268" s="51">
        <v>4.5754651536271861E-2</v>
      </c>
      <c r="E268" s="51">
        <v>4.5754651536271861E-2</v>
      </c>
      <c r="F268" s="51">
        <v>5.108199603620367E-2</v>
      </c>
      <c r="G268" s="51">
        <v>-1.2387318584971444E-2</v>
      </c>
      <c r="H268" s="51">
        <v>5.0154155629693165E-2</v>
      </c>
      <c r="I268" s="51">
        <v>1.8883418522360858E-2</v>
      </c>
      <c r="J268" s="50">
        <v>149.97174025757801</v>
      </c>
      <c r="K268" s="51">
        <v>2.3185578934840079E-2</v>
      </c>
      <c r="L268" s="50">
        <v>124.39838959189291</v>
      </c>
      <c r="M268" s="50">
        <v>69.74263989861862</v>
      </c>
      <c r="N268" s="53">
        <v>0</v>
      </c>
      <c r="O268" s="80">
        <v>0</v>
      </c>
      <c r="P268" s="85">
        <v>0</v>
      </c>
    </row>
    <row r="269" spans="1:16" x14ac:dyDescent="0.2">
      <c r="A269" s="26">
        <f t="shared" si="1"/>
        <v>2015.08</v>
      </c>
      <c r="B269" s="50">
        <v>152.92731995987705</v>
      </c>
      <c r="C269" s="51">
        <v>-3.7206997902129754E-3</v>
      </c>
      <c r="D269" s="51">
        <v>3.6498546039307085E-2</v>
      </c>
      <c r="E269" s="51">
        <v>3.6498546039307085E-2</v>
      </c>
      <c r="F269" s="51">
        <v>3.654788035443568E-2</v>
      </c>
      <c r="G269" s="51">
        <v>-1.2387318584971444E-2</v>
      </c>
      <c r="H269" s="51">
        <v>5.0154155629693165E-2</v>
      </c>
      <c r="I269" s="51">
        <v>1.8883418522360858E-2</v>
      </c>
      <c r="J269" s="50">
        <v>150.032131224099</v>
      </c>
      <c r="K269" s="51">
        <v>1.8955281012521974E-2</v>
      </c>
      <c r="L269" s="50">
        <v>123.73986661331107</v>
      </c>
      <c r="M269" s="50">
        <v>61.334891045894587</v>
      </c>
      <c r="N269" s="53">
        <v>1</v>
      </c>
      <c r="O269" s="80">
        <v>1</v>
      </c>
      <c r="P269" s="85">
        <v>0</v>
      </c>
    </row>
    <row r="270" spans="1:16" x14ac:dyDescent="0.2">
      <c r="A270" s="26">
        <f t="shared" si="1"/>
        <v>2015.09</v>
      </c>
      <c r="B270" s="50">
        <v>152.54552872068541</v>
      </c>
      <c r="C270" s="51">
        <v>-2.4996751078770851E-3</v>
      </c>
      <c r="D270" s="51">
        <v>3.1919537346600142E-2</v>
      </c>
      <c r="E270" s="51">
        <v>3.1919537346600142E-2</v>
      </c>
      <c r="F270" s="51">
        <v>2.5999666252444209E-2</v>
      </c>
      <c r="G270" s="51">
        <v>-1.2387318584971444E-2</v>
      </c>
      <c r="H270" s="51">
        <v>5.0154155629693165E-2</v>
      </c>
      <c r="I270" s="51">
        <v>1.8883418522360858E-2</v>
      </c>
      <c r="J270" s="50">
        <v>150.08651006311501</v>
      </c>
      <c r="K270" s="51">
        <v>1.6022556387449871E-2</v>
      </c>
      <c r="L270" s="50">
        <v>123.23521103855937</v>
      </c>
      <c r="M270" s="50">
        <v>57.97179150480499</v>
      </c>
      <c r="N270" s="53">
        <v>1</v>
      </c>
      <c r="O270" s="80">
        <v>1</v>
      </c>
      <c r="P270" s="85">
        <v>1</v>
      </c>
    </row>
    <row r="271" spans="1:16" x14ac:dyDescent="0.2">
      <c r="A271" s="26">
        <f t="shared" si="1"/>
        <v>2015.1</v>
      </c>
      <c r="B271" s="50">
        <v>152.30857910168407</v>
      </c>
      <c r="C271" s="51">
        <v>-1.5545118837976474E-3</v>
      </c>
      <c r="D271" s="51">
        <v>2.5850346274897042E-2</v>
      </c>
      <c r="E271" s="51">
        <v>2.5850346274897042E-2</v>
      </c>
      <c r="F271" s="51">
        <v>1.8064453048207696E-2</v>
      </c>
      <c r="G271" s="51">
        <v>-1.2387318584971444E-2</v>
      </c>
      <c r="H271" s="51">
        <v>5.0154155629693165E-2</v>
      </c>
      <c r="I271" s="51">
        <v>1.8883418522360858E-2</v>
      </c>
      <c r="J271" s="50">
        <v>150.13488370564701</v>
      </c>
      <c r="K271" s="51">
        <v>1.4096433318451895E-2</v>
      </c>
      <c r="L271" s="50">
        <v>122.84867082096828</v>
      </c>
      <c r="M271" s="50">
        <v>54.608691963715387</v>
      </c>
      <c r="N271" s="53">
        <v>1</v>
      </c>
      <c r="O271" s="80">
        <v>1</v>
      </c>
      <c r="P271" s="85">
        <v>1</v>
      </c>
    </row>
    <row r="272" spans="1:16" x14ac:dyDescent="0.2">
      <c r="A272" s="26">
        <f t="shared" si="1"/>
        <v>2015.11</v>
      </c>
      <c r="B272" s="50">
        <v>151.52802952710925</v>
      </c>
      <c r="C272" s="51">
        <v>-5.1379673780704129E-3</v>
      </c>
      <c r="D272" s="51">
        <v>1.9997906886768845E-2</v>
      </c>
      <c r="E272" s="51">
        <v>1.9997906886768845E-2</v>
      </c>
      <c r="F272" s="51">
        <v>4.4676805692913657E-3</v>
      </c>
      <c r="G272" s="51">
        <v>-1.2387318584971444E-2</v>
      </c>
      <c r="H272" s="51">
        <v>5.0154155629693165E-2</v>
      </c>
      <c r="I272" s="51">
        <v>1.8883418522360858E-2</v>
      </c>
      <c r="J272" s="50">
        <v>150.17727771119499</v>
      </c>
      <c r="K272" s="51">
        <v>8.593141072903876E-3</v>
      </c>
      <c r="L272" s="50">
        <v>122.0252864349724</v>
      </c>
      <c r="M272" s="50">
        <v>44.519393340446555</v>
      </c>
      <c r="N272" s="53">
        <v>1</v>
      </c>
      <c r="O272" s="80">
        <v>1</v>
      </c>
      <c r="P272" s="85">
        <v>1</v>
      </c>
    </row>
    <row r="273" spans="1:16" x14ac:dyDescent="0.2">
      <c r="A273" s="26">
        <f t="shared" si="1"/>
        <v>2015.12</v>
      </c>
      <c r="B273" s="50">
        <v>150.83923496707106</v>
      </c>
      <c r="C273" s="51">
        <v>-4.5560206568726119E-3</v>
      </c>
      <c r="D273" s="51">
        <v>1.5918115806093727E-2</v>
      </c>
      <c r="E273" s="51">
        <v>1.5918115806093727E-2</v>
      </c>
      <c r="F273" s="51">
        <v>-6.979796135324956E-3</v>
      </c>
      <c r="G273" s="51">
        <v>-1.2387318584971444E-2</v>
      </c>
      <c r="H273" s="51">
        <v>5.0154155629693165E-2</v>
      </c>
      <c r="I273" s="51">
        <v>1.8883418522360858E-2</v>
      </c>
      <c r="J273" s="50">
        <v>150.213734084934</v>
      </c>
      <c r="K273" s="51">
        <v>3.7429425952650863E-3</v>
      </c>
      <c r="L273" s="50">
        <v>121.2779775128698</v>
      </c>
      <c r="M273" s="50">
        <v>37.793194258267349</v>
      </c>
      <c r="N273" s="53">
        <v>1</v>
      </c>
      <c r="O273" s="80">
        <v>1</v>
      </c>
      <c r="P273" s="85">
        <v>1</v>
      </c>
    </row>
    <row r="274" spans="1:16" x14ac:dyDescent="0.2">
      <c r="A274" s="26">
        <f t="shared" si="1"/>
        <v>2016.01</v>
      </c>
      <c r="B274" s="50">
        <v>149.99763821719503</v>
      </c>
      <c r="C274" s="51">
        <v>-5.5950518063469208E-3</v>
      </c>
      <c r="D274" s="51">
        <v>7.9428430603975479E-3</v>
      </c>
      <c r="E274" s="51">
        <v>7.9428430603975479E-3</v>
      </c>
      <c r="F274" s="51">
        <v>-1.9558562702542859E-2</v>
      </c>
      <c r="G274" s="51">
        <v>-1.2387318584971444E-2</v>
      </c>
      <c r="H274" s="51">
        <v>5.0154155629693165E-2</v>
      </c>
      <c r="I274" s="51">
        <v>1.8883418522360858E-2</v>
      </c>
      <c r="J274" s="50">
        <v>150.24430491200999</v>
      </c>
      <c r="K274" s="51">
        <v>-2.0825701917986938E-3</v>
      </c>
      <c r="L274" s="50">
        <v>120.41007043734338</v>
      </c>
      <c r="M274" s="50">
        <v>32.74854494663294</v>
      </c>
      <c r="N274" s="53">
        <v>1</v>
      </c>
      <c r="O274" s="80">
        <v>1</v>
      </c>
      <c r="P274" s="85">
        <v>1</v>
      </c>
    </row>
    <row r="275" spans="1:16" x14ac:dyDescent="0.2">
      <c r="A275" s="26">
        <f t="shared" si="1"/>
        <v>2016.02</v>
      </c>
      <c r="B275" s="50">
        <v>149.32747796337026</v>
      </c>
      <c r="C275" s="51">
        <v>-4.4778158421749769E-3</v>
      </c>
      <c r="D275" s="51">
        <v>-3.1537095280406301E-3</v>
      </c>
      <c r="E275" s="51">
        <v>-3.1537095280406301E-3</v>
      </c>
      <c r="F275" s="51">
        <v>-2.8800030074333738E-2</v>
      </c>
      <c r="G275" s="51">
        <v>-1.2387318584971444E-2</v>
      </c>
      <c r="H275" s="51">
        <v>5.0154155629693165E-2</v>
      </c>
      <c r="I275" s="51">
        <v>1.8883418522360858E-2</v>
      </c>
      <c r="J275" s="50">
        <v>150.269046751388</v>
      </c>
      <c r="K275" s="51">
        <v>-6.7270309708910014E-3</v>
      </c>
      <c r="L275" s="50">
        <v>119.68201278672002</v>
      </c>
      <c r="M275" s="50">
        <v>34.430094717177738</v>
      </c>
      <c r="N275" s="53">
        <v>1</v>
      </c>
      <c r="O275" s="80">
        <v>1</v>
      </c>
      <c r="P275" s="85">
        <v>1</v>
      </c>
    </row>
    <row r="276" spans="1:16" x14ac:dyDescent="0.2">
      <c r="A276" s="26">
        <f t="shared" si="1"/>
        <v>2016.03</v>
      </c>
      <c r="B276" s="50">
        <v>148.9561174124874</v>
      </c>
      <c r="C276" s="51">
        <v>-2.4899843538844432E-3</v>
      </c>
      <c r="D276" s="51">
        <v>-9.774846094177515E-3</v>
      </c>
      <c r="E276" s="51">
        <v>-9.774846094177515E-3</v>
      </c>
      <c r="F276" s="51">
        <v>-3.2791703158056351E-2</v>
      </c>
      <c r="G276" s="51">
        <v>-1.2387318584971444E-2</v>
      </c>
      <c r="H276" s="51">
        <v>5.0154155629693165E-2</v>
      </c>
      <c r="I276" s="51">
        <v>1.8883418522360858E-2</v>
      </c>
      <c r="J276" s="50">
        <v>150.288013900923</v>
      </c>
      <c r="K276" s="51">
        <v>-9.3449100051646861E-3</v>
      </c>
      <c r="L276" s="50">
        <v>119.19506168028165</v>
      </c>
      <c r="M276" s="50">
        <v>32.74854494663294</v>
      </c>
      <c r="N276" s="53">
        <v>1</v>
      </c>
      <c r="O276" s="80">
        <v>1</v>
      </c>
      <c r="P276" s="85">
        <v>1</v>
      </c>
    </row>
    <row r="277" spans="1:16" x14ac:dyDescent="0.2">
      <c r="A277" s="26">
        <f t="shared" si="1"/>
        <v>2016.04</v>
      </c>
      <c r="B277" s="50">
        <v>148.13630894709235</v>
      </c>
      <c r="C277" s="51">
        <v>-5.5188922603097131E-3</v>
      </c>
      <c r="D277" s="51">
        <v>-2.0923334158204996E-2</v>
      </c>
      <c r="E277" s="51">
        <v>-2.0923334158204996E-2</v>
      </c>
      <c r="F277" s="51">
        <v>-4.1173731590573026E-2</v>
      </c>
      <c r="G277" s="51">
        <v>-1.2387318584971444E-2</v>
      </c>
      <c r="H277" s="51">
        <v>5.0154155629693165E-2</v>
      </c>
      <c r="I277" s="51">
        <v>1.8883418522360858E-2</v>
      </c>
      <c r="J277" s="50">
        <v>150.301253082638</v>
      </c>
      <c r="K277" s="51">
        <v>-1.4906811802705366E-2</v>
      </c>
      <c r="L277" s="50">
        <v>118.35107389036696</v>
      </c>
      <c r="M277" s="50">
        <v>31.066995176088138</v>
      </c>
      <c r="N277" s="53">
        <v>1</v>
      </c>
      <c r="O277" s="80">
        <v>1</v>
      </c>
      <c r="P277" s="85">
        <v>1</v>
      </c>
    </row>
    <row r="278" spans="1:16" x14ac:dyDescent="0.2">
      <c r="A278" s="26">
        <f t="shared" si="1"/>
        <v>2016.05</v>
      </c>
      <c r="B278" s="50">
        <v>147.52141817352177</v>
      </c>
      <c r="C278" s="51">
        <v>-4.1594831029301248E-3</v>
      </c>
      <c r="D278" s="51">
        <v>-3.2028026146606117E-2</v>
      </c>
      <c r="E278" s="51">
        <v>-3.2028026146606117E-2</v>
      </c>
      <c r="F278" s="51">
        <v>-4.5475571826940175E-2</v>
      </c>
      <c r="G278" s="51">
        <v>-1.2387318584971444E-2</v>
      </c>
      <c r="H278" s="51">
        <v>5.0154155629693165E-2</v>
      </c>
      <c r="I278" s="51">
        <v>1.8883418522360858E-2</v>
      </c>
      <c r="J278" s="50">
        <v>150.308800481172</v>
      </c>
      <c r="K278" s="51">
        <v>-1.9068077169894337E-2</v>
      </c>
      <c r="L278" s="50">
        <v>117.67291911196914</v>
      </c>
      <c r="M278" s="50">
        <v>31.066995176088138</v>
      </c>
      <c r="N278" s="53">
        <v>1</v>
      </c>
      <c r="O278" s="80">
        <v>1</v>
      </c>
      <c r="P278" s="85">
        <v>1</v>
      </c>
    </row>
    <row r="279" spans="1:16" x14ac:dyDescent="0.2">
      <c r="A279" s="26">
        <f t="shared" si="1"/>
        <v>2016.06</v>
      </c>
      <c r="B279" s="50">
        <v>146.79132440343801</v>
      </c>
      <c r="C279" s="51">
        <v>-4.961356829467402E-3</v>
      </c>
      <c r="D279" s="51">
        <v>-4.186151336556302E-2</v>
      </c>
      <c r="E279" s="51">
        <v>-4.186151336556302E-2</v>
      </c>
      <c r="F279" s="51">
        <v>-4.9543147187613767E-2</v>
      </c>
      <c r="G279" s="51">
        <v>-1.2387318584971444E-2</v>
      </c>
      <c r="H279" s="51">
        <v>5.0154155629693165E-2</v>
      </c>
      <c r="I279" s="51">
        <v>1.8883418522360858E-2</v>
      </c>
      <c r="J279" s="50">
        <v>150.310675299439</v>
      </c>
      <c r="K279" s="51">
        <v>-2.3958108117644206E-2</v>
      </c>
      <c r="L279" s="50">
        <v>116.9048696398396</v>
      </c>
      <c r="M279" s="50">
        <v>32.74854494663294</v>
      </c>
      <c r="N279" s="53">
        <v>1</v>
      </c>
      <c r="O279" s="80">
        <v>1</v>
      </c>
      <c r="P279" s="85">
        <v>1</v>
      </c>
    </row>
    <row r="280" spans="1:16" x14ac:dyDescent="0.2">
      <c r="A280" s="26">
        <f t="shared" si="1"/>
        <v>2016.07</v>
      </c>
      <c r="B280" s="50">
        <v>147.0781649535713</v>
      </c>
      <c r="C280" s="51">
        <v>1.9521634713103612E-3</v>
      </c>
      <c r="D280" s="51">
        <v>-4.271929554063382E-2</v>
      </c>
      <c r="E280" s="51">
        <v>-4.271929554063382E-2</v>
      </c>
      <c r="F280" s="51">
        <v>-3.9977947645528755E-2</v>
      </c>
      <c r="G280" s="51">
        <v>-1.2387318584971444E-2</v>
      </c>
      <c r="H280" s="51">
        <v>5.0154155629693165E-2</v>
      </c>
      <c r="I280" s="51">
        <v>1.8883418522360858E-2</v>
      </c>
      <c r="J280" s="50">
        <v>150.30687492395899</v>
      </c>
      <c r="K280" s="51">
        <v>-2.2049519276384877E-2</v>
      </c>
      <c r="L280" s="50">
        <v>116.94756414671423</v>
      </c>
      <c r="M280" s="50">
        <v>37.793194258267349</v>
      </c>
      <c r="N280" s="53">
        <v>0</v>
      </c>
      <c r="O280" s="80">
        <v>0</v>
      </c>
      <c r="P280" s="85">
        <v>0</v>
      </c>
    </row>
    <row r="281" spans="1:16" x14ac:dyDescent="0.2">
      <c r="A281" s="26">
        <f t="shared" si="1"/>
        <v>2016.08</v>
      </c>
      <c r="B281" s="50">
        <v>148.14154416591637</v>
      </c>
      <c r="C281" s="51">
        <v>7.2040163879130165E-3</v>
      </c>
      <c r="D281" s="51">
        <v>-3.1794579362507881E-2</v>
      </c>
      <c r="E281" s="51">
        <v>-3.1794579362507881E-2</v>
      </c>
      <c r="F281" s="51">
        <v>-2.0702452113180225E-2</v>
      </c>
      <c r="G281" s="51">
        <v>-1.2387318584971444E-2</v>
      </c>
      <c r="H281" s="51">
        <v>5.0154155629693165E-2</v>
      </c>
      <c r="I281" s="51">
        <v>1.8883418522360858E-2</v>
      </c>
      <c r="J281" s="50">
        <v>150.29736925437101</v>
      </c>
      <c r="K281" s="51">
        <v>-1.4940318818815412E-2</v>
      </c>
      <c r="L281" s="50">
        <v>117.60630619759965</v>
      </c>
      <c r="M281" s="50">
        <v>42.837843569901757</v>
      </c>
      <c r="N281" s="53">
        <v>0</v>
      </c>
      <c r="O281" s="80">
        <v>0</v>
      </c>
      <c r="P281" s="85">
        <v>0</v>
      </c>
    </row>
    <row r="282" spans="1:16" x14ac:dyDescent="0.2">
      <c r="A282" s="26">
        <f t="shared" si="1"/>
        <v>2016.09</v>
      </c>
      <c r="B282" s="50">
        <v>148.66472945676429</v>
      </c>
      <c r="C282" s="51">
        <v>3.5254364831189973E-3</v>
      </c>
      <c r="D282" s="51">
        <v>-2.5769467771511876E-2</v>
      </c>
      <c r="E282" s="51">
        <v>-2.5769467771511876E-2</v>
      </c>
      <c r="F282" s="51">
        <v>-9.4457433281901482E-3</v>
      </c>
      <c r="G282" s="51">
        <v>-1.2387318584971444E-2</v>
      </c>
      <c r="H282" s="51">
        <v>5.0154155629693165E-2</v>
      </c>
      <c r="I282" s="51">
        <v>1.8883418522360858E-2</v>
      </c>
      <c r="J282" s="50">
        <v>150.282102892317</v>
      </c>
      <c r="K282" s="51">
        <v>-1.1384889098308815E-2</v>
      </c>
      <c r="L282" s="50">
        <v>117.83449695329551</v>
      </c>
      <c r="M282" s="50">
        <v>46.200943110991368</v>
      </c>
      <c r="N282" s="53">
        <v>0</v>
      </c>
      <c r="O282" s="80">
        <v>0</v>
      </c>
      <c r="P282" s="85">
        <v>0</v>
      </c>
    </row>
    <row r="283" spans="1:16" x14ac:dyDescent="0.2">
      <c r="A283" s="26">
        <f t="shared" si="1"/>
        <v>2016.1</v>
      </c>
      <c r="B283" s="50">
        <v>148.89839606093992</v>
      </c>
      <c r="C283" s="51">
        <v>1.5705350036156244E-3</v>
      </c>
      <c r="D283" s="51">
        <v>-2.2644420884098536E-2</v>
      </c>
      <c r="E283" s="51">
        <v>-2.2644420884098536E-2</v>
      </c>
      <c r="F283" s="51">
        <v>-2.5880390579264834E-3</v>
      </c>
      <c r="G283" s="51">
        <v>-1.2387318584971444E-2</v>
      </c>
      <c r="H283" s="51">
        <v>5.0154155629693165E-2</v>
      </c>
      <c r="I283" s="51">
        <v>1.8883418522360858E-2</v>
      </c>
      <c r="J283" s="50">
        <v>150.261003388609</v>
      </c>
      <c r="K283" s="51">
        <v>-9.7159329105380721E-3</v>
      </c>
      <c r="L283" s="50">
        <v>117.83255412806052</v>
      </c>
      <c r="M283" s="50">
        <v>49.564042652080971</v>
      </c>
      <c r="N283" s="53">
        <v>0</v>
      </c>
      <c r="O283" s="80">
        <v>0</v>
      </c>
      <c r="P283" s="85">
        <v>0</v>
      </c>
    </row>
    <row r="284" spans="1:16" x14ac:dyDescent="0.2">
      <c r="A284" s="26">
        <f t="shared" si="1"/>
        <v>2016.11</v>
      </c>
      <c r="B284" s="50">
        <v>150.17751289504659</v>
      </c>
      <c r="C284" s="51">
        <v>8.5538459971183471E-3</v>
      </c>
      <c r="D284" s="51">
        <v>-8.9526075089097785E-3</v>
      </c>
      <c r="E284" s="51">
        <v>-8.9526075089097785E-3</v>
      </c>
      <c r="F284" s="51">
        <v>1.6862836283670246E-2</v>
      </c>
      <c r="G284" s="51">
        <v>-1.2387318584971444E-2</v>
      </c>
      <c r="H284" s="51">
        <v>5.0154155629693165E-2</v>
      </c>
      <c r="I284" s="51">
        <v>1.8883418522360858E-2</v>
      </c>
      <c r="J284" s="50">
        <v>150.23398546743601</v>
      </c>
      <c r="K284" s="51">
        <v>-1.0533714838354413E-3</v>
      </c>
      <c r="L284" s="50">
        <v>118.65633893903203</v>
      </c>
      <c r="M284" s="50">
        <v>57.97179150480499</v>
      </c>
      <c r="N284" s="53">
        <v>0</v>
      </c>
      <c r="O284" s="80">
        <v>0</v>
      </c>
      <c r="P284" s="85">
        <v>0</v>
      </c>
    </row>
    <row r="285" spans="1:16" x14ac:dyDescent="0.2">
      <c r="A285" s="26">
        <f t="shared" si="1"/>
        <v>2016.12</v>
      </c>
      <c r="B285" s="50">
        <v>151.23952782475919</v>
      </c>
      <c r="C285" s="51">
        <v>7.0468432837612121E-3</v>
      </c>
      <c r="D285" s="51">
        <v>2.6502564317240247E-3</v>
      </c>
      <c r="E285" s="51">
        <v>2.6502564317240247E-3</v>
      </c>
      <c r="F285" s="51">
        <v>3.161797431904545E-2</v>
      </c>
      <c r="G285" s="51">
        <v>-1.2387318584971444E-2</v>
      </c>
      <c r="H285" s="51">
        <v>5.0154155629693165E-2</v>
      </c>
      <c r="I285" s="51">
        <v>1.8883418522360858E-2</v>
      </c>
      <c r="J285" s="50">
        <v>150.20095312064299</v>
      </c>
      <c r="K285" s="51">
        <v>6.2079630279812115E-3</v>
      </c>
      <c r="L285" s="50">
        <v>119.30595301312771</v>
      </c>
      <c r="M285" s="50">
        <v>66.379540357528995</v>
      </c>
      <c r="N285" s="53">
        <v>0</v>
      </c>
      <c r="O285" s="80">
        <v>0</v>
      </c>
      <c r="P285" s="85">
        <v>0</v>
      </c>
    </row>
    <row r="286" spans="1:16" x14ac:dyDescent="0.2">
      <c r="A286" s="26">
        <f t="shared" si="1"/>
        <v>2017.01</v>
      </c>
      <c r="B286" s="50">
        <v>151.79846371636853</v>
      </c>
      <c r="C286" s="51">
        <v>3.6888874731176194E-3</v>
      </c>
      <c r="D286" s="51">
        <v>1.1934195711188608E-2</v>
      </c>
      <c r="E286" s="51">
        <v>1.1934195711188608E-2</v>
      </c>
      <c r="F286" s="51">
        <v>3.8237540457379149E-2</v>
      </c>
      <c r="G286" s="51">
        <v>-1.2387318584971444E-2</v>
      </c>
      <c r="H286" s="51">
        <v>5.0154155629693165E-2</v>
      </c>
      <c r="I286" s="51">
        <v>1.8883418522360858E-2</v>
      </c>
      <c r="J286" s="50">
        <v>150.161809776442</v>
      </c>
      <c r="K286" s="51">
        <v>1.0165785906500968E-2</v>
      </c>
      <c r="L286" s="50">
        <v>119.55698169260334</v>
      </c>
      <c r="M286" s="50">
        <v>68.061090128073801</v>
      </c>
      <c r="N286" s="53">
        <v>0</v>
      </c>
      <c r="O286" s="80">
        <v>0</v>
      </c>
      <c r="P286" s="85">
        <v>0</v>
      </c>
    </row>
    <row r="287" spans="1:16" x14ac:dyDescent="0.2">
      <c r="A287" s="26">
        <f t="shared" si="1"/>
        <v>2017.02</v>
      </c>
      <c r="B287" s="50">
        <v>151.98122327360875</v>
      </c>
      <c r="C287" s="51">
        <v>1.2032376562155129E-3</v>
      </c>
      <c r="D287" s="51">
        <v>1.7615249209579294E-2</v>
      </c>
      <c r="E287" s="51">
        <v>1.7615249209579294E-2</v>
      </c>
      <c r="F287" s="51">
        <v>3.8611068306911855E-2</v>
      </c>
      <c r="G287" s="51">
        <v>-1.2387318584971444E-2</v>
      </c>
      <c r="H287" s="51">
        <v>5.0154155629693165E-2</v>
      </c>
      <c r="I287" s="51">
        <v>1.8883418522360858E-2</v>
      </c>
      <c r="J287" s="50">
        <v>150.11646668309899</v>
      </c>
      <c r="K287" s="51">
        <v>1.1663661439522244E-2</v>
      </c>
      <c r="L287" s="50">
        <v>119.51110629270175</v>
      </c>
      <c r="M287" s="50">
        <v>64.697990586984218</v>
      </c>
      <c r="N287" s="53">
        <v>0</v>
      </c>
      <c r="O287" s="80">
        <v>0</v>
      </c>
      <c r="P287" s="85">
        <v>0</v>
      </c>
    </row>
    <row r="288" spans="1:16" x14ac:dyDescent="0.2">
      <c r="A288" s="26">
        <f t="shared" si="1"/>
        <v>2017.03</v>
      </c>
      <c r="B288" s="50">
        <v>152.8037023807282</v>
      </c>
      <c r="C288" s="51">
        <v>5.3971245582372773E-3</v>
      </c>
      <c r="D288" s="51">
        <v>2.5502358121701041E-2</v>
      </c>
      <c r="E288" s="51">
        <v>2.5502358121701041E-2</v>
      </c>
      <c r="F288" s="51">
        <v>4.6141111769379739E-2</v>
      </c>
      <c r="G288" s="51">
        <v>-1.2387318584971444E-2</v>
      </c>
      <c r="H288" s="51">
        <v>5.0154155629693165E-2</v>
      </c>
      <c r="I288" s="51">
        <v>1.8883418522360858E-2</v>
      </c>
      <c r="J288" s="50">
        <v>150.064847419497</v>
      </c>
      <c r="K288" s="51">
        <v>1.7464829757153355E-2</v>
      </c>
      <c r="L288" s="50">
        <v>119.96732432535444</v>
      </c>
      <c r="M288" s="50">
        <v>66.379540357528995</v>
      </c>
      <c r="N288" s="53">
        <v>0</v>
      </c>
      <c r="O288" s="80">
        <v>0</v>
      </c>
      <c r="P288" s="85">
        <v>0</v>
      </c>
    </row>
    <row r="289" spans="1:16" x14ac:dyDescent="0.2">
      <c r="A289" s="26">
        <f t="shared" si="1"/>
        <v>2017.04</v>
      </c>
      <c r="B289" s="50">
        <v>153.65536883053349</v>
      </c>
      <c r="C289" s="51">
        <v>5.5581232362507714E-3</v>
      </c>
      <c r="D289" s="51">
        <v>3.6579373618261697E-2</v>
      </c>
      <c r="E289" s="51">
        <v>3.6579373618261697E-2</v>
      </c>
      <c r="F289" s="51">
        <v>5.2748142297975642E-2</v>
      </c>
      <c r="G289" s="51">
        <v>-1.2387318584971444E-2</v>
      </c>
      <c r="H289" s="51">
        <v>5.0154155629693165E-2</v>
      </c>
      <c r="I289" s="51">
        <v>1.8883418522360858E-2</v>
      </c>
      <c r="J289" s="50">
        <v>150.00688965769299</v>
      </c>
      <c r="K289" s="51">
        <v>2.3507924298123095E-2</v>
      </c>
      <c r="L289" s="50">
        <v>120.44467378307523</v>
      </c>
      <c r="M289" s="50">
        <v>68.061090128073801</v>
      </c>
      <c r="N289" s="53">
        <v>0</v>
      </c>
      <c r="O289" s="80">
        <v>0</v>
      </c>
      <c r="P289" s="85">
        <v>0</v>
      </c>
    </row>
    <row r="290" spans="1:16" x14ac:dyDescent="0.2">
      <c r="A290" s="26">
        <f t="shared" si="1"/>
        <v>2017.05</v>
      </c>
      <c r="B290" s="50">
        <v>153.97823360263038</v>
      </c>
      <c r="C290" s="51">
        <v>2.0990222660046192E-3</v>
      </c>
      <c r="D290" s="51">
        <v>4.2837878987196355E-2</v>
      </c>
      <c r="E290" s="51">
        <v>4.2837878987196355E-2</v>
      </c>
      <c r="F290" s="51">
        <v>5.0856903527611408E-2</v>
      </c>
      <c r="G290" s="51">
        <v>-1.2387318584971444E-2</v>
      </c>
      <c r="H290" s="51">
        <v>5.0154155629693165E-2</v>
      </c>
      <c r="I290" s="51">
        <v>1.8883418522360858E-2</v>
      </c>
      <c r="J290" s="50">
        <v>149.94255192441</v>
      </c>
      <c r="K290" s="51">
        <v>2.6076086981797308E-2</v>
      </c>
      <c r="L290" s="50">
        <v>120.50635717103447</v>
      </c>
      <c r="M290" s="50">
        <v>64.697990586984218</v>
      </c>
      <c r="N290" s="53">
        <v>0</v>
      </c>
      <c r="O290" s="80">
        <v>0</v>
      </c>
      <c r="P290" s="85">
        <v>0</v>
      </c>
    </row>
    <row r="291" spans="1:16" x14ac:dyDescent="0.2">
      <c r="A291" s="26">
        <f t="shared" si="1"/>
        <v>2017.06</v>
      </c>
      <c r="B291" s="50">
        <v>154.51235748692591</v>
      </c>
      <c r="C291" s="51">
        <v>3.4628246919242668E-3</v>
      </c>
      <c r="D291" s="51">
        <v>5.1262060508587934E-2</v>
      </c>
      <c r="E291" s="51">
        <v>5.1262060508587934E-2</v>
      </c>
      <c r="F291" s="51">
        <v>5.0623430178620366E-2</v>
      </c>
      <c r="G291" s="51">
        <v>-1.2387318584971444E-2</v>
      </c>
      <c r="H291" s="51">
        <v>5.0154155629693165E-2</v>
      </c>
      <c r="I291" s="51">
        <v>1.8883418522360858E-2</v>
      </c>
      <c r="J291" s="50">
        <v>149.871820605312</v>
      </c>
      <c r="K291" s="51">
        <v>3.0099455306874967E-2</v>
      </c>
      <c r="L291" s="50">
        <v>120.73261535492971</v>
      </c>
      <c r="M291" s="50">
        <v>61.334891045894587</v>
      </c>
      <c r="N291" s="53">
        <v>0</v>
      </c>
      <c r="O291" s="80">
        <v>0</v>
      </c>
      <c r="P291" s="85">
        <v>0</v>
      </c>
    </row>
    <row r="292" spans="1:16" x14ac:dyDescent="0.2">
      <c r="A292" s="26">
        <f t="shared" si="1"/>
        <v>2017.07</v>
      </c>
      <c r="B292" s="50">
        <v>154.43190123563804</v>
      </c>
      <c r="C292" s="51">
        <v>-5.2084640406910505E-4</v>
      </c>
      <c r="D292" s="51">
        <v>4.8789050633208444E-2</v>
      </c>
      <c r="E292" s="51">
        <v>4.8789050633208444E-2</v>
      </c>
      <c r="F292" s="51">
        <v>4.137592699298609E-2</v>
      </c>
      <c r="G292" s="51">
        <v>-1.2387318584971444E-2</v>
      </c>
      <c r="H292" s="51">
        <v>5.0154155629693165E-2</v>
      </c>
      <c r="I292" s="51">
        <v>1.8883418522360858E-2</v>
      </c>
      <c r="J292" s="50">
        <v>149.794712936016</v>
      </c>
      <c r="K292" s="51">
        <v>3.0072140085127819E-2</v>
      </c>
      <c r="L292" s="50">
        <v>120.47839480875874</v>
      </c>
      <c r="M292" s="50">
        <v>56.290241734260185</v>
      </c>
      <c r="N292" s="53">
        <v>0</v>
      </c>
      <c r="O292" s="80">
        <v>0</v>
      </c>
      <c r="P292" s="85">
        <v>0</v>
      </c>
    </row>
    <row r="293" spans="1:16" x14ac:dyDescent="0.2">
      <c r="A293" s="26">
        <f t="shared" si="1"/>
        <v>2017.08</v>
      </c>
      <c r="B293" s="50">
        <v>154.97575237992788</v>
      </c>
      <c r="C293" s="51">
        <v>3.5154379539380299E-3</v>
      </c>
      <c r="D293" s="51">
        <v>4.5100472199233604E-2</v>
      </c>
      <c r="E293" s="51">
        <v>4.5100472199233604E-2</v>
      </c>
      <c r="F293" s="51">
        <v>4.0352426219226301E-2</v>
      </c>
      <c r="G293" s="51">
        <v>-1.2387318584971444E-2</v>
      </c>
      <c r="H293" s="51">
        <v>5.0154155629693165E-2</v>
      </c>
      <c r="I293" s="51">
        <v>1.8883418522360858E-2</v>
      </c>
      <c r="J293" s="50">
        <v>149.711281708348</v>
      </c>
      <c r="K293" s="51">
        <v>3.4255830516343178E-2</v>
      </c>
      <c r="L293" s="50">
        <v>120.71095132141835</v>
      </c>
      <c r="M293" s="50">
        <v>57.97179150480499</v>
      </c>
      <c r="N293" s="53">
        <v>0</v>
      </c>
      <c r="O293" s="80">
        <v>0</v>
      </c>
      <c r="P293" s="85">
        <v>0</v>
      </c>
    </row>
    <row r="294" spans="1:16" x14ac:dyDescent="0.2">
      <c r="A294" s="26">
        <f t="shared" si="1"/>
        <v>2017.09</v>
      </c>
      <c r="B294" s="50">
        <v>155.64952850339165</v>
      </c>
      <c r="C294" s="51">
        <v>4.3381992492783315E-3</v>
      </c>
      <c r="D294" s="51">
        <v>4.5913234965392978E-2</v>
      </c>
      <c r="E294" s="51">
        <v>4.5913234965392978E-2</v>
      </c>
      <c r="F294" s="51">
        <v>4.1487677145298107E-2</v>
      </c>
      <c r="G294" s="51">
        <v>-1.2387318584971444E-2</v>
      </c>
      <c r="H294" s="51">
        <v>5.0154155629693165E-2</v>
      </c>
      <c r="I294" s="51">
        <v>1.8883418522360858E-2</v>
      </c>
      <c r="J294" s="50">
        <v>149.62161536868601</v>
      </c>
      <c r="K294" s="51">
        <v>3.9356152398144939E-2</v>
      </c>
      <c r="L294" s="50">
        <v>121.04350568565502</v>
      </c>
      <c r="M294" s="50">
        <v>59.653341275349803</v>
      </c>
      <c r="N294" s="53">
        <v>0</v>
      </c>
      <c r="O294" s="80">
        <v>0</v>
      </c>
      <c r="P294" s="85">
        <v>0</v>
      </c>
    </row>
    <row r="295" spans="1:16" x14ac:dyDescent="0.2">
      <c r="A295" s="26">
        <f t="shared" si="1"/>
        <v>2017.1</v>
      </c>
      <c r="B295" s="50">
        <v>156.17553822365912</v>
      </c>
      <c r="C295" s="51">
        <v>3.3737519867632162E-3</v>
      </c>
      <c r="D295" s="51">
        <v>4.7716451948540621E-2</v>
      </c>
      <c r="E295" s="51">
        <v>4.7716451948540621E-2</v>
      </c>
      <c r="F295" s="51">
        <v>4.0638531472738881E-2</v>
      </c>
      <c r="G295" s="51">
        <v>-1.2387318584971444E-2</v>
      </c>
      <c r="H295" s="51">
        <v>5.0154155629693165E-2</v>
      </c>
      <c r="I295" s="51">
        <v>1.8883418522360858E-2</v>
      </c>
      <c r="J295" s="50">
        <v>149.525842921188</v>
      </c>
      <c r="K295" s="51">
        <v>4.3519167206359732E-2</v>
      </c>
      <c r="L295" s="50">
        <v>121.25997096461872</v>
      </c>
      <c r="M295" s="50">
        <v>54.608691963715387</v>
      </c>
      <c r="N295" s="53">
        <v>0</v>
      </c>
      <c r="O295" s="80">
        <v>0</v>
      </c>
      <c r="P295" s="85">
        <v>0</v>
      </c>
    </row>
    <row r="296" spans="1:16" x14ac:dyDescent="0.2">
      <c r="A296" s="26">
        <f t="shared" si="1"/>
        <v>2017.11</v>
      </c>
      <c r="B296" s="50">
        <v>156.86718782284672</v>
      </c>
      <c r="C296" s="51">
        <v>4.4188902478935694E-3</v>
      </c>
      <c r="D296" s="51">
        <v>4.3581496199315853E-2</v>
      </c>
      <c r="E296" s="51">
        <v>4.3581496199315853E-2</v>
      </c>
      <c r="F296" s="51">
        <v>4.1520830039149415E-2</v>
      </c>
      <c r="G296" s="51">
        <v>-1.2387318584971444E-2</v>
      </c>
      <c r="H296" s="51">
        <v>5.0154155629693165E-2</v>
      </c>
      <c r="I296" s="51">
        <v>1.8883418522360858E-2</v>
      </c>
      <c r="J296" s="50">
        <v>149.42413966118301</v>
      </c>
      <c r="K296" s="51">
        <v>4.8838062800533821E-2</v>
      </c>
      <c r="L296" s="50">
        <v>121.60384979858752</v>
      </c>
      <c r="M296" s="50">
        <v>56.290241734260185</v>
      </c>
      <c r="N296" s="53">
        <v>0</v>
      </c>
      <c r="O296" s="80">
        <v>0</v>
      </c>
      <c r="P296" s="85">
        <v>0</v>
      </c>
    </row>
    <row r="297" spans="1:16" x14ac:dyDescent="0.2">
      <c r="A297" s="26">
        <f t="shared" si="1"/>
        <v>2017.12</v>
      </c>
      <c r="B297" s="50">
        <v>157.31715638608495</v>
      </c>
      <c r="C297" s="51">
        <v>2.8643621439575872E-3</v>
      </c>
      <c r="D297" s="51">
        <v>3.9399015059512134E-2</v>
      </c>
      <c r="E297" s="51">
        <v>3.9399015059512134E-2</v>
      </c>
      <c r="F297" s="51">
        <v>4.0056633669594222E-2</v>
      </c>
      <c r="G297" s="51">
        <v>-1.2387318584971444E-2</v>
      </c>
      <c r="H297" s="51">
        <v>5.0154155629693165E-2</v>
      </c>
      <c r="I297" s="51">
        <v>1.8883418522360858E-2</v>
      </c>
      <c r="J297" s="50">
        <v>149.31673182132201</v>
      </c>
      <c r="K297" s="51">
        <v>5.2589037143575101E-2</v>
      </c>
      <c r="L297" s="50">
        <v>121.75927841633604</v>
      </c>
      <c r="M297" s="50">
        <v>56.290241734260185</v>
      </c>
      <c r="N297" s="53">
        <v>0</v>
      </c>
      <c r="O297" s="80">
        <v>0</v>
      </c>
      <c r="P297" s="85">
        <v>0</v>
      </c>
    </row>
    <row r="298" spans="1:16" x14ac:dyDescent="0.2">
      <c r="A298" s="26">
        <f t="shared" si="1"/>
        <v>2018.01</v>
      </c>
      <c r="B298" s="50">
        <v>157.45952862112088</v>
      </c>
      <c r="C298" s="51">
        <v>9.0459205859629997E-4</v>
      </c>
      <c r="D298" s="51">
        <v>3.6614719644990662E-2</v>
      </c>
      <c r="E298" s="51">
        <v>3.6614719644990662E-2</v>
      </c>
      <c r="F298" s="51">
        <v>3.5499390843144241E-2</v>
      </c>
      <c r="G298" s="51">
        <v>-1.2387318584971444E-2</v>
      </c>
      <c r="H298" s="51">
        <v>5.0154155629693165E-2</v>
      </c>
      <c r="I298" s="51">
        <v>1.8883418522360858E-2</v>
      </c>
      <c r="J298" s="50">
        <v>149.20390264571799</v>
      </c>
      <c r="K298" s="51">
        <v>5.4326014153328828E-2</v>
      </c>
      <c r="L298" s="50">
        <v>121.67621447721982</v>
      </c>
      <c r="M298" s="50">
        <v>56.290241734260185</v>
      </c>
      <c r="N298" s="53">
        <v>0</v>
      </c>
      <c r="O298" s="80">
        <v>0</v>
      </c>
      <c r="P298" s="85">
        <v>1</v>
      </c>
    </row>
    <row r="299" spans="1:16" x14ac:dyDescent="0.2">
      <c r="A299" s="26">
        <f t="shared" si="1"/>
        <v>2018.02</v>
      </c>
      <c r="B299" s="50">
        <v>157.23806596705444</v>
      </c>
      <c r="C299" s="51">
        <v>-1.4074635105818586E-3</v>
      </c>
      <c r="D299" s="51">
        <v>3.4004018478193107E-2</v>
      </c>
      <c r="E299" s="51">
        <v>3.4004018478193107E-2</v>
      </c>
      <c r="F299" s="51">
        <v>2.7015830125013851E-2</v>
      </c>
      <c r="G299" s="51">
        <v>-1.2387318584971444E-2</v>
      </c>
      <c r="H299" s="51">
        <v>5.0154155629693165E-2</v>
      </c>
      <c r="I299" s="51">
        <v>1.8883418522360858E-2</v>
      </c>
      <c r="J299" s="50">
        <v>149.08599669392001</v>
      </c>
      <c r="K299" s="51">
        <v>5.3665548729485701E-2</v>
      </c>
      <c r="L299" s="50">
        <v>121.31240169632672</v>
      </c>
      <c r="M299" s="50">
        <v>51.245592422625776</v>
      </c>
      <c r="N299" s="53">
        <v>1</v>
      </c>
      <c r="O299" s="80">
        <v>1</v>
      </c>
      <c r="P299" s="85">
        <v>1</v>
      </c>
    </row>
    <row r="300" spans="1:16" x14ac:dyDescent="0.2">
      <c r="A300" s="26">
        <f t="shared" si="1"/>
        <v>2018.03</v>
      </c>
      <c r="B300" s="50">
        <v>156.60954572089864</v>
      </c>
      <c r="C300" s="51">
        <v>-4.0052628280895387E-3</v>
      </c>
      <c r="D300" s="51">
        <v>2.4601631091866052E-2</v>
      </c>
      <c r="E300" s="51">
        <v>2.4601631091866052E-2</v>
      </c>
      <c r="F300" s="51">
        <v>1.4151319560864239E-2</v>
      </c>
      <c r="G300" s="51">
        <v>-1.2387318584971444E-2</v>
      </c>
      <c r="H300" s="51">
        <v>5.0154155629693165E-2</v>
      </c>
      <c r="I300" s="51">
        <v>1.8883418522360858E-2</v>
      </c>
      <c r="J300" s="50">
        <v>148.96342183892099</v>
      </c>
      <c r="K300" s="51">
        <v>5.0309339364495553E-2</v>
      </c>
      <c r="L300" s="50">
        <v>120.63588149568645</v>
      </c>
      <c r="M300" s="50">
        <v>46.200943110991368</v>
      </c>
      <c r="N300" s="53">
        <v>1</v>
      </c>
      <c r="O300" s="80">
        <v>1</v>
      </c>
      <c r="P300" s="85">
        <v>1</v>
      </c>
    </row>
    <row r="301" spans="1:16" x14ac:dyDescent="0.2">
      <c r="A301" s="26">
        <f t="shared" si="1"/>
        <v>2018.04</v>
      </c>
      <c r="B301" s="50">
        <v>155.79116005803129</v>
      </c>
      <c r="C301" s="51">
        <v>-5.239344981205E-3</v>
      </c>
      <c r="D301" s="51">
        <v>1.3804162874410364E-2</v>
      </c>
      <c r="E301" s="51">
        <v>1.3804162874410364E-2</v>
      </c>
      <c r="F301" s="51">
        <v>6.1626110150103663E-4</v>
      </c>
      <c r="G301" s="51">
        <v>-1.2387318584971444E-2</v>
      </c>
      <c r="H301" s="51">
        <v>5.0154155629693165E-2</v>
      </c>
      <c r="I301" s="51">
        <v>1.8883418522360858E-2</v>
      </c>
      <c r="J301" s="50">
        <v>148.83664850707001</v>
      </c>
      <c r="K301" s="51">
        <v>4.5705124854110046E-2</v>
      </c>
      <c r="L301" s="50">
        <v>119.8151809795082</v>
      </c>
      <c r="M301" s="50">
        <v>44.519393340446555</v>
      </c>
      <c r="N301" s="53">
        <v>1</v>
      </c>
      <c r="O301" s="80">
        <v>1</v>
      </c>
      <c r="P301" s="85">
        <v>1</v>
      </c>
    </row>
    <row r="302" spans="1:16" x14ac:dyDescent="0.2">
      <c r="A302" s="26">
        <f t="shared" si="1"/>
        <v>2018.05</v>
      </c>
      <c r="B302" s="50">
        <v>154.44775994839398</v>
      </c>
      <c r="C302" s="51">
        <v>-8.6604769400428893E-3</v>
      </c>
      <c r="D302" s="51">
        <v>3.0446636683626608E-3</v>
      </c>
      <c r="E302" s="51">
        <v>3.0446636683626608E-3</v>
      </c>
      <c r="F302" s="51">
        <v>-1.7329218869619467E-2</v>
      </c>
      <c r="G302" s="51">
        <v>-1.2387318584971444E-2</v>
      </c>
      <c r="H302" s="51">
        <v>5.0154155629693165E-2</v>
      </c>
      <c r="I302" s="51">
        <v>1.8883418522360858E-2</v>
      </c>
      <c r="J302" s="50">
        <v>148.706205812447</v>
      </c>
      <c r="K302" s="51">
        <v>3.7594169348251549E-2</v>
      </c>
      <c r="L302" s="50">
        <v>118.59364447049234</v>
      </c>
      <c r="M302" s="50">
        <v>36.11164448772255</v>
      </c>
      <c r="N302" s="53">
        <v>1</v>
      </c>
      <c r="O302" s="80">
        <v>1</v>
      </c>
      <c r="P302" s="85">
        <v>1</v>
      </c>
    </row>
    <row r="303" spans="1:16" x14ac:dyDescent="0.2">
      <c r="A303" s="26">
        <f t="shared" si="1"/>
        <v>2018.06</v>
      </c>
      <c r="B303" s="50">
        <v>152.79107981046226</v>
      </c>
      <c r="C303" s="51">
        <v>-1.0784419025293205E-2</v>
      </c>
      <c r="D303" s="51">
        <v>-1.1202580048854653E-2</v>
      </c>
      <c r="E303" s="51">
        <v>-1.1202580048854653E-2</v>
      </c>
      <c r="F303" s="51">
        <v>-3.7146546288067905E-2</v>
      </c>
      <c r="G303" s="51">
        <v>-1.2387318584971444E-2</v>
      </c>
      <c r="H303" s="51">
        <v>5.0154155629693165E-2</v>
      </c>
      <c r="I303" s="51">
        <v>1.8883418522360858E-2</v>
      </c>
      <c r="J303" s="50">
        <v>148.57267621553399</v>
      </c>
      <c r="K303" s="51">
        <v>2.7386417281444642E-2</v>
      </c>
      <c r="L303" s="50">
        <v>117.13550830794605</v>
      </c>
      <c r="M303" s="50">
        <v>29.385445405543329</v>
      </c>
      <c r="N303" s="53">
        <v>1</v>
      </c>
      <c r="O303" s="80">
        <v>1</v>
      </c>
      <c r="P303" s="85">
        <v>1</v>
      </c>
    </row>
    <row r="304" spans="1:16" x14ac:dyDescent="0.2">
      <c r="A304" s="26">
        <f t="shared" si="1"/>
        <v>2018.07</v>
      </c>
      <c r="B304" s="50">
        <v>150.35791908134328</v>
      </c>
      <c r="C304" s="51">
        <v>-1.6052917800418245E-2</v>
      </c>
      <c r="D304" s="51">
        <v>-2.6734651445203775E-2</v>
      </c>
      <c r="E304" s="51">
        <v>-2.6734651445203775E-2</v>
      </c>
      <c r="F304" s="51">
        <v>-6.3673877706585613E-2</v>
      </c>
      <c r="G304" s="51">
        <v>-1.2387318584971444E-2</v>
      </c>
      <c r="H304" s="51">
        <v>5.0154155629693165E-2</v>
      </c>
      <c r="I304" s="51">
        <v>1.8883418522360858E-2</v>
      </c>
      <c r="J304" s="50">
        <v>148.43668615345101</v>
      </c>
      <c r="K304" s="51">
        <v>1.1953820711468666E-2</v>
      </c>
      <c r="L304" s="50">
        <v>115.08736258317001</v>
      </c>
      <c r="M304" s="50">
        <v>24.340796093908928</v>
      </c>
      <c r="N304" s="53">
        <v>1</v>
      </c>
      <c r="O304" s="80">
        <v>1</v>
      </c>
      <c r="P304" s="85">
        <v>1</v>
      </c>
    </row>
    <row r="305" spans="1:16" x14ac:dyDescent="0.2">
      <c r="A305" s="26">
        <f t="shared" si="1"/>
        <v>2018.08</v>
      </c>
      <c r="B305" s="50">
        <v>148.50201468998296</v>
      </c>
      <c r="C305" s="51">
        <v>-1.2420053937510804E-2</v>
      </c>
      <c r="D305" s="51">
        <v>-4.2670143336652588E-2</v>
      </c>
      <c r="E305" s="51">
        <v>-4.2670143336652588E-2</v>
      </c>
      <c r="F305" s="51">
        <v>-8.1206446035295254E-2</v>
      </c>
      <c r="G305" s="51">
        <v>-1.2387318584971444E-2</v>
      </c>
      <c r="H305" s="51">
        <v>5.0154155629693165E-2</v>
      </c>
      <c r="I305" s="51">
        <v>1.8883418522360858E-2</v>
      </c>
      <c r="J305" s="50">
        <v>148.298894292234</v>
      </c>
      <c r="K305" s="51">
        <v>3.9630887498454115E-4</v>
      </c>
      <c r="L305" s="50">
        <v>113.48656249181039</v>
      </c>
      <c r="M305" s="50">
        <v>20.977696552819314</v>
      </c>
      <c r="N305" s="53">
        <v>1</v>
      </c>
      <c r="O305" s="80">
        <v>1</v>
      </c>
      <c r="P305" s="85">
        <v>1</v>
      </c>
    </row>
    <row r="306" spans="1:16" x14ac:dyDescent="0.2">
      <c r="A306" s="26">
        <f t="shared" si="1"/>
        <v>2018.09</v>
      </c>
      <c r="B306" s="50">
        <v>146.92152905591101</v>
      </c>
      <c r="C306" s="51">
        <v>-1.0699896784541607E-2</v>
      </c>
      <c r="D306" s="51">
        <v>-5.7708239370472564E-2</v>
      </c>
      <c r="E306" s="51">
        <v>-5.7708239370472564E-2</v>
      </c>
      <c r="F306" s="51">
        <v>-9.3378618672475322E-2</v>
      </c>
      <c r="G306" s="51">
        <v>-1.2387318584971444E-2</v>
      </c>
      <c r="H306" s="51">
        <v>5.0154155629693165E-2</v>
      </c>
      <c r="I306" s="51">
        <v>1.8883418522360858E-2</v>
      </c>
      <c r="J306" s="50">
        <v>148.159973721424</v>
      </c>
      <c r="K306" s="51">
        <v>-9.3155100426123294E-3</v>
      </c>
      <c r="L306" s="50">
        <v>112.10069367940076</v>
      </c>
      <c r="M306" s="50">
        <v>15.933047241184902</v>
      </c>
      <c r="N306" s="53">
        <v>1</v>
      </c>
      <c r="O306" s="80">
        <v>1</v>
      </c>
      <c r="P306" s="85">
        <v>1</v>
      </c>
    </row>
    <row r="307" spans="1:16" x14ac:dyDescent="0.2">
      <c r="A307" s="26">
        <f t="shared" ref="A307:A370" si="2">A295+1</f>
        <v>2018.1</v>
      </c>
      <c r="B307" s="50">
        <v>145.47146743135229</v>
      </c>
      <c r="C307" s="51">
        <v>-9.9186610488548287E-3</v>
      </c>
      <c r="D307" s="51">
        <v>-7.1000652406090589E-2</v>
      </c>
      <c r="E307" s="51">
        <v>-7.1000652406090589E-2</v>
      </c>
      <c r="F307" s="51">
        <v>-0.10206230945607364</v>
      </c>
      <c r="G307" s="51">
        <v>-1.2387318584971444E-2</v>
      </c>
      <c r="H307" s="51">
        <v>5.0154155629693165E-2</v>
      </c>
      <c r="I307" s="51">
        <v>1.8883418522360858E-2</v>
      </c>
      <c r="J307" s="50">
        <v>148.02059860649999</v>
      </c>
      <c r="K307" s="51">
        <v>-1.8159778413166183E-2</v>
      </c>
      <c r="L307" s="50">
        <v>110.81829014111149</v>
      </c>
      <c r="M307" s="50">
        <v>14.251497470640103</v>
      </c>
      <c r="N307" s="53">
        <v>1</v>
      </c>
      <c r="O307" s="80">
        <v>1</v>
      </c>
      <c r="P307" s="85">
        <v>1</v>
      </c>
    </row>
    <row r="308" spans="1:16" x14ac:dyDescent="0.2">
      <c r="A308" s="26">
        <f t="shared" si="2"/>
        <v>2018.11</v>
      </c>
      <c r="B308" s="50">
        <v>144.45157981236358</v>
      </c>
      <c r="C308" s="51">
        <v>-7.0356036589283872E-3</v>
      </c>
      <c r="D308" s="51">
        <v>-8.2455146312912606E-2</v>
      </c>
      <c r="E308" s="51">
        <v>-8.2455146312912606E-2</v>
      </c>
      <c r="F308" s="51">
        <v>-0.10410615154828373</v>
      </c>
      <c r="G308" s="51">
        <v>-1.2387318584971444E-2</v>
      </c>
      <c r="H308" s="51">
        <v>5.0154155629693165E-2</v>
      </c>
      <c r="I308" s="51">
        <v>1.8883418522360858E-2</v>
      </c>
      <c r="J308" s="50">
        <v>147.88143314102501</v>
      </c>
      <c r="K308" s="51">
        <v>-2.4113493758886495E-2</v>
      </c>
      <c r="L308" s="50">
        <v>109.86685324836346</v>
      </c>
      <c r="M308" s="50">
        <v>14.251497470640103</v>
      </c>
      <c r="N308" s="53">
        <v>1</v>
      </c>
      <c r="O308" s="80">
        <v>1</v>
      </c>
      <c r="P308" s="85">
        <v>1</v>
      </c>
    </row>
    <row r="309" spans="1:16" x14ac:dyDescent="0.2">
      <c r="A309" s="26">
        <f t="shared" si="2"/>
        <v>2018.12</v>
      </c>
      <c r="B309" s="50">
        <v>144.35924706890879</v>
      </c>
      <c r="C309" s="51">
        <v>-6.3939948233634753E-4</v>
      </c>
      <c r="D309" s="51">
        <v>-8.595890793920638E-2</v>
      </c>
      <c r="E309" s="51">
        <v>-8.595890793920638E-2</v>
      </c>
      <c r="F309" s="51">
        <v>-9.3906600208042423E-2</v>
      </c>
      <c r="G309" s="51">
        <v>-1.2387318584971444E-2</v>
      </c>
      <c r="H309" s="51">
        <v>5.0154155629693165E-2</v>
      </c>
      <c r="I309" s="51">
        <v>1.8883418522360858E-2</v>
      </c>
      <c r="J309" s="50">
        <v>147.74312151133199</v>
      </c>
      <c r="K309" s="51">
        <v>-2.3809259179344511E-2</v>
      </c>
      <c r="L309" s="50">
        <v>109.6225153294575</v>
      </c>
      <c r="M309" s="50">
        <v>17.614597011729707</v>
      </c>
      <c r="N309" s="53">
        <v>1</v>
      </c>
      <c r="O309" s="80">
        <v>1</v>
      </c>
      <c r="P309" s="85">
        <v>0</v>
      </c>
    </row>
    <row r="310" spans="1:16" x14ac:dyDescent="0.2">
      <c r="A310" s="26">
        <f t="shared" si="2"/>
        <v>2019.01</v>
      </c>
      <c r="B310" s="50">
        <v>144.38220962338693</v>
      </c>
      <c r="C310" s="51">
        <v>1.5905270264681269E-4</v>
      </c>
      <c r="D310" s="51">
        <v>-8.6704447295155723E-2</v>
      </c>
      <c r="E310" s="51">
        <v>-8.6704447295155723E-2</v>
      </c>
      <c r="F310" s="51">
        <v>-8.1654346514363652E-2</v>
      </c>
      <c r="G310" s="51">
        <v>-1.2387318584971444E-2</v>
      </c>
      <c r="H310" s="51">
        <v>5.0154155629693165E-2</v>
      </c>
      <c r="I310" s="51">
        <v>1.8883418522360858E-2</v>
      </c>
      <c r="J310" s="50">
        <v>147.60628109147001</v>
      </c>
      <c r="K310" s="51">
        <v>-2.2731228174339035E-2</v>
      </c>
      <c r="L310" s="50">
        <v>109.46608935860441</v>
      </c>
      <c r="M310" s="50">
        <v>22.659246323364119</v>
      </c>
      <c r="N310" s="53">
        <v>1</v>
      </c>
      <c r="O310" s="80">
        <v>1</v>
      </c>
      <c r="P310" s="85">
        <v>0</v>
      </c>
    </row>
    <row r="311" spans="1:16" x14ac:dyDescent="0.2">
      <c r="A311" s="26">
        <f t="shared" si="2"/>
        <v>2019.02</v>
      </c>
      <c r="B311" s="50">
        <v>144.38853422590296</v>
      </c>
      <c r="C311" s="51">
        <v>4.3803623821108553E-5</v>
      </c>
      <c r="D311" s="51">
        <v>-8.5253180160752812E-2</v>
      </c>
      <c r="E311" s="51">
        <v>-8.5253180160752812E-2</v>
      </c>
      <c r="F311" s="51">
        <v>-6.9232904962405639E-2</v>
      </c>
      <c r="G311" s="51">
        <v>-1.2387318584971444E-2</v>
      </c>
      <c r="H311" s="51">
        <v>5.0154155629693165E-2</v>
      </c>
      <c r="I311" s="51">
        <v>1.8883418522360858E-2</v>
      </c>
      <c r="J311" s="50">
        <v>147.47150280798701</v>
      </c>
      <c r="K311" s="51">
        <v>-2.1775054148391426E-2</v>
      </c>
      <c r="L311" s="50">
        <v>109.2972894621464</v>
      </c>
      <c r="M311" s="50">
        <v>24.340796093908928</v>
      </c>
      <c r="N311" s="53">
        <v>1</v>
      </c>
      <c r="O311" s="80">
        <v>1</v>
      </c>
      <c r="P311" s="85">
        <v>0</v>
      </c>
    </row>
    <row r="312" spans="1:16" x14ac:dyDescent="0.2">
      <c r="A312" s="26">
        <f t="shared" si="2"/>
        <v>2019.03</v>
      </c>
      <c r="B312" s="50">
        <v>144.26282481228969</v>
      </c>
      <c r="C312" s="51">
        <v>-8.7101215791761052E-4</v>
      </c>
      <c r="D312" s="51">
        <v>-8.2118929490580791E-2</v>
      </c>
      <c r="E312" s="51">
        <v>-8.2118929490580791E-2</v>
      </c>
      <c r="F312" s="51">
        <v>-5.8365141450443914E-2</v>
      </c>
      <c r="G312" s="51">
        <v>-1.2387318584971444E-2</v>
      </c>
      <c r="H312" s="51">
        <v>5.0154155629693165E-2</v>
      </c>
      <c r="I312" s="51">
        <v>1.8883418522360858E-2</v>
      </c>
      <c r="J312" s="50">
        <v>147.33935241101099</v>
      </c>
      <c r="K312" s="51">
        <v>-2.1727472270982817E-2</v>
      </c>
      <c r="L312" s="50">
        <v>109.02896280777358</v>
      </c>
      <c r="M312" s="50">
        <v>29.385445405543329</v>
      </c>
      <c r="N312" s="53">
        <v>1</v>
      </c>
      <c r="O312" s="80">
        <v>1</v>
      </c>
      <c r="P312" s="85">
        <v>0</v>
      </c>
    </row>
    <row r="313" spans="1:16" x14ac:dyDescent="0.2">
      <c r="A313" s="26">
        <f t="shared" si="2"/>
        <v>2019.04</v>
      </c>
      <c r="B313" s="50">
        <v>144.03991734543749</v>
      </c>
      <c r="C313" s="51">
        <v>-1.5463433306359276E-3</v>
      </c>
      <c r="D313" s="51">
        <v>-7.8425927840011705E-2</v>
      </c>
      <c r="E313" s="51">
        <v>-7.8425927840011705E-2</v>
      </c>
      <c r="F313" s="51">
        <v>-4.8964018794189546E-2</v>
      </c>
      <c r="G313" s="51">
        <v>-1.2387318584971444E-2</v>
      </c>
      <c r="H313" s="51">
        <v>5.0154155629693165E-2</v>
      </c>
      <c r="I313" s="51">
        <v>1.8883418522360858E-2</v>
      </c>
      <c r="J313" s="50">
        <v>147.210371591464</v>
      </c>
      <c r="K313" s="51">
        <v>-2.2358245850920055E-2</v>
      </c>
      <c r="L313" s="50">
        <v>108.68786980286573</v>
      </c>
      <c r="M313" s="50">
        <v>32.74854494663294</v>
      </c>
      <c r="N313" s="53">
        <v>1</v>
      </c>
      <c r="O313" s="80">
        <v>1</v>
      </c>
      <c r="P313" s="85">
        <v>0</v>
      </c>
    </row>
    <row r="314" spans="1:16" x14ac:dyDescent="0.2">
      <c r="A314" s="26">
        <f t="shared" si="2"/>
        <v>2019.05</v>
      </c>
      <c r="B314" s="50">
        <v>144.43708180867165</v>
      </c>
      <c r="C314" s="51">
        <v>2.7535277705859427E-3</v>
      </c>
      <c r="D314" s="51">
        <v>-6.7011923129382867E-2</v>
      </c>
      <c r="E314" s="51">
        <v>-6.7011923129382867E-2</v>
      </c>
      <c r="F314" s="51">
        <v>-3.2330626775190274E-2</v>
      </c>
      <c r="G314" s="51">
        <v>-1.2387318584971444E-2</v>
      </c>
      <c r="H314" s="51">
        <v>5.0154155629693165E-2</v>
      </c>
      <c r="I314" s="51">
        <v>1.8883418522360858E-2</v>
      </c>
      <c r="J314" s="50">
        <v>147.085078047797</v>
      </c>
      <c r="K314" s="51">
        <v>-1.8800116937555456E-2</v>
      </c>
      <c r="L314" s="50">
        <v>108.81472871033777</v>
      </c>
      <c r="M314" s="50">
        <v>36.11164448772255</v>
      </c>
      <c r="N314" s="53">
        <v>1</v>
      </c>
      <c r="O314" s="80">
        <v>1</v>
      </c>
      <c r="P314" s="85">
        <v>0</v>
      </c>
    </row>
    <row r="315" spans="1:16" x14ac:dyDescent="0.2">
      <c r="A315" s="26">
        <f t="shared" si="2"/>
        <v>2019.06</v>
      </c>
      <c r="B315" s="50">
        <v>144.63970592918449</v>
      </c>
      <c r="C315" s="51">
        <v>1.4018707989821651E-3</v>
      </c>
      <c r="D315" s="51">
        <v>-5.4825633305107646E-2</v>
      </c>
      <c r="E315" s="51">
        <v>-5.4825633305107646E-2</v>
      </c>
      <c r="F315" s="51">
        <v>-1.957805328632356E-2</v>
      </c>
      <c r="G315" s="51">
        <v>-1.2387318584971444E-2</v>
      </c>
      <c r="H315" s="51">
        <v>5.0154155629693165E-2</v>
      </c>
      <c r="I315" s="51">
        <v>1.8883418522360858E-2</v>
      </c>
      <c r="J315" s="50">
        <v>146.963964763332</v>
      </c>
      <c r="K315" s="51">
        <v>-1.6584318508676588E-2</v>
      </c>
      <c r="L315" s="50">
        <v>108.79458330132786</v>
      </c>
      <c r="M315" s="50">
        <v>36.11164448772255</v>
      </c>
      <c r="N315" s="53">
        <v>1</v>
      </c>
      <c r="O315" s="80">
        <v>1</v>
      </c>
      <c r="P315" s="85">
        <v>0</v>
      </c>
    </row>
    <row r="316" spans="1:16" x14ac:dyDescent="0.2">
      <c r="A316" s="26">
        <f t="shared" si="2"/>
        <v>2019.07</v>
      </c>
      <c r="B316" s="50">
        <v>145.12302837361648</v>
      </c>
      <c r="C316" s="51">
        <v>3.3359906947967081E-3</v>
      </c>
      <c r="D316" s="51">
        <v>-3.5436724809892635E-2</v>
      </c>
      <c r="E316" s="51">
        <v>-3.5436724809892635E-2</v>
      </c>
      <c r="F316" s="51">
        <v>-5.003088996539895E-3</v>
      </c>
      <c r="G316" s="51">
        <v>-1.2387318584971444E-2</v>
      </c>
      <c r="H316" s="51">
        <v>5.0154155629693165E-2</v>
      </c>
      <c r="I316" s="51">
        <v>1.8883418522360858E-2</v>
      </c>
      <c r="J316" s="50">
        <v>146.84750399771099</v>
      </c>
      <c r="K316" s="51">
        <v>-1.2483930334149629E-2</v>
      </c>
      <c r="L316" s="50">
        <v>108.98502801765601</v>
      </c>
      <c r="M316" s="50">
        <v>36.11164448772255</v>
      </c>
      <c r="N316" s="53">
        <v>1</v>
      </c>
      <c r="O316" s="80">
        <v>1</v>
      </c>
      <c r="P316" s="85">
        <v>1</v>
      </c>
    </row>
    <row r="317" spans="1:16" x14ac:dyDescent="0.2">
      <c r="A317" s="26">
        <f t="shared" si="2"/>
        <v>2019.08</v>
      </c>
      <c r="B317" s="50">
        <v>144.19740201487335</v>
      </c>
      <c r="C317" s="51">
        <v>-6.3986460661124784E-3</v>
      </c>
      <c r="D317" s="51">
        <v>-2.9415316938494279E-2</v>
      </c>
      <c r="E317" s="51">
        <v>-2.9415316938494279E-2</v>
      </c>
      <c r="F317" s="51">
        <v>-1.1222278644381745E-2</v>
      </c>
      <c r="G317" s="51">
        <v>-1.2387318584971444E-2</v>
      </c>
      <c r="H317" s="51">
        <v>5.0154155629693165E-2</v>
      </c>
      <c r="I317" s="51">
        <v>1.8883418522360858E-2</v>
      </c>
      <c r="J317" s="50">
        <v>146.73614974471499</v>
      </c>
      <c r="K317" s="51">
        <v>-1.8004511129956824E-2</v>
      </c>
      <c r="L317" s="50">
        <v>108.11817546864245</v>
      </c>
      <c r="M317" s="50">
        <v>37.793194258267349</v>
      </c>
      <c r="N317" s="53">
        <v>1</v>
      </c>
      <c r="O317" s="80">
        <v>1</v>
      </c>
      <c r="P317" s="85">
        <v>1</v>
      </c>
    </row>
    <row r="318" spans="1:16" x14ac:dyDescent="0.2">
      <c r="A318" s="26">
        <f t="shared" si="2"/>
        <v>2019.09</v>
      </c>
      <c r="B318" s="50">
        <v>142.95244165483012</v>
      </c>
      <c r="C318" s="51">
        <v>-8.6712090441932507E-3</v>
      </c>
      <c r="D318" s="51">
        <v>-2.7386629198145964E-2</v>
      </c>
      <c r="E318" s="51">
        <v>-2.7386629198145964E-2</v>
      </c>
      <c r="F318" s="51">
        <v>-2.2467556468211969E-2</v>
      </c>
      <c r="G318" s="51">
        <v>-1.2387318584971444E-2</v>
      </c>
      <c r="H318" s="51">
        <v>5.0154155629693165E-2</v>
      </c>
      <c r="I318" s="51">
        <v>1.8883418522360858E-2</v>
      </c>
      <c r="J318" s="50">
        <v>146.630342264691</v>
      </c>
      <c r="K318" s="51">
        <v>-2.5745509729723004E-2</v>
      </c>
      <c r="L318" s="50">
        <v>107.01474345592096</v>
      </c>
      <c r="M318" s="50">
        <v>32.74854494663294</v>
      </c>
      <c r="N318" s="53">
        <v>1</v>
      </c>
      <c r="O318" s="80">
        <v>1</v>
      </c>
      <c r="P318" s="85">
        <v>1</v>
      </c>
    </row>
    <row r="319" spans="1:16" x14ac:dyDescent="0.2">
      <c r="A319" s="26">
        <f t="shared" si="2"/>
        <v>2019.1</v>
      </c>
      <c r="B319" s="50">
        <v>141.42549899151848</v>
      </c>
      <c r="C319" s="51">
        <v>-1.0738929568997314E-2</v>
      </c>
      <c r="D319" s="51">
        <v>-2.8206897718288465E-2</v>
      </c>
      <c r="E319" s="51">
        <v>-2.8206897718288465E-2</v>
      </c>
      <c r="F319" s="51">
        <v>-3.7600262835678411E-2</v>
      </c>
      <c r="G319" s="51">
        <v>-1.2387318584971444E-2</v>
      </c>
      <c r="H319" s="51">
        <v>5.0154155629693165E-2</v>
      </c>
      <c r="I319" s="51">
        <v>1.8883418522360858E-2</v>
      </c>
      <c r="J319" s="50">
        <v>146.53050172607499</v>
      </c>
      <c r="K319" s="51">
        <v>-3.545933891062103E-2</v>
      </c>
      <c r="L319" s="50">
        <v>105.7037808453108</v>
      </c>
      <c r="M319" s="50">
        <v>27.703895634998531</v>
      </c>
      <c r="N319" s="53">
        <v>1</v>
      </c>
      <c r="O319" s="80">
        <v>1</v>
      </c>
      <c r="P319" s="85">
        <v>1</v>
      </c>
    </row>
    <row r="320" spans="1:16" x14ac:dyDescent="0.2">
      <c r="A320" s="26">
        <f t="shared" si="2"/>
        <v>2019.11</v>
      </c>
      <c r="B320" s="50">
        <v>140.46222950867315</v>
      </c>
      <c r="C320" s="51">
        <v>-6.8344460219404088E-3</v>
      </c>
      <c r="D320" s="51">
        <v>-2.8005740081300395E-2</v>
      </c>
      <c r="E320" s="51">
        <v>-2.8005740081300395E-2</v>
      </c>
      <c r="F320" s="51">
        <v>-4.5556573828535507E-2</v>
      </c>
      <c r="G320" s="51">
        <v>-1.2387318584971444E-2</v>
      </c>
      <c r="H320" s="51">
        <v>5.0154155629693165E-2</v>
      </c>
      <c r="I320" s="51">
        <v>1.8883418522360858E-2</v>
      </c>
      <c r="J320" s="50">
        <v>146.43701948747801</v>
      </c>
      <c r="K320" s="51">
        <v>-4.1380463634102971E-2</v>
      </c>
      <c r="L320" s="50">
        <v>104.8173375577873</v>
      </c>
      <c r="M320" s="50">
        <v>26.022345864453722</v>
      </c>
      <c r="N320" s="53">
        <v>1</v>
      </c>
      <c r="O320" s="80">
        <v>1</v>
      </c>
      <c r="P320" s="85">
        <v>1</v>
      </c>
    </row>
    <row r="321" spans="1:16" x14ac:dyDescent="0.2">
      <c r="A321" s="26">
        <f t="shared" si="2"/>
        <v>2019.12</v>
      </c>
      <c r="B321" s="50">
        <v>139.31829131661823</v>
      </c>
      <c r="C321" s="51">
        <v>-8.1774425419110768E-3</v>
      </c>
      <c r="D321" s="51">
        <v>-3.5543783140875279E-2</v>
      </c>
      <c r="E321" s="51">
        <v>-3.5543783140875279E-2</v>
      </c>
      <c r="F321" s="51">
        <v>-5.5838739937766446E-2</v>
      </c>
      <c r="G321" s="51">
        <v>-1.2387318584971444E-2</v>
      </c>
      <c r="H321" s="51">
        <v>5.0154155629693165E-2</v>
      </c>
      <c r="I321" s="51">
        <v>1.8883418522360858E-2</v>
      </c>
      <c r="J321" s="50">
        <v>146.350247128392</v>
      </c>
      <c r="K321" s="51">
        <v>-4.8586091872097614E-2</v>
      </c>
      <c r="L321" s="50">
        <v>103.79883295791414</v>
      </c>
      <c r="M321" s="50">
        <v>22.659246323364119</v>
      </c>
      <c r="N321" s="53">
        <v>1</v>
      </c>
      <c r="O321" s="80">
        <v>1</v>
      </c>
      <c r="P321" s="85">
        <v>1</v>
      </c>
    </row>
    <row r="322" spans="1:16" x14ac:dyDescent="0.2">
      <c r="A322" s="26">
        <f t="shared" si="2"/>
        <v>2020.01</v>
      </c>
      <c r="B322" s="50">
        <v>138.47302231143135</v>
      </c>
      <c r="C322" s="51">
        <v>-6.0856590717294767E-3</v>
      </c>
      <c r="D322" s="51">
        <v>-4.1788494915251509E-2</v>
      </c>
      <c r="E322" s="51">
        <v>-4.1788494915251509E-2</v>
      </c>
      <c r="F322" s="51">
        <v>-6.1328243488830814E-2</v>
      </c>
      <c r="G322" s="51">
        <v>-1.2387318584971444E-2</v>
      </c>
      <c r="H322" s="51">
        <v>5.0154155629693165E-2</v>
      </c>
      <c r="I322" s="51">
        <v>1.8883418522360858E-2</v>
      </c>
      <c r="J322" s="50">
        <v>146.270489735795</v>
      </c>
      <c r="K322" s="51">
        <v>-5.3804525830011274E-2</v>
      </c>
      <c r="L322" s="50">
        <v>103.00546504706826</v>
      </c>
      <c r="M322" s="50">
        <v>19.296146782274516</v>
      </c>
      <c r="N322" s="53">
        <v>1</v>
      </c>
      <c r="O322" s="80">
        <v>1</v>
      </c>
      <c r="P322" s="85">
        <v>1</v>
      </c>
    </row>
    <row r="323" spans="1:16" x14ac:dyDescent="0.2">
      <c r="A323" s="26">
        <f t="shared" si="2"/>
        <v>2020.02</v>
      </c>
      <c r="B323" s="50">
        <v>137.2719133939965</v>
      </c>
      <c r="C323" s="51">
        <v>-8.7117938242536139E-3</v>
      </c>
      <c r="D323" s="51">
        <v>-5.0544092363326104E-2</v>
      </c>
      <c r="E323" s="51">
        <v>-5.0544092363326104E-2</v>
      </c>
      <c r="F323" s="51">
        <v>-7.0415762010755834E-2</v>
      </c>
      <c r="G323" s="51">
        <v>-1.2387318584971444E-2</v>
      </c>
      <c r="H323" s="51">
        <v>5.0154155629693165E-2</v>
      </c>
      <c r="I323" s="51">
        <v>1.8883418522360858E-2</v>
      </c>
      <c r="J323" s="50">
        <v>146.197997799917</v>
      </c>
      <c r="K323" s="51">
        <v>-6.1508076758247987E-2</v>
      </c>
      <c r="L323" s="50">
        <v>101.9500746071792</v>
      </c>
      <c r="M323" s="50">
        <v>19.296146782274516</v>
      </c>
      <c r="N323" s="53">
        <v>1</v>
      </c>
      <c r="O323" s="80">
        <v>1</v>
      </c>
      <c r="P323" s="85">
        <v>1</v>
      </c>
    </row>
    <row r="324" spans="1:16" x14ac:dyDescent="0.2">
      <c r="A324" s="26">
        <f t="shared" si="2"/>
        <v>2020.03</v>
      </c>
      <c r="B324" s="50">
        <v>135.50261772475017</v>
      </c>
      <c r="C324" s="51">
        <v>-1.2972768940124771E-2</v>
      </c>
      <c r="D324" s="51">
        <v>-6.2645849145533283E-2</v>
      </c>
      <c r="E324" s="51">
        <v>-6.2645849145533283E-2</v>
      </c>
      <c r="F324" s="51">
        <v>-8.5415147588576046E-2</v>
      </c>
      <c r="G324" s="51">
        <v>-1.2387318584971444E-2</v>
      </c>
      <c r="H324" s="51">
        <v>5.0154155629693165E-2</v>
      </c>
      <c r="I324" s="51">
        <v>1.8883418522360858E-2</v>
      </c>
      <c r="J324" s="50">
        <v>146.13296134983</v>
      </c>
      <c r="K324" s="51">
        <v>-7.3153512141009847E-2</v>
      </c>
      <c r="L324" s="50">
        <v>100.47645656258197</v>
      </c>
      <c r="M324" s="50">
        <v>17.614597011729707</v>
      </c>
      <c r="N324" s="53">
        <v>1</v>
      </c>
      <c r="O324" s="80">
        <v>1</v>
      </c>
      <c r="P324" s="85">
        <v>1</v>
      </c>
    </row>
    <row r="325" spans="1:16" x14ac:dyDescent="0.2">
      <c r="A325" s="26">
        <f t="shared" si="2"/>
        <v>2020.04</v>
      </c>
      <c r="B325" s="50">
        <v>134.3599599658456</v>
      </c>
      <c r="C325" s="51">
        <v>-8.4684923527964372E-3</v>
      </c>
      <c r="D325" s="51">
        <v>-6.9567998167693851E-2</v>
      </c>
      <c r="E325" s="51">
        <v>-6.9567998167693851E-2</v>
      </c>
      <c r="F325" s="51">
        <v>-9.1007310184664569E-2</v>
      </c>
      <c r="G325" s="51">
        <v>-1.2387318584971444E-2</v>
      </c>
      <c r="H325" s="51">
        <v>5.0154155629693165E-2</v>
      </c>
      <c r="I325" s="51">
        <v>1.8883418522360858E-2</v>
      </c>
      <c r="J325" s="50">
        <v>146.07550128342399</v>
      </c>
      <c r="K325" s="51">
        <v>-8.0569564101999336E-2</v>
      </c>
      <c r="L325" s="50">
        <v>99.471176796134898</v>
      </c>
      <c r="M325" s="50">
        <v>20.977696552819314</v>
      </c>
      <c r="N325" s="53">
        <v>1</v>
      </c>
      <c r="O325" s="80">
        <v>1</v>
      </c>
      <c r="P325" s="85">
        <v>1</v>
      </c>
    </row>
    <row r="326" spans="1:16" x14ac:dyDescent="0.2">
      <c r="A326" s="26">
        <f t="shared" si="2"/>
        <v>2020.05</v>
      </c>
      <c r="B326" s="50">
        <v>134.07790931419171</v>
      </c>
      <c r="C326" s="51">
        <v>-2.1014229937414688E-3</v>
      </c>
      <c r="D326" s="51">
        <v>-7.4422948932021282E-2</v>
      </c>
      <c r="E326" s="51">
        <v>-7.4422948932021282E-2</v>
      </c>
      <c r="F326" s="51">
        <v>-8.4918487261706921E-2</v>
      </c>
      <c r="G326" s="51">
        <v>-1.2387318584971444E-2</v>
      </c>
      <c r="H326" s="51">
        <v>5.0154155629693165E-2</v>
      </c>
      <c r="I326" s="51">
        <v>1.8883418522360858E-2</v>
      </c>
      <c r="J326" s="50">
        <v>146.02565626047601</v>
      </c>
      <c r="K326" s="51">
        <v>-8.2148354290622949E-2</v>
      </c>
      <c r="L326" s="50">
        <v>99.104958547275587</v>
      </c>
      <c r="M326" s="50">
        <v>24.340796093908928</v>
      </c>
      <c r="N326" s="53">
        <v>1</v>
      </c>
      <c r="O326" s="80">
        <v>1</v>
      </c>
      <c r="P326" s="85">
        <v>1</v>
      </c>
    </row>
    <row r="327" spans="1:16" x14ac:dyDescent="0.2">
      <c r="A327" s="26">
        <f t="shared" si="2"/>
        <v>2020.06</v>
      </c>
      <c r="B327" s="50">
        <v>135.0717291167534</v>
      </c>
      <c r="C327" s="51">
        <v>7.3849203366410021E-3</v>
      </c>
      <c r="D327" s="51">
        <v>-6.8439899394362291E-2</v>
      </c>
      <c r="E327" s="51">
        <v>-6.8439899394362291E-2</v>
      </c>
      <c r="F327" s="51">
        <v>-6.1755659388422757E-2</v>
      </c>
      <c r="G327" s="51">
        <v>-1.2387318584971444E-2</v>
      </c>
      <c r="H327" s="51">
        <v>5.0154155629693165E-2</v>
      </c>
      <c r="I327" s="51">
        <v>1.8883418522360858E-2</v>
      </c>
      <c r="J327" s="50">
        <v>145.983374301173</v>
      </c>
      <c r="K327" s="51">
        <v>-7.5039133616635167E-2</v>
      </c>
      <c r="L327" s="50">
        <v>99.681227894833413</v>
      </c>
      <c r="M327" s="50">
        <v>29.385445405543329</v>
      </c>
      <c r="N327" s="53">
        <v>0</v>
      </c>
      <c r="O327" s="80">
        <v>0</v>
      </c>
      <c r="P327" s="85">
        <v>0</v>
      </c>
    </row>
    <row r="328" spans="1:16" x14ac:dyDescent="0.2">
      <c r="A328" s="26">
        <f t="shared" si="2"/>
        <v>2020.07</v>
      </c>
      <c r="B328" s="50">
        <v>136.90624520921358</v>
      </c>
      <c r="C328" s="51">
        <v>1.3490385895885706E-2</v>
      </c>
      <c r="D328" s="51">
        <v>-5.8285504193273288E-2</v>
      </c>
      <c r="E328" s="51">
        <v>-5.8285504193273288E-2</v>
      </c>
      <c r="F328" s="51">
        <v>-2.7885214797868985E-2</v>
      </c>
      <c r="G328" s="51">
        <v>-1.2387318584971444E-2</v>
      </c>
      <c r="H328" s="51">
        <v>5.0154155629693165E-2</v>
      </c>
      <c r="I328" s="51">
        <v>1.8883418522360858E-2</v>
      </c>
      <c r="J328" s="50">
        <v>145.948510923067</v>
      </c>
      <c r="K328" s="51">
        <v>-6.2214557232026069E-2</v>
      </c>
      <c r="L328" s="50">
        <v>100.87485975870855</v>
      </c>
      <c r="M328" s="50">
        <v>37.793194258267349</v>
      </c>
      <c r="N328" s="53">
        <v>0</v>
      </c>
      <c r="O328" s="80">
        <v>0</v>
      </c>
      <c r="P328" s="85">
        <v>0</v>
      </c>
    </row>
    <row r="329" spans="1:16" x14ac:dyDescent="0.2">
      <c r="A329" s="26">
        <f t="shared" si="2"/>
        <v>2020.08</v>
      </c>
      <c r="B329" s="50">
        <v>138.53810967963355</v>
      </c>
      <c r="C329" s="51">
        <v>1.1849097898561606E-2</v>
      </c>
      <c r="D329" s="51">
        <v>-4.0037760228599298E-2</v>
      </c>
      <c r="E329" s="51">
        <v>-4.0037760228599298E-2</v>
      </c>
      <c r="F329" s="51">
        <v>2.713114528129168E-3</v>
      </c>
      <c r="G329" s="51">
        <v>-1.2387318584971444E-2</v>
      </c>
      <c r="H329" s="51">
        <v>5.0154155629693165E-2</v>
      </c>
      <c r="I329" s="51">
        <v>1.8883418522360858E-2</v>
      </c>
      <c r="J329" s="50">
        <v>145.920837109735</v>
      </c>
      <c r="K329" s="51">
        <v>-5.0818934417377282E-2</v>
      </c>
      <c r="L329" s="50">
        <v>101.91537492746777</v>
      </c>
      <c r="M329" s="50">
        <v>44.519393340446555</v>
      </c>
      <c r="N329" s="53">
        <v>0</v>
      </c>
      <c r="O329" s="80">
        <v>0</v>
      </c>
      <c r="P329" s="85">
        <v>0</v>
      </c>
    </row>
    <row r="330" spans="1:16" x14ac:dyDescent="0.2">
      <c r="A330" s="26">
        <f t="shared" si="2"/>
        <v>2020.09</v>
      </c>
      <c r="B330" s="50">
        <v>140.13283488500812</v>
      </c>
      <c r="C330" s="51">
        <v>1.144534545121613E-2</v>
      </c>
      <c r="D330" s="51">
        <v>-1.992120573319001E-2</v>
      </c>
      <c r="E330" s="51">
        <v>-1.992120573319001E-2</v>
      </c>
      <c r="F330" s="51">
        <v>3.0602846975563258E-2</v>
      </c>
      <c r="G330" s="51">
        <v>-1.2387318584971444E-2</v>
      </c>
      <c r="H330" s="51">
        <v>5.0154155629693165E-2</v>
      </c>
      <c r="I330" s="51">
        <v>1.8883418522360858E-2</v>
      </c>
      <c r="J330" s="50">
        <v>145.90005387269301</v>
      </c>
      <c r="K330" s="51">
        <v>-3.9719007122167693E-2</v>
      </c>
      <c r="L330" s="50">
        <v>102.92505828273734</v>
      </c>
      <c r="M330" s="50">
        <v>56.290241734260185</v>
      </c>
      <c r="N330" s="53">
        <v>0</v>
      </c>
      <c r="O330" s="80">
        <v>0</v>
      </c>
      <c r="P330" s="85">
        <v>0</v>
      </c>
    </row>
    <row r="331" spans="1:16" x14ac:dyDescent="0.2">
      <c r="A331" s="26">
        <f t="shared" si="2"/>
        <v>2020.1</v>
      </c>
      <c r="B331" s="50">
        <v>141.92794669642143</v>
      </c>
      <c r="C331" s="51">
        <v>1.2728717819775373E-2</v>
      </c>
      <c r="D331" s="51">
        <v>3.5464416555828393E-3</v>
      </c>
      <c r="E331" s="51">
        <v>3.5464416555828393E-3</v>
      </c>
      <c r="F331" s="51">
        <v>5.8435914003976963E-2</v>
      </c>
      <c r="G331" s="51">
        <v>-1.2387318584971444E-2</v>
      </c>
      <c r="H331" s="51">
        <v>5.0154155629693165E-2</v>
      </c>
      <c r="I331" s="51">
        <v>1.8883418522360858E-2</v>
      </c>
      <c r="J331" s="50">
        <v>145.885805183808</v>
      </c>
      <c r="K331" s="51">
        <v>-2.7286469608654884E-2</v>
      </c>
      <c r="L331" s="50">
        <v>104.07823009823316</v>
      </c>
      <c r="M331" s="50">
        <v>63.016440816439399</v>
      </c>
      <c r="N331" s="53">
        <v>0</v>
      </c>
      <c r="O331" s="80">
        <v>0</v>
      </c>
      <c r="P331" s="85">
        <v>0</v>
      </c>
    </row>
    <row r="332" spans="1:16" x14ac:dyDescent="0.2">
      <c r="A332" s="26">
        <f t="shared" si="2"/>
        <v>2020.11</v>
      </c>
      <c r="B332" s="50">
        <v>143.30530121487379</v>
      </c>
      <c r="C332" s="51">
        <v>9.6578167826015422E-3</v>
      </c>
      <c r="D332" s="51">
        <v>2.0038704460124818E-2</v>
      </c>
      <c r="E332" s="51">
        <v>2.0038704460124818E-2</v>
      </c>
      <c r="F332" s="51">
        <v>7.6871966876820519E-2</v>
      </c>
      <c r="G332" s="51">
        <v>-1.2387318584971444E-2</v>
      </c>
      <c r="H332" s="51">
        <v>5.0154155629693165E-2</v>
      </c>
      <c r="I332" s="51">
        <v>1.8883418522360858E-2</v>
      </c>
      <c r="J332" s="50">
        <v>145.877690293547</v>
      </c>
      <c r="K332" s="51">
        <v>-1.7756854001713229E-2</v>
      </c>
      <c r="L332" s="50">
        <v>104.92162288918891</v>
      </c>
      <c r="M332" s="50">
        <v>68.061090128073801</v>
      </c>
      <c r="N332" s="53">
        <v>0</v>
      </c>
      <c r="O332" s="80">
        <v>0</v>
      </c>
      <c r="P332" s="85">
        <v>0</v>
      </c>
    </row>
    <row r="333" spans="1:16" x14ac:dyDescent="0.2">
      <c r="A333" s="26">
        <f t="shared" si="2"/>
        <v>2020.12</v>
      </c>
      <c r="B333" s="50">
        <v>143.65042732226874</v>
      </c>
      <c r="C333" s="51">
        <v>2.4054321937785955E-3</v>
      </c>
      <c r="D333" s="51">
        <v>3.0621579195814538E-2</v>
      </c>
      <c r="E333" s="51">
        <v>3.0621579195814538E-2</v>
      </c>
      <c r="F333" s="51">
        <v>7.8236584478873938E-2</v>
      </c>
      <c r="G333" s="51">
        <v>-1.2387318584971444E-2</v>
      </c>
      <c r="H333" s="51">
        <v>5.0154155629693165E-2</v>
      </c>
      <c r="I333" s="51">
        <v>1.8883418522360858E-2</v>
      </c>
      <c r="J333" s="50">
        <v>145.87527755547799</v>
      </c>
      <c r="K333" s="51">
        <v>-1.5341359033015145E-2</v>
      </c>
      <c r="L333" s="50">
        <v>105.0075268695292</v>
      </c>
      <c r="M333" s="50">
        <v>66.379540357528995</v>
      </c>
      <c r="N333" s="53">
        <v>0</v>
      </c>
      <c r="O333" s="80">
        <v>0</v>
      </c>
      <c r="P333" s="85">
        <v>0</v>
      </c>
    </row>
    <row r="334" spans="1:16" x14ac:dyDescent="0.2">
      <c r="A334" s="26">
        <f t="shared" si="2"/>
        <v>2021.01</v>
      </c>
      <c r="B334" s="50">
        <v>144.1120269915485</v>
      </c>
      <c r="C334" s="51">
        <v>3.2082021700894944E-3</v>
      </c>
      <c r="D334" s="51">
        <v>3.9915440437633468E-2</v>
      </c>
      <c r="E334" s="51">
        <v>3.9915440437633468E-2</v>
      </c>
      <c r="F334" s="51">
        <v>7.9419319558863721E-2</v>
      </c>
      <c r="G334" s="51">
        <v>-1.2387318584971444E-2</v>
      </c>
      <c r="H334" s="51">
        <v>5.0154155629693165E-2</v>
      </c>
      <c r="I334" s="51">
        <v>1.8883418522360858E-2</v>
      </c>
      <c r="J334" s="50">
        <v>145.87811510768699</v>
      </c>
      <c r="K334" s="51">
        <v>-1.2164534547136507E-2</v>
      </c>
      <c r="L334" s="50">
        <v>105.1779009629908</v>
      </c>
      <c r="M334" s="50">
        <v>61.334891045894587</v>
      </c>
      <c r="N334" s="53">
        <v>0</v>
      </c>
      <c r="O334" s="80">
        <v>0</v>
      </c>
      <c r="P334" s="85">
        <v>0</v>
      </c>
    </row>
    <row r="335" spans="1:16" x14ac:dyDescent="0.2">
      <c r="A335" s="26">
        <f t="shared" si="2"/>
        <v>2021.02</v>
      </c>
      <c r="B335" s="50">
        <v>145.71170602167305</v>
      </c>
      <c r="C335" s="51">
        <v>1.1039090956453636E-2</v>
      </c>
      <c r="D335" s="51">
        <v>5.966632521834081E-2</v>
      </c>
      <c r="E335" s="51">
        <v>5.966632521834081E-2</v>
      </c>
      <c r="F335" s="51">
        <v>9.4764645204626685E-2</v>
      </c>
      <c r="G335" s="51">
        <v>-1.2387318584971444E-2</v>
      </c>
      <c r="H335" s="51">
        <v>5.0154155629693165E-2</v>
      </c>
      <c r="I335" s="51">
        <v>1.8883418522360858E-2</v>
      </c>
      <c r="J335" s="50">
        <v>145.88573353693999</v>
      </c>
      <c r="K335" s="51">
        <v>-1.2210594157472388E-3</v>
      </c>
      <c r="L335" s="50">
        <v>106.17676286114671</v>
      </c>
      <c r="M335" s="50">
        <v>63.016440816439399</v>
      </c>
      <c r="N335" s="53">
        <v>0</v>
      </c>
      <c r="O335" s="80">
        <v>0</v>
      </c>
      <c r="P335" s="85">
        <v>0</v>
      </c>
    </row>
    <row r="336" spans="1:16" x14ac:dyDescent="0.2">
      <c r="A336" s="26">
        <f t="shared" si="2"/>
        <v>2021.03</v>
      </c>
      <c r="B336" s="50">
        <v>147.40342872069712</v>
      </c>
      <c r="C336" s="51">
        <v>1.1543187525682308E-2</v>
      </c>
      <c r="D336" s="51">
        <v>8.4182281684147847E-2</v>
      </c>
      <c r="E336" s="51">
        <v>8.4182281684147847E-2</v>
      </c>
      <c r="F336" s="51">
        <v>0.10795357891445367</v>
      </c>
      <c r="G336" s="51">
        <v>-1.2387318584971444E-2</v>
      </c>
      <c r="H336" s="51">
        <v>5.0154155629693165E-2</v>
      </c>
      <c r="I336" s="51">
        <v>1.8883418522360858E-2</v>
      </c>
      <c r="J336" s="50">
        <v>145.89764942099501</v>
      </c>
      <c r="K336" s="51">
        <v>1.0321031285923876E-2</v>
      </c>
      <c r="L336" s="50">
        <v>107.23915609834427</v>
      </c>
      <c r="M336" s="50">
        <v>63.016440816439399</v>
      </c>
      <c r="N336" s="53">
        <v>0</v>
      </c>
      <c r="O336" s="80">
        <v>0</v>
      </c>
      <c r="P336" s="85">
        <v>0</v>
      </c>
    </row>
    <row r="337" spans="1:16" x14ac:dyDescent="0.2">
      <c r="A337" s="26">
        <f t="shared" si="2"/>
        <v>2021.04</v>
      </c>
      <c r="B337" s="50">
        <v>147.43713626482867</v>
      </c>
      <c r="C337" s="51">
        <v>2.2864929919034924E-4</v>
      </c>
      <c r="D337" s="51">
        <v>9.2879423336134539E-2</v>
      </c>
      <c r="E337" s="51">
        <v>9.2879423336134539E-2</v>
      </c>
      <c r="F337" s="51">
        <v>9.4013540872983414E-2</v>
      </c>
      <c r="G337" s="51">
        <v>-1.2387318584971444E-2</v>
      </c>
      <c r="H337" s="51">
        <v>5.0154155629693165E-2</v>
      </c>
      <c r="I337" s="51">
        <v>1.8883418522360858E-2</v>
      </c>
      <c r="J337" s="50">
        <v>145.91337763313601</v>
      </c>
      <c r="K337" s="51">
        <v>1.0469729452317278E-2</v>
      </c>
      <c r="L337" s="50">
        <v>107.09358415422257</v>
      </c>
      <c r="M337" s="50">
        <v>61.334891045894587</v>
      </c>
      <c r="N337" s="53">
        <v>0</v>
      </c>
      <c r="O337" s="80">
        <v>0</v>
      </c>
      <c r="P337" s="85">
        <v>0</v>
      </c>
    </row>
    <row r="338" spans="1:16" x14ac:dyDescent="0.2">
      <c r="A338" s="26">
        <f t="shared" si="2"/>
        <v>2021.05</v>
      </c>
      <c r="B338" s="50">
        <v>147.30891507285946</v>
      </c>
      <c r="C338" s="51">
        <v>-8.7004524386782292E-4</v>
      </c>
      <c r="D338" s="51">
        <v>9.4110801086007959E-2</v>
      </c>
      <c r="E338" s="51">
        <v>9.4110801086007959E-2</v>
      </c>
      <c r="F338" s="51">
        <v>7.6780901315091743E-2</v>
      </c>
      <c r="G338" s="51">
        <v>-1.2387318584971444E-2</v>
      </c>
      <c r="H338" s="51">
        <v>5.0154155629693165E-2</v>
      </c>
      <c r="I338" s="51">
        <v>1.8883418522360858E-2</v>
      </c>
      <c r="J338" s="50">
        <v>145.932444327301</v>
      </c>
      <c r="K338" s="51">
        <v>9.4834218448531793E-3</v>
      </c>
      <c r="L338" s="50">
        <v>106.8307709289729</v>
      </c>
      <c r="M338" s="50">
        <v>54.608691963715387</v>
      </c>
      <c r="N338" s="53">
        <v>0</v>
      </c>
      <c r="O338" s="80">
        <v>0</v>
      </c>
      <c r="P338" s="85">
        <v>0</v>
      </c>
    </row>
    <row r="339" spans="1:16" x14ac:dyDescent="0.2">
      <c r="A339" s="26">
        <f t="shared" si="2"/>
        <v>2021.06</v>
      </c>
      <c r="B339" s="50">
        <v>147.10552806424258</v>
      </c>
      <c r="C339" s="51">
        <v>-1.3816376588314814E-3</v>
      </c>
      <c r="D339" s="51">
        <v>8.5344243090535538E-2</v>
      </c>
      <c r="E339" s="51">
        <v>8.5344243090535538E-2</v>
      </c>
      <c r="F339" s="51">
        <v>5.8759412579875603E-2</v>
      </c>
      <c r="G339" s="51">
        <v>-1.2387318584971444E-2</v>
      </c>
      <c r="H339" s="51">
        <v>5.0154155629693165E-2</v>
      </c>
      <c r="I339" s="51">
        <v>1.8883418522360858E-2</v>
      </c>
      <c r="J339" s="50">
        <v>145.95438707304601</v>
      </c>
      <c r="K339" s="51">
        <v>7.9601918198126675E-3</v>
      </c>
      <c r="L339" s="50">
        <v>106.51409691580348</v>
      </c>
      <c r="M339" s="50">
        <v>54.608691963715387</v>
      </c>
      <c r="N339" s="53">
        <v>0</v>
      </c>
      <c r="O339" s="80">
        <v>0</v>
      </c>
      <c r="P339" s="85">
        <v>0</v>
      </c>
    </row>
    <row r="340" spans="1:16" x14ac:dyDescent="0.2">
      <c r="A340" s="26">
        <f t="shared" si="2"/>
        <v>2021.07</v>
      </c>
      <c r="B340" s="50">
        <v>146.78202792145638</v>
      </c>
      <c r="C340" s="51">
        <v>-2.2015241329999082E-3</v>
      </c>
      <c r="D340" s="51">
        <v>6.9652333061649918E-2</v>
      </c>
      <c r="E340" s="51">
        <v>6.9652333061649918E-2</v>
      </c>
      <c r="F340" s="51">
        <v>4.0913195867436247E-2</v>
      </c>
      <c r="G340" s="51">
        <v>-1.2387318584971444E-2</v>
      </c>
      <c r="H340" s="51">
        <v>5.0154155629693165E-2</v>
      </c>
      <c r="I340" s="51">
        <v>1.8883418522360858E-2</v>
      </c>
      <c r="J340" s="50">
        <v>145.978753638672</v>
      </c>
      <c r="K340" s="51">
        <v>5.5955103409945917E-3</v>
      </c>
      <c r="L340" s="50">
        <v>106.11132669023766</v>
      </c>
      <c r="M340" s="50">
        <v>54.608691963715387</v>
      </c>
      <c r="N340" s="53">
        <v>0</v>
      </c>
      <c r="O340" s="80">
        <v>0</v>
      </c>
      <c r="P340" s="85">
        <v>0</v>
      </c>
    </row>
    <row r="341" spans="1:16" x14ac:dyDescent="0.2">
      <c r="A341" s="26">
        <f t="shared" si="2"/>
        <v>2021.08</v>
      </c>
      <c r="B341" s="50">
        <v>147.37434982353668</v>
      </c>
      <c r="C341" s="51">
        <v>4.0272640504082765E-3</v>
      </c>
      <c r="D341" s="51">
        <v>6.1830499213496662E-2</v>
      </c>
      <c r="E341" s="51">
        <v>6.1830499213496662E-2</v>
      </c>
      <c r="F341" s="51">
        <v>3.7677648565922706E-2</v>
      </c>
      <c r="G341" s="51">
        <v>-1.2387318584971444E-2</v>
      </c>
      <c r="H341" s="51">
        <v>5.0154155629693165E-2</v>
      </c>
      <c r="I341" s="51">
        <v>1.8883418522360858E-2</v>
      </c>
      <c r="J341" s="50">
        <v>146.00510016610301</v>
      </c>
      <c r="K341" s="51">
        <v>9.4889060680924953E-3</v>
      </c>
      <c r="L341" s="50">
        <v>106.37058010948796</v>
      </c>
      <c r="M341" s="50">
        <v>49.564042652080971</v>
      </c>
      <c r="N341" s="53">
        <v>0</v>
      </c>
      <c r="O341" s="80">
        <v>0</v>
      </c>
      <c r="P341" s="85">
        <v>0</v>
      </c>
    </row>
    <row r="342" spans="1:16" x14ac:dyDescent="0.2">
      <c r="A342" s="26">
        <f t="shared" si="2"/>
        <v>2021.09</v>
      </c>
      <c r="B342" s="50">
        <v>148.1031535994974</v>
      </c>
      <c r="C342" s="51">
        <v>4.9330676310711903E-3</v>
      </c>
      <c r="D342" s="51">
        <v>5.5318221393351616E-2</v>
      </c>
      <c r="E342" s="51">
        <v>5.5318221393351616E-2</v>
      </c>
      <c r="F342" s="51">
        <v>3.7387318542142278E-2</v>
      </c>
      <c r="G342" s="51">
        <v>-1.2387318584971444E-2</v>
      </c>
      <c r="H342" s="51">
        <v>5.0154155629693165E-2</v>
      </c>
      <c r="I342" s="51">
        <v>1.8883418522360858E-2</v>
      </c>
      <c r="J342" s="50">
        <v>146.03298845402099</v>
      </c>
      <c r="K342" s="51">
        <v>1.4302804737681862E-2</v>
      </c>
      <c r="L342" s="50">
        <v>106.72709695819478</v>
      </c>
      <c r="M342" s="50">
        <v>49.564042652080971</v>
      </c>
      <c r="N342" s="53">
        <v>0</v>
      </c>
      <c r="O342" s="80">
        <v>0</v>
      </c>
      <c r="P342" s="85">
        <v>0</v>
      </c>
    </row>
    <row r="343" spans="1:16" x14ac:dyDescent="0.2">
      <c r="A343" s="26">
        <f t="shared" si="2"/>
        <v>2021.1</v>
      </c>
      <c r="B343" s="50">
        <v>148.42494095238246</v>
      </c>
      <c r="C343" s="51">
        <v>2.1703675645719368E-3</v>
      </c>
      <c r="D343" s="51">
        <v>4.4759871138148132E-2</v>
      </c>
      <c r="E343" s="51">
        <v>4.4759871138148132E-2</v>
      </c>
      <c r="F343" s="51">
        <v>3.2812649197625054E-2</v>
      </c>
      <c r="G343" s="51">
        <v>-1.2387318584971444E-2</v>
      </c>
      <c r="H343" s="51">
        <v>5.0154155629693165E-2</v>
      </c>
      <c r="I343" s="51">
        <v>1.8883418522360858E-2</v>
      </c>
      <c r="J343" s="50">
        <v>146.06199032854499</v>
      </c>
      <c r="K343" s="51">
        <v>1.6318038571572657E-2</v>
      </c>
      <c r="L343" s="50">
        <v>106.78937380500031</v>
      </c>
      <c r="M343" s="50">
        <v>49.564042652080971</v>
      </c>
      <c r="N343" s="53">
        <v>0</v>
      </c>
      <c r="O343" s="80">
        <v>0</v>
      </c>
      <c r="P343" s="85">
        <v>0</v>
      </c>
    </row>
    <row r="344" spans="1:16" x14ac:dyDescent="0.2">
      <c r="A344" s="26">
        <f t="shared" si="2"/>
        <v>2021.11</v>
      </c>
      <c r="B344" s="50">
        <v>148.80974334167098</v>
      </c>
      <c r="C344" s="51">
        <v>2.5892173733371307E-3</v>
      </c>
      <c r="D344" s="51">
        <v>3.7691271728883625E-2</v>
      </c>
      <c r="E344" s="51">
        <v>3.7691271728883625E-2</v>
      </c>
      <c r="F344" s="51">
        <v>3.0686914323245551E-2</v>
      </c>
      <c r="G344" s="51">
        <v>-1.2387318584971444E-2</v>
      </c>
      <c r="H344" s="51">
        <v>5.0154155629693165E-2</v>
      </c>
      <c r="I344" s="51">
        <v>1.8883418522360858E-2</v>
      </c>
      <c r="J344" s="50">
        <v>146.091693112716</v>
      </c>
      <c r="K344" s="51">
        <v>1.8756881005634884E-2</v>
      </c>
      <c r="L344" s="50">
        <v>106.89645117401406</v>
      </c>
      <c r="M344" s="50">
        <v>51.245592422625776</v>
      </c>
      <c r="N344" s="53">
        <v>0</v>
      </c>
      <c r="O344" s="80">
        <v>0</v>
      </c>
      <c r="P344" s="85">
        <v>0</v>
      </c>
    </row>
    <row r="345" spans="1:16" x14ac:dyDescent="0.2">
      <c r="A345" s="26">
        <f t="shared" si="2"/>
        <v>2021.12</v>
      </c>
      <c r="B345" s="50">
        <v>149.58070116865636</v>
      </c>
      <c r="C345" s="51">
        <v>5.1674546334563639E-3</v>
      </c>
      <c r="D345" s="51">
        <v>4.0453294168561388E-2</v>
      </c>
      <c r="E345" s="51">
        <v>4.0453294168561388E-2</v>
      </c>
      <c r="F345" s="51">
        <v>3.4574025905824035E-2</v>
      </c>
      <c r="G345" s="51">
        <v>-1.2387318584971444E-2</v>
      </c>
      <c r="H345" s="51">
        <v>5.0154155629693165E-2</v>
      </c>
      <c r="I345" s="51">
        <v>1.8883418522360858E-2</v>
      </c>
      <c r="J345" s="50">
        <v>146.12170195063899</v>
      </c>
      <c r="K345" s="51">
        <v>2.3833665926901393E-2</v>
      </c>
      <c r="L345" s="50">
        <v>107.27987261910786</v>
      </c>
      <c r="M345" s="50">
        <v>56.290241734260185</v>
      </c>
      <c r="N345" s="53">
        <v>0</v>
      </c>
      <c r="O345" s="80">
        <v>0</v>
      </c>
      <c r="P345" s="85">
        <v>0</v>
      </c>
    </row>
    <row r="346" spans="1:16" x14ac:dyDescent="0.2">
      <c r="A346" s="26">
        <f t="shared" si="2"/>
        <v>2022.01</v>
      </c>
      <c r="B346" s="50">
        <v>150.08890720639243</v>
      </c>
      <c r="C346" s="51">
        <v>3.3917788840774608E-3</v>
      </c>
      <c r="D346" s="51">
        <v>4.0636870882549421E-2</v>
      </c>
      <c r="E346" s="51">
        <v>4.0636870882549421E-2</v>
      </c>
      <c r="F346" s="51">
        <v>3.4635540712938395E-2</v>
      </c>
      <c r="G346" s="51">
        <v>-1.2387318584971444E-2</v>
      </c>
      <c r="H346" s="51">
        <v>5.0154155629693165E-2</v>
      </c>
      <c r="I346" s="51">
        <v>1.8883418522360858E-2</v>
      </c>
      <c r="J346" s="50">
        <v>146.15164257294401</v>
      </c>
      <c r="K346" s="51">
        <v>2.7108816356261167E-2</v>
      </c>
      <c r="L346" s="50">
        <v>107.47366143091894</v>
      </c>
      <c r="M346" s="50">
        <v>57.97179150480499</v>
      </c>
      <c r="N346" s="53">
        <v>0</v>
      </c>
      <c r="O346" s="80">
        <v>0</v>
      </c>
      <c r="P346" s="85">
        <v>0</v>
      </c>
    </row>
    <row r="347" spans="1:16" x14ac:dyDescent="0.2">
      <c r="A347" s="26">
        <f t="shared" si="2"/>
        <v>2022.02</v>
      </c>
      <c r="B347" s="50">
        <v>150.42935588691168</v>
      </c>
      <c r="C347" s="51">
        <v>2.2657446682861769E-3</v>
      </c>
      <c r="D347" s="51">
        <v>3.1863524594381985E-2</v>
      </c>
      <c r="E347" s="51">
        <v>3.1863524594381985E-2</v>
      </c>
      <c r="F347" s="51">
        <v>3.2519697612480636E-2</v>
      </c>
      <c r="G347" s="51">
        <v>-1.2387318584971444E-2</v>
      </c>
      <c r="H347" s="51">
        <v>5.0154155629693165E-2</v>
      </c>
      <c r="I347" s="51">
        <v>1.8883418522360858E-2</v>
      </c>
      <c r="J347" s="50">
        <v>146.18116700688699</v>
      </c>
      <c r="K347" s="51">
        <v>2.9235891220051879E-2</v>
      </c>
      <c r="L347" s="50">
        <v>107.54663090620758</v>
      </c>
      <c r="M347" s="50">
        <v>59.653341275349803</v>
      </c>
      <c r="N347" s="53">
        <v>0</v>
      </c>
      <c r="O347" s="80">
        <v>0</v>
      </c>
      <c r="P347" s="85">
        <v>0</v>
      </c>
    </row>
    <row r="348" spans="1:16" x14ac:dyDescent="0.2">
      <c r="A348" s="26">
        <f t="shared" si="2"/>
        <v>2022.03</v>
      </c>
      <c r="B348" s="50">
        <v>151.18540126268545</v>
      </c>
      <c r="C348" s="51">
        <v>5.0133287006339494E-3</v>
      </c>
      <c r="D348" s="51">
        <v>2.5333665769333699E-2</v>
      </c>
      <c r="E348" s="51">
        <v>2.5333665769333699E-2</v>
      </c>
      <c r="F348" s="51">
        <v>3.7023764314335406E-2</v>
      </c>
      <c r="G348" s="51">
        <v>-1.2387318584971444E-2</v>
      </c>
      <c r="H348" s="51">
        <v>5.0154155629693165E-2</v>
      </c>
      <c r="I348" s="51">
        <v>1.8883418522360858E-2</v>
      </c>
      <c r="J348" s="50">
        <v>146.209957253564</v>
      </c>
      <c r="K348" s="51">
        <v>3.4208463482184204E-2</v>
      </c>
      <c r="L348" s="50">
        <v>107.91575055037717</v>
      </c>
      <c r="M348" s="50">
        <v>56.290241734260185</v>
      </c>
      <c r="N348" s="53">
        <v>0</v>
      </c>
      <c r="O348" s="80">
        <v>0</v>
      </c>
      <c r="P348" s="85">
        <v>0</v>
      </c>
    </row>
    <row r="349" spans="1:16" x14ac:dyDescent="0.2">
      <c r="A349" s="26">
        <f t="shared" si="2"/>
        <v>2022.04</v>
      </c>
      <c r="B349" s="50">
        <v>152.54881919744884</v>
      </c>
      <c r="C349" s="51">
        <v>8.9777641145448242E-3</v>
      </c>
      <c r="D349" s="51">
        <v>3.4082780584688166E-2</v>
      </c>
      <c r="E349" s="51">
        <v>3.4082780584688166E-2</v>
      </c>
      <c r="F349" s="51">
        <v>5.0229042425967485E-2</v>
      </c>
      <c r="G349" s="51">
        <v>-1.2387318584971444E-2</v>
      </c>
      <c r="H349" s="51">
        <v>5.0154155629693165E-2</v>
      </c>
      <c r="I349" s="51">
        <v>1.8883418522360858E-2</v>
      </c>
      <c r="J349" s="50">
        <v>146.23772769285301</v>
      </c>
      <c r="K349" s="51">
        <v>4.3338725328033068E-2</v>
      </c>
      <c r="L349" s="50">
        <v>108.71628255574117</v>
      </c>
      <c r="M349" s="50">
        <v>61.334891045894587</v>
      </c>
      <c r="N349" s="53">
        <v>0</v>
      </c>
      <c r="O349" s="80">
        <v>0</v>
      </c>
      <c r="P349" s="85">
        <v>0</v>
      </c>
    </row>
    <row r="350" spans="1:16" x14ac:dyDescent="0.2">
      <c r="A350" s="26">
        <f t="shared" si="2"/>
        <v>2022.05</v>
      </c>
      <c r="B350" s="50">
        <v>152.8510948442576</v>
      </c>
      <c r="C350" s="51">
        <v>1.9795404754115735E-3</v>
      </c>
      <c r="D350" s="51">
        <v>3.6932366303967706E-2</v>
      </c>
      <c r="E350" s="51">
        <v>3.6932366303967706E-2</v>
      </c>
      <c r="F350" s="51">
        <v>4.8516754844809773E-2</v>
      </c>
      <c r="G350" s="51">
        <v>-1.2387318584971444E-2</v>
      </c>
      <c r="H350" s="51">
        <v>5.0154155629693165E-2</v>
      </c>
      <c r="I350" s="51">
        <v>1.8883418522360858E-2</v>
      </c>
      <c r="J350" s="50">
        <v>146.26423068959801</v>
      </c>
      <c r="K350" s="51">
        <v>4.5216877124266919E-2</v>
      </c>
      <c r="L350" s="50">
        <v>108.75896398502687</v>
      </c>
      <c r="M350" s="50">
        <v>61.334891045894587</v>
      </c>
      <c r="N350" s="53">
        <v>0</v>
      </c>
      <c r="O350" s="80">
        <v>0</v>
      </c>
      <c r="P350" s="85">
        <v>0</v>
      </c>
    </row>
    <row r="351" spans="1:16" x14ac:dyDescent="0.2">
      <c r="A351" s="26">
        <f t="shared" si="2"/>
        <v>2022.06</v>
      </c>
      <c r="B351" s="50">
        <v>152.60343116063814</v>
      </c>
      <c r="C351" s="51">
        <v>-1.621607910875145E-3</v>
      </c>
      <c r="D351" s="51">
        <v>3.6692396051923835E-2</v>
      </c>
      <c r="E351" s="51">
        <v>3.6692396051923835E-2</v>
      </c>
      <c r="F351" s="51">
        <v>3.942575662249026E-2</v>
      </c>
      <c r="G351" s="51">
        <v>-1.2387318584971444E-2</v>
      </c>
      <c r="H351" s="51">
        <v>5.0154155629693165E-2</v>
      </c>
      <c r="I351" s="51">
        <v>1.8883418522360858E-2</v>
      </c>
      <c r="J351" s="50">
        <v>146.28926687490201</v>
      </c>
      <c r="K351" s="51">
        <v>4.3343541931259333E-2</v>
      </c>
      <c r="L351" s="50">
        <v>108.41055587922061</v>
      </c>
      <c r="M351" s="50">
        <v>56.290241734260185</v>
      </c>
      <c r="N351" s="53">
        <v>1</v>
      </c>
      <c r="O351" s="80">
        <v>1</v>
      </c>
      <c r="P351" s="85">
        <v>1</v>
      </c>
    </row>
    <row r="352" spans="1:16" x14ac:dyDescent="0.2">
      <c r="A352" s="26">
        <f t="shared" si="2"/>
        <v>2022.07</v>
      </c>
      <c r="B352" s="50">
        <v>151.56536079040944</v>
      </c>
      <c r="C352" s="51">
        <v>-6.8256469957237416E-3</v>
      </c>
      <c r="D352" s="51">
        <v>3.2068273189200025E-2</v>
      </c>
      <c r="E352" s="51">
        <v>3.2068273189200025E-2</v>
      </c>
      <c r="F352" s="51">
        <v>2.0625704233928843E-2</v>
      </c>
      <c r="G352" s="51">
        <v>-1.2387318584971444E-2</v>
      </c>
      <c r="H352" s="51">
        <v>5.0154155629693165E-2</v>
      </c>
      <c r="I352" s="51">
        <v>1.8883418522360858E-2</v>
      </c>
      <c r="J352" s="50">
        <v>146.31268724140901</v>
      </c>
      <c r="K352" s="51">
        <v>3.6078028451165034E-2</v>
      </c>
      <c r="L352" s="50">
        <v>107.50235919673378</v>
      </c>
      <c r="M352" s="50">
        <v>52.927142193170582</v>
      </c>
      <c r="N352" s="53">
        <v>1</v>
      </c>
      <c r="O352" s="80">
        <v>1</v>
      </c>
      <c r="P352" s="85">
        <v>1</v>
      </c>
    </row>
    <row r="353" spans="1:16" x14ac:dyDescent="0.2">
      <c r="A353" s="26">
        <f t="shared" si="2"/>
        <v>2022.08</v>
      </c>
      <c r="B353" s="50">
        <v>150.64206237812942</v>
      </c>
      <c r="C353" s="51">
        <v>-6.1103812430897035E-3</v>
      </c>
      <c r="D353" s="51">
        <v>2.1930627895701927E-2</v>
      </c>
      <c r="E353" s="51">
        <v>2.1930627895701927E-2</v>
      </c>
      <c r="F353" s="51">
        <v>4.2413513759134158E-3</v>
      </c>
      <c r="G353" s="51">
        <v>-1.2387318584971444E-2</v>
      </c>
      <c r="H353" s="51">
        <v>5.0154155629693165E-2</v>
      </c>
      <c r="I353" s="51">
        <v>1.8883418522360858E-2</v>
      </c>
      <c r="J353" s="50">
        <v>146.33439100975599</v>
      </c>
      <c r="K353" s="51">
        <v>2.9610343298990038E-2</v>
      </c>
      <c r="L353" s="50">
        <v>106.67804669649665</v>
      </c>
      <c r="M353" s="50">
        <v>47.882492881536166</v>
      </c>
      <c r="N353" s="53">
        <v>1</v>
      </c>
      <c r="O353" s="80">
        <v>1</v>
      </c>
      <c r="P353" s="85">
        <v>1</v>
      </c>
    </row>
    <row r="354" spans="1:16" x14ac:dyDescent="0.2">
      <c r="A354" s="26">
        <f t="shared" si="2"/>
        <v>2022.09</v>
      </c>
      <c r="B354" s="50">
        <v>149.9179470144114</v>
      </c>
      <c r="C354" s="51">
        <v>-4.8184505063814829E-3</v>
      </c>
      <c r="D354" s="51">
        <v>1.217910975824936E-2</v>
      </c>
      <c r="E354" s="51">
        <v>1.217910975824936E-2</v>
      </c>
      <c r="F354" s="51">
        <v>-7.9731118972264925E-3</v>
      </c>
      <c r="G354" s="51">
        <v>-1.2387318584971444E-2</v>
      </c>
      <c r="H354" s="51">
        <v>5.0154155629693165E-2</v>
      </c>
      <c r="I354" s="51">
        <v>1.8883418522360858E-2</v>
      </c>
      <c r="J354" s="50">
        <v>146.354317415163</v>
      </c>
      <c r="K354" s="51">
        <v>2.4517360624722651E-2</v>
      </c>
      <c r="L354" s="50">
        <v>105.99690714646394</v>
      </c>
      <c r="M354" s="50">
        <v>39.474744028812147</v>
      </c>
      <c r="N354" s="53">
        <v>1</v>
      </c>
      <c r="O354" s="80">
        <v>1</v>
      </c>
      <c r="P354" s="85">
        <v>1</v>
      </c>
    </row>
    <row r="355" spans="1:16" x14ac:dyDescent="0.2">
      <c r="A355" s="26">
        <f t="shared" si="2"/>
        <v>2022.1</v>
      </c>
      <c r="B355" s="50">
        <v>150.26363365958534</v>
      </c>
      <c r="C355" s="51">
        <v>2.3031846071984181E-3</v>
      </c>
      <c r="D355" s="51">
        <v>1.2311926800875742E-2</v>
      </c>
      <c r="E355" s="51">
        <v>1.2311926800875742E-2</v>
      </c>
      <c r="F355" s="51">
        <v>-5.5907044417921048E-3</v>
      </c>
      <c r="G355" s="51">
        <v>-1.2387318584971444E-2</v>
      </c>
      <c r="H355" s="51">
        <v>5.0154155629693165E-2</v>
      </c>
      <c r="I355" s="51">
        <v>1.8883418522360858E-2</v>
      </c>
      <c r="J355" s="50">
        <v>146.37243843275101</v>
      </c>
      <c r="K355" s="51">
        <v>2.6747609752574508E-2</v>
      </c>
      <c r="L355" s="50">
        <v>106.07284526273557</v>
      </c>
      <c r="M355" s="50">
        <v>36.11164448772255</v>
      </c>
      <c r="N355" s="53">
        <v>1</v>
      </c>
      <c r="O355" s="80">
        <v>1</v>
      </c>
      <c r="P355" s="85">
        <v>1</v>
      </c>
    </row>
    <row r="356" spans="1:16" x14ac:dyDescent="0.2">
      <c r="A356" s="26">
        <f t="shared" si="2"/>
        <v>2022.11</v>
      </c>
      <c r="B356" s="50">
        <v>150.37868065751354</v>
      </c>
      <c r="C356" s="51">
        <v>7.6534139118265832E-4</v>
      </c>
      <c r="D356" s="51">
        <v>1.0488050818721326E-2</v>
      </c>
      <c r="E356" s="51">
        <v>1.0488050818721326E-2</v>
      </c>
      <c r="F356" s="51">
        <v>-6.0509403233331982E-3</v>
      </c>
      <c r="G356" s="51">
        <v>-1.2387318584971444E-2</v>
      </c>
      <c r="H356" s="51">
        <v>5.0154155629693165E-2</v>
      </c>
      <c r="I356" s="51">
        <v>1.8883418522360858E-2</v>
      </c>
      <c r="J356" s="50">
        <v>146.38875311196401</v>
      </c>
      <c r="K356" s="51">
        <v>2.7413672587383253E-2</v>
      </c>
      <c r="L356" s="50">
        <v>105.98572296703894</v>
      </c>
      <c r="M356" s="50">
        <v>37.793194258267349</v>
      </c>
      <c r="N356" s="53">
        <v>1</v>
      </c>
      <c r="O356" s="80">
        <v>1</v>
      </c>
      <c r="P356" s="85">
        <v>1</v>
      </c>
    </row>
    <row r="357" spans="1:16" x14ac:dyDescent="0.2">
      <c r="A357" s="26">
        <f t="shared" si="2"/>
        <v>2022.12</v>
      </c>
      <c r="B357" s="50">
        <v>150.48456256039023</v>
      </c>
      <c r="C357" s="51">
        <v>7.038540575144786E-4</v>
      </c>
      <c r="D357" s="51">
        <v>6.0244502427793389E-3</v>
      </c>
      <c r="E357" s="51">
        <v>6.0244502427793389E-3</v>
      </c>
      <c r="F357" s="51">
        <v>-6.3488124331023688E-3</v>
      </c>
      <c r="G357" s="51">
        <v>-1.2387318584971444E-2</v>
      </c>
      <c r="H357" s="51">
        <v>5.0154155629693165E-2</v>
      </c>
      <c r="I357" s="51">
        <v>1.8883418522360858E-2</v>
      </c>
      <c r="J357" s="50">
        <v>146.403290139501</v>
      </c>
      <c r="K357" s="51">
        <v>2.802908185241515E-2</v>
      </c>
      <c r="L357" s="50">
        <v>105.8921610019044</v>
      </c>
      <c r="M357" s="50">
        <v>37.793194258267349</v>
      </c>
      <c r="N357" s="53">
        <v>1</v>
      </c>
      <c r="O357" s="80">
        <v>1</v>
      </c>
      <c r="P357" s="85">
        <v>1</v>
      </c>
    </row>
    <row r="358" spans="1:16" x14ac:dyDescent="0.2">
      <c r="A358" s="26">
        <f t="shared" si="2"/>
        <v>2023.01</v>
      </c>
      <c r="B358" s="50">
        <v>149.96530121828161</v>
      </c>
      <c r="C358" s="51">
        <v>-3.4565624532592715E-3</v>
      </c>
      <c r="D358" s="51">
        <v>-8.2389109455731932E-4</v>
      </c>
      <c r="E358" s="51">
        <v>-8.2389109455731932E-4</v>
      </c>
      <c r="F358" s="51">
        <v>-1.3578013934618549E-2</v>
      </c>
      <c r="G358" s="51">
        <v>-1.2387318584971444E-2</v>
      </c>
      <c r="H358" s="51">
        <v>5.0154155629693165E-2</v>
      </c>
      <c r="I358" s="51">
        <v>1.8883418522360858E-2</v>
      </c>
      <c r="J358" s="50">
        <v>146.41610861525101</v>
      </c>
      <c r="K358" s="51">
        <v>2.4385989957405485E-2</v>
      </c>
      <c r="L358" s="50">
        <v>105.35942941909111</v>
      </c>
      <c r="M358" s="50">
        <v>37.793194258267349</v>
      </c>
      <c r="N358" s="53">
        <v>1</v>
      </c>
      <c r="O358" s="80">
        <v>1</v>
      </c>
      <c r="P358" s="85">
        <v>1</v>
      </c>
    </row>
    <row r="359" spans="1:16" x14ac:dyDescent="0.2">
      <c r="A359" s="26">
        <f t="shared" si="2"/>
        <v>2023.02</v>
      </c>
      <c r="B359" s="50">
        <v>150.20655023410262</v>
      </c>
      <c r="C359" s="51">
        <v>1.6074063347229195E-3</v>
      </c>
      <c r="D359" s="51">
        <v>-1.4822294281205543E-3</v>
      </c>
      <c r="E359" s="51">
        <v>-1.4822294281205543E-3</v>
      </c>
      <c r="F359" s="51">
        <v>-1.0521898775795235E-2</v>
      </c>
      <c r="G359" s="51">
        <v>-1.2387318584971444E-2</v>
      </c>
      <c r="H359" s="51">
        <v>5.0154155629693165E-2</v>
      </c>
      <c r="I359" s="51">
        <v>1.8883418522360858E-2</v>
      </c>
      <c r="J359" s="50">
        <v>146.42729879698101</v>
      </c>
      <c r="K359" s="51">
        <v>2.5949369223423835E-2</v>
      </c>
      <c r="L359" s="50">
        <v>105.36157702957304</v>
      </c>
      <c r="M359" s="50">
        <v>42.837843569901757</v>
      </c>
      <c r="N359" s="53">
        <v>1</v>
      </c>
      <c r="O359" s="80">
        <v>1</v>
      </c>
      <c r="P359" s="85">
        <v>1</v>
      </c>
    </row>
    <row r="360" spans="1:16" x14ac:dyDescent="0.2">
      <c r="A360" s="26">
        <f t="shared" si="2"/>
        <v>2023.03</v>
      </c>
      <c r="B360" s="50">
        <v>150.47767915196641</v>
      </c>
      <c r="C360" s="51">
        <v>1.8034134473901499E-3</v>
      </c>
      <c r="D360" s="51">
        <v>-4.6921446813643812E-3</v>
      </c>
      <c r="E360" s="51">
        <v>-4.6921446813643812E-3</v>
      </c>
      <c r="F360" s="51">
        <v>-6.9967600091888071E-3</v>
      </c>
      <c r="G360" s="51">
        <v>-1.2387318584971444E-2</v>
      </c>
      <c r="H360" s="51">
        <v>5.0154155629693165E-2</v>
      </c>
      <c r="I360" s="51">
        <v>1.8883418522360858E-2</v>
      </c>
      <c r="J360" s="50">
        <v>146.43697797554901</v>
      </c>
      <c r="K360" s="51">
        <v>2.7727280462126247E-2</v>
      </c>
      <c r="L360" s="50">
        <v>105.38437874739181</v>
      </c>
      <c r="M360" s="50">
        <v>51.245592422625776</v>
      </c>
      <c r="N360" s="53">
        <v>1</v>
      </c>
      <c r="O360" s="80">
        <v>1</v>
      </c>
      <c r="P360" s="85">
        <v>1</v>
      </c>
    </row>
    <row r="361" spans="1:16" x14ac:dyDescent="0.2">
      <c r="A361" s="26">
        <f t="shared" si="2"/>
        <v>2023.04</v>
      </c>
      <c r="B361" s="50">
        <v>150.33842725463032</v>
      </c>
      <c r="C361" s="51">
        <v>-9.258274694547246E-4</v>
      </c>
      <c r="D361" s="51">
        <v>-1.4595736265363906E-2</v>
      </c>
      <c r="E361" s="51">
        <v>-1.4595736265363906E-2</v>
      </c>
      <c r="F361" s="51">
        <v>-7.9776218547076283E-3</v>
      </c>
      <c r="G361" s="51">
        <v>-1.2387318584971444E-2</v>
      </c>
      <c r="H361" s="51">
        <v>5.0154155629693165E-2</v>
      </c>
      <c r="I361" s="51">
        <v>1.8883418522360858E-2</v>
      </c>
      <c r="J361" s="50">
        <v>146.44529220608001</v>
      </c>
      <c r="K361" s="51">
        <v>2.6712167264600017E-2</v>
      </c>
      <c r="L361" s="50">
        <v>105.11989601579829</v>
      </c>
      <c r="M361" s="50">
        <v>46.200943110991368</v>
      </c>
      <c r="N361" s="53">
        <v>1</v>
      </c>
      <c r="O361" s="80">
        <v>1</v>
      </c>
      <c r="P361" s="85">
        <v>1</v>
      </c>
    </row>
    <row r="362" spans="1:16" x14ac:dyDescent="0.2">
      <c r="A362" s="26">
        <f t="shared" si="2"/>
        <v>2023.05</v>
      </c>
      <c r="B362" s="50">
        <v>149.92998271987008</v>
      </c>
      <c r="C362" s="51">
        <v>-2.7205311855011817E-3</v>
      </c>
      <c r="D362" s="51">
        <v>-1.9295807926276616E-2</v>
      </c>
      <c r="E362" s="51">
        <v>-1.9295807926276616E-2</v>
      </c>
      <c r="F362" s="51">
        <v>-1.0720703903596029E-2</v>
      </c>
      <c r="G362" s="51">
        <v>-1.2387318584971444E-2</v>
      </c>
      <c r="H362" s="51">
        <v>5.0154155629693165E-2</v>
      </c>
      <c r="I362" s="51">
        <v>1.8883418522360858E-2</v>
      </c>
      <c r="J362" s="50">
        <v>146.45241835436201</v>
      </c>
      <c r="K362" s="51">
        <v>2.3867600654307264E-2</v>
      </c>
      <c r="L362" s="50">
        <v>104.66806023197327</v>
      </c>
      <c r="M362" s="50">
        <v>41.156293799356959</v>
      </c>
      <c r="N362" s="53">
        <v>1</v>
      </c>
      <c r="O362" s="80">
        <v>1</v>
      </c>
      <c r="P362" s="85">
        <v>1</v>
      </c>
    </row>
    <row r="363" spans="1:16" x14ac:dyDescent="0.2">
      <c r="A363" s="26">
        <f t="shared" si="2"/>
        <v>2023.06</v>
      </c>
      <c r="B363" s="50">
        <v>149.71132463099988</v>
      </c>
      <c r="C363" s="51">
        <v>-1.4594658501253391E-3</v>
      </c>
      <c r="D363" s="51">
        <v>-1.9133665865526703E-2</v>
      </c>
      <c r="E363" s="51">
        <v>-1.9133665865526703E-2</v>
      </c>
      <c r="F363" s="51">
        <v>-1.0435778520629602E-2</v>
      </c>
      <c r="G363" s="51">
        <v>-1.2387318584971444E-2</v>
      </c>
      <c r="H363" s="51">
        <v>5.0154155629693165E-2</v>
      </c>
      <c r="I363" s="51">
        <v>1.8883418522360858E-2</v>
      </c>
      <c r="J363" s="50">
        <v>146.45856303293399</v>
      </c>
      <c r="K363" s="51">
        <v>2.2326708342284229E-2</v>
      </c>
      <c r="L363" s="50">
        <v>104.3496753896755</v>
      </c>
      <c r="M363" s="50">
        <v>41.156293799356959</v>
      </c>
      <c r="N363" s="53">
        <v>1</v>
      </c>
      <c r="O363" s="80">
        <v>1</v>
      </c>
      <c r="P363" s="85">
        <v>1</v>
      </c>
    </row>
    <row r="364" spans="1:16" x14ac:dyDescent="0.2">
      <c r="A364" s="26">
        <f t="shared" si="2"/>
        <v>2023.07</v>
      </c>
      <c r="B364" s="50">
        <v>149.47896530259345</v>
      </c>
      <c r="C364" s="51">
        <v>-1.5532547876058959E-3</v>
      </c>
      <c r="D364" s="51">
        <v>-1.3861273657408898E-2</v>
      </c>
      <c r="E364" s="51">
        <v>-1.3861273657408898E-2</v>
      </c>
      <c r="F364" s="51">
        <v>-1.0346750424152007E-2</v>
      </c>
      <c r="G364" s="51">
        <v>-1.2387318584971444E-2</v>
      </c>
      <c r="H364" s="51">
        <v>5.0154155629693165E-2</v>
      </c>
      <c r="I364" s="51">
        <v>1.8883418522360858E-2</v>
      </c>
      <c r="J364" s="50">
        <v>146.46395948907099</v>
      </c>
      <c r="K364" s="51">
        <v>2.0698280691779036E-2</v>
      </c>
      <c r="L364" s="50">
        <v>104.02250240973349</v>
      </c>
      <c r="M364" s="50">
        <v>42.837843569901757</v>
      </c>
      <c r="N364" s="53">
        <v>1</v>
      </c>
      <c r="O364" s="80">
        <v>1</v>
      </c>
      <c r="P364" s="85">
        <v>1</v>
      </c>
    </row>
    <row r="365" spans="1:16" x14ac:dyDescent="0.2">
      <c r="A365" s="26">
        <f t="shared" si="2"/>
        <v>2023.08</v>
      </c>
      <c r="B365" s="50">
        <v>148.52301511513511</v>
      </c>
      <c r="C365" s="51">
        <v>-6.415752440134345E-3</v>
      </c>
      <c r="D365" s="51">
        <v>-1.4166644854453483E-2</v>
      </c>
      <c r="E365" s="51">
        <v>-1.4166644854453483E-2</v>
      </c>
      <c r="F365" s="51">
        <v>-1.990776276231232E-2</v>
      </c>
      <c r="G365" s="51">
        <v>-1.2387318584971444E-2</v>
      </c>
      <c r="H365" s="51">
        <v>5.0154155629693165E-2</v>
      </c>
      <c r="I365" s="51">
        <v>1.8883418522360858E-2</v>
      </c>
      <c r="J365" s="50">
        <v>146.468865905532</v>
      </c>
      <c r="K365" s="51">
        <v>1.4133402977840825E-2</v>
      </c>
      <c r="L365" s="50">
        <v>103.19335585612156</v>
      </c>
      <c r="M365" s="50">
        <v>39.474744028812147</v>
      </c>
      <c r="N365" s="53">
        <v>1</v>
      </c>
      <c r="O365" s="80">
        <v>1</v>
      </c>
      <c r="P365" s="85">
        <v>1</v>
      </c>
    </row>
    <row r="366" spans="1:16" x14ac:dyDescent="0.2">
      <c r="A366" s="26">
        <f t="shared" si="2"/>
        <v>2023.09</v>
      </c>
      <c r="B366" s="50">
        <v>147.34517767077548</v>
      </c>
      <c r="C366" s="51">
        <v>-7.9619485653145781E-3</v>
      </c>
      <c r="D366" s="51">
        <v>-1.7310142913386617E-2</v>
      </c>
      <c r="E366" s="51">
        <v>-1.7310142913386617E-2</v>
      </c>
      <c r="F366" s="51">
        <v>-3.2108301656781357E-2</v>
      </c>
      <c r="G366" s="51">
        <v>-1.2387318584971444E-2</v>
      </c>
      <c r="H366" s="51">
        <v>5.0154155629693165E-2</v>
      </c>
      <c r="I366" s="51">
        <v>1.8883418522360858E-2</v>
      </c>
      <c r="J366" s="50">
        <v>146.47356346041801</v>
      </c>
      <c r="K366" s="51">
        <v>6.0562885401327371E-3</v>
      </c>
      <c r="L366" s="50">
        <v>102.2126552401558</v>
      </c>
      <c r="M366" s="50">
        <v>36.11164448772255</v>
      </c>
      <c r="N366" s="53">
        <v>1</v>
      </c>
      <c r="O366" s="80">
        <v>1</v>
      </c>
      <c r="P366" s="85">
        <v>1</v>
      </c>
    </row>
    <row r="367" spans="1:16" x14ac:dyDescent="0.2">
      <c r="A367" s="26">
        <f t="shared" si="2"/>
        <v>2023.1</v>
      </c>
      <c r="B367" s="50">
        <v>145.31889364062707</v>
      </c>
      <c r="C367" s="51">
        <v>-1.3847387547910348E-2</v>
      </c>
      <c r="D367" s="51">
        <v>-3.3460715068495357E-2</v>
      </c>
      <c r="E367" s="51">
        <v>-3.3460715068495357E-2</v>
      </c>
      <c r="F367" s="51">
        <v>-5.4043209146025006E-2</v>
      </c>
      <c r="G367" s="51">
        <v>-1.2387318584971444E-2</v>
      </c>
      <c r="H367" s="51">
        <v>5.0154155629693165E-2</v>
      </c>
      <c r="I367" s="51">
        <v>1.8883418522360858E-2</v>
      </c>
      <c r="J367" s="50">
        <v>146.47834876970799</v>
      </c>
      <c r="K367" s="51">
        <v>-7.8128246065166662E-3</v>
      </c>
      <c r="L367" s="50">
        <v>100.64717537448529</v>
      </c>
      <c r="M367" s="50">
        <v>32.74854494663294</v>
      </c>
      <c r="N367" s="53">
        <v>1</v>
      </c>
      <c r="O367" s="80">
        <v>1</v>
      </c>
      <c r="P367" s="85">
        <v>1</v>
      </c>
    </row>
    <row r="368" spans="1:16" x14ac:dyDescent="0.2">
      <c r="A368" s="26">
        <f t="shared" si="2"/>
        <v>2023.11</v>
      </c>
      <c r="B368" s="50">
        <v>143.21841467937162</v>
      </c>
      <c r="C368" s="51">
        <v>-1.4559753672344021E-2</v>
      </c>
      <c r="D368" s="51">
        <v>-4.8785810132021996E-2</v>
      </c>
      <c r="E368" s="51">
        <v>-4.8785810132021996E-2</v>
      </c>
      <c r="F368" s="51">
        <v>-7.4435287460445476E-2</v>
      </c>
      <c r="G368" s="51">
        <v>-1.2387318584971444E-2</v>
      </c>
      <c r="H368" s="51">
        <v>5.0154155629693165E-2</v>
      </c>
      <c r="I368" s="51">
        <v>1.8883418522360858E-2</v>
      </c>
      <c r="J368" s="50">
        <v>146.48352472728499</v>
      </c>
      <c r="K368" s="51">
        <v>-2.2189164818932294E-2</v>
      </c>
      <c r="L368" s="50">
        <v>99.035097874841739</v>
      </c>
      <c r="M368" s="50">
        <v>29.385445405543329</v>
      </c>
      <c r="N368" s="53">
        <v>1</v>
      </c>
      <c r="O368" s="80">
        <v>1</v>
      </c>
      <c r="P368" s="85">
        <v>1</v>
      </c>
    </row>
    <row r="369" spans="1:16" x14ac:dyDescent="0.2">
      <c r="A369" s="26">
        <f t="shared" si="2"/>
        <v>2023.12</v>
      </c>
      <c r="B369" s="50">
        <v>140.99007123309954</v>
      </c>
      <c r="C369" s="51">
        <v>-1.5681369276457101E-2</v>
      </c>
      <c r="D369" s="51">
        <v>-6.5171033465993566E-2</v>
      </c>
      <c r="E369" s="51">
        <v>-6.5171033465993566E-2</v>
      </c>
      <c r="F369" s="51">
        <v>-9.4176386316781158E-2</v>
      </c>
      <c r="G369" s="51">
        <v>-1.2387318584971444E-2</v>
      </c>
      <c r="H369" s="51">
        <v>5.0154155629693165E-2</v>
      </c>
      <c r="I369" s="51">
        <v>1.8883418522360858E-2</v>
      </c>
      <c r="J369" s="50">
        <v>146.48938487483301</v>
      </c>
      <c r="K369" s="51">
        <v>-3.7440888816640316E-2</v>
      </c>
      <c r="L369" s="50">
        <v>97.339602340336654</v>
      </c>
      <c r="M369" s="50">
        <v>24.340796093908928</v>
      </c>
      <c r="N369" s="53">
        <v>1</v>
      </c>
      <c r="O369" s="80">
        <v>1</v>
      </c>
      <c r="P369" s="85">
        <v>1</v>
      </c>
    </row>
    <row r="370" spans="1:16" x14ac:dyDescent="0.2">
      <c r="A370" s="26">
        <f t="shared" si="2"/>
        <v>2024.01</v>
      </c>
      <c r="B370" s="50">
        <v>139.84094765082529</v>
      </c>
      <c r="C370" s="51">
        <v>-8.1837825487555884E-3</v>
      </c>
      <c r="D370" s="51">
        <v>-6.9898253561489862E-2</v>
      </c>
      <c r="E370" s="51">
        <v>-6.9898253561489862E-2</v>
      </c>
      <c r="F370" s="51">
        <v>-9.8930791060843237E-2</v>
      </c>
      <c r="G370" s="51">
        <v>-1.2387318584971444E-2</v>
      </c>
      <c r="H370" s="51">
        <v>5.0154155629693165E-2</v>
      </c>
      <c r="I370" s="51">
        <v>1.8883418522360858E-2</v>
      </c>
      <c r="J370" s="50">
        <v>146.496197173453</v>
      </c>
      <c r="K370" s="51">
        <v>-4.532884954926597E-2</v>
      </c>
      <c r="L370" s="50">
        <v>96.393147368245636</v>
      </c>
      <c r="M370" s="50">
        <v>22.659246323364119</v>
      </c>
      <c r="N370" s="53">
        <v>1</v>
      </c>
      <c r="O370" s="80">
        <v>1</v>
      </c>
      <c r="P370" s="85">
        <v>1</v>
      </c>
    </row>
    <row r="371" spans="1:16" x14ac:dyDescent="0.2">
      <c r="A371" s="26">
        <f t="shared" ref="A371:A434" si="3">A359+1</f>
        <v>2024.02</v>
      </c>
      <c r="B371" s="50">
        <v>139.15208842404567</v>
      </c>
      <c r="C371" s="51">
        <v>-4.9381922669652929E-3</v>
      </c>
      <c r="D371" s="51">
        <v>-7.6443852163178103E-2</v>
      </c>
      <c r="E371" s="51">
        <v>-7.6443852163178103E-2</v>
      </c>
      <c r="F371" s="51">
        <v>-9.7631699885108447E-2</v>
      </c>
      <c r="G371" s="51">
        <v>-1.2387318584971444E-2</v>
      </c>
      <c r="H371" s="51">
        <v>5.0154155629693165E-2</v>
      </c>
      <c r="I371" s="51">
        <v>1.8883418522360858E-2</v>
      </c>
      <c r="J371" s="50">
        <v>146.504186751254</v>
      </c>
      <c r="K371" s="51">
        <v>-5.00806302595318E-2</v>
      </c>
      <c r="L371" s="50">
        <v>95.766209020762801</v>
      </c>
      <c r="M371" s="50">
        <v>20.977696552819314</v>
      </c>
      <c r="N371" s="53">
        <v>1</v>
      </c>
      <c r="O371" s="80">
        <v>1</v>
      </c>
      <c r="P371" s="85">
        <v>1</v>
      </c>
    </row>
    <row r="372" spans="1:16" x14ac:dyDescent="0.2">
      <c r="A372" s="26">
        <f t="shared" si="3"/>
        <v>2024.03</v>
      </c>
      <c r="B372" s="50">
        <v>139.08187487537018</v>
      </c>
      <c r="C372" s="51">
        <v>-5.0470869431856801E-4</v>
      </c>
      <c r="D372" s="51">
        <v>-7.8751974304886826E-2</v>
      </c>
      <c r="E372" s="51">
        <v>-7.8751974304886826E-2</v>
      </c>
      <c r="F372" s="51">
        <v>-8.7956594237809549E-2</v>
      </c>
      <c r="G372" s="51">
        <v>-1.2387318584971444E-2</v>
      </c>
      <c r="H372" s="51">
        <v>5.0154155629693165E-2</v>
      </c>
      <c r="I372" s="51">
        <v>1.8883418522360858E-2</v>
      </c>
      <c r="J372" s="50">
        <v>146.513526969027</v>
      </c>
      <c r="K372" s="51">
        <v>-5.0616592986658659E-2</v>
      </c>
      <c r="L372" s="50">
        <v>95.566101175998455</v>
      </c>
      <c r="M372" s="50">
        <v>20.977696552819314</v>
      </c>
      <c r="N372" s="53">
        <v>1</v>
      </c>
      <c r="O372" s="80">
        <v>1</v>
      </c>
      <c r="P372" s="85">
        <v>1</v>
      </c>
    </row>
    <row r="373" spans="1:16" x14ac:dyDescent="0.2">
      <c r="A373" s="26">
        <f t="shared" si="3"/>
        <v>2024.04</v>
      </c>
      <c r="B373" s="50">
        <v>139.96005951148348</v>
      </c>
      <c r="C373" s="51">
        <v>6.2943051006858746E-3</v>
      </c>
      <c r="D373" s="51">
        <v>-7.1531841734746221E-2</v>
      </c>
      <c r="E373" s="51">
        <v>-7.1531841734746221E-2</v>
      </c>
      <c r="F373" s="51">
        <v>-6.6128108770953098E-2</v>
      </c>
      <c r="G373" s="51">
        <v>-1.2387318584971444E-2</v>
      </c>
      <c r="H373" s="51">
        <v>5.0154155629693165E-2</v>
      </c>
      <c r="I373" s="51">
        <v>1.8883418522360858E-2</v>
      </c>
      <c r="J373" s="50">
        <v>146.52433405894101</v>
      </c>
      <c r="K373" s="51">
        <v>-4.4687455480883709E-2</v>
      </c>
      <c r="L373" s="50">
        <v>96.017018248773482</v>
      </c>
      <c r="M373" s="50">
        <v>29.385445405543329</v>
      </c>
      <c r="N373" s="53">
        <v>0</v>
      </c>
      <c r="O373" s="80">
        <v>0</v>
      </c>
      <c r="P373" s="85">
        <v>0</v>
      </c>
    </row>
    <row r="374" spans="1:16" x14ac:dyDescent="0.2">
      <c r="A374" s="26">
        <f t="shared" si="3"/>
        <v>2024.05</v>
      </c>
      <c r="B374" s="50">
        <v>141.39563604826287</v>
      </c>
      <c r="C374" s="51">
        <v>1.0204797824064252E-2</v>
      </c>
      <c r="D374" s="51">
        <v>-5.8606512725180804E-2</v>
      </c>
      <c r="E374" s="51">
        <v>-5.8606512725180804E-2</v>
      </c>
      <c r="F374" s="51">
        <v>-3.7816887080905581E-2</v>
      </c>
      <c r="G374" s="51">
        <v>-1.2387318584971444E-2</v>
      </c>
      <c r="H374" s="51">
        <v>5.0154155629693165E-2</v>
      </c>
      <c r="I374" s="51">
        <v>1.8883418522360858E-2</v>
      </c>
      <c r="J374" s="50">
        <v>146.53666653649501</v>
      </c>
      <c r="K374" s="51">
        <v>-3.4963722698733712E-2</v>
      </c>
      <c r="L374" s="50">
        <v>96.848046968468537</v>
      </c>
      <c r="M374" s="50">
        <v>41.156293799356959</v>
      </c>
      <c r="N374" s="53">
        <v>0</v>
      </c>
      <c r="O374" s="80">
        <v>0</v>
      </c>
      <c r="P374" s="85">
        <v>0</v>
      </c>
    </row>
    <row r="375" spans="1:16" x14ac:dyDescent="0.2">
      <c r="A375" s="26">
        <f t="shared" si="3"/>
        <v>2024.06</v>
      </c>
      <c r="B375" s="50">
        <v>142.72726252639291</v>
      </c>
      <c r="C375" s="51">
        <v>9.3736635458754776E-3</v>
      </c>
      <c r="D375" s="51">
        <v>-4.7773383329180047E-2</v>
      </c>
      <c r="E375" s="51">
        <v>-4.7773383329180047E-2</v>
      </c>
      <c r="F375" s="51">
        <v>-1.2055603330750619E-2</v>
      </c>
      <c r="G375" s="51">
        <v>-1.2387318584971444E-2</v>
      </c>
      <c r="H375" s="51">
        <v>5.0154155629693165E-2</v>
      </c>
      <c r="I375" s="51">
        <v>1.8883418522360858E-2</v>
      </c>
      <c r="J375" s="50">
        <v>146.55053191706301</v>
      </c>
      <c r="K375" s="51">
        <v>-2.595990267189352E-2</v>
      </c>
      <c r="L375" s="50">
        <v>97.605111578745991</v>
      </c>
      <c r="M375" s="50">
        <v>49.564042652080971</v>
      </c>
      <c r="N375" s="53">
        <v>0</v>
      </c>
      <c r="O375" s="80">
        <v>0</v>
      </c>
      <c r="P375" s="85">
        <v>0</v>
      </c>
    </row>
    <row r="376" spans="1:16" x14ac:dyDescent="0.2">
      <c r="A376" s="26">
        <f t="shared" si="3"/>
        <v>2024.07</v>
      </c>
      <c r="B376" s="50">
        <v>143.3801101000837</v>
      </c>
      <c r="C376" s="51">
        <v>4.5636622416912924E-3</v>
      </c>
      <c r="D376" s="51">
        <v>-4.1656466299882837E-2</v>
      </c>
      <c r="E376" s="51">
        <v>-4.1656466299882837E-2</v>
      </c>
      <c r="F376" s="51">
        <v>3.7975890153529868E-3</v>
      </c>
      <c r="G376" s="51">
        <v>-1.2387318584971444E-2</v>
      </c>
      <c r="H376" s="51">
        <v>5.0154155629693165E-2</v>
      </c>
      <c r="I376" s="51">
        <v>1.8883418522360858E-2</v>
      </c>
      <c r="J376" s="50">
        <v>146.56589775136999</v>
      </c>
      <c r="K376" s="51">
        <v>-2.1598361862949278E-2</v>
      </c>
      <c r="L376" s="50">
        <v>97.896079633891617</v>
      </c>
      <c r="M376" s="50">
        <v>54.608691963715387</v>
      </c>
      <c r="N376" s="53">
        <v>0</v>
      </c>
      <c r="O376" s="80">
        <v>0</v>
      </c>
      <c r="P376" s="85">
        <v>0</v>
      </c>
    </row>
    <row r="377" spans="1:16" x14ac:dyDescent="0.2">
      <c r="A377" s="26">
        <f t="shared" si="3"/>
        <v>2024.08</v>
      </c>
      <c r="B377" s="50">
        <v>143.93166768419681</v>
      </c>
      <c r="C377" s="51">
        <v>3.8394406656284837E-3</v>
      </c>
      <c r="D377" s="51">
        <v>-3.1401273194120186E-2</v>
      </c>
      <c r="E377" s="51">
        <v>-3.1401273194120186E-2</v>
      </c>
      <c r="F377" s="51">
        <v>1.7600860739453994E-2</v>
      </c>
      <c r="G377" s="51">
        <v>-1.2387318584971444E-2</v>
      </c>
      <c r="H377" s="51">
        <v>5.0154155629693165E-2</v>
      </c>
      <c r="I377" s="51">
        <v>1.8883418522360858E-2</v>
      </c>
      <c r="J377" s="50">
        <v>146.58270186107401</v>
      </c>
      <c r="K377" s="51">
        <v>-1.7937178931198616E-2</v>
      </c>
      <c r="L377" s="50">
        <v>98.116831023124575</v>
      </c>
      <c r="M377" s="50">
        <v>59.653341275349803</v>
      </c>
      <c r="N377" s="53">
        <v>0</v>
      </c>
      <c r="O377" s="80">
        <v>0</v>
      </c>
      <c r="P377" s="85">
        <v>0</v>
      </c>
    </row>
    <row r="378" spans="1:16" x14ac:dyDescent="0.2">
      <c r="A378" s="26">
        <f t="shared" si="3"/>
        <v>2024.09</v>
      </c>
      <c r="B378" s="50">
        <v>144.59959434770727</v>
      </c>
      <c r="C378" s="51">
        <v>4.6298473996712261E-3</v>
      </c>
      <c r="D378" s="51">
        <v>-1.8809477229134338E-2</v>
      </c>
      <c r="E378" s="51">
        <v>-1.8809477229134338E-2</v>
      </c>
      <c r="F378" s="51">
        <v>3.1440165910639806E-2</v>
      </c>
      <c r="G378" s="51">
        <v>-1.2387318584971444E-2</v>
      </c>
      <c r="H378" s="51">
        <v>5.0154155629693165E-2</v>
      </c>
      <c r="I378" s="51">
        <v>1.8883418522360858E-2</v>
      </c>
      <c r="J378" s="50">
        <v>146.60085723667501</v>
      </c>
      <c r="K378" s="51">
        <v>-1.3490680808181832E-2</v>
      </c>
      <c r="L378" s="50">
        <v>98.415838004010354</v>
      </c>
      <c r="M378" s="50">
        <v>63.016440816439399</v>
      </c>
      <c r="N378" s="53">
        <v>0</v>
      </c>
      <c r="O378" s="80">
        <v>0</v>
      </c>
      <c r="P378" s="85">
        <v>0</v>
      </c>
    </row>
    <row r="379" spans="1:16" x14ac:dyDescent="0.2">
      <c r="A379" s="26">
        <f>A367+1</f>
        <v>2024.1</v>
      </c>
      <c r="B379" s="50">
        <v>145.54540305321183</v>
      </c>
      <c r="C379" s="51">
        <v>6.5195820303912922E-3</v>
      </c>
      <c r="D379" s="51">
        <v>1.5574923491673282E-3</v>
      </c>
      <c r="E379" s="51">
        <v>1.5574923491673282E-3</v>
      </c>
      <c r="F379" s="51">
        <v>4.7037905929919521E-2</v>
      </c>
      <c r="G379" s="51">
        <v>-1.2387318584971444E-2</v>
      </c>
      <c r="H379" s="51">
        <v>5.0154155629693165E-2</v>
      </c>
      <c r="I379" s="51">
        <v>1.8883418522360858E-2</v>
      </c>
      <c r="J379" s="50">
        <v>146.620256046061</v>
      </c>
      <c r="K379" s="51">
        <v>-7.1567224807170815E-3</v>
      </c>
      <c r="L379" s="50">
        <v>98.902479152225425</v>
      </c>
      <c r="M379" s="50">
        <v>63.016440816439399</v>
      </c>
      <c r="N379" s="53">
        <v>0</v>
      </c>
      <c r="O379" s="80">
        <v>0</v>
      </c>
      <c r="P379" s="85">
        <v>0</v>
      </c>
    </row>
    <row r="380" spans="1:16" x14ac:dyDescent="0.2">
      <c r="A380" s="26">
        <f t="shared" si="3"/>
        <v>2024.11</v>
      </c>
      <c r="B380" s="50">
        <v>146.80032167055202</v>
      </c>
      <c r="C380" s="51">
        <v>8.5852209840785072E-3</v>
      </c>
      <c r="D380" s="51">
        <v>2.4702467005589847E-2</v>
      </c>
      <c r="E380" s="51">
        <v>2.4702467005589847E-2</v>
      </c>
      <c r="F380" s="51">
        <v>6.3504223383192837E-2</v>
      </c>
      <c r="G380" s="51">
        <v>-1.2387318584971444E-2</v>
      </c>
      <c r="H380" s="51">
        <v>5.0154155629693165E-2</v>
      </c>
      <c r="I380" s="51">
        <v>1.8883418522360858E-2</v>
      </c>
      <c r="J380" s="50">
        <v>146.640774573062</v>
      </c>
      <c r="K380" s="51">
        <v>1.2777465075239913E-3</v>
      </c>
      <c r="L380" s="50">
        <v>99.59704581665703</v>
      </c>
      <c r="M380" s="50">
        <v>63.016440816439399</v>
      </c>
      <c r="N380" s="53">
        <v>0</v>
      </c>
      <c r="O380" s="80">
        <v>0</v>
      </c>
      <c r="P380" s="85">
        <v>0</v>
      </c>
    </row>
    <row r="381" spans="1:16" x14ac:dyDescent="0.2">
      <c r="A381" s="26">
        <f t="shared" si="3"/>
        <v>2024.12</v>
      </c>
      <c r="B381" s="50">
        <v>148.12943906675557</v>
      </c>
      <c r="C381" s="51">
        <v>9.0131724292036447E-3</v>
      </c>
      <c r="D381" s="51">
        <v>4.9397008711250731E-2</v>
      </c>
      <c r="E381" s="51">
        <v>4.9397008711250731E-2</v>
      </c>
      <c r="F381" s="51">
        <v>7.7164341241735546E-2</v>
      </c>
      <c r="G381" s="51">
        <v>-1.2387318584971444E-2</v>
      </c>
      <c r="H381" s="51">
        <v>5.0154155629693165E-2</v>
      </c>
      <c r="I381" s="51">
        <v>1.8883418522360858E-2</v>
      </c>
      <c r="J381" s="50">
        <v>146.66228036051101</v>
      </c>
      <c r="K381" s="51">
        <v>1.0210672956507683E-2</v>
      </c>
      <c r="L381" s="50">
        <v>100.33942145759077</v>
      </c>
      <c r="M381" s="50">
        <v>68.061090128073801</v>
      </c>
      <c r="N381" s="53">
        <v>0</v>
      </c>
      <c r="O381" s="80">
        <v>0</v>
      </c>
      <c r="P381" s="85">
        <v>0</v>
      </c>
    </row>
    <row r="382" spans="1:16" x14ac:dyDescent="0.2">
      <c r="A382" s="26">
        <f t="shared" si="3"/>
        <v>2025.01</v>
      </c>
      <c r="B382" s="50">
        <v>149.21786915835162</v>
      </c>
      <c r="C382" s="51">
        <v>7.320967251603654E-3</v>
      </c>
      <c r="D382" s="51">
        <v>6.4901758511609745E-2</v>
      </c>
      <c r="E382" s="51">
        <v>6.4901758511609745E-2</v>
      </c>
      <c r="F382" s="51">
        <v>8.344325687742149E-2</v>
      </c>
      <c r="G382" s="51">
        <v>-1.2387318584971444E-2</v>
      </c>
      <c r="H382" s="51">
        <v>5.0154155629693165E-2</v>
      </c>
      <c r="I382" s="51">
        <v>1.8883418522360858E-2</v>
      </c>
      <c r="J382" s="50">
        <v>146.684641745151</v>
      </c>
      <c r="K382" s="51">
        <v>1.7495501548761005E-2</v>
      </c>
      <c r="L382" s="50">
        <v>100.91641476084929</v>
      </c>
      <c r="M382" s="50">
        <v>68.061090128073801</v>
      </c>
      <c r="N382" s="53">
        <v>0</v>
      </c>
      <c r="O382" s="80">
        <v>0</v>
      </c>
      <c r="P382" s="85">
        <v>0</v>
      </c>
    </row>
    <row r="383" spans="1:16" x14ac:dyDescent="0.2">
      <c r="A383" s="26">
        <f t="shared" si="3"/>
        <v>2025.02</v>
      </c>
      <c r="B383" s="50">
        <v>149.25449621915149</v>
      </c>
      <c r="C383" s="51">
        <v>2.4543016528445939E-4</v>
      </c>
      <c r="D383" s="51">
        <v>7.0085380943859479E-2</v>
      </c>
      <c r="E383" s="51">
        <v>7.0085380943859479E-2</v>
      </c>
      <c r="F383" s="51">
        <v>7.3074703216083448E-2</v>
      </c>
      <c r="G383" s="51">
        <v>-1.2387318584971444E-2</v>
      </c>
      <c r="H383" s="51">
        <v>5.0154155629693165E-2</v>
      </c>
      <c r="I383" s="51">
        <v>1.8883418522360858E-2</v>
      </c>
      <c r="J383" s="50">
        <v>146.707737961205</v>
      </c>
      <c r="K383" s="51">
        <v>1.7603572388740218E-2</v>
      </c>
      <c r="L383" s="50">
        <v>100.78111681113511</v>
      </c>
      <c r="M383" s="50">
        <v>66.379540357528995</v>
      </c>
      <c r="N383" s="53">
        <v>0</v>
      </c>
      <c r="O383" s="80">
        <v>0</v>
      </c>
      <c r="P383" s="85">
        <v>0</v>
      </c>
    </row>
    <row r="384" spans="1:16" x14ac:dyDescent="0.2">
      <c r="A384" s="26">
        <f t="shared" si="3"/>
        <v>2025.03</v>
      </c>
      <c r="B384" s="50">
        <v>148.45395948470858</v>
      </c>
      <c r="C384" s="51">
        <v>-5.3780042091061322E-3</v>
      </c>
      <c r="D384" s="51">
        <v>6.521208542907192E-2</v>
      </c>
      <c r="E384" s="51">
        <v>6.521208542907192E-2</v>
      </c>
      <c r="F384" s="51">
        <v>5.1073821373648354E-2</v>
      </c>
      <c r="G384" s="51">
        <v>-1.2387318584971444E-2</v>
      </c>
      <c r="H384" s="51">
        <v>5.0154155629693165E-2</v>
      </c>
      <c r="I384" s="51">
        <v>1.8883418522360858E-2</v>
      </c>
      <c r="J384" s="50">
        <v>146.731467363213</v>
      </c>
      <c r="K384" s="51">
        <v>1.2001804999555166E-2</v>
      </c>
      <c r="L384" s="50">
        <v>100.08161246314035</v>
      </c>
      <c r="M384" s="50">
        <v>63.016440816439399</v>
      </c>
      <c r="N384" s="53">
        <v>1</v>
      </c>
      <c r="O384" s="80">
        <v>1</v>
      </c>
      <c r="P384" s="85">
        <v>1</v>
      </c>
    </row>
    <row r="385" spans="1:16" x14ac:dyDescent="0.2">
      <c r="A385" s="26">
        <f t="shared" si="3"/>
        <v>2025.04</v>
      </c>
      <c r="B385" s="50">
        <v>147.41328279909857</v>
      </c>
      <c r="C385" s="51">
        <v>-7.0347833666168959E-3</v>
      </c>
      <c r="D385" s="51">
        <v>5.1882996961769075E-2</v>
      </c>
      <c r="E385" s="51">
        <v>5.1882996961769075E-2</v>
      </c>
      <c r="F385" s="51">
        <v>2.7238133370770745E-2</v>
      </c>
      <c r="G385" s="51">
        <v>-1.2387318584971444E-2</v>
      </c>
      <c r="H385" s="51">
        <v>5.0154155629693165E-2</v>
      </c>
      <c r="I385" s="51">
        <v>1.8883418522360858E-2</v>
      </c>
      <c r="J385" s="50">
        <v>146.755747501607</v>
      </c>
      <c r="K385" s="51">
        <v>4.7625743233064011E-3</v>
      </c>
      <c r="L385" s="50">
        <v>99.222437334111106</v>
      </c>
      <c r="M385" s="50">
        <v>56.290241734260185</v>
      </c>
      <c r="N385" s="53">
        <v>1</v>
      </c>
      <c r="O385" s="80">
        <v>1</v>
      </c>
      <c r="P385" s="85">
        <v>1</v>
      </c>
    </row>
    <row r="386" spans="1:16" x14ac:dyDescent="0.2">
      <c r="A386" s="26">
        <f t="shared" si="3"/>
        <v>2025.05</v>
      </c>
      <c r="B386" s="50">
        <v>146.8022370957861</v>
      </c>
      <c r="C386" s="51">
        <v>-4.1537345282633871E-3</v>
      </c>
      <c r="D386" s="51">
        <v>3.7524464609441428E-2</v>
      </c>
      <c r="E386" s="51">
        <v>3.7524464609441428E-2</v>
      </c>
      <c r="F386" s="51">
        <v>1.1394064151380778E-2</v>
      </c>
      <c r="G386" s="51">
        <v>-1.2387318584971444E-2</v>
      </c>
      <c r="H386" s="51">
        <v>5.0154155629693165E-2</v>
      </c>
      <c r="I386" s="51">
        <v>1.8883418522360858E-2</v>
      </c>
      <c r="J386" s="50">
        <v>146.78050873431499</v>
      </c>
      <c r="K386" s="51">
        <v>4.5161809778493378E-4</v>
      </c>
      <c r="L386" s="50">
        <v>98.654457269147301</v>
      </c>
      <c r="M386" s="50">
        <v>44.519393340446555</v>
      </c>
      <c r="N386" s="53">
        <v>1</v>
      </c>
      <c r="O386" s="80">
        <v>1</v>
      </c>
      <c r="P386" s="85">
        <v>1</v>
      </c>
    </row>
    <row r="387" spans="1:16" x14ac:dyDescent="0.2">
      <c r="A387" s="26">
        <f t="shared" si="3"/>
        <v>2025.06</v>
      </c>
      <c r="B387" s="115">
        <v>146.55986357437556</v>
      </c>
      <c r="C387" s="117">
        <v>-1.6523850627223784E-3</v>
      </c>
      <c r="D387" s="117">
        <v>2.6498416000843641E-2</v>
      </c>
      <c r="E387" s="117">
        <v>2.6498416000843641E-2</v>
      </c>
      <c r="F387" s="117">
        <v>2.5903156788358306E-3</v>
      </c>
      <c r="G387" s="117">
        <v>-1.2387318584971444E-2</v>
      </c>
      <c r="H387" s="117">
        <v>5.0154155629693165E-2</v>
      </c>
      <c r="I387" s="117">
        <v>1.8883418522360858E-2</v>
      </c>
      <c r="J387" s="115">
        <v>146.80568597243001</v>
      </c>
      <c r="K387" s="117">
        <v>-1.3472059674928261E-3</v>
      </c>
      <c r="L387" s="115">
        <v>98.335392305960383</v>
      </c>
      <c r="M387" s="115">
        <v>36.11164448772255</v>
      </c>
      <c r="N387" s="118">
        <v>1</v>
      </c>
      <c r="O387" s="119">
        <v>1</v>
      </c>
      <c r="P387" s="120">
        <v>1</v>
      </c>
    </row>
    <row r="388" spans="1:16" x14ac:dyDescent="0.2">
      <c r="A388" s="26">
        <f t="shared" si="3"/>
        <v>2025.07</v>
      </c>
      <c r="B388" s="115">
        <v>147.26883616840416</v>
      </c>
      <c r="C388" s="117">
        <v>4.8257639265875396E-3</v>
      </c>
      <c r="D388" s="117">
        <v>2.6760517685739678E-2</v>
      </c>
      <c r="E388" s="117">
        <v>2.6760517685739678E-2</v>
      </c>
      <c r="F388" s="117">
        <v>7.4996593621790009E-3</v>
      </c>
      <c r="G388" s="117">
        <v>-1.2387318584971444E-2</v>
      </c>
      <c r="H388" s="117">
        <v>5.0154155629693165E-2</v>
      </c>
      <c r="I388" s="117">
        <v>1.8883418522360858E-2</v>
      </c>
      <c r="J388" s="115">
        <v>146.831213743154</v>
      </c>
      <c r="K388" s="117">
        <v>3.3352197055422916E-3</v>
      </c>
      <c r="L388" s="115">
        <v>98.654391475834785</v>
      </c>
      <c r="M388" s="115">
        <v>36.11164448772255</v>
      </c>
      <c r="N388" s="118">
        <v>1</v>
      </c>
      <c r="O388" s="119">
        <v>1</v>
      </c>
      <c r="P388" s="120">
        <v>1</v>
      </c>
    </row>
    <row r="389" spans="1:16" x14ac:dyDescent="0.2">
      <c r="A389" s="26">
        <f t="shared" si="3"/>
        <v>2025.08</v>
      </c>
      <c r="B389" s="115">
        <v>147.89693787015332</v>
      </c>
      <c r="C389" s="117">
        <v>4.2559314463844382E-3</v>
      </c>
      <c r="D389" s="117">
        <v>2.7177008466495834E-2</v>
      </c>
      <c r="E389" s="117">
        <v>2.7177008466495834E-2</v>
      </c>
      <c r="F389" s="117">
        <v>1.1317970492824125E-2</v>
      </c>
      <c r="G389" s="117">
        <v>-1.2387318584971444E-2</v>
      </c>
      <c r="H389" s="117">
        <v>5.0154155629693165E-2</v>
      </c>
      <c r="I389" s="117">
        <v>1.8883418522360858E-2</v>
      </c>
      <c r="J389" s="115">
        <v>146.857024152614</v>
      </c>
      <c r="K389" s="117">
        <v>7.4651238381771012E-3</v>
      </c>
      <c r="L389" s="115">
        <v>98.918042699830835</v>
      </c>
      <c r="M389" s="115">
        <v>37.793194258267349</v>
      </c>
      <c r="N389" s="118">
        <v>1</v>
      </c>
      <c r="O389" s="119">
        <v>1</v>
      </c>
      <c r="P389" s="120">
        <v>1</v>
      </c>
    </row>
    <row r="390" spans="1:16" x14ac:dyDescent="0.2">
      <c r="A390" s="26">
        <f t="shared" si="3"/>
        <v>2025.09</v>
      </c>
      <c r="B390" s="115">
        <v>148.23546522570305</v>
      </c>
      <c r="C390" s="117">
        <v>2.2863253023007613E-3</v>
      </c>
      <c r="D390" s="117">
        <v>2.4833486369125461E-2</v>
      </c>
      <c r="E390" s="117">
        <v>2.4833486369125461E-2</v>
      </c>
      <c r="F390" s="117">
        <v>1.1394397545935853E-2</v>
      </c>
      <c r="G390" s="117">
        <v>-1.2387318584971444E-2</v>
      </c>
      <c r="H390" s="117">
        <v>5.0154155629693165E-2</v>
      </c>
      <c r="I390" s="117">
        <v>1.8883418522360858E-2</v>
      </c>
      <c r="J390" s="115">
        <v>146.883052202545</v>
      </c>
      <c r="K390" s="117">
        <v>9.621779173710987E-3</v>
      </c>
      <c r="L390" s="115">
        <v>98.987240518450506</v>
      </c>
      <c r="M390" s="115">
        <v>41.156293799356959</v>
      </c>
      <c r="N390" s="118">
        <v>1</v>
      </c>
      <c r="O390" s="119">
        <v>1</v>
      </c>
      <c r="P390" s="120">
        <v>1</v>
      </c>
    </row>
    <row r="391" spans="1:16" x14ac:dyDescent="0.2">
      <c r="A391" s="26">
        <f t="shared" si="3"/>
        <v>2025.1</v>
      </c>
      <c r="B391" s="115">
        <v>148.14372130389725</v>
      </c>
      <c r="C391" s="117">
        <v>-6.1909829641133515E-4</v>
      </c>
      <c r="D391" s="117">
        <v>1.7694806042322635E-2</v>
      </c>
      <c r="E391" s="117">
        <v>1.7694806042322635E-2</v>
      </c>
      <c r="F391" s="117">
        <v>6.4146875561166272E-3</v>
      </c>
      <c r="G391" s="117">
        <v>-1.2387318584971444E-2</v>
      </c>
      <c r="H391" s="117">
        <v>5.0154155629693165E-2</v>
      </c>
      <c r="I391" s="117">
        <v>1.8883418522360858E-2</v>
      </c>
      <c r="J391" s="115">
        <v>146.90924045973</v>
      </c>
      <c r="K391" s="117">
        <v>8.8483692804950387E-3</v>
      </c>
      <c r="L391" s="115">
        <v>98.769103377373327</v>
      </c>
      <c r="M391" s="115">
        <v>42.837843569901757</v>
      </c>
      <c r="N391" s="118">
        <v>1</v>
      </c>
      <c r="O391" s="119">
        <v>1</v>
      </c>
      <c r="P391" s="120">
        <v>1</v>
      </c>
    </row>
    <row r="392" spans="1:16" x14ac:dyDescent="0.2">
      <c r="A392" s="26">
        <f t="shared" si="3"/>
        <v>2025.11</v>
      </c>
      <c r="B392" s="115">
        <v>147.74768614764864</v>
      </c>
      <c r="C392" s="117">
        <v>-2.6768968801844321E-3</v>
      </c>
      <c r="D392" s="117">
        <v>6.4326881780596788E-3</v>
      </c>
      <c r="E392" s="117">
        <v>6.4326881780596788E-3</v>
      </c>
      <c r="F392" s="117">
        <v>-1.25268963146552E-3</v>
      </c>
      <c r="G392" s="117">
        <v>-1.2387318584971444E-2</v>
      </c>
      <c r="H392" s="117">
        <v>5.0154155629693165E-2</v>
      </c>
      <c r="I392" s="117">
        <v>1.8883418522360858E-2</v>
      </c>
      <c r="J392" s="115">
        <v>146.93554146929699</v>
      </c>
      <c r="K392" s="117">
        <v>6.0043480671760907E-3</v>
      </c>
      <c r="L392" s="115">
        <v>98.348856431595721</v>
      </c>
      <c r="M392" s="115">
        <v>46.200943110991368</v>
      </c>
      <c r="N392" s="118">
        <v>1</v>
      </c>
      <c r="O392" s="119">
        <v>1</v>
      </c>
      <c r="P392" s="120">
        <v>1</v>
      </c>
    </row>
    <row r="393" spans="1:16" x14ac:dyDescent="0.2">
      <c r="A393" s="26">
        <f t="shared" si="3"/>
        <v>2025.12</v>
      </c>
      <c r="B393" s="115">
        <v>147.8810881241898</v>
      </c>
      <c r="C393" s="117">
        <v>9.0249662553581675E-4</v>
      </c>
      <c r="D393" s="117">
        <v>-1.6779876256079863E-3</v>
      </c>
      <c r="E393" s="117">
        <v>-1.6779876256079863E-3</v>
      </c>
      <c r="F393" s="117">
        <v>-5.7269869224585435E-4</v>
      </c>
      <c r="G393" s="117">
        <v>-1.2387318584971444E-2</v>
      </c>
      <c r="H393" s="117">
        <v>5.0154155629693165E-2</v>
      </c>
      <c r="I393" s="117">
        <v>1.8883418522360858E-2</v>
      </c>
      <c r="J393" s="115">
        <v>146.961916831835</v>
      </c>
      <c r="K393" s="117">
        <v>6.7669016000115878E-3</v>
      </c>
      <c r="L393" s="115">
        <v>98.28155709345431</v>
      </c>
      <c r="M393" s="115">
        <v>47.882492881536166</v>
      </c>
      <c r="N393" s="118">
        <v>1</v>
      </c>
      <c r="O393" s="119">
        <v>1</v>
      </c>
      <c r="P393" s="120">
        <v>1</v>
      </c>
    </row>
    <row r="394" spans="1:16" x14ac:dyDescent="0.2">
      <c r="A394" s="26">
        <f t="shared" si="3"/>
        <v>2026.01</v>
      </c>
      <c r="B394" s="115">
        <v>147.98392948503439</v>
      </c>
      <c r="C394" s="117">
        <v>6.9519110990190177E-4</v>
      </c>
      <c r="D394" s="117">
        <v>-8.3037637673096867E-3</v>
      </c>
      <c r="E394" s="117">
        <v>-8.3037637673096867E-3</v>
      </c>
      <c r="F394" s="117">
        <v>9.6934306590878982E-4</v>
      </c>
      <c r="G394" s="117">
        <v>-1.2387318584971444E-2</v>
      </c>
      <c r="H394" s="117">
        <v>5.0154155629693165E-2</v>
      </c>
      <c r="I394" s="117">
        <v>1.8883418522360858E-2</v>
      </c>
      <c r="J394" s="115">
        <v>146.988333935117</v>
      </c>
      <c r="K394" s="117">
        <v>7.3228448463553697E-3</v>
      </c>
      <c r="L394" s="115">
        <v>98.193945551082166</v>
      </c>
      <c r="M394" s="115">
        <v>47.882492881536166</v>
      </c>
      <c r="N394" s="118">
        <v>1</v>
      </c>
      <c r="O394" s="119">
        <v>1</v>
      </c>
      <c r="P394" s="120">
        <v>1</v>
      </c>
    </row>
    <row r="395" spans="1:16" x14ac:dyDescent="0.2">
      <c r="A395" s="26">
        <f t="shared" si="3"/>
        <v>2026.02</v>
      </c>
      <c r="B395" s="115">
        <v>148.03110335208135</v>
      </c>
      <c r="C395" s="117">
        <v>3.1872616058840859E-4</v>
      </c>
      <c r="D395" s="117">
        <v>-8.2304677720058533E-3</v>
      </c>
      <c r="E395" s="117">
        <v>-8.2304677720058533E-3</v>
      </c>
      <c r="F395" s="117">
        <v>2.8452718511127184E-3</v>
      </c>
      <c r="G395" s="117">
        <v>-1.2387318584971444E-2</v>
      </c>
      <c r="H395" s="117">
        <v>5.0154155629693165E-2</v>
      </c>
      <c r="I395" s="117">
        <v>1.8883418522360858E-2</v>
      </c>
      <c r="J395" s="115">
        <v>147.01476676935599</v>
      </c>
      <c r="K395" s="117">
        <v>7.5016112599755047E-3</v>
      </c>
      <c r="L395" s="115">
        <v>98.069485434409799</v>
      </c>
      <c r="M395" s="115">
        <v>44.519393340446555</v>
      </c>
      <c r="N395" s="118">
        <v>1</v>
      </c>
      <c r="O395" s="119">
        <v>1</v>
      </c>
      <c r="P395" s="120">
        <v>1</v>
      </c>
    </row>
    <row r="396" spans="1:16" x14ac:dyDescent="0.2">
      <c r="A396" s="26">
        <f t="shared" si="3"/>
        <v>2026.03</v>
      </c>
      <c r="B396" s="115">
        <v>148.08613039427496</v>
      </c>
      <c r="C396" s="117">
        <v>3.7165714491405971E-4</v>
      </c>
      <c r="D396" s="117">
        <v>-2.4808064179854738E-3</v>
      </c>
      <c r="E396" s="117">
        <v>-2.4808064179854738E-3</v>
      </c>
      <c r="F396" s="117">
        <v>4.8127609023986828E-3</v>
      </c>
      <c r="G396" s="117">
        <v>-1.2387318584971444E-2</v>
      </c>
      <c r="H396" s="117">
        <v>5.0154155629693165E-2</v>
      </c>
      <c r="I396" s="117">
        <v>1.8883418522360858E-2</v>
      </c>
      <c r="J396" s="115">
        <v>147.04119650062</v>
      </c>
      <c r="K396" s="117">
        <v>7.7357914007043505E-3</v>
      </c>
      <c r="L396" s="115">
        <v>97.950367542194556</v>
      </c>
      <c r="M396" s="115">
        <v>42.837843569901757</v>
      </c>
      <c r="N396" s="118">
        <v>1</v>
      </c>
      <c r="O396" s="119">
        <v>1</v>
      </c>
      <c r="P396" s="120">
        <v>1</v>
      </c>
    </row>
    <row r="397" spans="1:16" x14ac:dyDescent="0.2">
      <c r="A397" s="26">
        <f t="shared" si="3"/>
        <v>2026.04</v>
      </c>
      <c r="B397" s="115">
        <v>148.32193391170745</v>
      </c>
      <c r="C397" s="117">
        <v>1.5910738982734568E-3</v>
      </c>
      <c r="D397" s="117">
        <v>6.14505084690489E-3</v>
      </c>
      <c r="E397" s="117">
        <v>6.14505084690489E-3</v>
      </c>
      <c r="F397" s="117">
        <v>8.1548259070567397E-3</v>
      </c>
      <c r="G397" s="117">
        <v>-1.2387318584971444E-2</v>
      </c>
      <c r="H397" s="117">
        <v>5.0154155629693165E-2</v>
      </c>
      <c r="I397" s="117">
        <v>1.8883418522360858E-2</v>
      </c>
      <c r="J397" s="115">
        <v>147.067611620561</v>
      </c>
      <c r="K397" s="117">
        <v>9.2020701790842541E-3</v>
      </c>
      <c r="L397" s="115">
        <v>97.950764341201733</v>
      </c>
      <c r="M397" s="115">
        <v>44.519393340446555</v>
      </c>
      <c r="N397" s="118">
        <v>1</v>
      </c>
      <c r="O397" s="119">
        <v>1</v>
      </c>
      <c r="P397" s="120">
        <v>1</v>
      </c>
    </row>
    <row r="398" spans="1:16" x14ac:dyDescent="0.2">
      <c r="A398" s="26">
        <f t="shared" si="3"/>
        <v>2026.05</v>
      </c>
      <c r="B398" s="115">
        <v>147.61086803712956</v>
      </c>
      <c r="C398" s="117">
        <v>-4.8055993680203336E-3</v>
      </c>
      <c r="D398" s="117">
        <v>5.4931860071480822E-3</v>
      </c>
      <c r="E398" s="117">
        <v>5.4931860071480822E-3</v>
      </c>
      <c r="F398" s="117">
        <v>-1.695088927681776E-3</v>
      </c>
      <c r="G398" s="117">
        <v>-1.2387318584971444E-2</v>
      </c>
      <c r="H398" s="117">
        <v>5.0154155629693165E-2</v>
      </c>
      <c r="I398" s="117">
        <v>1.8883418522360858E-2</v>
      </c>
      <c r="J398" s="115">
        <v>147.09400815338</v>
      </c>
      <c r="K398" s="117">
        <v>4.2283913910849957E-3</v>
      </c>
      <c r="L398" s="115">
        <v>97.326599256715596</v>
      </c>
      <c r="M398" s="115">
        <v>41.156293799356959</v>
      </c>
      <c r="N398" s="118">
        <v>1</v>
      </c>
      <c r="O398" s="119">
        <v>1</v>
      </c>
      <c r="P398" s="120">
        <v>1</v>
      </c>
    </row>
    <row r="399" spans="1:16" x14ac:dyDescent="0.2">
      <c r="A399" s="26">
        <f t="shared" si="3"/>
        <v>2026.06</v>
      </c>
      <c r="B399" s="115">
        <v>146.78708997540642</v>
      </c>
      <c r="C399" s="117">
        <v>-5.5963717771773192E-3</v>
      </c>
      <c r="D399" s="117">
        <v>1.5491992926930064E-3</v>
      </c>
      <c r="E399" s="117">
        <v>1.5491992926930064E-3</v>
      </c>
      <c r="F399" s="117">
        <v>-1.2787647289823956E-2</v>
      </c>
      <c r="G399" s="117">
        <v>-1.2387318584971444E-2</v>
      </c>
      <c r="H399" s="117">
        <v>5.0154155629693165E-2</v>
      </c>
      <c r="I399" s="117">
        <v>1.8883418522360858E-2</v>
      </c>
      <c r="J399" s="115">
        <v>147.12039122388799</v>
      </c>
      <c r="K399" s="117">
        <v>-1.5084840010574085E-3</v>
      </c>
      <c r="L399" s="115">
        <v>96.629968963830464</v>
      </c>
      <c r="M399" s="115">
        <v>36.11164448772255</v>
      </c>
      <c r="N399" s="118">
        <v>1</v>
      </c>
      <c r="O399" s="119">
        <v>1</v>
      </c>
      <c r="P399" s="120">
        <v>1</v>
      </c>
    </row>
    <row r="400" spans="1:16" x14ac:dyDescent="0.2">
      <c r="A400" s="26">
        <f t="shared" si="3"/>
        <v>2026.07</v>
      </c>
      <c r="B400" s="115">
        <v>146.60870220281112</v>
      </c>
      <c r="C400" s="117">
        <v>-1.2160214926934198E-3</v>
      </c>
      <c r="D400" s="117">
        <v>-4.4925861265877852E-3</v>
      </c>
      <c r="E400" s="117">
        <v>-4.4925861265877852E-3</v>
      </c>
      <c r="F400" s="117">
        <v>-1.5234325483807543E-2</v>
      </c>
      <c r="G400" s="117">
        <v>-1.2387318584971444E-2</v>
      </c>
      <c r="H400" s="117">
        <v>5.0154155629693165E-2</v>
      </c>
      <c r="I400" s="117">
        <v>1.8883418522360858E-2</v>
      </c>
      <c r="J400" s="115">
        <v>147.14676925853701</v>
      </c>
      <c r="K400" s="117">
        <v>-2.8521511884179729E-3</v>
      </c>
      <c r="L400" s="115">
        <v>96.359490131756715</v>
      </c>
      <c r="M400" s="115">
        <v>32.74854494663294</v>
      </c>
      <c r="N400" s="118">
        <v>1</v>
      </c>
      <c r="O400" s="119">
        <v>1</v>
      </c>
      <c r="P400" s="120">
        <v>1</v>
      </c>
    </row>
    <row r="401" spans="1:16" x14ac:dyDescent="0.2">
      <c r="A401" s="26">
        <f t="shared" si="3"/>
        <v>2026.08</v>
      </c>
      <c r="B401" s="115" t="e">
        <v>#N/A</v>
      </c>
      <c r="C401" s="117" t="e">
        <v>#N/A</v>
      </c>
      <c r="D401" s="117" t="e">
        <v>#N/A</v>
      </c>
      <c r="E401" s="117" t="e">
        <v>#N/A</v>
      </c>
      <c r="F401" s="117" t="e">
        <v>#N/A</v>
      </c>
      <c r="G401" s="117" t="e">
        <v>#N/A</v>
      </c>
      <c r="H401" s="117" t="e">
        <v>#N/A</v>
      </c>
      <c r="I401" s="117" t="e">
        <v>#N/A</v>
      </c>
      <c r="J401" s="115" t="e">
        <v>#N/A</v>
      </c>
      <c r="K401" s="117" t="e">
        <v>#N/A</v>
      </c>
      <c r="L401" s="115" t="e">
        <v>#N/A</v>
      </c>
      <c r="M401" s="115" t="e">
        <v>#N/A</v>
      </c>
      <c r="N401" s="118" t="e">
        <v>#N/A</v>
      </c>
      <c r="O401" s="119" t="e">
        <v>#N/A</v>
      </c>
      <c r="P401" s="120" t="e">
        <v>#N/A</v>
      </c>
    </row>
    <row r="402" spans="1:16" x14ac:dyDescent="0.2">
      <c r="A402" s="26">
        <f t="shared" si="3"/>
        <v>2026.09</v>
      </c>
      <c r="B402" s="115" t="e">
        <v>#N/A</v>
      </c>
      <c r="C402" s="117" t="e">
        <v>#N/A</v>
      </c>
      <c r="D402" s="117" t="e">
        <v>#N/A</v>
      </c>
      <c r="E402" s="117" t="e">
        <v>#N/A</v>
      </c>
      <c r="F402" s="117" t="e">
        <v>#N/A</v>
      </c>
      <c r="G402" s="117" t="e">
        <v>#N/A</v>
      </c>
      <c r="H402" s="117" t="e">
        <v>#N/A</v>
      </c>
      <c r="I402" s="117" t="e">
        <v>#N/A</v>
      </c>
      <c r="J402" s="115" t="e">
        <v>#N/A</v>
      </c>
      <c r="K402" s="117" t="e">
        <v>#N/A</v>
      </c>
      <c r="L402" s="115" t="e">
        <v>#N/A</v>
      </c>
      <c r="M402" s="115" t="e">
        <v>#N/A</v>
      </c>
      <c r="N402" s="118" t="e">
        <v>#N/A</v>
      </c>
      <c r="O402" s="119" t="e">
        <v>#N/A</v>
      </c>
      <c r="P402" s="120" t="e">
        <v>#N/A</v>
      </c>
    </row>
    <row r="403" spans="1:16" x14ac:dyDescent="0.2">
      <c r="A403" s="26">
        <f t="shared" si="3"/>
        <v>2026.1</v>
      </c>
      <c r="B403" s="115" t="e">
        <v>#N/A</v>
      </c>
      <c r="C403" s="117" t="e">
        <v>#N/A</v>
      </c>
      <c r="D403" s="117" t="e">
        <v>#N/A</v>
      </c>
      <c r="E403" s="117" t="e">
        <v>#N/A</v>
      </c>
      <c r="F403" s="117" t="e">
        <v>#N/A</v>
      </c>
      <c r="G403" s="117" t="e">
        <v>#N/A</v>
      </c>
      <c r="H403" s="117" t="e">
        <v>#N/A</v>
      </c>
      <c r="I403" s="117" t="e">
        <v>#N/A</v>
      </c>
      <c r="J403" s="115" t="e">
        <v>#N/A</v>
      </c>
      <c r="K403" s="117" t="e">
        <v>#N/A</v>
      </c>
      <c r="L403" s="115" t="e">
        <v>#N/A</v>
      </c>
      <c r="M403" s="115" t="e">
        <v>#N/A</v>
      </c>
      <c r="N403" s="118" t="e">
        <v>#N/A</v>
      </c>
      <c r="O403" s="119" t="e">
        <v>#N/A</v>
      </c>
      <c r="P403" s="120" t="e">
        <v>#N/A</v>
      </c>
    </row>
    <row r="404" spans="1:16" x14ac:dyDescent="0.2">
      <c r="A404" s="26">
        <f t="shared" si="3"/>
        <v>2026.11</v>
      </c>
      <c r="B404" s="115" t="e">
        <v>#N/A</v>
      </c>
      <c r="C404" s="117" t="e">
        <v>#N/A</v>
      </c>
      <c r="D404" s="117" t="e">
        <v>#N/A</v>
      </c>
      <c r="E404" s="117" t="e">
        <v>#N/A</v>
      </c>
      <c r="F404" s="117" t="e">
        <v>#N/A</v>
      </c>
      <c r="G404" s="117" t="e">
        <v>#N/A</v>
      </c>
      <c r="H404" s="117" t="e">
        <v>#N/A</v>
      </c>
      <c r="I404" s="117" t="e">
        <v>#N/A</v>
      </c>
      <c r="J404" s="115" t="e">
        <v>#N/A</v>
      </c>
      <c r="K404" s="117" t="e">
        <v>#N/A</v>
      </c>
      <c r="L404" s="115" t="e">
        <v>#N/A</v>
      </c>
      <c r="M404" s="115" t="e">
        <v>#N/A</v>
      </c>
      <c r="N404" s="118" t="e">
        <v>#N/A</v>
      </c>
      <c r="O404" s="119" t="e">
        <v>#N/A</v>
      </c>
      <c r="P404" s="120" t="e">
        <v>#N/A</v>
      </c>
    </row>
    <row r="405" spans="1:16" x14ac:dyDescent="0.2">
      <c r="A405" s="26">
        <f t="shared" si="3"/>
        <v>2026.12</v>
      </c>
      <c r="B405" s="115" t="e">
        <v>#N/A</v>
      </c>
      <c r="C405" s="117" t="e">
        <v>#N/A</v>
      </c>
      <c r="D405" s="117" t="e">
        <v>#N/A</v>
      </c>
      <c r="E405" s="117" t="e">
        <v>#N/A</v>
      </c>
      <c r="F405" s="117" t="e">
        <v>#N/A</v>
      </c>
      <c r="G405" s="117" t="e">
        <v>#N/A</v>
      </c>
      <c r="H405" s="117" t="e">
        <v>#N/A</v>
      </c>
      <c r="I405" s="117" t="e">
        <v>#N/A</v>
      </c>
      <c r="J405" s="115" t="e">
        <v>#N/A</v>
      </c>
      <c r="K405" s="117" t="e">
        <v>#N/A</v>
      </c>
      <c r="L405" s="115" t="e">
        <v>#N/A</v>
      </c>
      <c r="M405" s="115" t="e">
        <v>#N/A</v>
      </c>
      <c r="N405" s="118" t="e">
        <v>#N/A</v>
      </c>
      <c r="O405" s="119" t="e">
        <v>#N/A</v>
      </c>
      <c r="P405" s="120" t="e">
        <v>#N/A</v>
      </c>
    </row>
    <row r="406" spans="1:16" x14ac:dyDescent="0.2">
      <c r="A406" s="26">
        <f t="shared" si="3"/>
        <v>2027.01</v>
      </c>
      <c r="B406" s="115" t="e">
        <v>#N/A</v>
      </c>
      <c r="C406" s="117" t="e">
        <v>#N/A</v>
      </c>
      <c r="D406" s="117" t="e">
        <v>#N/A</v>
      </c>
      <c r="E406" s="117" t="e">
        <v>#N/A</v>
      </c>
      <c r="F406" s="117" t="e">
        <v>#N/A</v>
      </c>
      <c r="G406" s="117" t="e">
        <v>#N/A</v>
      </c>
      <c r="H406" s="117" t="e">
        <v>#N/A</v>
      </c>
      <c r="I406" s="117" t="e">
        <v>#N/A</v>
      </c>
      <c r="J406" s="115" t="e">
        <v>#N/A</v>
      </c>
      <c r="K406" s="117" t="e">
        <v>#N/A</v>
      </c>
      <c r="L406" s="115" t="e">
        <v>#N/A</v>
      </c>
      <c r="M406" s="115" t="e">
        <v>#N/A</v>
      </c>
      <c r="N406" s="118" t="e">
        <v>#N/A</v>
      </c>
      <c r="O406" s="119" t="e">
        <v>#N/A</v>
      </c>
      <c r="P406" s="120" t="e">
        <v>#N/A</v>
      </c>
    </row>
    <row r="407" spans="1:16" x14ac:dyDescent="0.2">
      <c r="A407" s="26">
        <f t="shared" si="3"/>
        <v>2027.02</v>
      </c>
      <c r="B407" s="115" t="e">
        <v>#N/A</v>
      </c>
      <c r="C407" s="117" t="e">
        <v>#N/A</v>
      </c>
      <c r="D407" s="117" t="e">
        <v>#N/A</v>
      </c>
      <c r="E407" s="117" t="e">
        <v>#N/A</v>
      </c>
      <c r="F407" s="117" t="e">
        <v>#N/A</v>
      </c>
      <c r="G407" s="117" t="e">
        <v>#N/A</v>
      </c>
      <c r="H407" s="117" t="e">
        <v>#N/A</v>
      </c>
      <c r="I407" s="117" t="e">
        <v>#N/A</v>
      </c>
      <c r="J407" s="115" t="e">
        <v>#N/A</v>
      </c>
      <c r="K407" s="117" t="e">
        <v>#N/A</v>
      </c>
      <c r="L407" s="115" t="e">
        <v>#N/A</v>
      </c>
      <c r="M407" s="115" t="e">
        <v>#N/A</v>
      </c>
      <c r="N407" s="118" t="e">
        <v>#N/A</v>
      </c>
      <c r="O407" s="119" t="e">
        <v>#N/A</v>
      </c>
      <c r="P407" s="120" t="e">
        <v>#N/A</v>
      </c>
    </row>
    <row r="408" spans="1:16" x14ac:dyDescent="0.2">
      <c r="A408" s="26">
        <f t="shared" si="3"/>
        <v>2027.03</v>
      </c>
      <c r="B408" s="115" t="e">
        <v>#N/A</v>
      </c>
      <c r="C408" s="117" t="e">
        <v>#N/A</v>
      </c>
      <c r="D408" s="117" t="e">
        <v>#N/A</v>
      </c>
      <c r="E408" s="117" t="e">
        <v>#N/A</v>
      </c>
      <c r="F408" s="117" t="e">
        <v>#N/A</v>
      </c>
      <c r="G408" s="117" t="e">
        <v>#N/A</v>
      </c>
      <c r="H408" s="117" t="e">
        <v>#N/A</v>
      </c>
      <c r="I408" s="117" t="e">
        <v>#N/A</v>
      </c>
      <c r="J408" s="115" t="e">
        <v>#N/A</v>
      </c>
      <c r="K408" s="117" t="e">
        <v>#N/A</v>
      </c>
      <c r="L408" s="115" t="e">
        <v>#N/A</v>
      </c>
      <c r="M408" s="115" t="e">
        <v>#N/A</v>
      </c>
      <c r="N408" s="118" t="e">
        <v>#N/A</v>
      </c>
      <c r="O408" s="119" t="e">
        <v>#N/A</v>
      </c>
      <c r="P408" s="120" t="e">
        <v>#N/A</v>
      </c>
    </row>
    <row r="409" spans="1:16" x14ac:dyDescent="0.2">
      <c r="A409" s="26">
        <f t="shared" si="3"/>
        <v>2027.04</v>
      </c>
      <c r="B409" s="115" t="e">
        <v>#N/A</v>
      </c>
      <c r="C409" s="117" t="e">
        <v>#N/A</v>
      </c>
      <c r="D409" s="117" t="e">
        <v>#N/A</v>
      </c>
      <c r="E409" s="117" t="e">
        <v>#N/A</v>
      </c>
      <c r="F409" s="117" t="e">
        <v>#N/A</v>
      </c>
      <c r="G409" s="117" t="e">
        <v>#N/A</v>
      </c>
      <c r="H409" s="117" t="e">
        <v>#N/A</v>
      </c>
      <c r="I409" s="117" t="e">
        <v>#N/A</v>
      </c>
      <c r="J409" s="115" t="e">
        <v>#N/A</v>
      </c>
      <c r="K409" s="117" t="e">
        <v>#N/A</v>
      </c>
      <c r="L409" s="115" t="e">
        <v>#N/A</v>
      </c>
      <c r="M409" s="115" t="e">
        <v>#N/A</v>
      </c>
      <c r="N409" s="118" t="e">
        <v>#N/A</v>
      </c>
      <c r="O409" s="119" t="e">
        <v>#N/A</v>
      </c>
      <c r="P409" s="120" t="e">
        <v>#N/A</v>
      </c>
    </row>
    <row r="410" spans="1:16" x14ac:dyDescent="0.2">
      <c r="A410" s="26">
        <f t="shared" si="3"/>
        <v>2027.05</v>
      </c>
      <c r="B410" s="115" t="e">
        <v>#N/A</v>
      </c>
      <c r="C410" s="117" t="e">
        <v>#N/A</v>
      </c>
      <c r="D410" s="117" t="e">
        <v>#N/A</v>
      </c>
      <c r="E410" s="117" t="e">
        <v>#N/A</v>
      </c>
      <c r="F410" s="117" t="e">
        <v>#N/A</v>
      </c>
      <c r="G410" s="117" t="e">
        <v>#N/A</v>
      </c>
      <c r="H410" s="117" t="e">
        <v>#N/A</v>
      </c>
      <c r="I410" s="117" t="e">
        <v>#N/A</v>
      </c>
      <c r="J410" s="115" t="e">
        <v>#N/A</v>
      </c>
      <c r="K410" s="117" t="e">
        <v>#N/A</v>
      </c>
      <c r="L410" s="115" t="e">
        <v>#N/A</v>
      </c>
      <c r="M410" s="115" t="e">
        <v>#N/A</v>
      </c>
      <c r="N410" s="118" t="e">
        <v>#N/A</v>
      </c>
      <c r="O410" s="119" t="e">
        <v>#N/A</v>
      </c>
      <c r="P410" s="120" t="e">
        <v>#N/A</v>
      </c>
    </row>
    <row r="411" spans="1:16" x14ac:dyDescent="0.2">
      <c r="A411" s="26">
        <f t="shared" si="3"/>
        <v>2027.06</v>
      </c>
      <c r="B411" s="115" t="e">
        <v>#N/A</v>
      </c>
      <c r="C411" s="117" t="e">
        <v>#N/A</v>
      </c>
      <c r="D411" s="117" t="e">
        <v>#N/A</v>
      </c>
      <c r="E411" s="117" t="e">
        <v>#N/A</v>
      </c>
      <c r="F411" s="117" t="e">
        <v>#N/A</v>
      </c>
      <c r="G411" s="117" t="e">
        <v>#N/A</v>
      </c>
      <c r="H411" s="117" t="e">
        <v>#N/A</v>
      </c>
      <c r="I411" s="117" t="e">
        <v>#N/A</v>
      </c>
      <c r="J411" s="115" t="e">
        <v>#N/A</v>
      </c>
      <c r="K411" s="117" t="e">
        <v>#N/A</v>
      </c>
      <c r="L411" s="115" t="e">
        <v>#N/A</v>
      </c>
      <c r="M411" s="115" t="e">
        <v>#N/A</v>
      </c>
      <c r="N411" s="118" t="e">
        <v>#N/A</v>
      </c>
      <c r="O411" s="119" t="e">
        <v>#N/A</v>
      </c>
      <c r="P411" s="120" t="e">
        <v>#N/A</v>
      </c>
    </row>
    <row r="412" spans="1:16" x14ac:dyDescent="0.2">
      <c r="A412" s="26">
        <f t="shared" si="3"/>
        <v>2027.07</v>
      </c>
      <c r="B412" s="115" t="e">
        <v>#N/A</v>
      </c>
      <c r="C412" s="117" t="e">
        <v>#N/A</v>
      </c>
      <c r="D412" s="117" t="e">
        <v>#N/A</v>
      </c>
      <c r="E412" s="117" t="e">
        <v>#N/A</v>
      </c>
      <c r="F412" s="117" t="e">
        <v>#N/A</v>
      </c>
      <c r="G412" s="117" t="e">
        <v>#N/A</v>
      </c>
      <c r="H412" s="117" t="e">
        <v>#N/A</v>
      </c>
      <c r="I412" s="117" t="e">
        <v>#N/A</v>
      </c>
      <c r="J412" s="115" t="e">
        <v>#N/A</v>
      </c>
      <c r="K412" s="117" t="e">
        <v>#N/A</v>
      </c>
      <c r="L412" s="115" t="e">
        <v>#N/A</v>
      </c>
      <c r="M412" s="115" t="e">
        <v>#N/A</v>
      </c>
      <c r="N412" s="118" t="e">
        <v>#N/A</v>
      </c>
      <c r="O412" s="119" t="e">
        <v>#N/A</v>
      </c>
      <c r="P412" s="120" t="e">
        <v>#N/A</v>
      </c>
    </row>
    <row r="413" spans="1:16" x14ac:dyDescent="0.2">
      <c r="A413" s="26">
        <f t="shared" si="3"/>
        <v>2027.08</v>
      </c>
      <c r="B413" s="115" t="e">
        <v>#N/A</v>
      </c>
      <c r="C413" s="117" t="e">
        <v>#N/A</v>
      </c>
      <c r="D413" s="117" t="e">
        <v>#N/A</v>
      </c>
      <c r="E413" s="117" t="e">
        <v>#N/A</v>
      </c>
      <c r="F413" s="117" t="e">
        <v>#N/A</v>
      </c>
      <c r="G413" s="117" t="e">
        <v>#N/A</v>
      </c>
      <c r="H413" s="117" t="e">
        <v>#N/A</v>
      </c>
      <c r="I413" s="117" t="e">
        <v>#N/A</v>
      </c>
      <c r="J413" s="115" t="e">
        <v>#N/A</v>
      </c>
      <c r="K413" s="117" t="e">
        <v>#N/A</v>
      </c>
      <c r="L413" s="115" t="e">
        <v>#N/A</v>
      </c>
      <c r="M413" s="115" t="e">
        <v>#N/A</v>
      </c>
      <c r="N413" s="118" t="e">
        <v>#N/A</v>
      </c>
      <c r="O413" s="119" t="e">
        <v>#N/A</v>
      </c>
      <c r="P413" s="120" t="e">
        <v>#N/A</v>
      </c>
    </row>
    <row r="414" spans="1:16" x14ac:dyDescent="0.2">
      <c r="A414" s="26">
        <f t="shared" si="3"/>
        <v>2027.09</v>
      </c>
      <c r="B414" s="115" t="e">
        <v>#N/A</v>
      </c>
      <c r="C414" s="117" t="e">
        <v>#N/A</v>
      </c>
      <c r="D414" s="117" t="e">
        <v>#N/A</v>
      </c>
      <c r="E414" s="117" t="e">
        <v>#N/A</v>
      </c>
      <c r="F414" s="117" t="e">
        <v>#N/A</v>
      </c>
      <c r="G414" s="117" t="e">
        <v>#N/A</v>
      </c>
      <c r="H414" s="117" t="e">
        <v>#N/A</v>
      </c>
      <c r="I414" s="117" t="e">
        <v>#N/A</v>
      </c>
      <c r="J414" s="115" t="e">
        <v>#N/A</v>
      </c>
      <c r="K414" s="117" t="e">
        <v>#N/A</v>
      </c>
      <c r="L414" s="115" t="e">
        <v>#N/A</v>
      </c>
      <c r="M414" s="115" t="e">
        <v>#N/A</v>
      </c>
      <c r="N414" s="118" t="e">
        <v>#N/A</v>
      </c>
      <c r="O414" s="119" t="e">
        <v>#N/A</v>
      </c>
      <c r="P414" s="120" t="e">
        <v>#N/A</v>
      </c>
    </row>
    <row r="415" spans="1:16" x14ac:dyDescent="0.2">
      <c r="A415" s="26">
        <f t="shared" si="3"/>
        <v>2027.1</v>
      </c>
      <c r="B415" s="115" t="e">
        <v>#N/A</v>
      </c>
      <c r="C415" s="117" t="e">
        <v>#N/A</v>
      </c>
      <c r="D415" s="117" t="e">
        <v>#N/A</v>
      </c>
      <c r="E415" s="117" t="e">
        <v>#N/A</v>
      </c>
      <c r="F415" s="117" t="e">
        <v>#N/A</v>
      </c>
      <c r="G415" s="117" t="e">
        <v>#N/A</v>
      </c>
      <c r="H415" s="117" t="e">
        <v>#N/A</v>
      </c>
      <c r="I415" s="117" t="e">
        <v>#N/A</v>
      </c>
      <c r="J415" s="115" t="e">
        <v>#N/A</v>
      </c>
      <c r="K415" s="117" t="e">
        <v>#N/A</v>
      </c>
      <c r="L415" s="115" t="e">
        <v>#N/A</v>
      </c>
      <c r="M415" s="115" t="e">
        <v>#N/A</v>
      </c>
      <c r="N415" s="118" t="e">
        <v>#N/A</v>
      </c>
      <c r="O415" s="119" t="e">
        <v>#N/A</v>
      </c>
      <c r="P415" s="120" t="e">
        <v>#N/A</v>
      </c>
    </row>
    <row r="416" spans="1:16" x14ac:dyDescent="0.2">
      <c r="A416" s="26">
        <f t="shared" si="3"/>
        <v>2027.11</v>
      </c>
      <c r="B416" s="115" t="e">
        <v>#N/A</v>
      </c>
      <c r="C416" s="117" t="e">
        <v>#N/A</v>
      </c>
      <c r="D416" s="117" t="e">
        <v>#N/A</v>
      </c>
      <c r="E416" s="117" t="e">
        <v>#N/A</v>
      </c>
      <c r="F416" s="117" t="e">
        <v>#N/A</v>
      </c>
      <c r="G416" s="117" t="e">
        <v>#N/A</v>
      </c>
      <c r="H416" s="117" t="e">
        <v>#N/A</v>
      </c>
      <c r="I416" s="117" t="e">
        <v>#N/A</v>
      </c>
      <c r="J416" s="115" t="e">
        <v>#N/A</v>
      </c>
      <c r="K416" s="117" t="e">
        <v>#N/A</v>
      </c>
      <c r="L416" s="115" t="e">
        <v>#N/A</v>
      </c>
      <c r="M416" s="115" t="e">
        <v>#N/A</v>
      </c>
      <c r="N416" s="118" t="e">
        <v>#N/A</v>
      </c>
      <c r="O416" s="119" t="e">
        <v>#N/A</v>
      </c>
      <c r="P416" s="120" t="e">
        <v>#N/A</v>
      </c>
    </row>
    <row r="417" spans="1:16" x14ac:dyDescent="0.2">
      <c r="A417" s="26">
        <f t="shared" si="3"/>
        <v>2027.12</v>
      </c>
      <c r="B417" s="115" t="e">
        <v>#N/A</v>
      </c>
      <c r="C417" s="117" t="e">
        <v>#N/A</v>
      </c>
      <c r="D417" s="117" t="e">
        <v>#N/A</v>
      </c>
      <c r="E417" s="117" t="e">
        <v>#N/A</v>
      </c>
      <c r="F417" s="117" t="e">
        <v>#N/A</v>
      </c>
      <c r="G417" s="117" t="e">
        <v>#N/A</v>
      </c>
      <c r="H417" s="117" t="e">
        <v>#N/A</v>
      </c>
      <c r="I417" s="117" t="e">
        <v>#N/A</v>
      </c>
      <c r="J417" s="115" t="e">
        <v>#N/A</v>
      </c>
      <c r="K417" s="117" t="e">
        <v>#N/A</v>
      </c>
      <c r="L417" s="115" t="e">
        <v>#N/A</v>
      </c>
      <c r="M417" s="115" t="e">
        <v>#N/A</v>
      </c>
      <c r="N417" s="118" t="e">
        <v>#N/A</v>
      </c>
      <c r="O417" s="119" t="e">
        <v>#N/A</v>
      </c>
      <c r="P417" s="120" t="e">
        <v>#N/A</v>
      </c>
    </row>
    <row r="418" spans="1:16" x14ac:dyDescent="0.2">
      <c r="A418" s="26">
        <f t="shared" si="3"/>
        <v>2028.01</v>
      </c>
      <c r="B418" s="115" t="e">
        <v>#N/A</v>
      </c>
      <c r="C418" s="117" t="e">
        <v>#N/A</v>
      </c>
      <c r="D418" s="117" t="e">
        <v>#N/A</v>
      </c>
      <c r="E418" s="117" t="e">
        <v>#N/A</v>
      </c>
      <c r="F418" s="117" t="e">
        <v>#N/A</v>
      </c>
      <c r="G418" s="117" t="e">
        <v>#N/A</v>
      </c>
      <c r="H418" s="117" t="e">
        <v>#N/A</v>
      </c>
      <c r="I418" s="117" t="e">
        <v>#N/A</v>
      </c>
      <c r="J418" s="115" t="e">
        <v>#N/A</v>
      </c>
      <c r="K418" s="117" t="e">
        <v>#N/A</v>
      </c>
      <c r="L418" s="115" t="e">
        <v>#N/A</v>
      </c>
      <c r="M418" s="115" t="e">
        <v>#N/A</v>
      </c>
      <c r="N418" s="118" t="e">
        <v>#N/A</v>
      </c>
      <c r="O418" s="119" t="e">
        <v>#N/A</v>
      </c>
      <c r="P418" s="120" t="e">
        <v>#N/A</v>
      </c>
    </row>
    <row r="419" spans="1:16" x14ac:dyDescent="0.2">
      <c r="A419" s="26">
        <f t="shared" si="3"/>
        <v>2028.02</v>
      </c>
      <c r="B419" s="115" t="e">
        <v>#N/A</v>
      </c>
      <c r="C419" s="117" t="e">
        <v>#N/A</v>
      </c>
      <c r="D419" s="117" t="e">
        <v>#N/A</v>
      </c>
      <c r="E419" s="117" t="e">
        <v>#N/A</v>
      </c>
      <c r="F419" s="117" t="e">
        <v>#N/A</v>
      </c>
      <c r="G419" s="117" t="e">
        <v>#N/A</v>
      </c>
      <c r="H419" s="117" t="e">
        <v>#N/A</v>
      </c>
      <c r="I419" s="117" t="e">
        <v>#N/A</v>
      </c>
      <c r="J419" s="115" t="e">
        <v>#N/A</v>
      </c>
      <c r="K419" s="117" t="e">
        <v>#N/A</v>
      </c>
      <c r="L419" s="115" t="e">
        <v>#N/A</v>
      </c>
      <c r="M419" s="115" t="e">
        <v>#N/A</v>
      </c>
      <c r="N419" s="118" t="e">
        <v>#N/A</v>
      </c>
      <c r="O419" s="119" t="e">
        <v>#N/A</v>
      </c>
      <c r="P419" s="120" t="e">
        <v>#N/A</v>
      </c>
    </row>
    <row r="420" spans="1:16" x14ac:dyDescent="0.2">
      <c r="A420" s="26">
        <f t="shared" si="3"/>
        <v>2028.03</v>
      </c>
      <c r="B420" s="115" t="e">
        <v>#N/A</v>
      </c>
      <c r="C420" s="117" t="e">
        <v>#N/A</v>
      </c>
      <c r="D420" s="117" t="e">
        <v>#N/A</v>
      </c>
      <c r="E420" s="117" t="e">
        <v>#N/A</v>
      </c>
      <c r="F420" s="117" t="e">
        <v>#N/A</v>
      </c>
      <c r="G420" s="117" t="e">
        <v>#N/A</v>
      </c>
      <c r="H420" s="117" t="e">
        <v>#N/A</v>
      </c>
      <c r="I420" s="117" t="e">
        <v>#N/A</v>
      </c>
      <c r="J420" s="115" t="e">
        <v>#N/A</v>
      </c>
      <c r="K420" s="117" t="e">
        <v>#N/A</v>
      </c>
      <c r="L420" s="115" t="e">
        <v>#N/A</v>
      </c>
      <c r="M420" s="115" t="e">
        <v>#N/A</v>
      </c>
      <c r="N420" s="118" t="e">
        <v>#N/A</v>
      </c>
      <c r="O420" s="119" t="e">
        <v>#N/A</v>
      </c>
      <c r="P420" s="120" t="e">
        <v>#N/A</v>
      </c>
    </row>
    <row r="421" spans="1:16" x14ac:dyDescent="0.2">
      <c r="A421" s="26">
        <f t="shared" si="3"/>
        <v>2028.04</v>
      </c>
      <c r="B421" s="115" t="e">
        <v>#N/A</v>
      </c>
      <c r="C421" s="117" t="e">
        <v>#N/A</v>
      </c>
      <c r="D421" s="117" t="e">
        <v>#N/A</v>
      </c>
      <c r="E421" s="117" t="e">
        <v>#N/A</v>
      </c>
      <c r="F421" s="117" t="e">
        <v>#N/A</v>
      </c>
      <c r="G421" s="117" t="e">
        <v>#N/A</v>
      </c>
      <c r="H421" s="117" t="e">
        <v>#N/A</v>
      </c>
      <c r="I421" s="117" t="e">
        <v>#N/A</v>
      </c>
      <c r="J421" s="115" t="e">
        <v>#N/A</v>
      </c>
      <c r="K421" s="117" t="e">
        <v>#N/A</v>
      </c>
      <c r="L421" s="115" t="e">
        <v>#N/A</v>
      </c>
      <c r="M421" s="115" t="e">
        <v>#N/A</v>
      </c>
      <c r="N421" s="118" t="e">
        <v>#N/A</v>
      </c>
      <c r="O421" s="119" t="e">
        <v>#N/A</v>
      </c>
      <c r="P421" s="120" t="e">
        <v>#N/A</v>
      </c>
    </row>
    <row r="422" spans="1:16" x14ac:dyDescent="0.2">
      <c r="A422" s="26">
        <f t="shared" si="3"/>
        <v>2028.05</v>
      </c>
      <c r="B422" s="115" t="e">
        <v>#N/A</v>
      </c>
      <c r="C422" s="117" t="e">
        <v>#N/A</v>
      </c>
      <c r="D422" s="117" t="e">
        <v>#N/A</v>
      </c>
      <c r="E422" s="117" t="e">
        <v>#N/A</v>
      </c>
      <c r="F422" s="117" t="e">
        <v>#N/A</v>
      </c>
      <c r="G422" s="117" t="e">
        <v>#N/A</v>
      </c>
      <c r="H422" s="117" t="e">
        <v>#N/A</v>
      </c>
      <c r="I422" s="117" t="e">
        <v>#N/A</v>
      </c>
      <c r="J422" s="115" t="e">
        <v>#N/A</v>
      </c>
      <c r="K422" s="117" t="e">
        <v>#N/A</v>
      </c>
      <c r="L422" s="115" t="e">
        <v>#N/A</v>
      </c>
      <c r="M422" s="115" t="e">
        <v>#N/A</v>
      </c>
      <c r="N422" s="118" t="e">
        <v>#N/A</v>
      </c>
      <c r="O422" s="119" t="e">
        <v>#N/A</v>
      </c>
      <c r="P422" s="120" t="e">
        <v>#N/A</v>
      </c>
    </row>
    <row r="423" spans="1:16" x14ac:dyDescent="0.2">
      <c r="A423" s="26">
        <f t="shared" si="3"/>
        <v>2028.06</v>
      </c>
      <c r="B423" s="115" t="e">
        <v>#N/A</v>
      </c>
      <c r="C423" s="117" t="e">
        <v>#N/A</v>
      </c>
      <c r="D423" s="117" t="e">
        <v>#N/A</v>
      </c>
      <c r="E423" s="117" t="e">
        <v>#N/A</v>
      </c>
      <c r="F423" s="117" t="e">
        <v>#N/A</v>
      </c>
      <c r="G423" s="117" t="e">
        <v>#N/A</v>
      </c>
      <c r="H423" s="117" t="e">
        <v>#N/A</v>
      </c>
      <c r="I423" s="117" t="e">
        <v>#N/A</v>
      </c>
      <c r="J423" s="115" t="e">
        <v>#N/A</v>
      </c>
      <c r="K423" s="117" t="e">
        <v>#N/A</v>
      </c>
      <c r="L423" s="115" t="e">
        <v>#N/A</v>
      </c>
      <c r="M423" s="115" t="e">
        <v>#N/A</v>
      </c>
      <c r="N423" s="118" t="e">
        <v>#N/A</v>
      </c>
      <c r="O423" s="119" t="e">
        <v>#N/A</v>
      </c>
      <c r="P423" s="120" t="e">
        <v>#N/A</v>
      </c>
    </row>
    <row r="424" spans="1:16" x14ac:dyDescent="0.2">
      <c r="A424" s="26">
        <f t="shared" si="3"/>
        <v>2028.07</v>
      </c>
      <c r="B424" s="115" t="e">
        <v>#N/A</v>
      </c>
      <c r="C424" s="117" t="e">
        <v>#N/A</v>
      </c>
      <c r="D424" s="117" t="e">
        <v>#N/A</v>
      </c>
      <c r="E424" s="117" t="e">
        <v>#N/A</v>
      </c>
      <c r="F424" s="117" t="e">
        <v>#N/A</v>
      </c>
      <c r="G424" s="117" t="e">
        <v>#N/A</v>
      </c>
      <c r="H424" s="117" t="e">
        <v>#N/A</v>
      </c>
      <c r="I424" s="117" t="e">
        <v>#N/A</v>
      </c>
      <c r="J424" s="115" t="e">
        <v>#N/A</v>
      </c>
      <c r="K424" s="117" t="e">
        <v>#N/A</v>
      </c>
      <c r="L424" s="115" t="e">
        <v>#N/A</v>
      </c>
      <c r="M424" s="115" t="e">
        <v>#N/A</v>
      </c>
      <c r="N424" s="118" t="e">
        <v>#N/A</v>
      </c>
      <c r="O424" s="119" t="e">
        <v>#N/A</v>
      </c>
      <c r="P424" s="120" t="e">
        <v>#N/A</v>
      </c>
    </row>
    <row r="425" spans="1:16" x14ac:dyDescent="0.2">
      <c r="A425" s="26">
        <f t="shared" si="3"/>
        <v>2028.08</v>
      </c>
      <c r="B425" s="115" t="e">
        <v>#N/A</v>
      </c>
      <c r="C425" s="117" t="e">
        <v>#N/A</v>
      </c>
      <c r="D425" s="117" t="e">
        <v>#N/A</v>
      </c>
      <c r="E425" s="117" t="e">
        <v>#N/A</v>
      </c>
      <c r="F425" s="117" t="e">
        <v>#N/A</v>
      </c>
      <c r="G425" s="117" t="e">
        <v>#N/A</v>
      </c>
      <c r="H425" s="117" t="e">
        <v>#N/A</v>
      </c>
      <c r="I425" s="117" t="e">
        <v>#N/A</v>
      </c>
      <c r="J425" s="115" t="e">
        <v>#N/A</v>
      </c>
      <c r="K425" s="117" t="e">
        <v>#N/A</v>
      </c>
      <c r="L425" s="115" t="e">
        <v>#N/A</v>
      </c>
      <c r="M425" s="115" t="e">
        <v>#N/A</v>
      </c>
      <c r="N425" s="118" t="e">
        <v>#N/A</v>
      </c>
      <c r="O425" s="119" t="e">
        <v>#N/A</v>
      </c>
      <c r="P425" s="120" t="e">
        <v>#N/A</v>
      </c>
    </row>
    <row r="426" spans="1:16" x14ac:dyDescent="0.2">
      <c r="A426" s="26">
        <f t="shared" si="3"/>
        <v>2028.09</v>
      </c>
      <c r="B426" s="115" t="e">
        <v>#N/A</v>
      </c>
      <c r="C426" s="117" t="e">
        <v>#N/A</v>
      </c>
      <c r="D426" s="117" t="e">
        <v>#N/A</v>
      </c>
      <c r="E426" s="117" t="e">
        <v>#N/A</v>
      </c>
      <c r="F426" s="117" t="e">
        <v>#N/A</v>
      </c>
      <c r="G426" s="117" t="e">
        <v>#N/A</v>
      </c>
      <c r="H426" s="117" t="e">
        <v>#N/A</v>
      </c>
      <c r="I426" s="117" t="e">
        <v>#N/A</v>
      </c>
      <c r="J426" s="115" t="e">
        <v>#N/A</v>
      </c>
      <c r="K426" s="117" t="e">
        <v>#N/A</v>
      </c>
      <c r="L426" s="115" t="e">
        <v>#N/A</v>
      </c>
      <c r="M426" s="115" t="e">
        <v>#N/A</v>
      </c>
      <c r="N426" s="118" t="e">
        <v>#N/A</v>
      </c>
      <c r="O426" s="119" t="e">
        <v>#N/A</v>
      </c>
      <c r="P426" s="120" t="e">
        <v>#N/A</v>
      </c>
    </row>
    <row r="427" spans="1:16" x14ac:dyDescent="0.2">
      <c r="A427" s="26">
        <f t="shared" si="3"/>
        <v>2028.1</v>
      </c>
      <c r="B427" s="115" t="e">
        <v>#N/A</v>
      </c>
      <c r="C427" s="117" t="e">
        <v>#N/A</v>
      </c>
      <c r="D427" s="117" t="e">
        <v>#N/A</v>
      </c>
      <c r="E427" s="117" t="e">
        <v>#N/A</v>
      </c>
      <c r="F427" s="117" t="e">
        <v>#N/A</v>
      </c>
      <c r="G427" s="117" t="e">
        <v>#N/A</v>
      </c>
      <c r="H427" s="117" t="e">
        <v>#N/A</v>
      </c>
      <c r="I427" s="117" t="e">
        <v>#N/A</v>
      </c>
      <c r="J427" s="115" t="e">
        <v>#N/A</v>
      </c>
      <c r="K427" s="117" t="e">
        <v>#N/A</v>
      </c>
      <c r="L427" s="115" t="e">
        <v>#N/A</v>
      </c>
      <c r="M427" s="115" t="e">
        <v>#N/A</v>
      </c>
      <c r="N427" s="118" t="e">
        <v>#N/A</v>
      </c>
      <c r="O427" s="119" t="e">
        <v>#N/A</v>
      </c>
      <c r="P427" s="120" t="e">
        <v>#N/A</v>
      </c>
    </row>
    <row r="428" spans="1:16" x14ac:dyDescent="0.2">
      <c r="A428" s="26">
        <f t="shared" si="3"/>
        <v>2028.11</v>
      </c>
      <c r="B428" s="115" t="e">
        <v>#N/A</v>
      </c>
      <c r="C428" s="117" t="e">
        <v>#N/A</v>
      </c>
      <c r="D428" s="117" t="e">
        <v>#N/A</v>
      </c>
      <c r="E428" s="117" t="e">
        <v>#N/A</v>
      </c>
      <c r="F428" s="117" t="e">
        <v>#N/A</v>
      </c>
      <c r="G428" s="117" t="e">
        <v>#N/A</v>
      </c>
      <c r="H428" s="117" t="e">
        <v>#N/A</v>
      </c>
      <c r="I428" s="117" t="e">
        <v>#N/A</v>
      </c>
      <c r="J428" s="115" t="e">
        <v>#N/A</v>
      </c>
      <c r="K428" s="117" t="e">
        <v>#N/A</v>
      </c>
      <c r="L428" s="115" t="e">
        <v>#N/A</v>
      </c>
      <c r="M428" s="115" t="e">
        <v>#N/A</v>
      </c>
      <c r="N428" s="118" t="e">
        <v>#N/A</v>
      </c>
      <c r="O428" s="119" t="e">
        <v>#N/A</v>
      </c>
      <c r="P428" s="120" t="e">
        <v>#N/A</v>
      </c>
    </row>
    <row r="429" spans="1:16" x14ac:dyDescent="0.2">
      <c r="A429" s="26">
        <f t="shared" si="3"/>
        <v>2028.12</v>
      </c>
      <c r="B429" s="115" t="e">
        <v>#N/A</v>
      </c>
      <c r="C429" s="117" t="e">
        <v>#N/A</v>
      </c>
      <c r="D429" s="117" t="e">
        <v>#N/A</v>
      </c>
      <c r="E429" s="117" t="e">
        <v>#N/A</v>
      </c>
      <c r="F429" s="117" t="e">
        <v>#N/A</v>
      </c>
      <c r="G429" s="117" t="e">
        <v>#N/A</v>
      </c>
      <c r="H429" s="117" t="e">
        <v>#N/A</v>
      </c>
      <c r="I429" s="117" t="e">
        <v>#N/A</v>
      </c>
      <c r="J429" s="115" t="e">
        <v>#N/A</v>
      </c>
      <c r="K429" s="117" t="e">
        <v>#N/A</v>
      </c>
      <c r="L429" s="115" t="e">
        <v>#N/A</v>
      </c>
      <c r="M429" s="115" t="e">
        <v>#N/A</v>
      </c>
      <c r="N429" s="118" t="e">
        <v>#N/A</v>
      </c>
      <c r="O429" s="119" t="e">
        <v>#N/A</v>
      </c>
      <c r="P429" s="120" t="e">
        <v>#N/A</v>
      </c>
    </row>
    <row r="430" spans="1:16" x14ac:dyDescent="0.2">
      <c r="A430" s="26">
        <f t="shared" si="3"/>
        <v>2029.01</v>
      </c>
      <c r="B430" s="115" t="e">
        <v>#N/A</v>
      </c>
      <c r="C430" s="117" t="e">
        <v>#N/A</v>
      </c>
      <c r="D430" s="117" t="e">
        <v>#N/A</v>
      </c>
      <c r="E430" s="117" t="e">
        <v>#N/A</v>
      </c>
      <c r="F430" s="117" t="e">
        <v>#N/A</v>
      </c>
      <c r="G430" s="117" t="e">
        <v>#N/A</v>
      </c>
      <c r="H430" s="117" t="e">
        <v>#N/A</v>
      </c>
      <c r="I430" s="117" t="e">
        <v>#N/A</v>
      </c>
      <c r="J430" s="115" t="e">
        <v>#N/A</v>
      </c>
      <c r="K430" s="117" t="e">
        <v>#N/A</v>
      </c>
      <c r="L430" s="115" t="e">
        <v>#N/A</v>
      </c>
      <c r="M430" s="115" t="e">
        <v>#N/A</v>
      </c>
      <c r="N430" s="118" t="e">
        <v>#N/A</v>
      </c>
      <c r="O430" s="119" t="e">
        <v>#N/A</v>
      </c>
      <c r="P430" s="120" t="e">
        <v>#N/A</v>
      </c>
    </row>
    <row r="431" spans="1:16" x14ac:dyDescent="0.2">
      <c r="A431" s="26">
        <f t="shared" si="3"/>
        <v>2029.02</v>
      </c>
      <c r="B431" s="115" t="e">
        <v>#N/A</v>
      </c>
      <c r="C431" s="117" t="e">
        <v>#N/A</v>
      </c>
      <c r="D431" s="117" t="e">
        <v>#N/A</v>
      </c>
      <c r="E431" s="117" t="e">
        <v>#N/A</v>
      </c>
      <c r="F431" s="117" t="e">
        <v>#N/A</v>
      </c>
      <c r="G431" s="117" t="e">
        <v>#N/A</v>
      </c>
      <c r="H431" s="117" t="e">
        <v>#N/A</v>
      </c>
      <c r="I431" s="117" t="e">
        <v>#N/A</v>
      </c>
      <c r="J431" s="115" t="e">
        <v>#N/A</v>
      </c>
      <c r="K431" s="117" t="e">
        <v>#N/A</v>
      </c>
      <c r="L431" s="115" t="e">
        <v>#N/A</v>
      </c>
      <c r="M431" s="115" t="e">
        <v>#N/A</v>
      </c>
      <c r="N431" s="118" t="e">
        <v>#N/A</v>
      </c>
      <c r="O431" s="119" t="e">
        <v>#N/A</v>
      </c>
      <c r="P431" s="120" t="e">
        <v>#N/A</v>
      </c>
    </row>
    <row r="432" spans="1:16" x14ac:dyDescent="0.2">
      <c r="A432" s="26">
        <f t="shared" si="3"/>
        <v>2029.03</v>
      </c>
      <c r="B432" s="115" t="e">
        <v>#N/A</v>
      </c>
      <c r="C432" s="117" t="e">
        <v>#N/A</v>
      </c>
      <c r="D432" s="117" t="e">
        <v>#N/A</v>
      </c>
      <c r="E432" s="117" t="e">
        <v>#N/A</v>
      </c>
      <c r="F432" s="117" t="e">
        <v>#N/A</v>
      </c>
      <c r="G432" s="117" t="e">
        <v>#N/A</v>
      </c>
      <c r="H432" s="117" t="e">
        <v>#N/A</v>
      </c>
      <c r="I432" s="117" t="e">
        <v>#N/A</v>
      </c>
      <c r="J432" s="115" t="e">
        <v>#N/A</v>
      </c>
      <c r="K432" s="117" t="e">
        <v>#N/A</v>
      </c>
      <c r="L432" s="115" t="e">
        <v>#N/A</v>
      </c>
      <c r="M432" s="115" t="e">
        <v>#N/A</v>
      </c>
      <c r="N432" s="118" t="e">
        <v>#N/A</v>
      </c>
      <c r="O432" s="119" t="e">
        <v>#N/A</v>
      </c>
      <c r="P432" s="120" t="e">
        <v>#N/A</v>
      </c>
    </row>
    <row r="433" spans="1:16" x14ac:dyDescent="0.2">
      <c r="A433" s="26">
        <f t="shared" si="3"/>
        <v>2029.04</v>
      </c>
      <c r="B433" s="115" t="e">
        <v>#N/A</v>
      </c>
      <c r="C433" s="117" t="e">
        <v>#N/A</v>
      </c>
      <c r="D433" s="117" t="e">
        <v>#N/A</v>
      </c>
      <c r="E433" s="117" t="e">
        <v>#N/A</v>
      </c>
      <c r="F433" s="117" t="e">
        <v>#N/A</v>
      </c>
      <c r="G433" s="117" t="e">
        <v>#N/A</v>
      </c>
      <c r="H433" s="117" t="e">
        <v>#N/A</v>
      </c>
      <c r="I433" s="117" t="e">
        <v>#N/A</v>
      </c>
      <c r="J433" s="115" t="e">
        <v>#N/A</v>
      </c>
      <c r="K433" s="117" t="e">
        <v>#N/A</v>
      </c>
      <c r="L433" s="115" t="e">
        <v>#N/A</v>
      </c>
      <c r="M433" s="115" t="e">
        <v>#N/A</v>
      </c>
      <c r="N433" s="118" t="e">
        <v>#N/A</v>
      </c>
      <c r="O433" s="119" t="e">
        <v>#N/A</v>
      </c>
      <c r="P433" s="120" t="e">
        <v>#N/A</v>
      </c>
    </row>
    <row r="434" spans="1:16" x14ac:dyDescent="0.2">
      <c r="A434" s="26">
        <f t="shared" si="3"/>
        <v>2029.05</v>
      </c>
      <c r="B434" s="115" t="e">
        <v>#N/A</v>
      </c>
      <c r="C434" s="117" t="e">
        <v>#N/A</v>
      </c>
      <c r="D434" s="117" t="e">
        <v>#N/A</v>
      </c>
      <c r="E434" s="117" t="e">
        <v>#N/A</v>
      </c>
      <c r="F434" s="117" t="e">
        <v>#N/A</v>
      </c>
      <c r="G434" s="117" t="e">
        <v>#N/A</v>
      </c>
      <c r="H434" s="117" t="e">
        <v>#N/A</v>
      </c>
      <c r="I434" s="117" t="e">
        <v>#N/A</v>
      </c>
      <c r="J434" s="115" t="e">
        <v>#N/A</v>
      </c>
      <c r="K434" s="117" t="e">
        <v>#N/A</v>
      </c>
      <c r="L434" s="115" t="e">
        <v>#N/A</v>
      </c>
      <c r="M434" s="115" t="e">
        <v>#N/A</v>
      </c>
      <c r="N434" s="118" t="e">
        <v>#N/A</v>
      </c>
      <c r="O434" s="119" t="e">
        <v>#N/A</v>
      </c>
      <c r="P434" s="120" t="e">
        <v>#N/A</v>
      </c>
    </row>
    <row r="435" spans="1:16" x14ac:dyDescent="0.2">
      <c r="A435" s="26">
        <f t="shared" ref="A435:A453" si="4">A423+1</f>
        <v>2029.06</v>
      </c>
      <c r="B435" s="115" t="e">
        <v>#N/A</v>
      </c>
      <c r="C435" s="117" t="e">
        <v>#N/A</v>
      </c>
      <c r="D435" s="117" t="e">
        <v>#N/A</v>
      </c>
      <c r="E435" s="117" t="e">
        <v>#N/A</v>
      </c>
      <c r="F435" s="117" t="e">
        <v>#N/A</v>
      </c>
      <c r="G435" s="117" t="e">
        <v>#N/A</v>
      </c>
      <c r="H435" s="117" t="e">
        <v>#N/A</v>
      </c>
      <c r="I435" s="117" t="e">
        <v>#N/A</v>
      </c>
      <c r="J435" s="115" t="e">
        <v>#N/A</v>
      </c>
      <c r="K435" s="117" t="e">
        <v>#N/A</v>
      </c>
      <c r="L435" s="115" t="e">
        <v>#N/A</v>
      </c>
      <c r="M435" s="115" t="e">
        <v>#N/A</v>
      </c>
      <c r="N435" s="118" t="e">
        <v>#N/A</v>
      </c>
      <c r="O435" s="119" t="e">
        <v>#N/A</v>
      </c>
      <c r="P435" s="120" t="e">
        <v>#N/A</v>
      </c>
    </row>
    <row r="436" spans="1:16" x14ac:dyDescent="0.2">
      <c r="A436" s="26">
        <f t="shared" si="4"/>
        <v>2029.07</v>
      </c>
      <c r="B436" s="115" t="e">
        <v>#N/A</v>
      </c>
      <c r="C436" s="117" t="e">
        <v>#N/A</v>
      </c>
      <c r="D436" s="117" t="e">
        <v>#N/A</v>
      </c>
      <c r="E436" s="117" t="e">
        <v>#N/A</v>
      </c>
      <c r="F436" s="117" t="e">
        <v>#N/A</v>
      </c>
      <c r="G436" s="117" t="e">
        <v>#N/A</v>
      </c>
      <c r="H436" s="117" t="e">
        <v>#N/A</v>
      </c>
      <c r="I436" s="117" t="e">
        <v>#N/A</v>
      </c>
      <c r="J436" s="115" t="e">
        <v>#N/A</v>
      </c>
      <c r="K436" s="117" t="e">
        <v>#N/A</v>
      </c>
      <c r="L436" s="115" t="e">
        <v>#N/A</v>
      </c>
      <c r="M436" s="115" t="e">
        <v>#N/A</v>
      </c>
      <c r="N436" s="118" t="e">
        <v>#N/A</v>
      </c>
      <c r="O436" s="119" t="e">
        <v>#N/A</v>
      </c>
      <c r="P436" s="120" t="e">
        <v>#N/A</v>
      </c>
    </row>
    <row r="437" spans="1:16" x14ac:dyDescent="0.2">
      <c r="A437" s="26">
        <f t="shared" si="4"/>
        <v>2029.08</v>
      </c>
      <c r="B437" s="115" t="e">
        <v>#N/A</v>
      </c>
      <c r="C437" s="117" t="e">
        <v>#N/A</v>
      </c>
      <c r="D437" s="117" t="e">
        <v>#N/A</v>
      </c>
      <c r="E437" s="117" t="e">
        <v>#N/A</v>
      </c>
      <c r="F437" s="117" t="e">
        <v>#N/A</v>
      </c>
      <c r="G437" s="117" t="e">
        <v>#N/A</v>
      </c>
      <c r="H437" s="117" t="e">
        <v>#N/A</v>
      </c>
      <c r="I437" s="117" t="e">
        <v>#N/A</v>
      </c>
      <c r="J437" s="115" t="e">
        <v>#N/A</v>
      </c>
      <c r="K437" s="117" t="e">
        <v>#N/A</v>
      </c>
      <c r="L437" s="115" t="e">
        <v>#N/A</v>
      </c>
      <c r="M437" s="115" t="e">
        <v>#N/A</v>
      </c>
      <c r="N437" s="118" t="e">
        <v>#N/A</v>
      </c>
      <c r="O437" s="119" t="e">
        <v>#N/A</v>
      </c>
      <c r="P437" s="120" t="e">
        <v>#N/A</v>
      </c>
    </row>
    <row r="438" spans="1:16" x14ac:dyDescent="0.2">
      <c r="A438" s="26">
        <f t="shared" si="4"/>
        <v>2029.09</v>
      </c>
      <c r="B438" s="115" t="e">
        <v>#N/A</v>
      </c>
      <c r="C438" s="117" t="e">
        <v>#N/A</v>
      </c>
      <c r="D438" s="117" t="e">
        <v>#N/A</v>
      </c>
      <c r="E438" s="117" t="e">
        <v>#N/A</v>
      </c>
      <c r="F438" s="117" t="e">
        <v>#N/A</v>
      </c>
      <c r="G438" s="117" t="e">
        <v>#N/A</v>
      </c>
      <c r="H438" s="117" t="e">
        <v>#N/A</v>
      </c>
      <c r="I438" s="117" t="e">
        <v>#N/A</v>
      </c>
      <c r="J438" s="115" t="e">
        <v>#N/A</v>
      </c>
      <c r="K438" s="117" t="e">
        <v>#N/A</v>
      </c>
      <c r="L438" s="115" t="e">
        <v>#N/A</v>
      </c>
      <c r="M438" s="115" t="e">
        <v>#N/A</v>
      </c>
      <c r="N438" s="118" t="e">
        <v>#N/A</v>
      </c>
      <c r="O438" s="119" t="e">
        <v>#N/A</v>
      </c>
      <c r="P438" s="120" t="e">
        <v>#N/A</v>
      </c>
    </row>
    <row r="439" spans="1:16" x14ac:dyDescent="0.2">
      <c r="A439" s="26">
        <f t="shared" si="4"/>
        <v>2029.1</v>
      </c>
      <c r="B439" s="115" t="e">
        <v>#N/A</v>
      </c>
      <c r="C439" s="117" t="e">
        <v>#N/A</v>
      </c>
      <c r="D439" s="117" t="e">
        <v>#N/A</v>
      </c>
      <c r="E439" s="117" t="e">
        <v>#N/A</v>
      </c>
      <c r="F439" s="117" t="e">
        <v>#N/A</v>
      </c>
      <c r="G439" s="117" t="e">
        <v>#N/A</v>
      </c>
      <c r="H439" s="117" t="e">
        <v>#N/A</v>
      </c>
      <c r="I439" s="117" t="e">
        <v>#N/A</v>
      </c>
      <c r="J439" s="115" t="e">
        <v>#N/A</v>
      </c>
      <c r="K439" s="117" t="e">
        <v>#N/A</v>
      </c>
      <c r="L439" s="115" t="e">
        <v>#N/A</v>
      </c>
      <c r="M439" s="115" t="e">
        <v>#N/A</v>
      </c>
      <c r="N439" s="118" t="e">
        <v>#N/A</v>
      </c>
      <c r="O439" s="119" t="e">
        <v>#N/A</v>
      </c>
      <c r="P439" s="120" t="e">
        <v>#N/A</v>
      </c>
    </row>
    <row r="440" spans="1:16" x14ac:dyDescent="0.2">
      <c r="A440" s="26">
        <f t="shared" si="4"/>
        <v>2029.11</v>
      </c>
      <c r="B440" s="115" t="e">
        <v>#N/A</v>
      </c>
      <c r="C440" s="117" t="e">
        <v>#N/A</v>
      </c>
      <c r="D440" s="117" t="e">
        <v>#N/A</v>
      </c>
      <c r="E440" s="117" t="e">
        <v>#N/A</v>
      </c>
      <c r="F440" s="117" t="e">
        <v>#N/A</v>
      </c>
      <c r="G440" s="117" t="e">
        <v>#N/A</v>
      </c>
      <c r="H440" s="117" t="e">
        <v>#N/A</v>
      </c>
      <c r="I440" s="117" t="e">
        <v>#N/A</v>
      </c>
      <c r="J440" s="115" t="e">
        <v>#N/A</v>
      </c>
      <c r="K440" s="117" t="e">
        <v>#N/A</v>
      </c>
      <c r="L440" s="115" t="e">
        <v>#N/A</v>
      </c>
      <c r="M440" s="115" t="e">
        <v>#N/A</v>
      </c>
      <c r="N440" s="118" t="e">
        <v>#N/A</v>
      </c>
      <c r="O440" s="119" t="e">
        <v>#N/A</v>
      </c>
      <c r="P440" s="120" t="e">
        <v>#N/A</v>
      </c>
    </row>
    <row r="441" spans="1:16" x14ac:dyDescent="0.2">
      <c r="A441" s="26">
        <f t="shared" si="4"/>
        <v>2029.12</v>
      </c>
      <c r="B441" s="115" t="e">
        <v>#N/A</v>
      </c>
      <c r="C441" s="117" t="e">
        <v>#N/A</v>
      </c>
      <c r="D441" s="117" t="e">
        <v>#N/A</v>
      </c>
      <c r="E441" s="117" t="e">
        <v>#N/A</v>
      </c>
      <c r="F441" s="117" t="e">
        <v>#N/A</v>
      </c>
      <c r="G441" s="117" t="e">
        <v>#N/A</v>
      </c>
      <c r="H441" s="117" t="e">
        <v>#N/A</v>
      </c>
      <c r="I441" s="117" t="e">
        <v>#N/A</v>
      </c>
      <c r="J441" s="115" t="e">
        <v>#N/A</v>
      </c>
      <c r="K441" s="117" t="e">
        <v>#N/A</v>
      </c>
      <c r="L441" s="115" t="e">
        <v>#N/A</v>
      </c>
      <c r="M441" s="115" t="e">
        <v>#N/A</v>
      </c>
      <c r="N441" s="118" t="e">
        <v>#N/A</v>
      </c>
      <c r="O441" s="119" t="e">
        <v>#N/A</v>
      </c>
      <c r="P441" s="120" t="e">
        <v>#N/A</v>
      </c>
    </row>
    <row r="442" spans="1:16" x14ac:dyDescent="0.2">
      <c r="A442" s="26">
        <f t="shared" si="4"/>
        <v>2030.01</v>
      </c>
      <c r="B442" s="115" t="e">
        <v>#N/A</v>
      </c>
      <c r="C442" s="117" t="e">
        <v>#N/A</v>
      </c>
      <c r="D442" s="117" t="e">
        <v>#N/A</v>
      </c>
      <c r="E442" s="117" t="e">
        <v>#N/A</v>
      </c>
      <c r="F442" s="117" t="e">
        <v>#N/A</v>
      </c>
      <c r="G442" s="117" t="e">
        <v>#N/A</v>
      </c>
      <c r="H442" s="117" t="e">
        <v>#N/A</v>
      </c>
      <c r="I442" s="117" t="e">
        <v>#N/A</v>
      </c>
      <c r="J442" s="115" t="e">
        <v>#N/A</v>
      </c>
      <c r="K442" s="117" t="e">
        <v>#N/A</v>
      </c>
      <c r="L442" s="115" t="e">
        <v>#N/A</v>
      </c>
      <c r="M442" s="115" t="e">
        <v>#N/A</v>
      </c>
      <c r="N442" s="118" t="e">
        <v>#N/A</v>
      </c>
      <c r="O442" s="119" t="e">
        <v>#N/A</v>
      </c>
      <c r="P442" s="120" t="e">
        <v>#N/A</v>
      </c>
    </row>
    <row r="443" spans="1:16" x14ac:dyDescent="0.2">
      <c r="A443" s="26">
        <f t="shared" si="4"/>
        <v>2030.02</v>
      </c>
      <c r="B443" s="115" t="e">
        <v>#N/A</v>
      </c>
      <c r="C443" s="117" t="e">
        <v>#N/A</v>
      </c>
      <c r="D443" s="117" t="e">
        <v>#N/A</v>
      </c>
      <c r="E443" s="117" t="e">
        <v>#N/A</v>
      </c>
      <c r="F443" s="117" t="e">
        <v>#N/A</v>
      </c>
      <c r="G443" s="117" t="e">
        <v>#N/A</v>
      </c>
      <c r="H443" s="117" t="e">
        <v>#N/A</v>
      </c>
      <c r="I443" s="117" t="e">
        <v>#N/A</v>
      </c>
      <c r="J443" s="115" t="e">
        <v>#N/A</v>
      </c>
      <c r="K443" s="117" t="e">
        <v>#N/A</v>
      </c>
      <c r="L443" s="115" t="e">
        <v>#N/A</v>
      </c>
      <c r="M443" s="115" t="e">
        <v>#N/A</v>
      </c>
      <c r="N443" s="118" t="e">
        <v>#N/A</v>
      </c>
      <c r="O443" s="119" t="e">
        <v>#N/A</v>
      </c>
      <c r="P443" s="120" t="e">
        <v>#N/A</v>
      </c>
    </row>
    <row r="444" spans="1:16" x14ac:dyDescent="0.2">
      <c r="A444" s="26">
        <f t="shared" si="4"/>
        <v>2030.03</v>
      </c>
      <c r="B444" s="115" t="e">
        <v>#N/A</v>
      </c>
      <c r="C444" s="117" t="e">
        <v>#N/A</v>
      </c>
      <c r="D444" s="117" t="e">
        <v>#N/A</v>
      </c>
      <c r="E444" s="117" t="e">
        <v>#N/A</v>
      </c>
      <c r="F444" s="117" t="e">
        <v>#N/A</v>
      </c>
      <c r="G444" s="117" t="e">
        <v>#N/A</v>
      </c>
      <c r="H444" s="117" t="e">
        <v>#N/A</v>
      </c>
      <c r="I444" s="117" t="e">
        <v>#N/A</v>
      </c>
      <c r="J444" s="115" t="e">
        <v>#N/A</v>
      </c>
      <c r="K444" s="117" t="e">
        <v>#N/A</v>
      </c>
      <c r="L444" s="115" t="e">
        <v>#N/A</v>
      </c>
      <c r="M444" s="115" t="e">
        <v>#N/A</v>
      </c>
      <c r="N444" s="118" t="e">
        <v>#N/A</v>
      </c>
      <c r="O444" s="119" t="e">
        <v>#N/A</v>
      </c>
      <c r="P444" s="120" t="e">
        <v>#N/A</v>
      </c>
    </row>
    <row r="445" spans="1:16" x14ac:dyDescent="0.2">
      <c r="A445" s="26">
        <f t="shared" si="4"/>
        <v>2030.04</v>
      </c>
      <c r="B445" s="115" t="e">
        <v>#N/A</v>
      </c>
      <c r="C445" s="117" t="e">
        <v>#N/A</v>
      </c>
      <c r="D445" s="117" t="e">
        <v>#N/A</v>
      </c>
      <c r="E445" s="117" t="e">
        <v>#N/A</v>
      </c>
      <c r="F445" s="117" t="e">
        <v>#N/A</v>
      </c>
      <c r="G445" s="117" t="e">
        <v>#N/A</v>
      </c>
      <c r="H445" s="117" t="e">
        <v>#N/A</v>
      </c>
      <c r="I445" s="117" t="e">
        <v>#N/A</v>
      </c>
      <c r="J445" s="115" t="e">
        <v>#N/A</v>
      </c>
      <c r="K445" s="117" t="e">
        <v>#N/A</v>
      </c>
      <c r="L445" s="115" t="e">
        <v>#N/A</v>
      </c>
      <c r="M445" s="115" t="e">
        <v>#N/A</v>
      </c>
      <c r="N445" s="118" t="e">
        <v>#N/A</v>
      </c>
      <c r="O445" s="119" t="e">
        <v>#N/A</v>
      </c>
      <c r="P445" s="120" t="e">
        <v>#N/A</v>
      </c>
    </row>
    <row r="446" spans="1:16" x14ac:dyDescent="0.2">
      <c r="A446" s="26">
        <f t="shared" si="4"/>
        <v>2030.05</v>
      </c>
      <c r="B446" s="115" t="e">
        <v>#N/A</v>
      </c>
      <c r="C446" s="117" t="e">
        <v>#N/A</v>
      </c>
      <c r="D446" s="117" t="e">
        <v>#N/A</v>
      </c>
      <c r="E446" s="117" t="e">
        <v>#N/A</v>
      </c>
      <c r="F446" s="117" t="e">
        <v>#N/A</v>
      </c>
      <c r="G446" s="117" t="e">
        <v>#N/A</v>
      </c>
      <c r="H446" s="117" t="e">
        <v>#N/A</v>
      </c>
      <c r="I446" s="117" t="e">
        <v>#N/A</v>
      </c>
      <c r="J446" s="115" t="e">
        <v>#N/A</v>
      </c>
      <c r="K446" s="117" t="e">
        <v>#N/A</v>
      </c>
      <c r="L446" s="115" t="e">
        <v>#N/A</v>
      </c>
      <c r="M446" s="115" t="e">
        <v>#N/A</v>
      </c>
      <c r="N446" s="118" t="e">
        <v>#N/A</v>
      </c>
      <c r="O446" s="119" t="e">
        <v>#N/A</v>
      </c>
      <c r="P446" s="120" t="e">
        <v>#N/A</v>
      </c>
    </row>
    <row r="447" spans="1:16" x14ac:dyDescent="0.2">
      <c r="A447" s="26">
        <f t="shared" si="4"/>
        <v>2030.06</v>
      </c>
      <c r="B447" s="115" t="e">
        <v>#N/A</v>
      </c>
      <c r="C447" s="117" t="e">
        <v>#N/A</v>
      </c>
      <c r="D447" s="117" t="e">
        <v>#N/A</v>
      </c>
      <c r="E447" s="117" t="e">
        <v>#N/A</v>
      </c>
      <c r="F447" s="117" t="e">
        <v>#N/A</v>
      </c>
      <c r="G447" s="117" t="e">
        <v>#N/A</v>
      </c>
      <c r="H447" s="117" t="e">
        <v>#N/A</v>
      </c>
      <c r="I447" s="117" t="e">
        <v>#N/A</v>
      </c>
      <c r="J447" s="115" t="e">
        <v>#N/A</v>
      </c>
      <c r="K447" s="117" t="e">
        <v>#N/A</v>
      </c>
      <c r="L447" s="115" t="e">
        <v>#N/A</v>
      </c>
      <c r="M447" s="115" t="e">
        <v>#N/A</v>
      </c>
      <c r="N447" s="118" t="e">
        <v>#N/A</v>
      </c>
      <c r="O447" s="119" t="e">
        <v>#N/A</v>
      </c>
      <c r="P447" s="120" t="e">
        <v>#N/A</v>
      </c>
    </row>
    <row r="448" spans="1:16" x14ac:dyDescent="0.2">
      <c r="A448" s="26">
        <f t="shared" si="4"/>
        <v>2030.07</v>
      </c>
      <c r="B448" s="115" t="e">
        <v>#N/A</v>
      </c>
      <c r="C448" s="117" t="e">
        <v>#N/A</v>
      </c>
      <c r="D448" s="117" t="e">
        <v>#N/A</v>
      </c>
      <c r="E448" s="117" t="e">
        <v>#N/A</v>
      </c>
      <c r="F448" s="117" t="e">
        <v>#N/A</v>
      </c>
      <c r="G448" s="117" t="e">
        <v>#N/A</v>
      </c>
      <c r="H448" s="117" t="e">
        <v>#N/A</v>
      </c>
      <c r="I448" s="117" t="e">
        <v>#N/A</v>
      </c>
      <c r="J448" s="115" t="e">
        <v>#N/A</v>
      </c>
      <c r="K448" s="117" t="e">
        <v>#N/A</v>
      </c>
      <c r="L448" s="115" t="e">
        <v>#N/A</v>
      </c>
      <c r="M448" s="115" t="e">
        <v>#N/A</v>
      </c>
      <c r="N448" s="118" t="e">
        <v>#N/A</v>
      </c>
      <c r="O448" s="119" t="e">
        <v>#N/A</v>
      </c>
      <c r="P448" s="120" t="e">
        <v>#N/A</v>
      </c>
    </row>
    <row r="449" spans="1:16" x14ac:dyDescent="0.2">
      <c r="A449" s="26">
        <f t="shared" si="4"/>
        <v>2030.08</v>
      </c>
      <c r="B449" s="115" t="e">
        <v>#N/A</v>
      </c>
      <c r="C449" s="117" t="e">
        <v>#N/A</v>
      </c>
      <c r="D449" s="117" t="e">
        <v>#N/A</v>
      </c>
      <c r="E449" s="117" t="e">
        <v>#N/A</v>
      </c>
      <c r="F449" s="117" t="e">
        <v>#N/A</v>
      </c>
      <c r="G449" s="117" t="e">
        <v>#N/A</v>
      </c>
      <c r="H449" s="117" t="e">
        <v>#N/A</v>
      </c>
      <c r="I449" s="117" t="e">
        <v>#N/A</v>
      </c>
      <c r="J449" s="115" t="e">
        <v>#N/A</v>
      </c>
      <c r="K449" s="117" t="e">
        <v>#N/A</v>
      </c>
      <c r="L449" s="115" t="e">
        <v>#N/A</v>
      </c>
      <c r="M449" s="115" t="e">
        <v>#N/A</v>
      </c>
      <c r="N449" s="118" t="e">
        <v>#N/A</v>
      </c>
      <c r="O449" s="119" t="e">
        <v>#N/A</v>
      </c>
      <c r="P449" s="120" t="e">
        <v>#N/A</v>
      </c>
    </row>
    <row r="450" spans="1:16" x14ac:dyDescent="0.2">
      <c r="A450" s="26">
        <f t="shared" si="4"/>
        <v>2030.09</v>
      </c>
      <c r="B450" s="115" t="e">
        <v>#N/A</v>
      </c>
      <c r="C450" s="117" t="e">
        <v>#N/A</v>
      </c>
      <c r="D450" s="117" t="e">
        <v>#N/A</v>
      </c>
      <c r="E450" s="117" t="e">
        <v>#N/A</v>
      </c>
      <c r="F450" s="117" t="e">
        <v>#N/A</v>
      </c>
      <c r="G450" s="117" t="e">
        <v>#N/A</v>
      </c>
      <c r="H450" s="117" t="e">
        <v>#N/A</v>
      </c>
      <c r="I450" s="117" t="e">
        <v>#N/A</v>
      </c>
      <c r="J450" s="115" t="e">
        <v>#N/A</v>
      </c>
      <c r="K450" s="117" t="e">
        <v>#N/A</v>
      </c>
      <c r="L450" s="115" t="e">
        <v>#N/A</v>
      </c>
      <c r="M450" s="115" t="e">
        <v>#N/A</v>
      </c>
      <c r="N450" s="118" t="e">
        <v>#N/A</v>
      </c>
      <c r="O450" s="119" t="e">
        <v>#N/A</v>
      </c>
      <c r="P450" s="120" t="e">
        <v>#N/A</v>
      </c>
    </row>
    <row r="451" spans="1:16" x14ac:dyDescent="0.2">
      <c r="A451" s="26">
        <f t="shared" si="4"/>
        <v>2030.1</v>
      </c>
      <c r="B451" s="115" t="e">
        <v>#N/A</v>
      </c>
      <c r="C451" s="117" t="e">
        <v>#N/A</v>
      </c>
      <c r="D451" s="117" t="e">
        <v>#N/A</v>
      </c>
      <c r="E451" s="117" t="e">
        <v>#N/A</v>
      </c>
      <c r="F451" s="117" t="e">
        <v>#N/A</v>
      </c>
      <c r="G451" s="117" t="e">
        <v>#N/A</v>
      </c>
      <c r="H451" s="117" t="e">
        <v>#N/A</v>
      </c>
      <c r="I451" s="117" t="e">
        <v>#N/A</v>
      </c>
      <c r="J451" s="115" t="e">
        <v>#N/A</v>
      </c>
      <c r="K451" s="117" t="e">
        <v>#N/A</v>
      </c>
      <c r="L451" s="115" t="e">
        <v>#N/A</v>
      </c>
      <c r="M451" s="115" t="e">
        <v>#N/A</v>
      </c>
      <c r="N451" s="118" t="e">
        <v>#N/A</v>
      </c>
      <c r="O451" s="119" t="e">
        <v>#N/A</v>
      </c>
      <c r="P451" s="120" t="e">
        <v>#N/A</v>
      </c>
    </row>
    <row r="452" spans="1:16" x14ac:dyDescent="0.2">
      <c r="A452" s="26">
        <f t="shared" si="4"/>
        <v>2030.11</v>
      </c>
      <c r="B452" s="115" t="e">
        <v>#N/A</v>
      </c>
      <c r="C452" s="117" t="e">
        <v>#N/A</v>
      </c>
      <c r="D452" s="117" t="e">
        <v>#N/A</v>
      </c>
      <c r="E452" s="117" t="e">
        <v>#N/A</v>
      </c>
      <c r="F452" s="117" t="e">
        <v>#N/A</v>
      </c>
      <c r="G452" s="117" t="e">
        <v>#N/A</v>
      </c>
      <c r="H452" s="117" t="e">
        <v>#N/A</v>
      </c>
      <c r="I452" s="117" t="e">
        <v>#N/A</v>
      </c>
      <c r="J452" s="115" t="e">
        <v>#N/A</v>
      </c>
      <c r="K452" s="117" t="e">
        <v>#N/A</v>
      </c>
      <c r="L452" s="115" t="e">
        <v>#N/A</v>
      </c>
      <c r="M452" s="115" t="e">
        <v>#N/A</v>
      </c>
      <c r="N452" s="118" t="e">
        <v>#N/A</v>
      </c>
      <c r="O452" s="119" t="e">
        <v>#N/A</v>
      </c>
      <c r="P452" s="120" t="e">
        <v>#N/A</v>
      </c>
    </row>
    <row r="453" spans="1:16" x14ac:dyDescent="0.2">
      <c r="A453" s="26">
        <f t="shared" si="4"/>
        <v>2030.12</v>
      </c>
      <c r="B453" s="115" t="e">
        <v>#N/A</v>
      </c>
      <c r="C453" s="117" t="e">
        <v>#N/A</v>
      </c>
      <c r="D453" s="117" t="e">
        <v>#N/A</v>
      </c>
      <c r="E453" s="117" t="e">
        <v>#N/A</v>
      </c>
      <c r="F453" s="117" t="e">
        <v>#N/A</v>
      </c>
      <c r="G453" s="117" t="e">
        <v>#N/A</v>
      </c>
      <c r="H453" s="117" t="e">
        <v>#N/A</v>
      </c>
      <c r="I453" s="117" t="e">
        <v>#N/A</v>
      </c>
      <c r="J453" s="115" t="e">
        <v>#N/A</v>
      </c>
      <c r="K453" s="117" t="e">
        <v>#N/A</v>
      </c>
      <c r="L453" s="115" t="e">
        <v>#N/A</v>
      </c>
      <c r="M453" s="115" t="e">
        <v>#N/A</v>
      </c>
      <c r="N453" s="118" t="e">
        <v>#N/A</v>
      </c>
      <c r="O453" s="119" t="e">
        <v>#N/A</v>
      </c>
      <c r="P453" s="120" t="e">
        <v>#N/A</v>
      </c>
    </row>
  </sheetData>
  <phoneticPr fontId="0" type="noConversion"/>
  <hyperlinks>
    <hyperlink ref="A1" location="INDICE!A13" display="VOLVER AL INDICE" xr:uid="{C39699D1-4427-46BC-BEE9-FE68FB5D6F9D}"/>
  </hyperlinks>
  <printOptions gridLines="1"/>
  <pageMargins left="0.39370078740157483" right="0.39370078740157483" top="0.59055118110236227" bottom="0.59055118110236227" header="0" footer="0"/>
  <pageSetup paperSize="9" scale="5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pageSetUpPr autoPageBreaks="0" fitToPage="1"/>
  </sheetPr>
  <dimension ref="A1:G453"/>
  <sheetViews>
    <sheetView zoomScale="115" zoomScaleNormal="115" workbookViewId="0">
      <pane xSplit="1" ySplit="9" topLeftCell="B10" activePane="bottomRight" state="frozen"/>
      <selection activeCell="A5" sqref="A5"/>
      <selection pane="topRight" activeCell="A5" sqref="A5"/>
      <selection pane="bottomLeft" activeCell="A5" sqref="A5"/>
      <selection pane="bottomRight" activeCell="B10" sqref="B10"/>
    </sheetView>
  </sheetViews>
  <sheetFormatPr baseColWidth="10" defaultColWidth="11.42578125" defaultRowHeight="12.75" x14ac:dyDescent="0.2"/>
  <cols>
    <col min="1" max="1" width="10.5703125" style="6" customWidth="1"/>
    <col min="2" max="2" width="15.42578125" style="6" customWidth="1"/>
    <col min="3" max="3" width="15.42578125" style="25" customWidth="1"/>
    <col min="4" max="4" width="3.42578125" style="1" customWidth="1"/>
    <col min="5" max="5" width="11.42578125" style="1"/>
    <col min="6" max="6" width="12.42578125" style="1" bestFit="1" customWidth="1"/>
    <col min="7" max="16384" width="11.42578125" style="1"/>
  </cols>
  <sheetData>
    <row r="1" spans="1:6" s="3" customFormat="1" ht="22.5" x14ac:dyDescent="0.2">
      <c r="A1" s="71" t="s">
        <v>115</v>
      </c>
      <c r="B1" s="16"/>
      <c r="C1" s="23"/>
    </row>
    <row r="2" spans="1:6" s="3" customFormat="1" ht="41.25" customHeight="1" x14ac:dyDescent="0.2">
      <c r="A2" s="70" t="s">
        <v>7</v>
      </c>
      <c r="B2" s="15" t="s">
        <v>93</v>
      </c>
      <c r="C2" s="24"/>
    </row>
    <row r="3" spans="1:6" s="3" customFormat="1" ht="33.75" x14ac:dyDescent="0.2">
      <c r="A3" s="70" t="s">
        <v>6</v>
      </c>
      <c r="B3" s="15" t="s">
        <v>94</v>
      </c>
      <c r="C3" s="24"/>
    </row>
    <row r="4" spans="1:6" s="3" customFormat="1" x14ac:dyDescent="0.2">
      <c r="A4" s="109" t="s">
        <v>105</v>
      </c>
      <c r="B4" s="88"/>
      <c r="C4" s="89"/>
    </row>
    <row r="5" spans="1:6" s="3" customFormat="1" x14ac:dyDescent="0.2">
      <c r="A5" s="86" t="s">
        <v>106</v>
      </c>
      <c r="B5" s="13" t="s">
        <v>22</v>
      </c>
      <c r="C5" s="44" t="s">
        <v>34</v>
      </c>
    </row>
    <row r="6" spans="1:6" s="3" customFormat="1" x14ac:dyDescent="0.2">
      <c r="A6" s="87" t="s">
        <v>107</v>
      </c>
      <c r="B6" s="16"/>
      <c r="C6" s="45"/>
    </row>
    <row r="7" spans="1:6" s="3" customFormat="1" ht="22.5" x14ac:dyDescent="0.2">
      <c r="A7" s="71" t="s">
        <v>114</v>
      </c>
      <c r="B7" s="13" t="s">
        <v>9</v>
      </c>
      <c r="C7" s="44" t="s">
        <v>9</v>
      </c>
    </row>
    <row r="8" spans="1:6" s="3" customFormat="1" x14ac:dyDescent="0.2">
      <c r="A8" s="86" t="s">
        <v>108</v>
      </c>
      <c r="B8" s="93" t="s">
        <v>110</v>
      </c>
      <c r="C8" s="94" t="s">
        <v>110</v>
      </c>
    </row>
    <row r="9" spans="1:6" s="4" customFormat="1" ht="13.5" thickBot="1" x14ac:dyDescent="0.25">
      <c r="A9" s="72" t="s">
        <v>19</v>
      </c>
      <c r="B9" s="91" t="s">
        <v>18</v>
      </c>
      <c r="C9" s="92" t="s">
        <v>20</v>
      </c>
    </row>
    <row r="10" spans="1:6" s="4" customFormat="1" x14ac:dyDescent="0.2">
      <c r="A10" s="26">
        <v>1994.01</v>
      </c>
      <c r="B10" s="54">
        <v>369.20798659720856</v>
      </c>
      <c r="C10" s="90">
        <v>375.21790115605768</v>
      </c>
      <c r="E10" s="31"/>
      <c r="F10" s="31"/>
    </row>
    <row r="11" spans="1:6" s="4" customFormat="1" x14ac:dyDescent="0.2">
      <c r="A11" s="26">
        <v>1994.02</v>
      </c>
      <c r="B11" s="55">
        <v>371.52174968647694</v>
      </c>
      <c r="C11" s="56">
        <v>368.98755473728369</v>
      </c>
      <c r="E11" s="31"/>
      <c r="F11" s="31"/>
    </row>
    <row r="12" spans="1:6" s="4" customFormat="1" x14ac:dyDescent="0.2">
      <c r="A12" s="26">
        <v>1994.03</v>
      </c>
      <c r="B12" s="55">
        <v>369.40173801200081</v>
      </c>
      <c r="C12" s="56">
        <v>371.87608276818128</v>
      </c>
      <c r="E12" s="31"/>
      <c r="F12" s="31"/>
    </row>
    <row r="13" spans="1:6" s="4" customFormat="1" x14ac:dyDescent="0.2">
      <c r="A13" s="26">
        <v>1994.04</v>
      </c>
      <c r="B13" s="55">
        <v>373.79485075202126</v>
      </c>
      <c r="C13" s="56">
        <v>371.98332244123577</v>
      </c>
      <c r="E13" s="31"/>
      <c r="F13" s="31"/>
    </row>
    <row r="14" spans="1:6" s="4" customFormat="1" x14ac:dyDescent="0.2">
      <c r="A14" s="26">
        <v>1994.05</v>
      </c>
      <c r="B14" s="55">
        <v>374.96270070732476</v>
      </c>
      <c r="C14" s="56">
        <v>372.79662128379044</v>
      </c>
      <c r="E14" s="31"/>
      <c r="F14" s="31"/>
    </row>
    <row r="15" spans="1:6" s="4" customFormat="1" x14ac:dyDescent="0.2">
      <c r="A15" s="26">
        <v>1994.06</v>
      </c>
      <c r="B15" s="55">
        <v>377.22082080965708</v>
      </c>
      <c r="C15" s="56">
        <v>372.81332685901066</v>
      </c>
      <c r="E15" s="31"/>
      <c r="F15" s="31"/>
    </row>
    <row r="16" spans="1:6" s="4" customFormat="1" x14ac:dyDescent="0.2">
      <c r="A16" s="26">
        <v>1994.07</v>
      </c>
      <c r="B16" s="55">
        <v>373.60546791373361</v>
      </c>
      <c r="C16" s="56">
        <v>377.74790914178897</v>
      </c>
      <c r="E16" s="31"/>
      <c r="F16" s="31"/>
    </row>
    <row r="17" spans="1:6" s="4" customFormat="1" x14ac:dyDescent="0.2">
      <c r="A17" s="26">
        <v>1994.08</v>
      </c>
      <c r="B17" s="55">
        <v>373.85470943273361</v>
      </c>
      <c r="C17" s="56">
        <v>375.38059340615996</v>
      </c>
      <c r="E17" s="31"/>
      <c r="F17" s="31"/>
    </row>
    <row r="18" spans="1:6" s="4" customFormat="1" x14ac:dyDescent="0.2">
      <c r="A18" s="26">
        <v>1994.09</v>
      </c>
      <c r="B18" s="55">
        <v>380.66983330854816</v>
      </c>
      <c r="C18" s="56">
        <v>381.78905176742086</v>
      </c>
      <c r="E18" s="31"/>
      <c r="F18" s="31"/>
    </row>
    <row r="19" spans="1:6" s="4" customFormat="1" x14ac:dyDescent="0.2">
      <c r="A19" s="26">
        <v>1994.1</v>
      </c>
      <c r="B19" s="55">
        <v>384.2349501355169</v>
      </c>
      <c r="C19" s="56">
        <v>383.6430486269067</v>
      </c>
      <c r="E19" s="31"/>
      <c r="F19" s="31"/>
    </row>
    <row r="20" spans="1:6" s="4" customFormat="1" x14ac:dyDescent="0.2">
      <c r="A20" s="26">
        <v>1994.11</v>
      </c>
      <c r="B20" s="55">
        <v>381.25060355081484</v>
      </c>
      <c r="C20" s="56">
        <v>383.81991826618651</v>
      </c>
      <c r="E20" s="31"/>
      <c r="F20" s="31"/>
    </row>
    <row r="21" spans="1:6" s="4" customFormat="1" x14ac:dyDescent="0.2">
      <c r="A21" s="26">
        <v>1994.12</v>
      </c>
      <c r="B21" s="55">
        <v>380.36139849292368</v>
      </c>
      <c r="C21" s="56">
        <v>383.13026326873563</v>
      </c>
      <c r="E21" s="31"/>
      <c r="F21" s="31"/>
    </row>
    <row r="22" spans="1:6" x14ac:dyDescent="0.2">
      <c r="A22" s="26">
        <v>1995.01</v>
      </c>
      <c r="B22" s="55">
        <v>398.65566905044653</v>
      </c>
      <c r="C22" s="56">
        <v>379.84792333460507</v>
      </c>
      <c r="E22" s="32"/>
      <c r="F22" s="31"/>
    </row>
    <row r="23" spans="1:6" x14ac:dyDescent="0.2">
      <c r="A23" s="26">
        <v>1995.02</v>
      </c>
      <c r="B23" s="55">
        <v>369.13900657662344</v>
      </c>
      <c r="C23" s="56">
        <v>375.83467958517684</v>
      </c>
      <c r="E23" s="32"/>
      <c r="F23" s="31"/>
    </row>
    <row r="24" spans="1:6" x14ac:dyDescent="0.2">
      <c r="A24" s="26">
        <v>1995.03</v>
      </c>
      <c r="B24" s="55">
        <v>366.88381430611003</v>
      </c>
      <c r="C24" s="56">
        <v>371.64403137699929</v>
      </c>
      <c r="E24" s="32"/>
      <c r="F24" s="31"/>
    </row>
    <row r="25" spans="1:6" x14ac:dyDescent="0.2">
      <c r="A25" s="26">
        <v>1995.04</v>
      </c>
      <c r="B25" s="55">
        <v>365.16668423753498</v>
      </c>
      <c r="C25" s="56">
        <v>368.11462578994963</v>
      </c>
      <c r="E25" s="32"/>
      <c r="F25" s="31"/>
    </row>
    <row r="26" spans="1:6" x14ac:dyDescent="0.2">
      <c r="A26" s="26">
        <v>1995.05</v>
      </c>
      <c r="B26" s="55">
        <v>367.13591204495975</v>
      </c>
      <c r="C26" s="56">
        <v>364.74935602753038</v>
      </c>
      <c r="E26" s="32"/>
      <c r="F26" s="31"/>
    </row>
    <row r="27" spans="1:6" x14ac:dyDescent="0.2">
      <c r="A27" s="26">
        <v>1995.06</v>
      </c>
      <c r="B27" s="55">
        <v>368.24624583920871</v>
      </c>
      <c r="C27" s="56">
        <v>365.81894674841755</v>
      </c>
      <c r="E27" s="32"/>
      <c r="F27" s="31"/>
    </row>
    <row r="28" spans="1:6" x14ac:dyDescent="0.2">
      <c r="A28" s="26">
        <v>1995.07</v>
      </c>
      <c r="B28" s="55">
        <v>359.67129853882187</v>
      </c>
      <c r="C28" s="56">
        <v>362.78005967100222</v>
      </c>
      <c r="E28" s="32"/>
      <c r="F28" s="31"/>
    </row>
    <row r="29" spans="1:6" x14ac:dyDescent="0.2">
      <c r="A29" s="26">
        <v>1995.08</v>
      </c>
      <c r="B29" s="55">
        <v>358.99712794538578</v>
      </c>
      <c r="C29" s="56">
        <v>360.64512756454411</v>
      </c>
      <c r="E29" s="32"/>
      <c r="F29" s="31"/>
    </row>
    <row r="30" spans="1:6" x14ac:dyDescent="0.2">
      <c r="A30" s="26">
        <v>1995.09</v>
      </c>
      <c r="B30" s="55">
        <v>357.26277988378695</v>
      </c>
      <c r="C30" s="56">
        <v>358.55665537936494</v>
      </c>
      <c r="E30" s="32"/>
      <c r="F30" s="31"/>
    </row>
    <row r="31" spans="1:6" x14ac:dyDescent="0.2">
      <c r="A31" s="26">
        <v>1995.1</v>
      </c>
      <c r="B31" s="55">
        <v>346.1417821260946</v>
      </c>
      <c r="C31" s="56">
        <v>355.00994273971151</v>
      </c>
      <c r="E31" s="32"/>
      <c r="F31" s="31"/>
    </row>
    <row r="32" spans="1:6" x14ac:dyDescent="0.2">
      <c r="A32" s="26">
        <v>1995.11</v>
      </c>
      <c r="B32" s="55">
        <v>352.71980999562572</v>
      </c>
      <c r="C32" s="56">
        <v>353.79066858893555</v>
      </c>
      <c r="E32" s="32"/>
      <c r="F32" s="31"/>
    </row>
    <row r="33" spans="1:6" x14ac:dyDescent="0.2">
      <c r="A33" s="26">
        <v>1995.12</v>
      </c>
      <c r="B33" s="55">
        <v>350.5727305687592</v>
      </c>
      <c r="C33" s="56">
        <v>350.26330031077958</v>
      </c>
      <c r="E33" s="32"/>
      <c r="F33" s="31"/>
    </row>
    <row r="34" spans="1:6" x14ac:dyDescent="0.2">
      <c r="A34" s="26">
        <v>1996.01</v>
      </c>
      <c r="B34" s="55">
        <v>352.67020751239562</v>
      </c>
      <c r="C34" s="56">
        <v>352.27581019759032</v>
      </c>
      <c r="E34" s="32"/>
      <c r="F34" s="31"/>
    </row>
    <row r="35" spans="1:6" x14ac:dyDescent="0.2">
      <c r="A35" s="26">
        <v>1996.02</v>
      </c>
      <c r="B35" s="55">
        <v>359.5445397627484</v>
      </c>
      <c r="C35" s="56">
        <v>357.696093804442</v>
      </c>
      <c r="E35" s="32"/>
      <c r="F35" s="31"/>
    </row>
    <row r="36" spans="1:6" x14ac:dyDescent="0.2">
      <c r="A36" s="26">
        <v>1996.03</v>
      </c>
      <c r="B36" s="55">
        <v>355.12508190298257</v>
      </c>
      <c r="C36" s="56">
        <v>355.02720547442635</v>
      </c>
      <c r="E36" s="32"/>
      <c r="F36" s="31"/>
    </row>
    <row r="37" spans="1:6" x14ac:dyDescent="0.2">
      <c r="A37" s="26">
        <v>1996.04</v>
      </c>
      <c r="B37" s="55">
        <v>362.51196976150601</v>
      </c>
      <c r="C37" s="56">
        <v>360.0292615895392</v>
      </c>
      <c r="E37" s="32"/>
      <c r="F37" s="31"/>
    </row>
    <row r="38" spans="1:6" x14ac:dyDescent="0.2">
      <c r="A38" s="26">
        <v>1996.05</v>
      </c>
      <c r="B38" s="55">
        <v>364.98769323840793</v>
      </c>
      <c r="C38" s="56">
        <v>362.29841074572596</v>
      </c>
      <c r="E38" s="32"/>
      <c r="F38" s="31"/>
    </row>
    <row r="39" spans="1:6" x14ac:dyDescent="0.2">
      <c r="A39" s="26">
        <v>1996.06</v>
      </c>
      <c r="B39" s="55">
        <v>365.58839564628983</v>
      </c>
      <c r="C39" s="56">
        <v>363.39909246360395</v>
      </c>
      <c r="E39" s="32"/>
      <c r="F39" s="31"/>
    </row>
    <row r="40" spans="1:6" x14ac:dyDescent="0.2">
      <c r="A40" s="26">
        <v>1996.07</v>
      </c>
      <c r="B40" s="55">
        <v>361.83477285649337</v>
      </c>
      <c r="C40" s="56">
        <v>364.8563696084907</v>
      </c>
      <c r="E40" s="32"/>
      <c r="F40" s="31"/>
    </row>
    <row r="41" spans="1:6" x14ac:dyDescent="0.2">
      <c r="A41" s="26">
        <v>1996.08</v>
      </c>
      <c r="B41" s="55">
        <v>369.85774829720663</v>
      </c>
      <c r="C41" s="56">
        <v>371.81451054814568</v>
      </c>
      <c r="E41" s="32"/>
      <c r="F41" s="31"/>
    </row>
    <row r="42" spans="1:6" x14ac:dyDescent="0.2">
      <c r="A42" s="26">
        <v>1996.09</v>
      </c>
      <c r="B42" s="55">
        <v>370.03802377190283</v>
      </c>
      <c r="C42" s="56">
        <v>371.8997583321671</v>
      </c>
      <c r="E42" s="32"/>
      <c r="F42" s="31"/>
    </row>
    <row r="43" spans="1:6" x14ac:dyDescent="0.2">
      <c r="A43" s="26">
        <v>1996.1</v>
      </c>
      <c r="B43" s="55">
        <v>372.69235038977013</v>
      </c>
      <c r="C43" s="56">
        <v>375.49859018740216</v>
      </c>
      <c r="E43" s="32"/>
      <c r="F43" s="31"/>
    </row>
    <row r="44" spans="1:6" x14ac:dyDescent="0.2">
      <c r="A44" s="26">
        <v>1996.11</v>
      </c>
      <c r="B44" s="55">
        <v>375.26674818469854</v>
      </c>
      <c r="C44" s="56">
        <v>376.87145084848026</v>
      </c>
      <c r="E44" s="32"/>
      <c r="F44" s="31"/>
    </row>
    <row r="45" spans="1:6" x14ac:dyDescent="0.2">
      <c r="A45" s="26">
        <v>1996.12</v>
      </c>
      <c r="B45" s="55">
        <v>381.93561754896973</v>
      </c>
      <c r="C45" s="56">
        <v>382.11386601201718</v>
      </c>
      <c r="E45" s="32"/>
      <c r="F45" s="31"/>
    </row>
    <row r="46" spans="1:6" x14ac:dyDescent="0.2">
      <c r="A46" s="26">
        <v>1997.01</v>
      </c>
      <c r="B46" s="55">
        <v>381.23246159740916</v>
      </c>
      <c r="C46" s="56">
        <v>380.71634243976541</v>
      </c>
      <c r="E46" s="32"/>
      <c r="F46" s="31"/>
    </row>
    <row r="47" spans="1:6" x14ac:dyDescent="0.2">
      <c r="A47" s="26">
        <v>1997.02</v>
      </c>
      <c r="B47" s="55">
        <v>384.35942093684821</v>
      </c>
      <c r="C47" s="56">
        <v>381.72739037295116</v>
      </c>
      <c r="E47" s="32"/>
      <c r="F47" s="31"/>
    </row>
    <row r="48" spans="1:6" x14ac:dyDescent="0.2">
      <c r="A48" s="26">
        <v>1997.03</v>
      </c>
      <c r="B48" s="55">
        <v>384.51559972523455</v>
      </c>
      <c r="C48" s="56">
        <v>383.59586302315807</v>
      </c>
      <c r="E48" s="32"/>
      <c r="F48" s="31"/>
    </row>
    <row r="49" spans="1:6" x14ac:dyDescent="0.2">
      <c r="A49" s="26">
        <v>1997.04</v>
      </c>
      <c r="B49" s="55">
        <v>384.46196764283923</v>
      </c>
      <c r="C49" s="56">
        <v>380.99670251717004</v>
      </c>
      <c r="E49" s="32"/>
      <c r="F49" s="31"/>
    </row>
    <row r="50" spans="1:6" x14ac:dyDescent="0.2">
      <c r="A50" s="26">
        <v>1997.05</v>
      </c>
      <c r="B50" s="55">
        <v>387.2662485170348</v>
      </c>
      <c r="C50" s="56">
        <v>383.93885775888339</v>
      </c>
      <c r="E50" s="32"/>
      <c r="F50" s="31"/>
    </row>
    <row r="51" spans="1:6" x14ac:dyDescent="0.2">
      <c r="A51" s="26">
        <v>1997.06</v>
      </c>
      <c r="B51" s="55">
        <v>392.71204457377581</v>
      </c>
      <c r="C51" s="56">
        <v>388.38406680072831</v>
      </c>
      <c r="E51" s="32"/>
      <c r="F51" s="31"/>
    </row>
    <row r="52" spans="1:6" x14ac:dyDescent="0.2">
      <c r="A52" s="26">
        <v>1997.07</v>
      </c>
      <c r="B52" s="55">
        <v>382.53629886859409</v>
      </c>
      <c r="C52" s="56">
        <v>385.41025909244178</v>
      </c>
      <c r="E52" s="32"/>
      <c r="F52" s="31"/>
    </row>
    <row r="53" spans="1:6" x14ac:dyDescent="0.2">
      <c r="A53" s="26">
        <v>1997.08</v>
      </c>
      <c r="B53" s="55">
        <v>387.646755213505</v>
      </c>
      <c r="C53" s="56">
        <v>390.1942604975232</v>
      </c>
      <c r="E53" s="32"/>
      <c r="F53" s="31"/>
    </row>
    <row r="54" spans="1:6" x14ac:dyDescent="0.2">
      <c r="A54" s="26">
        <v>1997.09</v>
      </c>
      <c r="B54" s="55">
        <v>386.14373874616325</v>
      </c>
      <c r="C54" s="56">
        <v>388.80739793920765</v>
      </c>
      <c r="E54" s="32"/>
      <c r="F54" s="31"/>
    </row>
    <row r="55" spans="1:6" x14ac:dyDescent="0.2">
      <c r="A55" s="26">
        <v>1997.1</v>
      </c>
      <c r="B55" s="55">
        <v>388.72106699815009</v>
      </c>
      <c r="C55" s="56">
        <v>392.07260547847375</v>
      </c>
      <c r="E55" s="32"/>
      <c r="F55" s="31"/>
    </row>
    <row r="56" spans="1:6" x14ac:dyDescent="0.2">
      <c r="A56" s="26">
        <v>1997.11</v>
      </c>
      <c r="B56" s="55">
        <v>391.58851832241197</v>
      </c>
      <c r="C56" s="56">
        <v>393.88982513255871</v>
      </c>
      <c r="E56" s="32"/>
      <c r="F56" s="31"/>
    </row>
    <row r="57" spans="1:6" x14ac:dyDescent="0.2">
      <c r="A57" s="26">
        <v>1997.12</v>
      </c>
      <c r="B57" s="55">
        <v>394.2918623499715</v>
      </c>
      <c r="C57" s="56">
        <v>394.93398958862946</v>
      </c>
      <c r="E57" s="32"/>
      <c r="F57" s="31"/>
    </row>
    <row r="58" spans="1:6" x14ac:dyDescent="0.2">
      <c r="A58" s="26">
        <v>1998.01</v>
      </c>
      <c r="B58" s="55">
        <v>393.05266000558498</v>
      </c>
      <c r="C58" s="56">
        <v>391.42834481290646</v>
      </c>
      <c r="E58" s="32"/>
      <c r="F58" s="31"/>
    </row>
    <row r="59" spans="1:6" x14ac:dyDescent="0.2">
      <c r="A59" s="26">
        <v>1998.02</v>
      </c>
      <c r="B59" s="55">
        <v>396.53944563968486</v>
      </c>
      <c r="C59" s="56">
        <v>393.4184944445276</v>
      </c>
      <c r="E59" s="32"/>
      <c r="F59" s="31"/>
    </row>
    <row r="60" spans="1:6" x14ac:dyDescent="0.2">
      <c r="A60" s="26">
        <v>1998.03</v>
      </c>
      <c r="B60" s="55">
        <v>399.07239808789859</v>
      </c>
      <c r="C60" s="56">
        <v>397.40442196364495</v>
      </c>
      <c r="E60" s="32"/>
      <c r="F60" s="31"/>
    </row>
    <row r="61" spans="1:6" x14ac:dyDescent="0.2">
      <c r="A61" s="26">
        <v>1998.04</v>
      </c>
      <c r="B61" s="55">
        <v>401.11011466140098</v>
      </c>
      <c r="C61" s="56">
        <v>396.96867629452072</v>
      </c>
      <c r="E61" s="32"/>
      <c r="F61" s="31"/>
    </row>
    <row r="62" spans="1:6" x14ac:dyDescent="0.2">
      <c r="A62" s="26">
        <v>1998.05</v>
      </c>
      <c r="B62" s="55">
        <v>402.0998767327464</v>
      </c>
      <c r="C62" s="56">
        <v>397.40046436171377</v>
      </c>
      <c r="E62" s="32"/>
      <c r="F62" s="31"/>
    </row>
    <row r="63" spans="1:6" x14ac:dyDescent="0.2">
      <c r="A63" s="26">
        <v>1998.06</v>
      </c>
      <c r="B63" s="55">
        <v>394.62338626683675</v>
      </c>
      <c r="C63" s="56">
        <v>392.1920413426547</v>
      </c>
      <c r="E63" s="32"/>
      <c r="F63" s="31"/>
    </row>
    <row r="64" spans="1:6" x14ac:dyDescent="0.2">
      <c r="A64" s="26">
        <v>1998.07</v>
      </c>
      <c r="B64" s="55">
        <v>390.05498751378775</v>
      </c>
      <c r="C64" s="56">
        <v>393.36110612532713</v>
      </c>
      <c r="E64" s="32"/>
      <c r="F64" s="31"/>
    </row>
    <row r="65" spans="1:6" x14ac:dyDescent="0.2">
      <c r="A65" s="26">
        <v>1998.08</v>
      </c>
      <c r="B65" s="55">
        <v>387.8398957938395</v>
      </c>
      <c r="C65" s="56">
        <v>391.96593358868108</v>
      </c>
      <c r="E65" s="32"/>
      <c r="F65" s="31"/>
    </row>
    <row r="66" spans="1:6" x14ac:dyDescent="0.2">
      <c r="A66" s="26">
        <v>1998.09</v>
      </c>
      <c r="B66" s="55">
        <v>392.57589989810731</v>
      </c>
      <c r="C66" s="56">
        <v>397.3151327420951</v>
      </c>
      <c r="E66" s="32"/>
      <c r="F66" s="31"/>
    </row>
    <row r="67" spans="1:6" x14ac:dyDescent="0.2">
      <c r="A67" s="26">
        <v>1998.1</v>
      </c>
      <c r="B67" s="55">
        <v>395.33918111007324</v>
      </c>
      <c r="C67" s="56">
        <v>398.23994753460744</v>
      </c>
      <c r="E67" s="32"/>
      <c r="F67" s="31"/>
    </row>
    <row r="68" spans="1:6" x14ac:dyDescent="0.2">
      <c r="A68" s="26">
        <v>1998.11</v>
      </c>
      <c r="B68" s="55">
        <v>397.85111129076273</v>
      </c>
      <c r="C68" s="56">
        <v>400.43076866002843</v>
      </c>
      <c r="E68" s="32"/>
      <c r="F68" s="31"/>
    </row>
    <row r="69" spans="1:6" x14ac:dyDescent="0.2">
      <c r="A69" s="26">
        <v>1998.12</v>
      </c>
      <c r="B69" s="55">
        <v>401.19503065017039</v>
      </c>
      <c r="C69" s="56">
        <v>402.17212629883869</v>
      </c>
      <c r="E69" s="32"/>
      <c r="F69" s="31"/>
    </row>
    <row r="70" spans="1:6" x14ac:dyDescent="0.2">
      <c r="A70" s="26">
        <v>1999.01</v>
      </c>
      <c r="B70" s="55">
        <v>399.54600666240577</v>
      </c>
      <c r="C70" s="56">
        <v>408.44663609046034</v>
      </c>
      <c r="E70" s="32"/>
      <c r="F70" s="31"/>
    </row>
    <row r="71" spans="1:6" x14ac:dyDescent="0.2">
      <c r="A71" s="26">
        <v>1999.02</v>
      </c>
      <c r="B71" s="55">
        <v>429.43909943295097</v>
      </c>
      <c r="C71" s="56">
        <v>413.59516253835994</v>
      </c>
      <c r="E71" s="32"/>
      <c r="F71" s="31"/>
    </row>
    <row r="72" spans="1:6" x14ac:dyDescent="0.2">
      <c r="A72" s="26">
        <v>1999.03</v>
      </c>
      <c r="B72" s="55">
        <v>430.49523533227961</v>
      </c>
      <c r="C72" s="56">
        <v>418.84910000913135</v>
      </c>
      <c r="E72" s="32"/>
      <c r="F72" s="31"/>
    </row>
    <row r="73" spans="1:6" x14ac:dyDescent="0.2">
      <c r="A73" s="26">
        <v>1999.04</v>
      </c>
      <c r="B73" s="55">
        <v>429.48537735369922</v>
      </c>
      <c r="C73" s="56">
        <v>424.53230783468234</v>
      </c>
      <c r="E73" s="32"/>
      <c r="F73" s="31"/>
    </row>
    <row r="74" spans="1:6" x14ac:dyDescent="0.2">
      <c r="A74" s="26">
        <v>1999.05</v>
      </c>
      <c r="B74" s="55">
        <v>420.58222129828772</v>
      </c>
      <c r="C74" s="56">
        <v>424.46743617956719</v>
      </c>
      <c r="E74" s="32"/>
      <c r="F74" s="31"/>
    </row>
    <row r="75" spans="1:6" x14ac:dyDescent="0.2">
      <c r="A75" s="26">
        <v>1999.06</v>
      </c>
      <c r="B75" s="55">
        <v>425.32923128278185</v>
      </c>
      <c r="C75" s="56">
        <v>424.69513186024113</v>
      </c>
      <c r="E75" s="32"/>
      <c r="F75" s="31"/>
    </row>
    <row r="76" spans="1:6" x14ac:dyDescent="0.2">
      <c r="A76" s="26">
        <v>1999.07</v>
      </c>
      <c r="B76" s="55">
        <v>428.47752285502344</v>
      </c>
      <c r="C76" s="56">
        <v>430.14118509523956</v>
      </c>
      <c r="E76" s="32"/>
      <c r="F76" s="31"/>
    </row>
    <row r="77" spans="1:6" x14ac:dyDescent="0.2">
      <c r="A77" s="26">
        <v>1999.08</v>
      </c>
      <c r="B77" s="55">
        <v>424.1875651736583</v>
      </c>
      <c r="C77" s="56">
        <v>428.23317765775045</v>
      </c>
      <c r="E77" s="32"/>
      <c r="F77" s="31"/>
    </row>
    <row r="78" spans="1:6" x14ac:dyDescent="0.2">
      <c r="A78" s="26">
        <v>1999.09</v>
      </c>
      <c r="B78" s="55">
        <v>425.24726678096891</v>
      </c>
      <c r="C78" s="56">
        <v>429.0754619982593</v>
      </c>
      <c r="E78" s="32"/>
      <c r="F78" s="31"/>
    </row>
    <row r="79" spans="1:6" x14ac:dyDescent="0.2">
      <c r="A79" s="26">
        <v>1999.1</v>
      </c>
      <c r="B79" s="55">
        <v>423.91152720347202</v>
      </c>
      <c r="C79" s="56">
        <v>427.58794737495862</v>
      </c>
      <c r="E79" s="32"/>
      <c r="F79" s="31"/>
    </row>
    <row r="80" spans="1:6" x14ac:dyDescent="0.2">
      <c r="A80" s="26">
        <v>1999.11</v>
      </c>
      <c r="B80" s="55">
        <v>425.02682364323118</v>
      </c>
      <c r="C80" s="56">
        <v>427.63429891265872</v>
      </c>
      <c r="E80" s="32"/>
      <c r="F80" s="31"/>
    </row>
    <row r="81" spans="1:6" x14ac:dyDescent="0.2">
      <c r="A81" s="26">
        <v>1999.12</v>
      </c>
      <c r="B81" s="55">
        <v>427.67961425693238</v>
      </c>
      <c r="C81" s="56">
        <v>428.2361972521669</v>
      </c>
      <c r="E81" s="32"/>
      <c r="F81" s="31"/>
    </row>
    <row r="82" spans="1:6" x14ac:dyDescent="0.2">
      <c r="A82" s="26">
        <v>2000.01</v>
      </c>
      <c r="B82" s="55">
        <v>438.21284600802124</v>
      </c>
      <c r="C82" s="56">
        <v>434.60670548799908</v>
      </c>
      <c r="E82" s="32"/>
      <c r="F82" s="31"/>
    </row>
    <row r="83" spans="1:6" x14ac:dyDescent="0.2">
      <c r="A83" s="26">
        <v>2000.02</v>
      </c>
      <c r="B83" s="55">
        <v>439.6223047805176</v>
      </c>
      <c r="C83" s="56">
        <v>436.77008676436736</v>
      </c>
      <c r="E83" s="32"/>
      <c r="F83" s="31"/>
    </row>
    <row r="84" spans="1:6" x14ac:dyDescent="0.2">
      <c r="A84" s="26">
        <v>2000.03</v>
      </c>
      <c r="B84" s="55">
        <v>438.01231913839456</v>
      </c>
      <c r="C84" s="56">
        <v>436.65830722907634</v>
      </c>
      <c r="E84" s="32"/>
      <c r="F84" s="31"/>
    </row>
    <row r="85" spans="1:6" x14ac:dyDescent="0.2">
      <c r="A85" s="26">
        <v>2000.04</v>
      </c>
      <c r="B85" s="55">
        <v>441.91909958963834</v>
      </c>
      <c r="C85" s="56">
        <v>437.8434775179108</v>
      </c>
      <c r="E85" s="32"/>
      <c r="F85" s="31"/>
    </row>
    <row r="86" spans="1:6" x14ac:dyDescent="0.2">
      <c r="A86" s="26">
        <v>2000.05</v>
      </c>
      <c r="B86" s="55">
        <v>441.22252640693534</v>
      </c>
      <c r="C86" s="56">
        <v>437.96103753513296</v>
      </c>
      <c r="E86" s="32"/>
      <c r="F86" s="31"/>
    </row>
    <row r="87" spans="1:6" x14ac:dyDescent="0.2">
      <c r="A87" s="26">
        <v>2000.06</v>
      </c>
      <c r="B87" s="55">
        <v>440.70100946321344</v>
      </c>
      <c r="C87" s="56">
        <v>440.6960136033079</v>
      </c>
      <c r="E87" s="32"/>
      <c r="F87" s="31"/>
    </row>
    <row r="88" spans="1:6" x14ac:dyDescent="0.2">
      <c r="A88" s="26">
        <v>2000.07</v>
      </c>
      <c r="B88" s="55">
        <v>441.18769795649013</v>
      </c>
      <c r="C88" s="56">
        <v>441.87862812520035</v>
      </c>
      <c r="E88" s="32"/>
      <c r="F88" s="31"/>
    </row>
    <row r="89" spans="1:6" x14ac:dyDescent="0.2">
      <c r="A89" s="26">
        <v>2000.08</v>
      </c>
      <c r="B89" s="55">
        <v>437.69405876489861</v>
      </c>
      <c r="C89" s="56">
        <v>442.16255046503306</v>
      </c>
      <c r="E89" s="32"/>
      <c r="F89" s="31"/>
    </row>
    <row r="90" spans="1:6" x14ac:dyDescent="0.2">
      <c r="A90" s="26">
        <v>2000.09</v>
      </c>
      <c r="B90" s="55">
        <v>436.96549071611543</v>
      </c>
      <c r="C90" s="56">
        <v>440.73841301281163</v>
      </c>
      <c r="E90" s="32"/>
      <c r="F90" s="31"/>
    </row>
    <row r="91" spans="1:6" x14ac:dyDescent="0.2">
      <c r="A91" s="26">
        <v>2000.1</v>
      </c>
      <c r="B91" s="55">
        <v>440.79292748100852</v>
      </c>
      <c r="C91" s="56">
        <v>444.03213036883346</v>
      </c>
      <c r="E91" s="32"/>
      <c r="F91" s="31"/>
    </row>
    <row r="92" spans="1:6" x14ac:dyDescent="0.2">
      <c r="A92" s="26">
        <v>2000.11</v>
      </c>
      <c r="B92" s="55">
        <v>442.76377920022907</v>
      </c>
      <c r="C92" s="56">
        <v>444.7427739987877</v>
      </c>
      <c r="E92" s="32"/>
      <c r="F92" s="31"/>
    </row>
    <row r="93" spans="1:6" x14ac:dyDescent="0.2">
      <c r="A93" s="26">
        <v>2000.12</v>
      </c>
      <c r="B93" s="55">
        <v>446.42597292161702</v>
      </c>
      <c r="C93" s="56">
        <v>446.44213461045467</v>
      </c>
      <c r="E93" s="32"/>
      <c r="F93" s="31"/>
    </row>
    <row r="94" spans="1:6" x14ac:dyDescent="0.2">
      <c r="A94" s="26">
        <v>2001.01</v>
      </c>
      <c r="B94" s="55">
        <v>453.00728300657244</v>
      </c>
      <c r="C94" s="56">
        <v>448.46167359055715</v>
      </c>
      <c r="E94" s="32"/>
      <c r="F94" s="31"/>
    </row>
    <row r="95" spans="1:6" x14ac:dyDescent="0.2">
      <c r="A95" s="26">
        <v>2001.02</v>
      </c>
      <c r="B95" s="55">
        <v>452.6294315810311</v>
      </c>
      <c r="C95" s="56">
        <v>448.37821650962547</v>
      </c>
      <c r="E95" s="32"/>
      <c r="F95" s="31"/>
    </row>
    <row r="96" spans="1:6" x14ac:dyDescent="0.2">
      <c r="A96" s="26">
        <v>2001.03</v>
      </c>
      <c r="B96" s="55">
        <v>449.05145407748614</v>
      </c>
      <c r="C96" s="56">
        <v>449.0372746490022</v>
      </c>
      <c r="E96" s="32"/>
      <c r="F96" s="31"/>
    </row>
    <row r="97" spans="1:6" x14ac:dyDescent="0.2">
      <c r="A97" s="26">
        <v>2001.04</v>
      </c>
      <c r="B97" s="55">
        <v>450.39481026316901</v>
      </c>
      <c r="C97" s="56">
        <v>447.29671650668553</v>
      </c>
      <c r="E97" s="32"/>
      <c r="F97" s="31"/>
    </row>
    <row r="98" spans="1:6" x14ac:dyDescent="0.2">
      <c r="A98" s="26">
        <v>2001.05</v>
      </c>
      <c r="B98" s="55">
        <v>450.77704471759489</v>
      </c>
      <c r="C98" s="56">
        <v>448.19038878208431</v>
      </c>
      <c r="E98" s="32"/>
      <c r="F98" s="31"/>
    </row>
    <row r="99" spans="1:6" x14ac:dyDescent="0.2">
      <c r="A99" s="26">
        <v>2001.06</v>
      </c>
      <c r="B99" s="55">
        <v>447.80013202491</v>
      </c>
      <c r="C99" s="56">
        <v>448.24296649229137</v>
      </c>
      <c r="E99" s="32"/>
      <c r="F99" s="31"/>
    </row>
    <row r="100" spans="1:6" x14ac:dyDescent="0.2">
      <c r="A100" s="26">
        <v>2001.07</v>
      </c>
      <c r="B100" s="55">
        <v>449.34423216409874</v>
      </c>
      <c r="C100" s="56">
        <v>448.79336155530774</v>
      </c>
      <c r="E100" s="32"/>
      <c r="F100" s="31"/>
    </row>
    <row r="101" spans="1:6" x14ac:dyDescent="0.2">
      <c r="A101" s="26">
        <v>2001.08</v>
      </c>
      <c r="B101" s="55">
        <v>448.13076879295858</v>
      </c>
      <c r="C101" s="56">
        <v>448.7903800451333</v>
      </c>
      <c r="E101" s="32"/>
      <c r="F101" s="31"/>
    </row>
    <row r="102" spans="1:6" x14ac:dyDescent="0.2">
      <c r="A102" s="26">
        <v>2001.09</v>
      </c>
      <c r="B102" s="55">
        <v>445.83146235592568</v>
      </c>
      <c r="C102" s="56">
        <v>449.30783701541208</v>
      </c>
      <c r="E102" s="32"/>
      <c r="F102" s="31"/>
    </row>
    <row r="103" spans="1:6" x14ac:dyDescent="0.2">
      <c r="A103" s="26">
        <v>2001.1</v>
      </c>
      <c r="B103" s="55">
        <v>439.74958279964073</v>
      </c>
      <c r="C103" s="56">
        <v>445.51809124251287</v>
      </c>
      <c r="E103" s="32"/>
      <c r="F103" s="31"/>
    </row>
    <row r="104" spans="1:6" x14ac:dyDescent="0.2">
      <c r="A104" s="26">
        <v>2001.11</v>
      </c>
      <c r="B104" s="55">
        <v>442.23626398214299</v>
      </c>
      <c r="C104" s="56">
        <v>443.25268254621932</v>
      </c>
      <c r="E104" s="32"/>
      <c r="F104" s="31"/>
    </row>
    <row r="105" spans="1:6" x14ac:dyDescent="0.2">
      <c r="A105" s="26">
        <v>2001.12</v>
      </c>
      <c r="B105" s="55">
        <v>442.43610224474401</v>
      </c>
      <c r="C105" s="56">
        <v>441.54325322347654</v>
      </c>
      <c r="E105" s="32"/>
      <c r="F105" s="31"/>
    </row>
    <row r="106" spans="1:6" x14ac:dyDescent="0.2">
      <c r="A106" s="26">
        <v>2002.01</v>
      </c>
      <c r="B106" s="55">
        <v>440.67991635847625</v>
      </c>
      <c r="C106" s="56">
        <v>435.35588069299973</v>
      </c>
      <c r="E106" s="32"/>
      <c r="F106" s="31"/>
    </row>
    <row r="107" spans="1:6" x14ac:dyDescent="0.2">
      <c r="A107" s="26">
        <v>2002.02</v>
      </c>
      <c r="B107" s="55">
        <v>429.47423920973478</v>
      </c>
      <c r="C107" s="56">
        <v>432.03199718276846</v>
      </c>
      <c r="E107" s="32"/>
      <c r="F107" s="31"/>
    </row>
    <row r="108" spans="1:6" x14ac:dyDescent="0.2">
      <c r="A108" s="26">
        <v>2002.03</v>
      </c>
      <c r="B108" s="55">
        <v>426.31983803175842</v>
      </c>
      <c r="C108" s="56">
        <v>427.88864078155547</v>
      </c>
      <c r="E108" s="32"/>
      <c r="F108" s="31"/>
    </row>
    <row r="109" spans="1:6" x14ac:dyDescent="0.2">
      <c r="A109" s="26">
        <v>2002.04</v>
      </c>
      <c r="B109" s="55">
        <v>427.28874137801068</v>
      </c>
      <c r="C109" s="56">
        <v>425.47125491091936</v>
      </c>
      <c r="E109" s="32"/>
      <c r="F109" s="31"/>
    </row>
    <row r="110" spans="1:6" x14ac:dyDescent="0.2">
      <c r="A110" s="26">
        <v>2002.05</v>
      </c>
      <c r="B110" s="55">
        <v>427.98042477294422</v>
      </c>
      <c r="C110" s="56">
        <v>426.26253562024289</v>
      </c>
      <c r="E110" s="32"/>
      <c r="F110" s="31"/>
    </row>
    <row r="111" spans="1:6" x14ac:dyDescent="0.2">
      <c r="A111" s="26">
        <v>2002.06</v>
      </c>
      <c r="B111" s="55">
        <v>425.49485759886147</v>
      </c>
      <c r="C111" s="56">
        <v>426.04863763068573</v>
      </c>
      <c r="E111" s="32"/>
      <c r="F111" s="31"/>
    </row>
    <row r="112" spans="1:6" x14ac:dyDescent="0.2">
      <c r="A112" s="26">
        <v>2002.07</v>
      </c>
      <c r="B112" s="55">
        <v>423.6674491211412</v>
      </c>
      <c r="C112" s="56">
        <v>423.95616705800722</v>
      </c>
      <c r="E112" s="32"/>
      <c r="F112" s="31"/>
    </row>
    <row r="113" spans="1:6" x14ac:dyDescent="0.2">
      <c r="A113" s="26">
        <v>2002.08</v>
      </c>
      <c r="B113" s="55">
        <v>421.38897405729199</v>
      </c>
      <c r="C113" s="56">
        <v>424.28174208209731</v>
      </c>
      <c r="E113" s="32"/>
      <c r="F113" s="31"/>
    </row>
    <row r="114" spans="1:6" x14ac:dyDescent="0.2">
      <c r="A114" s="26">
        <v>2002.09</v>
      </c>
      <c r="B114" s="55">
        <v>420.61683977301476</v>
      </c>
      <c r="C114" s="56">
        <v>422.93746166068684</v>
      </c>
      <c r="E114" s="32"/>
      <c r="F114" s="31"/>
    </row>
    <row r="115" spans="1:6" x14ac:dyDescent="0.2">
      <c r="A115" s="26">
        <v>2002.1</v>
      </c>
      <c r="B115" s="55">
        <v>423.62349388766393</v>
      </c>
      <c r="C115" s="56">
        <v>425.4119100414718</v>
      </c>
      <c r="E115" s="32"/>
      <c r="F115" s="31"/>
    </row>
    <row r="116" spans="1:6" x14ac:dyDescent="0.2">
      <c r="A116" s="26">
        <v>2002.11</v>
      </c>
      <c r="B116" s="55">
        <v>427.52859443251714</v>
      </c>
      <c r="C116" s="56">
        <v>424.97026613466591</v>
      </c>
      <c r="E116" s="32"/>
      <c r="F116" s="31"/>
    </row>
    <row r="117" spans="1:6" x14ac:dyDescent="0.2">
      <c r="A117" s="26">
        <v>2002.12</v>
      </c>
      <c r="B117" s="55">
        <v>426.8904217396871</v>
      </c>
      <c r="C117" s="56">
        <v>425.13376785205054</v>
      </c>
      <c r="E117" s="32"/>
      <c r="F117" s="31"/>
    </row>
    <row r="118" spans="1:6" x14ac:dyDescent="0.2">
      <c r="A118" s="26">
        <v>2003.01</v>
      </c>
      <c r="B118" s="55">
        <v>432.14670931447961</v>
      </c>
      <c r="C118" s="56">
        <v>426.58952349003226</v>
      </c>
      <c r="E118" s="32"/>
      <c r="F118" s="31"/>
    </row>
    <row r="119" spans="1:6" x14ac:dyDescent="0.2">
      <c r="A119" s="26">
        <v>2003.02</v>
      </c>
      <c r="B119" s="55">
        <v>423.87960201906981</v>
      </c>
      <c r="C119" s="56">
        <v>424.92251233948565</v>
      </c>
      <c r="E119" s="32"/>
      <c r="F119" s="31"/>
    </row>
    <row r="120" spans="1:6" x14ac:dyDescent="0.2">
      <c r="A120" s="26">
        <v>2003.03</v>
      </c>
      <c r="B120" s="55">
        <v>424.57565524691751</v>
      </c>
      <c r="C120" s="56">
        <v>426.76144710167404</v>
      </c>
      <c r="E120" s="32"/>
      <c r="F120" s="31"/>
    </row>
    <row r="121" spans="1:6" x14ac:dyDescent="0.2">
      <c r="A121" s="26">
        <v>2003.04</v>
      </c>
      <c r="B121" s="55">
        <v>430.77659507169034</v>
      </c>
      <c r="C121" s="56">
        <v>429.57251434980185</v>
      </c>
      <c r="E121" s="32"/>
      <c r="F121" s="31"/>
    </row>
    <row r="122" spans="1:6" x14ac:dyDescent="0.2">
      <c r="A122" s="26">
        <v>2003.05</v>
      </c>
      <c r="B122" s="55">
        <v>433.78098230719229</v>
      </c>
      <c r="C122" s="56">
        <v>432.41831079693628</v>
      </c>
      <c r="E122" s="32"/>
      <c r="F122" s="31"/>
    </row>
    <row r="123" spans="1:6" x14ac:dyDescent="0.2">
      <c r="A123" s="26">
        <v>2003.06</v>
      </c>
      <c r="B123" s="55">
        <v>433.29390235212719</v>
      </c>
      <c r="C123" s="56">
        <v>433.91550682401839</v>
      </c>
      <c r="E123" s="32"/>
      <c r="F123" s="31"/>
    </row>
    <row r="124" spans="1:6" x14ac:dyDescent="0.2">
      <c r="A124" s="26">
        <v>2003.07</v>
      </c>
      <c r="B124" s="55">
        <v>439.30504833902864</v>
      </c>
      <c r="C124" s="56">
        <v>439.0172294239523</v>
      </c>
      <c r="E124" s="32"/>
      <c r="F124" s="31"/>
    </row>
    <row r="125" spans="1:6" x14ac:dyDescent="0.2">
      <c r="A125" s="26">
        <v>2003.08</v>
      </c>
      <c r="B125" s="55">
        <v>437.25864176930372</v>
      </c>
      <c r="C125" s="56">
        <v>441.03681607057177</v>
      </c>
      <c r="E125" s="32"/>
      <c r="F125" s="31"/>
    </row>
    <row r="126" spans="1:6" x14ac:dyDescent="0.2">
      <c r="A126" s="26">
        <v>2003.09</v>
      </c>
      <c r="B126" s="55">
        <v>440.76569384353434</v>
      </c>
      <c r="C126" s="56">
        <v>443.52791316739916</v>
      </c>
      <c r="E126" s="32"/>
      <c r="F126" s="31"/>
    </row>
    <row r="127" spans="1:6" x14ac:dyDescent="0.2">
      <c r="A127" s="26">
        <v>2003.1</v>
      </c>
      <c r="B127" s="55">
        <v>447.46370360793776</v>
      </c>
      <c r="C127" s="56">
        <v>446.64179399317618</v>
      </c>
      <c r="E127" s="32"/>
      <c r="F127" s="31"/>
    </row>
    <row r="128" spans="1:6" x14ac:dyDescent="0.2">
      <c r="A128" s="26">
        <v>2003.11</v>
      </c>
      <c r="B128" s="55">
        <v>448.79512368858673</v>
      </c>
      <c r="C128" s="56">
        <v>450.71557336759219</v>
      </c>
      <c r="E128" s="32"/>
      <c r="F128" s="31"/>
    </row>
    <row r="129" spans="1:6" x14ac:dyDescent="0.2">
      <c r="A129" s="26">
        <v>2003.12</v>
      </c>
      <c r="B129" s="55">
        <v>455.25798407116361</v>
      </c>
      <c r="C129" s="56">
        <v>452.58010721667284</v>
      </c>
      <c r="E129" s="32"/>
      <c r="F129" s="31"/>
    </row>
    <row r="130" spans="1:6" x14ac:dyDescent="0.2">
      <c r="A130" s="26">
        <v>2004.01</v>
      </c>
      <c r="B130" s="55">
        <v>461.9563189224433</v>
      </c>
      <c r="C130" s="56">
        <v>455.43634973370467</v>
      </c>
      <c r="E130" s="32"/>
      <c r="F130" s="31"/>
    </row>
    <row r="131" spans="1:6" x14ac:dyDescent="0.2">
      <c r="A131" s="26">
        <v>2004.02</v>
      </c>
      <c r="B131" s="55">
        <v>460.26948543253047</v>
      </c>
      <c r="C131" s="56">
        <v>460.65001774023546</v>
      </c>
      <c r="E131" s="32"/>
      <c r="F131" s="31"/>
    </row>
    <row r="132" spans="1:6" x14ac:dyDescent="0.2">
      <c r="A132" s="26">
        <v>2004.03</v>
      </c>
      <c r="B132" s="55">
        <v>462.01061597205427</v>
      </c>
      <c r="C132" s="56">
        <v>465.12677200237977</v>
      </c>
      <c r="E132" s="32"/>
      <c r="F132" s="31"/>
    </row>
    <row r="133" spans="1:6" x14ac:dyDescent="0.2">
      <c r="A133" s="26">
        <v>2004.04</v>
      </c>
      <c r="B133" s="55">
        <v>471.07571653532943</v>
      </c>
      <c r="C133" s="56">
        <v>469.99577625086181</v>
      </c>
      <c r="E133" s="32"/>
      <c r="F133" s="31"/>
    </row>
    <row r="134" spans="1:6" x14ac:dyDescent="0.2">
      <c r="A134" s="26">
        <v>2004.05</v>
      </c>
      <c r="B134" s="55">
        <v>474.39196273814383</v>
      </c>
      <c r="C134" s="56">
        <v>473.23690053242069</v>
      </c>
      <c r="E134" s="32"/>
      <c r="F134" s="31"/>
    </row>
    <row r="135" spans="1:6" x14ac:dyDescent="0.2">
      <c r="A135" s="26">
        <v>2004.06</v>
      </c>
      <c r="B135" s="55">
        <v>478.07346019559469</v>
      </c>
      <c r="C135" s="56">
        <v>479.1047097096623</v>
      </c>
      <c r="E135" s="32"/>
      <c r="F135" s="31"/>
    </row>
    <row r="136" spans="1:6" x14ac:dyDescent="0.2">
      <c r="A136" s="26">
        <v>2004.07</v>
      </c>
      <c r="B136" s="55">
        <v>479.24610133527131</v>
      </c>
      <c r="C136" s="56">
        <v>482.02966464074888</v>
      </c>
      <c r="E136" s="32"/>
      <c r="F136" s="31"/>
    </row>
    <row r="137" spans="1:6" x14ac:dyDescent="0.2">
      <c r="A137" s="26">
        <v>2004.08</v>
      </c>
      <c r="B137" s="55">
        <v>484.95545825267288</v>
      </c>
      <c r="C137" s="56">
        <v>484.20001489914716</v>
      </c>
      <c r="E137" s="32"/>
      <c r="F137" s="31"/>
    </row>
    <row r="138" spans="1:6" x14ac:dyDescent="0.2">
      <c r="A138" s="26">
        <v>2004.09</v>
      </c>
      <c r="B138" s="55">
        <v>485.98172772679715</v>
      </c>
      <c r="C138" s="56">
        <v>488.90466510978621</v>
      </c>
      <c r="E138" s="32"/>
      <c r="F138" s="31"/>
    </row>
    <row r="139" spans="1:6" x14ac:dyDescent="0.2">
      <c r="A139" s="26">
        <v>2004.1</v>
      </c>
      <c r="B139" s="55">
        <v>489.29126829238965</v>
      </c>
      <c r="C139" s="56">
        <v>490.72786615704689</v>
      </c>
      <c r="E139" s="32"/>
      <c r="F139" s="31"/>
    </row>
    <row r="140" spans="1:6" x14ac:dyDescent="0.2">
      <c r="A140" s="26">
        <v>2004.11</v>
      </c>
      <c r="B140" s="55">
        <v>495.6854490389847</v>
      </c>
      <c r="C140" s="56">
        <v>494.77523536739858</v>
      </c>
      <c r="E140" s="32"/>
      <c r="F140" s="31"/>
    </row>
    <row r="141" spans="1:6" x14ac:dyDescent="0.2">
      <c r="A141" s="26">
        <v>2004.12</v>
      </c>
      <c r="B141" s="55">
        <v>503.02090140446393</v>
      </c>
      <c r="C141" s="56">
        <v>499.67070684257857</v>
      </c>
      <c r="E141" s="32"/>
      <c r="F141" s="31"/>
    </row>
    <row r="142" spans="1:6" x14ac:dyDescent="0.2">
      <c r="A142" s="26">
        <v>2005.01</v>
      </c>
      <c r="B142" s="55">
        <v>510.4305577402846</v>
      </c>
      <c r="C142" s="56">
        <v>502.8651596641522</v>
      </c>
      <c r="E142" s="32"/>
      <c r="F142" s="31"/>
    </row>
    <row r="143" spans="1:6" x14ac:dyDescent="0.2">
      <c r="A143" s="26">
        <v>2005.02</v>
      </c>
      <c r="B143" s="55">
        <v>504.83568125212292</v>
      </c>
      <c r="C143" s="56">
        <v>505.62267940221489</v>
      </c>
      <c r="E143" s="32"/>
      <c r="F143" s="31"/>
    </row>
    <row r="144" spans="1:6" x14ac:dyDescent="0.2">
      <c r="A144" s="26">
        <v>2005.03</v>
      </c>
      <c r="B144" s="55">
        <v>504.64073240021418</v>
      </c>
      <c r="C144" s="56">
        <v>508.2892411866016</v>
      </c>
      <c r="E144" s="32"/>
      <c r="F144" s="31"/>
    </row>
    <row r="145" spans="1:6" x14ac:dyDescent="0.2">
      <c r="A145" s="26">
        <v>2005.04</v>
      </c>
      <c r="B145" s="55">
        <v>513.48669090152384</v>
      </c>
      <c r="C145" s="56">
        <v>512.59484816415579</v>
      </c>
      <c r="E145" s="32"/>
      <c r="F145" s="31"/>
    </row>
    <row r="146" spans="1:6" x14ac:dyDescent="0.2">
      <c r="A146" s="26">
        <v>2005.05</v>
      </c>
      <c r="B146" s="55">
        <v>516.01815065538858</v>
      </c>
      <c r="C146" s="56">
        <v>515.29962628796284</v>
      </c>
      <c r="E146" s="32"/>
      <c r="F146" s="31"/>
    </row>
    <row r="147" spans="1:6" x14ac:dyDescent="0.2">
      <c r="A147" s="26">
        <v>2005.06</v>
      </c>
      <c r="B147" s="55">
        <v>517.6813836989727</v>
      </c>
      <c r="C147" s="56">
        <v>517.25640024916493</v>
      </c>
      <c r="E147" s="32"/>
      <c r="F147" s="31"/>
    </row>
    <row r="148" spans="1:6" x14ac:dyDescent="0.2">
      <c r="A148" s="26">
        <v>2005.07</v>
      </c>
      <c r="B148" s="55">
        <v>516.9625115311203</v>
      </c>
      <c r="C148" s="56">
        <v>520.13804141231401</v>
      </c>
      <c r="E148" s="32"/>
      <c r="F148" s="31"/>
    </row>
    <row r="149" spans="1:6" x14ac:dyDescent="0.2">
      <c r="A149" s="26">
        <v>2005.08</v>
      </c>
      <c r="B149" s="55">
        <v>519.1257831693714</v>
      </c>
      <c r="C149" s="56">
        <v>523.15245253473574</v>
      </c>
      <c r="E149" s="32"/>
      <c r="F149" s="31"/>
    </row>
    <row r="150" spans="1:6" x14ac:dyDescent="0.2">
      <c r="A150" s="26">
        <v>2005.09</v>
      </c>
      <c r="B150" s="55">
        <v>524.83047687583189</v>
      </c>
      <c r="C150" s="56">
        <v>527.84367702520638</v>
      </c>
      <c r="E150" s="32"/>
      <c r="F150" s="31"/>
    </row>
    <row r="151" spans="1:6" x14ac:dyDescent="0.2">
      <c r="A151" s="26">
        <v>2005.1</v>
      </c>
      <c r="B151" s="55">
        <v>530.3532523569188</v>
      </c>
      <c r="C151" s="56">
        <v>531.55108307211583</v>
      </c>
      <c r="E151" s="32"/>
      <c r="F151" s="31"/>
    </row>
    <row r="152" spans="1:6" x14ac:dyDescent="0.2">
      <c r="A152" s="26">
        <v>2005.11</v>
      </c>
      <c r="B152" s="55">
        <v>536.13262279010758</v>
      </c>
      <c r="C152" s="56">
        <v>534.91091765337126</v>
      </c>
      <c r="E152" s="32"/>
      <c r="F152" s="31"/>
    </row>
    <row r="153" spans="1:6" x14ac:dyDescent="0.2">
      <c r="A153" s="26">
        <v>2005.12</v>
      </c>
      <c r="B153" s="55">
        <v>542.47769870656509</v>
      </c>
      <c r="C153" s="56">
        <v>538.58130265214356</v>
      </c>
      <c r="E153" s="32"/>
      <c r="F153" s="31"/>
    </row>
    <row r="154" spans="1:6" x14ac:dyDescent="0.2">
      <c r="A154" s="26">
        <v>2006.01</v>
      </c>
      <c r="B154" s="55">
        <v>551.68874519057431</v>
      </c>
      <c r="C154" s="56">
        <v>542.64373050652978</v>
      </c>
      <c r="E154" s="32"/>
      <c r="F154" s="31"/>
    </row>
    <row r="155" spans="1:6" x14ac:dyDescent="0.2">
      <c r="A155" s="26">
        <v>2006.02</v>
      </c>
      <c r="B155" s="55">
        <v>546.38642299209937</v>
      </c>
      <c r="C155" s="56">
        <v>544.07897575963796</v>
      </c>
      <c r="E155" s="32"/>
      <c r="F155" s="31"/>
    </row>
    <row r="156" spans="1:6" x14ac:dyDescent="0.2">
      <c r="A156" s="26">
        <v>2006.03</v>
      </c>
      <c r="B156" s="55">
        <v>543.20880355833549</v>
      </c>
      <c r="C156" s="56">
        <v>547.18061354279621</v>
      </c>
      <c r="E156" s="32"/>
      <c r="F156" s="31"/>
    </row>
    <row r="157" spans="1:6" x14ac:dyDescent="0.2">
      <c r="A157" s="26">
        <v>2006.04</v>
      </c>
      <c r="B157" s="55">
        <v>551.27201696235215</v>
      </c>
      <c r="C157" s="56">
        <v>550.74898597343781</v>
      </c>
      <c r="E157" s="32"/>
      <c r="F157" s="31"/>
    </row>
    <row r="158" spans="1:6" x14ac:dyDescent="0.2">
      <c r="A158" s="26">
        <v>2006.05</v>
      </c>
      <c r="B158" s="55">
        <v>552.40007108191037</v>
      </c>
      <c r="C158" s="56">
        <v>552.1593294555563</v>
      </c>
      <c r="E158" s="32"/>
      <c r="F158" s="31"/>
    </row>
    <row r="159" spans="1:6" x14ac:dyDescent="0.2">
      <c r="A159" s="26">
        <v>2006.06</v>
      </c>
      <c r="B159" s="55">
        <v>553.55539349941489</v>
      </c>
      <c r="C159" s="56">
        <v>555.39642738958753</v>
      </c>
      <c r="E159" s="32"/>
      <c r="F159" s="31"/>
    </row>
    <row r="160" spans="1:6" x14ac:dyDescent="0.2">
      <c r="A160" s="26">
        <v>2006.07</v>
      </c>
      <c r="B160" s="55">
        <v>557.56748820434495</v>
      </c>
      <c r="C160" s="56">
        <v>557.94351530648726</v>
      </c>
      <c r="E160" s="32"/>
      <c r="F160" s="31"/>
    </row>
    <row r="161" spans="1:6" x14ac:dyDescent="0.2">
      <c r="A161" s="26">
        <v>2006.08</v>
      </c>
      <c r="B161" s="55">
        <v>555.88346159512162</v>
      </c>
      <c r="C161" s="56">
        <v>559.68280037711122</v>
      </c>
      <c r="E161" s="32"/>
      <c r="F161" s="31"/>
    </row>
    <row r="162" spans="1:6" x14ac:dyDescent="0.2">
      <c r="A162" s="26">
        <v>2006.09</v>
      </c>
      <c r="B162" s="55">
        <v>558.16199998671289</v>
      </c>
      <c r="C162" s="56">
        <v>560.98634171319543</v>
      </c>
      <c r="E162" s="32"/>
      <c r="F162" s="31"/>
    </row>
    <row r="163" spans="1:6" x14ac:dyDescent="0.2">
      <c r="A163" s="26">
        <v>2006.1</v>
      </c>
      <c r="B163" s="55">
        <v>562.590588482464</v>
      </c>
      <c r="C163" s="56">
        <v>563.27079531223751</v>
      </c>
      <c r="E163" s="32"/>
      <c r="F163" s="31"/>
    </row>
    <row r="164" spans="1:6" x14ac:dyDescent="0.2">
      <c r="A164" s="26">
        <v>2006.11</v>
      </c>
      <c r="B164" s="55">
        <v>567.29280713284675</v>
      </c>
      <c r="C164" s="56">
        <v>565.60698971273303</v>
      </c>
      <c r="E164" s="32"/>
      <c r="F164" s="31"/>
    </row>
    <row r="165" spans="1:6" x14ac:dyDescent="0.2">
      <c r="A165" s="26">
        <v>2006.12</v>
      </c>
      <c r="B165" s="55">
        <v>572.61677684352253</v>
      </c>
      <c r="C165" s="56">
        <v>568.34518050640395</v>
      </c>
      <c r="E165" s="32"/>
      <c r="F165" s="31"/>
    </row>
    <row r="166" spans="1:6" x14ac:dyDescent="0.2">
      <c r="A166" s="26">
        <v>2007.01</v>
      </c>
      <c r="B166" s="55">
        <v>580.39778828668182</v>
      </c>
      <c r="C166" s="56">
        <v>570.98662404020922</v>
      </c>
      <c r="E166" s="32"/>
      <c r="F166" s="31"/>
    </row>
    <row r="167" spans="1:6" x14ac:dyDescent="0.2">
      <c r="A167" s="26">
        <v>2007.02</v>
      </c>
      <c r="B167" s="55">
        <v>574.63584960018045</v>
      </c>
      <c r="C167" s="56">
        <v>575.57141739450697</v>
      </c>
      <c r="E167" s="32"/>
      <c r="F167" s="31"/>
    </row>
    <row r="168" spans="1:6" x14ac:dyDescent="0.2">
      <c r="A168" s="26">
        <v>2007.03</v>
      </c>
      <c r="B168" s="55">
        <v>573.31077134931729</v>
      </c>
      <c r="C168" s="56">
        <v>577.50319319249718</v>
      </c>
      <c r="E168" s="32"/>
      <c r="F168" s="31"/>
    </row>
    <row r="169" spans="1:6" x14ac:dyDescent="0.2">
      <c r="A169" s="26">
        <v>2007.04</v>
      </c>
      <c r="B169" s="55">
        <v>572.43536242633877</v>
      </c>
      <c r="C169" s="56">
        <v>580.30727470834029</v>
      </c>
      <c r="E169" s="32"/>
      <c r="F169" s="31"/>
    </row>
    <row r="170" spans="1:6" x14ac:dyDescent="0.2">
      <c r="A170" s="26">
        <v>2007.05</v>
      </c>
      <c r="B170" s="55">
        <v>583.44463646375652</v>
      </c>
      <c r="C170" s="56">
        <v>583.66723926766747</v>
      </c>
      <c r="E170" s="32"/>
      <c r="F170" s="31"/>
    </row>
    <row r="171" spans="1:6" x14ac:dyDescent="0.2">
      <c r="A171" s="26">
        <v>2007.06</v>
      </c>
      <c r="B171" s="55">
        <v>582.42429099600463</v>
      </c>
      <c r="C171" s="56">
        <v>584.49667769998553</v>
      </c>
      <c r="E171" s="32"/>
      <c r="F171" s="31"/>
    </row>
    <row r="172" spans="1:6" x14ac:dyDescent="0.2">
      <c r="A172" s="26">
        <v>2007.07</v>
      </c>
      <c r="B172" s="55">
        <v>586.76068631119881</v>
      </c>
      <c r="C172" s="56">
        <v>587.55048748010211</v>
      </c>
      <c r="E172" s="32"/>
      <c r="F172" s="31"/>
    </row>
    <row r="173" spans="1:6" x14ac:dyDescent="0.2">
      <c r="A173" s="26">
        <v>2007.08</v>
      </c>
      <c r="B173" s="55">
        <v>588.20128927807525</v>
      </c>
      <c r="C173" s="56">
        <v>591.56882800094274</v>
      </c>
      <c r="E173" s="32"/>
      <c r="F173" s="31"/>
    </row>
    <row r="174" spans="1:6" x14ac:dyDescent="0.2">
      <c r="A174" s="26">
        <v>2007.09</v>
      </c>
      <c r="B174" s="55">
        <v>590.95795843618816</v>
      </c>
      <c r="C174" s="56">
        <v>593.23184712531622</v>
      </c>
      <c r="E174" s="32"/>
      <c r="F174" s="31"/>
    </row>
    <row r="175" spans="1:6" x14ac:dyDescent="0.2">
      <c r="A175" s="26">
        <v>2007.1</v>
      </c>
      <c r="B175" s="55">
        <v>600.55330526155922</v>
      </c>
      <c r="C175" s="56">
        <v>596.38925302940913</v>
      </c>
      <c r="E175" s="32"/>
      <c r="F175" s="31"/>
    </row>
    <row r="176" spans="1:6" x14ac:dyDescent="0.2">
      <c r="A176" s="26">
        <v>2007.11</v>
      </c>
      <c r="B176" s="55">
        <v>601.11947053389747</v>
      </c>
      <c r="C176" s="56">
        <v>599.11584767153511</v>
      </c>
      <c r="E176" s="32"/>
      <c r="F176" s="31"/>
    </row>
    <row r="177" spans="1:6" x14ac:dyDescent="0.2">
      <c r="A177" s="26">
        <v>2007.12</v>
      </c>
      <c r="B177" s="55">
        <v>605.60916344171073</v>
      </c>
      <c r="C177" s="56">
        <v>601.09167979307904</v>
      </c>
      <c r="E177" s="33"/>
      <c r="F177" s="31"/>
    </row>
    <row r="178" spans="1:6" x14ac:dyDescent="0.2">
      <c r="A178" s="26">
        <f t="shared" ref="A178:A241" si="0">A166+1</f>
        <v>2008.01</v>
      </c>
      <c r="B178" s="55">
        <v>613.79191133732456</v>
      </c>
      <c r="C178" s="56">
        <v>604.62338522079312</v>
      </c>
      <c r="E178" s="32"/>
      <c r="F178" s="31"/>
    </row>
    <row r="179" spans="1:6" x14ac:dyDescent="0.2">
      <c r="A179" s="26">
        <f t="shared" si="0"/>
        <v>2008.02</v>
      </c>
      <c r="B179" s="55">
        <v>602.86288670667955</v>
      </c>
      <c r="C179" s="56">
        <v>605.83468677758071</v>
      </c>
      <c r="E179" s="32"/>
      <c r="F179" s="31"/>
    </row>
    <row r="180" spans="1:6" x14ac:dyDescent="0.2">
      <c r="A180" s="26">
        <f t="shared" si="0"/>
        <v>2008.03</v>
      </c>
      <c r="B180" s="55">
        <v>603.15157346994908</v>
      </c>
      <c r="C180" s="56">
        <v>609.6816887334968</v>
      </c>
      <c r="E180" s="32"/>
      <c r="F180" s="31"/>
    </row>
    <row r="181" spans="1:6" x14ac:dyDescent="0.2">
      <c r="A181" s="26">
        <f t="shared" si="0"/>
        <v>2008.04</v>
      </c>
      <c r="B181" s="55">
        <v>610.77520000000004</v>
      </c>
      <c r="C181" s="56">
        <v>609.0050190501247</v>
      </c>
      <c r="E181" s="32"/>
      <c r="F181" s="31"/>
    </row>
    <row r="182" spans="1:6" x14ac:dyDescent="0.2">
      <c r="A182" s="26">
        <f t="shared" si="0"/>
        <v>2008.05</v>
      </c>
      <c r="B182" s="55">
        <v>613.08993333333308</v>
      </c>
      <c r="C182" s="56">
        <v>612.41366480743352</v>
      </c>
      <c r="E182" s="32"/>
      <c r="F182" s="31"/>
    </row>
    <row r="183" spans="1:6" x14ac:dyDescent="0.2">
      <c r="A183" s="26">
        <f t="shared" si="0"/>
        <v>2008.06</v>
      </c>
      <c r="B183" s="55">
        <v>609.35456666666698</v>
      </c>
      <c r="C183" s="56">
        <v>616.30878510287778</v>
      </c>
      <c r="E183" s="32"/>
      <c r="F183" s="31"/>
    </row>
    <row r="184" spans="1:6" x14ac:dyDescent="0.2">
      <c r="A184" s="26">
        <f t="shared" si="0"/>
        <v>2008.07</v>
      </c>
      <c r="B184" s="55">
        <v>618.57799999999997</v>
      </c>
      <c r="C184" s="56">
        <v>619.55312194408464</v>
      </c>
      <c r="E184" s="32"/>
      <c r="F184" s="31"/>
    </row>
    <row r="185" spans="1:6" x14ac:dyDescent="0.2">
      <c r="A185" s="26">
        <f t="shared" si="0"/>
        <v>2008.08</v>
      </c>
      <c r="B185" s="55">
        <v>619.37400000000002</v>
      </c>
      <c r="C185" s="56">
        <v>622.01672090350121</v>
      </c>
      <c r="E185" s="32"/>
      <c r="F185" s="31"/>
    </row>
    <row r="186" spans="1:6" x14ac:dyDescent="0.2">
      <c r="A186" s="26">
        <f t="shared" si="0"/>
        <v>2008.09</v>
      </c>
      <c r="B186" s="55">
        <v>621.65300000000002</v>
      </c>
      <c r="C186" s="56">
        <v>623.78990117058197</v>
      </c>
      <c r="E186" s="32"/>
      <c r="F186" s="31"/>
    </row>
    <row r="187" spans="1:6" x14ac:dyDescent="0.2">
      <c r="A187" s="26">
        <f t="shared" si="0"/>
        <v>2008.1</v>
      </c>
      <c r="B187" s="55">
        <v>623.93400000000008</v>
      </c>
      <c r="C187" s="56">
        <v>623.62686067774223</v>
      </c>
      <c r="E187" s="32"/>
      <c r="F187" s="31"/>
    </row>
    <row r="188" spans="1:6" x14ac:dyDescent="0.2">
      <c r="A188" s="26">
        <f t="shared" si="0"/>
        <v>2008.11</v>
      </c>
      <c r="B188" s="55">
        <v>627.83899999999994</v>
      </c>
      <c r="C188" s="56">
        <v>622.72699187718274</v>
      </c>
      <c r="E188" s="32"/>
      <c r="F188" s="31"/>
    </row>
    <row r="189" spans="1:6" x14ac:dyDescent="0.2">
      <c r="A189" s="26">
        <f t="shared" si="0"/>
        <v>2008.12</v>
      </c>
      <c r="B189" s="55">
        <v>625.60900000000004</v>
      </c>
      <c r="C189" s="56">
        <v>621.19208472185903</v>
      </c>
      <c r="E189" s="33"/>
      <c r="F189" s="31"/>
    </row>
    <row r="190" spans="1:6" x14ac:dyDescent="0.2">
      <c r="A190" s="26">
        <f t="shared" si="0"/>
        <v>2009.01</v>
      </c>
      <c r="B190" s="55">
        <v>627.246033333333</v>
      </c>
      <c r="C190" s="56">
        <v>618.67629928623205</v>
      </c>
      <c r="E190" s="32"/>
      <c r="F190" s="31"/>
    </row>
    <row r="191" spans="1:6" x14ac:dyDescent="0.2">
      <c r="A191" s="26">
        <f t="shared" si="0"/>
        <v>2009.02</v>
      </c>
      <c r="B191" s="55">
        <v>614.26330000000007</v>
      </c>
      <c r="C191" s="56">
        <v>616.36696810200931</v>
      </c>
      <c r="E191" s="32"/>
      <c r="F191" s="31"/>
    </row>
    <row r="192" spans="1:6" x14ac:dyDescent="0.2">
      <c r="A192" s="26">
        <f t="shared" si="0"/>
        <v>2009.03</v>
      </c>
      <c r="B192" s="55">
        <v>609.72329999999999</v>
      </c>
      <c r="C192" s="56">
        <v>614.19328216373583</v>
      </c>
      <c r="E192" s="32"/>
      <c r="F192" s="31"/>
    </row>
    <row r="193" spans="1:6" x14ac:dyDescent="0.2">
      <c r="A193" s="26">
        <f t="shared" si="0"/>
        <v>2009.04</v>
      </c>
      <c r="B193" s="55">
        <v>611.96903333333307</v>
      </c>
      <c r="C193" s="56">
        <v>612.83871517013847</v>
      </c>
      <c r="E193" s="32"/>
      <c r="F193" s="31"/>
    </row>
    <row r="194" spans="1:6" x14ac:dyDescent="0.2">
      <c r="A194" s="26">
        <f t="shared" si="0"/>
        <v>2009.05</v>
      </c>
      <c r="B194" s="55">
        <v>609.703033333333</v>
      </c>
      <c r="C194" s="56">
        <v>610.16988419672589</v>
      </c>
      <c r="E194" s="32"/>
      <c r="F194" s="31"/>
    </row>
    <row r="195" spans="1:6" x14ac:dyDescent="0.2">
      <c r="A195" s="26">
        <f t="shared" si="0"/>
        <v>2009.06</v>
      </c>
      <c r="B195" s="55">
        <v>607.48066666666693</v>
      </c>
      <c r="C195" s="56">
        <v>609.15951526813296</v>
      </c>
      <c r="E195" s="32"/>
      <c r="F195" s="31"/>
    </row>
    <row r="196" spans="1:6" x14ac:dyDescent="0.2">
      <c r="A196" s="26">
        <f t="shared" si="0"/>
        <v>2009.07</v>
      </c>
      <c r="B196" s="55">
        <v>607.37803333333295</v>
      </c>
      <c r="C196" s="56">
        <v>608.3247440652035</v>
      </c>
      <c r="E196" s="32"/>
      <c r="F196" s="31"/>
    </row>
    <row r="197" spans="1:6" x14ac:dyDescent="0.2">
      <c r="A197" s="26">
        <f t="shared" si="0"/>
        <v>2009.08</v>
      </c>
      <c r="B197" s="55">
        <v>605.72466666666696</v>
      </c>
      <c r="C197" s="56">
        <v>608.07274414565791</v>
      </c>
      <c r="E197" s="32"/>
      <c r="F197" s="31"/>
    </row>
    <row r="198" spans="1:6" x14ac:dyDescent="0.2">
      <c r="A198" s="26">
        <f t="shared" si="0"/>
        <v>2009.09</v>
      </c>
      <c r="B198" s="55">
        <v>604.75626666666699</v>
      </c>
      <c r="C198" s="56">
        <v>607.54293936986983</v>
      </c>
      <c r="E198" s="32"/>
      <c r="F198" s="31"/>
    </row>
    <row r="199" spans="1:6" x14ac:dyDescent="0.2">
      <c r="A199" s="26">
        <f t="shared" si="0"/>
        <v>2009.1</v>
      </c>
      <c r="B199" s="55">
        <v>611.83986666666704</v>
      </c>
      <c r="C199" s="56">
        <v>611.59470337907783</v>
      </c>
      <c r="E199" s="32"/>
      <c r="F199" s="31"/>
    </row>
    <row r="200" spans="1:6" x14ac:dyDescent="0.2">
      <c r="A200" s="26">
        <f t="shared" si="0"/>
        <v>2009.11</v>
      </c>
      <c r="B200" s="55">
        <v>614.53166666666698</v>
      </c>
      <c r="C200" s="56">
        <v>612.00378762714513</v>
      </c>
      <c r="E200" s="32"/>
      <c r="F200" s="31"/>
    </row>
    <row r="201" spans="1:6" x14ac:dyDescent="0.2">
      <c r="A201" s="26">
        <f t="shared" si="0"/>
        <v>2009.12</v>
      </c>
      <c r="B201" s="55">
        <v>615.63583333333304</v>
      </c>
      <c r="C201" s="56">
        <v>611.54874919652445</v>
      </c>
      <c r="E201" s="33"/>
      <c r="F201" s="31"/>
    </row>
    <row r="202" spans="1:6" x14ac:dyDescent="0.2">
      <c r="A202" s="26">
        <f t="shared" si="0"/>
        <v>2010.01</v>
      </c>
      <c r="B202" s="55">
        <v>619.82063333333303</v>
      </c>
      <c r="C202" s="56">
        <v>612.1944270141754</v>
      </c>
      <c r="E202" s="32"/>
      <c r="F202" s="31"/>
    </row>
    <row r="203" spans="1:6" x14ac:dyDescent="0.2">
      <c r="A203" s="26">
        <f t="shared" si="0"/>
        <v>2010.02</v>
      </c>
      <c r="B203" s="55">
        <v>610.08463333333304</v>
      </c>
      <c r="C203" s="56">
        <v>613.30530666829816</v>
      </c>
      <c r="E203" s="32"/>
      <c r="F203" s="31"/>
    </row>
    <row r="204" spans="1:6" x14ac:dyDescent="0.2">
      <c r="A204" s="26">
        <f t="shared" si="0"/>
        <v>2010.03</v>
      </c>
      <c r="B204" s="55">
        <v>611.096133333333</v>
      </c>
      <c r="C204" s="56">
        <v>615.94663480003942</v>
      </c>
      <c r="E204" s="32"/>
      <c r="F204" s="31"/>
    </row>
    <row r="205" spans="1:6" x14ac:dyDescent="0.2">
      <c r="A205" s="26">
        <f t="shared" si="0"/>
        <v>2010.04</v>
      </c>
      <c r="B205" s="55">
        <v>619.00329999999997</v>
      </c>
      <c r="C205" s="56">
        <v>618.87013210118573</v>
      </c>
      <c r="E205" s="32"/>
      <c r="F205" s="31"/>
    </row>
    <row r="206" spans="1:6" x14ac:dyDescent="0.2">
      <c r="A206" s="26">
        <f t="shared" si="0"/>
        <v>2010.05</v>
      </c>
      <c r="B206" s="55">
        <v>620.37336666666704</v>
      </c>
      <c r="C206" s="56">
        <v>620.42204208821533</v>
      </c>
      <c r="E206" s="32"/>
      <c r="F206" s="31"/>
    </row>
    <row r="207" spans="1:6" x14ac:dyDescent="0.2">
      <c r="A207" s="26">
        <f t="shared" si="0"/>
        <v>2010.06</v>
      </c>
      <c r="B207" s="55">
        <v>619.61006666666697</v>
      </c>
      <c r="C207" s="56">
        <v>620.68884322353324</v>
      </c>
      <c r="E207" s="32"/>
      <c r="F207" s="31"/>
    </row>
    <row r="208" spans="1:6" x14ac:dyDescent="0.2">
      <c r="A208" s="26">
        <f t="shared" si="0"/>
        <v>2010.07</v>
      </c>
      <c r="B208" s="55">
        <v>620.78313333333301</v>
      </c>
      <c r="C208" s="56">
        <v>621.65875023512945</v>
      </c>
      <c r="E208" s="32"/>
      <c r="F208" s="31"/>
    </row>
    <row r="209" spans="1:6" x14ac:dyDescent="0.2">
      <c r="A209" s="26">
        <f t="shared" si="0"/>
        <v>2010.08</v>
      </c>
      <c r="B209" s="55">
        <v>622.00403333333304</v>
      </c>
      <c r="C209" s="56">
        <v>624.26838661293436</v>
      </c>
      <c r="E209" s="32"/>
      <c r="F209" s="31"/>
    </row>
    <row r="210" spans="1:6" x14ac:dyDescent="0.2">
      <c r="A210" s="26">
        <f t="shared" si="0"/>
        <v>2010.09</v>
      </c>
      <c r="B210" s="55">
        <v>624.73763333333306</v>
      </c>
      <c r="C210" s="56">
        <v>625.90326472346885</v>
      </c>
      <c r="E210" s="32"/>
      <c r="F210" s="31"/>
    </row>
    <row r="211" spans="1:6" x14ac:dyDescent="0.2">
      <c r="A211" s="26">
        <f t="shared" si="0"/>
        <v>2010.1</v>
      </c>
      <c r="B211" s="55">
        <v>626.64030000000002</v>
      </c>
      <c r="C211" s="56">
        <v>626.63907805964845</v>
      </c>
      <c r="E211" s="32"/>
      <c r="F211" s="31"/>
    </row>
    <row r="212" spans="1:6" x14ac:dyDescent="0.2">
      <c r="A212" s="26">
        <f t="shared" si="0"/>
        <v>2010.11</v>
      </c>
      <c r="B212" s="55">
        <v>630.96730000000002</v>
      </c>
      <c r="C212" s="56">
        <v>629.25811010278028</v>
      </c>
      <c r="E212" s="32"/>
      <c r="F212" s="31"/>
    </row>
    <row r="213" spans="1:6" x14ac:dyDescent="0.2">
      <c r="A213" s="26">
        <f t="shared" si="0"/>
        <v>2010.12</v>
      </c>
      <c r="B213" s="55">
        <v>637.96876666666697</v>
      </c>
      <c r="C213" s="56">
        <v>633.16163112446304</v>
      </c>
      <c r="E213" s="33"/>
      <c r="F213" s="31"/>
    </row>
    <row r="214" spans="1:6" x14ac:dyDescent="0.2">
      <c r="A214" s="26">
        <f t="shared" si="0"/>
        <v>2011.01</v>
      </c>
      <c r="B214" s="55">
        <v>645.66069999999991</v>
      </c>
      <c r="C214" s="56">
        <v>638.53311071097403</v>
      </c>
      <c r="E214" s="32"/>
      <c r="F214" s="31"/>
    </row>
    <row r="215" spans="1:6" x14ac:dyDescent="0.2">
      <c r="A215" s="26">
        <f t="shared" si="0"/>
        <v>2011.02</v>
      </c>
      <c r="B215" s="55">
        <v>639.45313333333308</v>
      </c>
      <c r="C215" s="56">
        <v>640.67980473529053</v>
      </c>
      <c r="E215" s="32"/>
      <c r="F215" s="31"/>
    </row>
    <row r="216" spans="1:6" x14ac:dyDescent="0.2">
      <c r="A216" s="26">
        <f t="shared" si="0"/>
        <v>2011.03</v>
      </c>
      <c r="B216" s="55">
        <v>639.01853333333304</v>
      </c>
      <c r="C216" s="56">
        <v>643.89027471372117</v>
      </c>
      <c r="E216" s="32"/>
      <c r="F216" s="31"/>
    </row>
    <row r="217" spans="1:6" x14ac:dyDescent="0.2">
      <c r="A217" s="26">
        <f t="shared" si="0"/>
        <v>2011.04</v>
      </c>
      <c r="B217" s="55">
        <v>644.56046666666703</v>
      </c>
      <c r="C217" s="56">
        <v>646.04714699751719</v>
      </c>
      <c r="E217" s="32"/>
      <c r="F217" s="31"/>
    </row>
    <row r="218" spans="1:6" x14ac:dyDescent="0.2">
      <c r="A218" s="26">
        <f t="shared" si="0"/>
        <v>2011.05</v>
      </c>
      <c r="B218" s="55">
        <v>648.54013333333296</v>
      </c>
      <c r="C218" s="56">
        <v>648.35665106145723</v>
      </c>
      <c r="E218" s="32"/>
      <c r="F218" s="31"/>
    </row>
    <row r="219" spans="1:6" x14ac:dyDescent="0.2">
      <c r="A219" s="26">
        <f t="shared" si="0"/>
        <v>2011.06</v>
      </c>
      <c r="B219" s="55">
        <v>650.99486666666701</v>
      </c>
      <c r="C219" s="56">
        <v>651.48282881704199</v>
      </c>
      <c r="E219" s="32"/>
      <c r="F219" s="31"/>
    </row>
    <row r="220" spans="1:6" x14ac:dyDescent="0.2">
      <c r="A220" s="26">
        <f t="shared" si="0"/>
        <v>2011.07</v>
      </c>
      <c r="B220" s="55">
        <v>653.11289999999997</v>
      </c>
      <c r="C220" s="56">
        <v>653.79231145393305</v>
      </c>
      <c r="E220" s="32"/>
      <c r="F220" s="31"/>
    </row>
    <row r="221" spans="1:6" x14ac:dyDescent="0.2">
      <c r="A221" s="26">
        <f t="shared" si="0"/>
        <v>2011.08</v>
      </c>
      <c r="B221" s="55">
        <v>652.45993333333297</v>
      </c>
      <c r="C221" s="56">
        <v>654.48493380136529</v>
      </c>
      <c r="E221" s="32"/>
      <c r="F221" s="31"/>
    </row>
    <row r="222" spans="1:6" x14ac:dyDescent="0.2">
      <c r="A222" s="26">
        <f t="shared" si="0"/>
        <v>2011.09</v>
      </c>
      <c r="B222" s="55">
        <v>657.74873333333301</v>
      </c>
      <c r="C222" s="56">
        <v>658.6769281634015</v>
      </c>
      <c r="E222" s="32"/>
      <c r="F222" s="31"/>
    </row>
    <row r="223" spans="1:6" x14ac:dyDescent="0.2">
      <c r="A223" s="26">
        <f t="shared" si="0"/>
        <v>2011.1</v>
      </c>
      <c r="B223" s="55">
        <v>657.93766666666704</v>
      </c>
      <c r="C223" s="56">
        <v>658.32818700633243</v>
      </c>
      <c r="E223" s="32"/>
      <c r="F223" s="31"/>
    </row>
    <row r="224" spans="1:6" x14ac:dyDescent="0.2">
      <c r="A224" s="26">
        <f t="shared" si="0"/>
        <v>2011.11</v>
      </c>
      <c r="B224" s="55">
        <v>660.34596666666698</v>
      </c>
      <c r="C224" s="56">
        <v>659.25391860053969</v>
      </c>
      <c r="E224" s="32"/>
      <c r="F224" s="31"/>
    </row>
    <row r="225" spans="1:6" x14ac:dyDescent="0.2">
      <c r="A225" s="26">
        <f t="shared" si="0"/>
        <v>2011.12</v>
      </c>
      <c r="B225" s="55">
        <v>665.80989999999997</v>
      </c>
      <c r="C225" s="56">
        <v>662.81749872743899</v>
      </c>
      <c r="E225" s="33"/>
      <c r="F225" s="31"/>
    </row>
    <row r="226" spans="1:6" x14ac:dyDescent="0.2">
      <c r="A226" s="26">
        <f t="shared" si="0"/>
        <v>2012.01</v>
      </c>
      <c r="B226" s="55">
        <v>669.25126666666699</v>
      </c>
      <c r="C226" s="56">
        <v>662.96402725133282</v>
      </c>
      <c r="E226" s="32"/>
      <c r="F226" s="31"/>
    </row>
    <row r="227" spans="1:6" x14ac:dyDescent="0.2">
      <c r="A227" s="26">
        <f t="shared" si="0"/>
        <v>2012.02</v>
      </c>
      <c r="B227" s="55">
        <v>661.341366666667</v>
      </c>
      <c r="C227" s="56">
        <v>663.63096128306347</v>
      </c>
      <c r="E227" s="32"/>
      <c r="F227" s="31"/>
    </row>
    <row r="228" spans="1:6" x14ac:dyDescent="0.2">
      <c r="A228" s="26">
        <f t="shared" si="0"/>
        <v>2012.03</v>
      </c>
      <c r="B228" s="55">
        <v>659.16326666666703</v>
      </c>
      <c r="C228" s="56">
        <v>664.60864358439346</v>
      </c>
      <c r="E228" s="32"/>
      <c r="F228" s="31"/>
    </row>
    <row r="229" spans="1:6" x14ac:dyDescent="0.2">
      <c r="A229" s="26">
        <f t="shared" si="0"/>
        <v>2012.04</v>
      </c>
      <c r="B229" s="55">
        <v>665.27670000000012</v>
      </c>
      <c r="C229" s="56">
        <v>664.56048552155369</v>
      </c>
      <c r="E229" s="32"/>
      <c r="F229" s="31"/>
    </row>
    <row r="230" spans="1:6" x14ac:dyDescent="0.2">
      <c r="A230" s="26">
        <f t="shared" si="0"/>
        <v>2012.05</v>
      </c>
      <c r="B230" s="55">
        <v>666.47710000000006</v>
      </c>
      <c r="C230" s="56">
        <v>665.89448159937217</v>
      </c>
      <c r="E230" s="32"/>
      <c r="F230" s="31"/>
    </row>
    <row r="231" spans="1:6" x14ac:dyDescent="0.2">
      <c r="A231" s="26">
        <f t="shared" si="0"/>
        <v>2012.06</v>
      </c>
      <c r="B231" s="55">
        <v>665.99926666666704</v>
      </c>
      <c r="C231" s="56">
        <v>666.01967258598756</v>
      </c>
      <c r="E231" s="32"/>
      <c r="F231" s="31"/>
    </row>
    <row r="232" spans="1:6" x14ac:dyDescent="0.2">
      <c r="A232" s="26">
        <f t="shared" si="0"/>
        <v>2012.07</v>
      </c>
      <c r="B232" s="55">
        <v>665.25580000000002</v>
      </c>
      <c r="C232" s="56">
        <v>665.61467433225619</v>
      </c>
      <c r="E232" s="32"/>
      <c r="F232" s="31"/>
    </row>
    <row r="233" spans="1:6" x14ac:dyDescent="0.2">
      <c r="A233" s="26">
        <f t="shared" si="0"/>
        <v>2012.08</v>
      </c>
      <c r="B233" s="55">
        <v>663.73300000000006</v>
      </c>
      <c r="C233" s="56">
        <v>665.5396634749502</v>
      </c>
      <c r="E233" s="32"/>
      <c r="F233" s="31"/>
    </row>
    <row r="234" spans="1:6" x14ac:dyDescent="0.2">
      <c r="A234" s="26">
        <f t="shared" si="0"/>
        <v>2012.09</v>
      </c>
      <c r="B234" s="55">
        <v>663.88100000000009</v>
      </c>
      <c r="C234" s="56">
        <v>664.50968152289136</v>
      </c>
      <c r="E234" s="32"/>
      <c r="F234" s="31"/>
    </row>
    <row r="235" spans="1:6" x14ac:dyDescent="0.2">
      <c r="A235" s="26">
        <f t="shared" si="0"/>
        <v>2012.1</v>
      </c>
      <c r="B235" s="55">
        <v>664.21500000000003</v>
      </c>
      <c r="C235" s="56">
        <v>665.1189431863279</v>
      </c>
      <c r="E235" s="32"/>
      <c r="F235" s="31"/>
    </row>
    <row r="236" spans="1:6" x14ac:dyDescent="0.2">
      <c r="A236" s="26">
        <f t="shared" si="0"/>
        <v>2012.11</v>
      </c>
      <c r="B236" s="55">
        <v>669.36500000000001</v>
      </c>
      <c r="C236" s="56">
        <v>666.72808194682034</v>
      </c>
      <c r="E236" s="32"/>
      <c r="F236" s="31"/>
    </row>
    <row r="237" spans="1:6" x14ac:dyDescent="0.2">
      <c r="A237" s="26">
        <f t="shared" si="0"/>
        <v>2012.12</v>
      </c>
      <c r="B237" s="55">
        <v>669.32799999999997</v>
      </c>
      <c r="C237" s="56">
        <v>665.58399335295144</v>
      </c>
      <c r="E237" s="33"/>
      <c r="F237" s="31"/>
    </row>
    <row r="238" spans="1:6" x14ac:dyDescent="0.2">
      <c r="A238" s="26">
        <f t="shared" si="0"/>
        <v>2013.01</v>
      </c>
      <c r="B238" s="55">
        <v>672.00300000000004</v>
      </c>
      <c r="C238" s="56">
        <v>666.73030056593893</v>
      </c>
      <c r="E238" s="32"/>
      <c r="F238" s="31"/>
    </row>
    <row r="239" spans="1:6" x14ac:dyDescent="0.2">
      <c r="A239" s="26">
        <f t="shared" si="0"/>
        <v>2013.02</v>
      </c>
      <c r="B239" s="55">
        <v>667.846</v>
      </c>
      <c r="C239" s="56">
        <v>670.07587925893597</v>
      </c>
      <c r="E239" s="32"/>
      <c r="F239" s="31"/>
    </row>
    <row r="240" spans="1:6" x14ac:dyDescent="0.2">
      <c r="A240" s="26">
        <f t="shared" si="0"/>
        <v>2013.03</v>
      </c>
      <c r="B240" s="55">
        <v>665.40800000000002</v>
      </c>
      <c r="C240" s="56">
        <v>670.89582152631817</v>
      </c>
      <c r="E240" s="32"/>
      <c r="F240" s="31"/>
    </row>
    <row r="241" spans="1:6" x14ac:dyDescent="0.2">
      <c r="A241" s="26">
        <f t="shared" si="0"/>
        <v>2013.04</v>
      </c>
      <c r="B241" s="55">
        <v>673.69999999999993</v>
      </c>
      <c r="C241" s="56">
        <v>675.03855282005736</v>
      </c>
      <c r="E241" s="32"/>
      <c r="F241" s="31"/>
    </row>
    <row r="242" spans="1:6" x14ac:dyDescent="0.2">
      <c r="A242" s="26">
        <f t="shared" ref="A242:A305" si="1">A230+1</f>
        <v>2013.05</v>
      </c>
      <c r="B242" s="55">
        <v>679.44699999999989</v>
      </c>
      <c r="C242" s="56">
        <v>677.37838836538072</v>
      </c>
      <c r="E242" s="32"/>
      <c r="F242" s="31"/>
    </row>
    <row r="243" spans="1:6" x14ac:dyDescent="0.2">
      <c r="A243" s="26">
        <f t="shared" si="1"/>
        <v>2013.06</v>
      </c>
      <c r="B243" s="55">
        <v>680.04700000000003</v>
      </c>
      <c r="C243" s="56">
        <v>679.41006678211352</v>
      </c>
      <c r="E243" s="32"/>
      <c r="F243" s="31"/>
    </row>
    <row r="244" spans="1:6" x14ac:dyDescent="0.2">
      <c r="A244" s="26">
        <f t="shared" si="1"/>
        <v>2013.07</v>
      </c>
      <c r="B244" s="55">
        <v>676.85399999999993</v>
      </c>
      <c r="C244" s="56">
        <v>678.76814579804011</v>
      </c>
      <c r="E244" s="32"/>
      <c r="F244" s="31"/>
    </row>
    <row r="245" spans="1:6" x14ac:dyDescent="0.2">
      <c r="A245" s="26">
        <f t="shared" si="1"/>
        <v>2013.08</v>
      </c>
      <c r="B245" s="55">
        <v>678.68999999999994</v>
      </c>
      <c r="C245" s="56">
        <v>680.32732329211046</v>
      </c>
      <c r="E245" s="32"/>
      <c r="F245" s="31"/>
    </row>
    <row r="246" spans="1:6" x14ac:dyDescent="0.2">
      <c r="A246" s="26">
        <f t="shared" si="1"/>
        <v>2013.09</v>
      </c>
      <c r="B246" s="55">
        <v>681.00200000000007</v>
      </c>
      <c r="C246" s="56">
        <v>681.43460562394807</v>
      </c>
      <c r="E246" s="32"/>
      <c r="F246" s="31"/>
    </row>
    <row r="247" spans="1:6" x14ac:dyDescent="0.2">
      <c r="A247" s="26">
        <f t="shared" si="1"/>
        <v>2013.1</v>
      </c>
      <c r="B247" s="55">
        <v>680.90200000000004</v>
      </c>
      <c r="C247" s="56">
        <v>681.70342308803231</v>
      </c>
      <c r="E247" s="32"/>
      <c r="F247" s="31"/>
    </row>
    <row r="248" spans="1:6" x14ac:dyDescent="0.2">
      <c r="A248" s="26">
        <f t="shared" si="1"/>
        <v>2013.11</v>
      </c>
      <c r="B248" s="55">
        <v>684.05399999999997</v>
      </c>
      <c r="C248" s="56">
        <v>682.23206583627393</v>
      </c>
      <c r="E248" s="32"/>
      <c r="F248" s="31"/>
    </row>
    <row r="249" spans="1:6" x14ac:dyDescent="0.2">
      <c r="A249" s="26">
        <f t="shared" si="1"/>
        <v>2013.12</v>
      </c>
      <c r="B249" s="55">
        <v>687.65500000000009</v>
      </c>
      <c r="C249" s="56">
        <v>683.9365618265233</v>
      </c>
      <c r="E249" s="33"/>
      <c r="F249" s="31"/>
    </row>
    <row r="250" spans="1:6" x14ac:dyDescent="0.2">
      <c r="A250" s="26">
        <f t="shared" si="1"/>
        <v>2014.01</v>
      </c>
      <c r="B250" s="55">
        <v>688.58999999999992</v>
      </c>
      <c r="C250" s="56">
        <v>685.17425835398546</v>
      </c>
      <c r="E250" s="32"/>
      <c r="F250" s="31"/>
    </row>
    <row r="251" spans="1:6" x14ac:dyDescent="0.2">
      <c r="A251" s="26">
        <f t="shared" si="1"/>
        <v>2014.02</v>
      </c>
      <c r="B251" s="55">
        <v>684.23900000000003</v>
      </c>
      <c r="C251" s="56">
        <v>686.00917237367173</v>
      </c>
      <c r="E251" s="32"/>
      <c r="F251" s="31"/>
    </row>
    <row r="252" spans="1:6" x14ac:dyDescent="0.2">
      <c r="A252" s="26">
        <f t="shared" si="1"/>
        <v>2014.03</v>
      </c>
      <c r="B252" s="55">
        <v>678.83399999999995</v>
      </c>
      <c r="C252" s="56">
        <v>684.15729776060743</v>
      </c>
      <c r="E252" s="32"/>
      <c r="F252" s="31"/>
    </row>
    <row r="253" spans="1:6" x14ac:dyDescent="0.2">
      <c r="A253" s="26">
        <f t="shared" si="1"/>
        <v>2014.04</v>
      </c>
      <c r="B253" s="55">
        <v>679.24399999999991</v>
      </c>
      <c r="C253" s="56">
        <v>682.80037135804514</v>
      </c>
      <c r="E253" s="32"/>
      <c r="F253" s="31"/>
    </row>
    <row r="254" spans="1:6" x14ac:dyDescent="0.2">
      <c r="A254" s="26">
        <f t="shared" si="1"/>
        <v>2014.05</v>
      </c>
      <c r="B254" s="55">
        <v>682.88100000000009</v>
      </c>
      <c r="C254" s="56">
        <v>682.49999786704575</v>
      </c>
      <c r="E254" s="32"/>
      <c r="F254" s="31"/>
    </row>
    <row r="255" spans="1:6" x14ac:dyDescent="0.2">
      <c r="A255" s="26">
        <f t="shared" si="1"/>
        <v>2014.06</v>
      </c>
      <c r="B255" s="55">
        <v>682.96100000000001</v>
      </c>
      <c r="C255" s="56">
        <v>682.58895151621084</v>
      </c>
      <c r="E255" s="32"/>
      <c r="F255" s="31"/>
    </row>
    <row r="256" spans="1:6" x14ac:dyDescent="0.2">
      <c r="A256" s="26">
        <f t="shared" si="1"/>
        <v>2014.07</v>
      </c>
      <c r="B256" s="55">
        <v>684.69599999999991</v>
      </c>
      <c r="C256" s="56">
        <v>684.50315867395295</v>
      </c>
      <c r="E256" s="32"/>
      <c r="F256" s="31"/>
    </row>
    <row r="257" spans="1:6" x14ac:dyDescent="0.2">
      <c r="A257" s="26">
        <f t="shared" si="1"/>
        <v>2014.08</v>
      </c>
      <c r="B257" s="55">
        <v>684.40100000000007</v>
      </c>
      <c r="C257" s="56">
        <v>686.05803238913813</v>
      </c>
      <c r="E257" s="32"/>
      <c r="F257" s="31"/>
    </row>
    <row r="258" spans="1:6" x14ac:dyDescent="0.2">
      <c r="A258" s="26">
        <f t="shared" si="1"/>
        <v>2014.09</v>
      </c>
      <c r="B258" s="55">
        <v>685.17300000000012</v>
      </c>
      <c r="C258" s="56">
        <v>685.45992740359702</v>
      </c>
      <c r="E258" s="32"/>
      <c r="F258" s="31"/>
    </row>
    <row r="259" spans="1:6" x14ac:dyDescent="0.2">
      <c r="A259" s="26">
        <f t="shared" si="1"/>
        <v>2014.1</v>
      </c>
      <c r="B259" s="55">
        <v>685.98199999999997</v>
      </c>
      <c r="C259" s="56">
        <v>687.91809565766187</v>
      </c>
      <c r="E259" s="32"/>
      <c r="F259" s="31"/>
    </row>
    <row r="260" spans="1:6" x14ac:dyDescent="0.2">
      <c r="A260" s="26">
        <f t="shared" si="1"/>
        <v>2014.11</v>
      </c>
      <c r="B260" s="55">
        <v>690.37</v>
      </c>
      <c r="C260" s="56">
        <v>688.16172055645018</v>
      </c>
      <c r="E260" s="32"/>
      <c r="F260" s="31"/>
    </row>
    <row r="261" spans="1:6" x14ac:dyDescent="0.2">
      <c r="A261" s="26">
        <f t="shared" si="1"/>
        <v>2014.12</v>
      </c>
      <c r="B261" s="55">
        <v>692.79</v>
      </c>
      <c r="C261" s="56">
        <v>688.94139412188292</v>
      </c>
      <c r="E261" s="33"/>
      <c r="F261" s="31"/>
    </row>
    <row r="262" spans="1:6" x14ac:dyDescent="0.2">
      <c r="A262" s="26">
        <f t="shared" si="1"/>
        <v>2015.01</v>
      </c>
      <c r="B262" s="55">
        <v>693.01899999999989</v>
      </c>
      <c r="C262" s="56">
        <v>690.13484683875868</v>
      </c>
      <c r="E262" s="32"/>
      <c r="F262" s="31"/>
    </row>
    <row r="263" spans="1:6" x14ac:dyDescent="0.2">
      <c r="A263" s="26">
        <f t="shared" si="1"/>
        <v>2015.02</v>
      </c>
      <c r="B263" s="55">
        <v>688.92399999999998</v>
      </c>
      <c r="C263" s="56">
        <v>691.67180680375645</v>
      </c>
      <c r="E263" s="32"/>
      <c r="F263" s="31"/>
    </row>
    <row r="264" spans="1:6" x14ac:dyDescent="0.2">
      <c r="A264" s="26">
        <f t="shared" si="1"/>
        <v>2015.03</v>
      </c>
      <c r="B264" s="55">
        <v>688.02799999999991</v>
      </c>
      <c r="C264" s="56">
        <v>693.13307027916358</v>
      </c>
      <c r="E264" s="32"/>
      <c r="F264" s="31"/>
    </row>
    <row r="265" spans="1:6" x14ac:dyDescent="0.2">
      <c r="A265" s="26">
        <f t="shared" si="1"/>
        <v>2015.04</v>
      </c>
      <c r="B265" s="55">
        <v>695.41000000000008</v>
      </c>
      <c r="C265" s="56">
        <v>695.60432056225932</v>
      </c>
      <c r="E265" s="32"/>
      <c r="F265" s="31"/>
    </row>
    <row r="266" spans="1:6" x14ac:dyDescent="0.2">
      <c r="A266" s="26">
        <f t="shared" si="1"/>
        <v>2015.05</v>
      </c>
      <c r="B266" s="55">
        <v>700.99199999999996</v>
      </c>
      <c r="C266" s="56">
        <v>698.91364264130721</v>
      </c>
      <c r="E266" s="32"/>
      <c r="F266" s="31"/>
    </row>
    <row r="267" spans="1:6" x14ac:dyDescent="0.2">
      <c r="A267" s="26">
        <f t="shared" si="1"/>
        <v>2015.06</v>
      </c>
      <c r="B267" s="55">
        <v>701.57</v>
      </c>
      <c r="C267" s="56">
        <v>701.12186282989887</v>
      </c>
      <c r="E267" s="32"/>
      <c r="F267" s="31"/>
    </row>
    <row r="268" spans="1:6" x14ac:dyDescent="0.2">
      <c r="A268" s="26">
        <f t="shared" si="1"/>
        <v>2015.07</v>
      </c>
      <c r="B268" s="55">
        <v>706.255</v>
      </c>
      <c r="C268" s="56">
        <v>704.72665031926329</v>
      </c>
      <c r="E268" s="32"/>
      <c r="F268" s="31"/>
    </row>
    <row r="269" spans="1:6" x14ac:dyDescent="0.2">
      <c r="A269" s="26">
        <f t="shared" si="1"/>
        <v>2015.08</v>
      </c>
      <c r="B269" s="55">
        <v>703.98399999999992</v>
      </c>
      <c r="C269" s="56">
        <v>705.80022971416861</v>
      </c>
      <c r="E269" s="32"/>
      <c r="F269" s="31"/>
    </row>
    <row r="270" spans="1:6" x14ac:dyDescent="0.2">
      <c r="A270" s="26">
        <f t="shared" si="1"/>
        <v>2015.09</v>
      </c>
      <c r="B270" s="55">
        <v>706.89100000000008</v>
      </c>
      <c r="C270" s="56">
        <v>707.09901534521521</v>
      </c>
      <c r="E270" s="32"/>
      <c r="F270" s="31"/>
    </row>
    <row r="271" spans="1:6" x14ac:dyDescent="0.2">
      <c r="A271" s="26">
        <f t="shared" si="1"/>
        <v>2015.1</v>
      </c>
      <c r="B271" s="55">
        <v>705.62599999999998</v>
      </c>
      <c r="C271" s="56">
        <v>705.97555504995444</v>
      </c>
      <c r="E271" s="32"/>
      <c r="F271" s="31"/>
    </row>
    <row r="272" spans="1:6" x14ac:dyDescent="0.2">
      <c r="A272" s="26">
        <f t="shared" si="1"/>
        <v>2015.11</v>
      </c>
      <c r="B272" s="55">
        <v>710.21900000000005</v>
      </c>
      <c r="C272" s="56">
        <v>707.55863206927188</v>
      </c>
      <c r="E272" s="32"/>
      <c r="F272" s="31"/>
    </row>
    <row r="273" spans="1:6" x14ac:dyDescent="0.2">
      <c r="A273" s="26">
        <f t="shared" si="1"/>
        <v>2015.12</v>
      </c>
      <c r="B273" s="55">
        <v>710.63499999999999</v>
      </c>
      <c r="C273" s="56">
        <v>706.71070644171334</v>
      </c>
      <c r="E273" s="32"/>
      <c r="F273" s="31"/>
    </row>
    <row r="274" spans="1:6" x14ac:dyDescent="0.2">
      <c r="A274" s="26">
        <f t="shared" si="1"/>
        <v>2016.01</v>
      </c>
      <c r="B274" s="55">
        <v>707.58600000000001</v>
      </c>
      <c r="C274" s="56">
        <v>704.15496289046087</v>
      </c>
      <c r="E274" s="32"/>
      <c r="F274" s="31"/>
    </row>
    <row r="275" spans="1:6" x14ac:dyDescent="0.2">
      <c r="A275" s="26">
        <f t="shared" si="1"/>
        <v>2016.02</v>
      </c>
      <c r="B275" s="55">
        <v>701.13300000000004</v>
      </c>
      <c r="C275" s="56">
        <v>704.25598319604524</v>
      </c>
      <c r="E275" s="32"/>
      <c r="F275" s="31"/>
    </row>
    <row r="276" spans="1:6" x14ac:dyDescent="0.2">
      <c r="A276" s="26">
        <f t="shared" si="1"/>
        <v>2016.03</v>
      </c>
      <c r="B276" s="55">
        <v>700.81200000000001</v>
      </c>
      <c r="C276" s="56">
        <v>705.51744327533072</v>
      </c>
      <c r="E276" s="32"/>
      <c r="F276" s="31"/>
    </row>
    <row r="277" spans="1:6" x14ac:dyDescent="0.2">
      <c r="A277" s="26">
        <f t="shared" si="1"/>
        <v>2016.04</v>
      </c>
      <c r="B277" s="55">
        <v>705.44099999999992</v>
      </c>
      <c r="C277" s="56">
        <v>705.49402327272867</v>
      </c>
      <c r="E277" s="32"/>
      <c r="F277" s="31"/>
    </row>
    <row r="278" spans="1:6" x14ac:dyDescent="0.2">
      <c r="A278" s="26">
        <f t="shared" si="1"/>
        <v>2016.05</v>
      </c>
      <c r="B278" s="55">
        <v>703.95400000000006</v>
      </c>
      <c r="C278" s="56">
        <v>704.32664869210055</v>
      </c>
      <c r="E278" s="33"/>
      <c r="F278" s="31"/>
    </row>
    <row r="279" spans="1:6" x14ac:dyDescent="0.2">
      <c r="A279" s="26">
        <f t="shared" si="1"/>
        <v>2016.06</v>
      </c>
      <c r="B279" s="55">
        <v>703.82399999999996</v>
      </c>
      <c r="C279" s="56">
        <v>703.43812055489548</v>
      </c>
      <c r="E279" s="32"/>
      <c r="F279" s="31"/>
    </row>
    <row r="280" spans="1:6" x14ac:dyDescent="0.2">
      <c r="A280" s="26">
        <f t="shared" si="1"/>
        <v>2016.07</v>
      </c>
      <c r="B280" s="55">
        <v>703.87</v>
      </c>
      <c r="C280" s="56">
        <v>703.8778229520085</v>
      </c>
      <c r="E280" s="33"/>
      <c r="F280" s="31"/>
    </row>
    <row r="281" spans="1:6" x14ac:dyDescent="0.2">
      <c r="A281" s="26">
        <f t="shared" si="1"/>
        <v>2016.08</v>
      </c>
      <c r="B281" s="55">
        <v>699.31600000000003</v>
      </c>
      <c r="C281" s="56">
        <v>702.21280365316341</v>
      </c>
      <c r="E281" s="32"/>
      <c r="F281" s="31"/>
    </row>
    <row r="282" spans="1:6" x14ac:dyDescent="0.2">
      <c r="A282" s="26">
        <f t="shared" si="1"/>
        <v>2016.09</v>
      </c>
      <c r="B282" s="55">
        <v>702.96199999999999</v>
      </c>
      <c r="C282" s="56">
        <v>702.90116175516982</v>
      </c>
      <c r="E282" s="32"/>
      <c r="F282" s="31"/>
    </row>
    <row r="283" spans="1:6" x14ac:dyDescent="0.2">
      <c r="A283" s="26">
        <f t="shared" si="1"/>
        <v>2016.1</v>
      </c>
      <c r="B283" s="55">
        <v>704.21600000000001</v>
      </c>
      <c r="C283" s="56">
        <v>704.19079258817669</v>
      </c>
      <c r="E283" s="32"/>
      <c r="F283" s="31"/>
    </row>
    <row r="284" spans="1:6" x14ac:dyDescent="0.2">
      <c r="A284" s="26">
        <f t="shared" si="1"/>
        <v>2016.11</v>
      </c>
      <c r="B284" s="55">
        <v>706.53800000000001</v>
      </c>
      <c r="C284" s="56">
        <v>703.53152641746999</v>
      </c>
      <c r="E284" s="32"/>
      <c r="F284" s="31"/>
    </row>
    <row r="285" spans="1:6" x14ac:dyDescent="0.2">
      <c r="A285" s="26">
        <f t="shared" si="1"/>
        <v>2016.12</v>
      </c>
      <c r="B285" s="55">
        <v>710.00900000000001</v>
      </c>
      <c r="C285" s="56">
        <v>706.05056932133539</v>
      </c>
      <c r="E285" s="32"/>
      <c r="F285" s="31"/>
    </row>
    <row r="286" spans="1:6" x14ac:dyDescent="0.2">
      <c r="A286" s="26">
        <f t="shared" si="1"/>
        <v>2017.01</v>
      </c>
      <c r="B286" s="55">
        <v>711.44800000000009</v>
      </c>
      <c r="C286" s="56">
        <v>708.38159777732915</v>
      </c>
      <c r="E286" s="32"/>
      <c r="F286" s="31"/>
    </row>
    <row r="287" spans="1:6" x14ac:dyDescent="0.2">
      <c r="A287" s="26">
        <f t="shared" si="1"/>
        <v>2017.02</v>
      </c>
      <c r="B287" s="55">
        <v>705.57899999999995</v>
      </c>
      <c r="C287" s="56">
        <v>708.91510896207456</v>
      </c>
      <c r="E287" s="32"/>
      <c r="F287" s="31"/>
    </row>
    <row r="288" spans="1:6" x14ac:dyDescent="0.2">
      <c r="A288" s="26">
        <f t="shared" si="1"/>
        <v>2017.03</v>
      </c>
      <c r="B288" s="55">
        <v>706.42200000000003</v>
      </c>
      <c r="C288" s="56">
        <v>710.62915534711692</v>
      </c>
      <c r="E288" s="32"/>
      <c r="F288" s="31"/>
    </row>
    <row r="289" spans="1:6" x14ac:dyDescent="0.2">
      <c r="A289" s="26">
        <f t="shared" si="1"/>
        <v>2017.04</v>
      </c>
      <c r="B289" s="55">
        <v>711.90300000000002</v>
      </c>
      <c r="C289" s="56">
        <v>711.78767308923022</v>
      </c>
      <c r="E289" s="32"/>
      <c r="F289" s="31"/>
    </row>
    <row r="290" spans="1:6" x14ac:dyDescent="0.2">
      <c r="A290" s="26">
        <f t="shared" si="1"/>
        <v>2017.05</v>
      </c>
      <c r="B290" s="55">
        <v>709.01400000000001</v>
      </c>
      <c r="C290" s="56">
        <v>711.31923068522053</v>
      </c>
      <c r="E290" s="32"/>
      <c r="F290" s="31"/>
    </row>
    <row r="291" spans="1:6" x14ac:dyDescent="0.2">
      <c r="A291" s="26">
        <f t="shared" si="1"/>
        <v>2017.06</v>
      </c>
      <c r="B291" s="55">
        <v>713.67200000000014</v>
      </c>
      <c r="C291" s="56">
        <v>713.42987244080905</v>
      </c>
      <c r="E291" s="32"/>
      <c r="F291" s="31"/>
    </row>
    <row r="292" spans="1:6" x14ac:dyDescent="0.2">
      <c r="A292" s="26">
        <f t="shared" si="1"/>
        <v>2017.07</v>
      </c>
      <c r="B292" s="55">
        <v>711.71299999999997</v>
      </c>
      <c r="C292" s="56">
        <v>712.02308184471838</v>
      </c>
      <c r="E292" s="32"/>
      <c r="F292" s="31"/>
    </row>
    <row r="293" spans="1:6" x14ac:dyDescent="0.2">
      <c r="A293" s="26">
        <f t="shared" si="1"/>
        <v>2017.08</v>
      </c>
      <c r="B293" s="55">
        <v>709.2890000000001</v>
      </c>
      <c r="C293" s="56">
        <v>712.68207642197035</v>
      </c>
      <c r="E293" s="32"/>
      <c r="F293" s="31"/>
    </row>
    <row r="294" spans="1:6" x14ac:dyDescent="0.2">
      <c r="A294" s="26">
        <f t="shared" si="1"/>
        <v>2017.09</v>
      </c>
      <c r="B294" s="55">
        <v>715.50599999999997</v>
      </c>
      <c r="C294" s="56">
        <v>713.27791414857984</v>
      </c>
      <c r="E294" s="32"/>
      <c r="F294" s="31"/>
    </row>
    <row r="295" spans="1:6" x14ac:dyDescent="0.2">
      <c r="A295" s="26">
        <f t="shared" si="1"/>
        <v>2017.1</v>
      </c>
      <c r="B295" s="55">
        <v>714.53200000000004</v>
      </c>
      <c r="C295" s="56">
        <v>714.30559434788893</v>
      </c>
      <c r="E295" s="32"/>
      <c r="F295" s="31"/>
    </row>
    <row r="296" spans="1:6" x14ac:dyDescent="0.2">
      <c r="A296" s="26">
        <f t="shared" si="1"/>
        <v>2017.11</v>
      </c>
      <c r="B296" s="55">
        <v>722.18700000000001</v>
      </c>
      <c r="C296" s="56">
        <v>716.84363297913853</v>
      </c>
      <c r="E296" s="32"/>
      <c r="F296" s="31"/>
    </row>
    <row r="297" spans="1:6" x14ac:dyDescent="0.2">
      <c r="A297" s="26">
        <f t="shared" si="1"/>
        <v>2017.12</v>
      </c>
      <c r="B297" s="55">
        <v>722.35300000000007</v>
      </c>
      <c r="C297" s="56">
        <v>718.53430714160868</v>
      </c>
      <c r="E297" s="32"/>
      <c r="F297" s="31"/>
    </row>
    <row r="298" spans="1:6" x14ac:dyDescent="0.2">
      <c r="A298" s="26">
        <f t="shared" si="1"/>
        <v>2018.01</v>
      </c>
      <c r="B298" s="55">
        <v>721.08400000000006</v>
      </c>
      <c r="C298" s="56">
        <v>718.33177982429186</v>
      </c>
      <c r="E298" s="32"/>
      <c r="F298" s="31"/>
    </row>
    <row r="299" spans="1:6" x14ac:dyDescent="0.2">
      <c r="A299" s="26">
        <f t="shared" si="1"/>
        <v>2018.02</v>
      </c>
      <c r="B299" s="55">
        <v>713.47500000000002</v>
      </c>
      <c r="C299" s="56">
        <v>716.80874130156462</v>
      </c>
      <c r="E299" s="32"/>
      <c r="F299" s="31"/>
    </row>
    <row r="300" spans="1:6" x14ac:dyDescent="0.2">
      <c r="A300" s="26">
        <f t="shared" si="1"/>
        <v>2018.03</v>
      </c>
      <c r="B300" s="55">
        <v>712.03700000000003</v>
      </c>
      <c r="C300" s="56">
        <v>715.81160209817654</v>
      </c>
      <c r="E300" s="32"/>
      <c r="F300" s="31"/>
    </row>
    <row r="301" spans="1:6" x14ac:dyDescent="0.2">
      <c r="A301" s="26">
        <f t="shared" si="1"/>
        <v>2018.04</v>
      </c>
      <c r="B301" s="55">
        <v>716.13200000000006</v>
      </c>
      <c r="C301" s="56">
        <v>715.80008670564735</v>
      </c>
      <c r="E301" s="32"/>
      <c r="F301" s="31"/>
    </row>
    <row r="302" spans="1:6" x14ac:dyDescent="0.2">
      <c r="A302" s="26">
        <f t="shared" si="1"/>
        <v>2018.05</v>
      </c>
      <c r="B302" s="55">
        <v>714.58999999999992</v>
      </c>
      <c r="C302" s="56">
        <v>715.21504311893625</v>
      </c>
      <c r="E302" s="32"/>
      <c r="F302" s="31"/>
    </row>
    <row r="303" spans="1:6" x14ac:dyDescent="0.2">
      <c r="A303" s="26">
        <f t="shared" si="1"/>
        <v>2018.06</v>
      </c>
      <c r="B303" s="55">
        <v>717.06500000000005</v>
      </c>
      <c r="C303" s="56">
        <v>717.11694044516128</v>
      </c>
      <c r="E303" s="32"/>
      <c r="F303" s="31"/>
    </row>
    <row r="304" spans="1:6" x14ac:dyDescent="0.2">
      <c r="A304" s="26">
        <f t="shared" si="1"/>
        <v>2018.07</v>
      </c>
      <c r="B304" s="55">
        <v>712.99400000000003</v>
      </c>
      <c r="C304" s="56">
        <v>713.75297628978342</v>
      </c>
      <c r="E304" s="32"/>
      <c r="F304" s="31"/>
    </row>
    <row r="305" spans="1:7" x14ac:dyDescent="0.2">
      <c r="A305" s="26">
        <f t="shared" si="1"/>
        <v>2018.08</v>
      </c>
      <c r="B305" s="55">
        <v>710.87</v>
      </c>
      <c r="C305" s="56">
        <v>713.2524870455178</v>
      </c>
      <c r="E305" s="32"/>
      <c r="F305" s="31"/>
    </row>
    <row r="306" spans="1:7" x14ac:dyDescent="0.2">
      <c r="A306" s="26">
        <f t="shared" ref="A306:A369" si="2">A294+1</f>
        <v>2018.09</v>
      </c>
      <c r="B306" s="55">
        <v>716.26700000000005</v>
      </c>
      <c r="C306" s="56">
        <v>712.9232329879336</v>
      </c>
      <c r="E306" s="32"/>
      <c r="F306" s="31"/>
    </row>
    <row r="307" spans="1:7" x14ac:dyDescent="0.2">
      <c r="A307" s="26">
        <f t="shared" si="2"/>
        <v>2018.1</v>
      </c>
      <c r="B307" s="55">
        <v>713.64200000000005</v>
      </c>
      <c r="C307" s="56">
        <v>713.19603733449708</v>
      </c>
      <c r="E307" s="32"/>
      <c r="F307" s="31"/>
    </row>
    <row r="308" spans="1:7" x14ac:dyDescent="0.2">
      <c r="A308" s="26">
        <f t="shared" si="2"/>
        <v>2018.11</v>
      </c>
      <c r="B308" s="55">
        <v>715.06699999999989</v>
      </c>
      <c r="C308" s="56">
        <v>711.74047050214858</v>
      </c>
      <c r="E308" s="32"/>
      <c r="F308" s="31"/>
    </row>
    <row r="309" spans="1:7" x14ac:dyDescent="0.2">
      <c r="A309" s="26">
        <f t="shared" si="2"/>
        <v>2018.12</v>
      </c>
      <c r="B309" s="55">
        <v>711.87</v>
      </c>
      <c r="C309" s="56">
        <v>708.19505268224623</v>
      </c>
      <c r="E309" s="33"/>
      <c r="F309" s="31"/>
      <c r="G309" s="28"/>
    </row>
    <row r="310" spans="1:7" ht="14.25" x14ac:dyDescent="0.2">
      <c r="A310" s="26">
        <f t="shared" si="2"/>
        <v>2019.01</v>
      </c>
      <c r="B310" s="55">
        <v>710.22399999999993</v>
      </c>
      <c r="C310" s="56">
        <v>707.79077508123464</v>
      </c>
      <c r="E310" s="35"/>
      <c r="F310" s="36"/>
    </row>
    <row r="311" spans="1:7" ht="14.25" x14ac:dyDescent="0.2">
      <c r="A311" s="26">
        <f t="shared" si="2"/>
        <v>2019.02</v>
      </c>
      <c r="B311" s="55">
        <v>703.37300000000005</v>
      </c>
      <c r="C311" s="56">
        <v>706.40638267015686</v>
      </c>
      <c r="E311" s="35"/>
      <c r="F311" s="36"/>
    </row>
    <row r="312" spans="1:7" ht="14.25" x14ac:dyDescent="0.2">
      <c r="A312" s="26">
        <f t="shared" si="2"/>
        <v>2019.03</v>
      </c>
      <c r="B312" s="55">
        <v>704.94299999999998</v>
      </c>
      <c r="C312" s="56">
        <v>708.52101422168369</v>
      </c>
      <c r="E312" s="35"/>
      <c r="F312" s="36"/>
    </row>
    <row r="313" spans="1:7" ht="14.25" x14ac:dyDescent="0.2">
      <c r="A313" s="26">
        <f t="shared" si="2"/>
        <v>2019.04</v>
      </c>
      <c r="B313" s="55">
        <v>704.87300000000005</v>
      </c>
      <c r="C313" s="56">
        <v>707.49138923609189</v>
      </c>
      <c r="E313" s="35"/>
      <c r="F313" s="36"/>
    </row>
    <row r="314" spans="1:7" ht="14.25" x14ac:dyDescent="0.2">
      <c r="A314" s="26">
        <f t="shared" si="2"/>
        <v>2019.05</v>
      </c>
      <c r="B314" s="55">
        <v>708.80700000000002</v>
      </c>
      <c r="C314" s="56">
        <v>708.53950602622217</v>
      </c>
      <c r="E314" s="35"/>
      <c r="F314" s="36"/>
    </row>
    <row r="315" spans="1:7" ht="14.25" x14ac:dyDescent="0.2">
      <c r="A315" s="26">
        <f t="shared" si="2"/>
        <v>2019.06</v>
      </c>
      <c r="B315" s="55">
        <v>706.14799999999991</v>
      </c>
      <c r="C315" s="56">
        <v>706.52042287097925</v>
      </c>
      <c r="E315" s="35"/>
      <c r="F315" s="36"/>
    </row>
    <row r="316" spans="1:7" ht="14.25" x14ac:dyDescent="0.2">
      <c r="A316" s="26">
        <f t="shared" si="2"/>
        <v>2019.07</v>
      </c>
      <c r="B316" s="55">
        <v>707.61300000000006</v>
      </c>
      <c r="C316" s="56">
        <v>709.77687322689269</v>
      </c>
      <c r="E316" s="35"/>
      <c r="F316" s="36"/>
    </row>
    <row r="317" spans="1:7" ht="14.25" x14ac:dyDescent="0.2">
      <c r="A317" s="26">
        <f t="shared" si="2"/>
        <v>2019.08</v>
      </c>
      <c r="B317" s="55">
        <v>705.81600000000003</v>
      </c>
      <c r="C317" s="56">
        <v>707.30557465567233</v>
      </c>
      <c r="E317" s="35"/>
      <c r="F317" s="36"/>
    </row>
    <row r="318" spans="1:7" ht="14.25" x14ac:dyDescent="0.2">
      <c r="A318" s="26">
        <f t="shared" si="2"/>
        <v>2019.09</v>
      </c>
      <c r="B318" s="55">
        <v>711.61500000000001</v>
      </c>
      <c r="C318" s="56">
        <v>708.29954470819416</v>
      </c>
      <c r="E318" s="35"/>
      <c r="F318" s="36"/>
    </row>
    <row r="319" spans="1:7" ht="14.25" x14ac:dyDescent="0.2">
      <c r="A319" s="26">
        <f t="shared" si="2"/>
        <v>2019.1</v>
      </c>
      <c r="B319" s="55">
        <v>705.64499999999998</v>
      </c>
      <c r="C319" s="56">
        <v>705.47026343052528</v>
      </c>
      <c r="E319" s="35"/>
      <c r="F319" s="36"/>
    </row>
    <row r="320" spans="1:7" ht="14.25" x14ac:dyDescent="0.2">
      <c r="A320" s="26">
        <f t="shared" si="2"/>
        <v>2019.11</v>
      </c>
      <c r="B320" s="55">
        <v>708.36149999999998</v>
      </c>
      <c r="C320" s="56">
        <v>703.04106921873506</v>
      </c>
      <c r="E320" s="35"/>
      <c r="F320" s="36"/>
    </row>
    <row r="321" spans="1:7" ht="14.25" x14ac:dyDescent="0.2">
      <c r="A321" s="26">
        <f t="shared" si="2"/>
        <v>2019.12</v>
      </c>
      <c r="B321" s="55">
        <v>703.88499999999999</v>
      </c>
      <c r="C321" s="56">
        <v>700.33168770011548</v>
      </c>
      <c r="E321" s="38"/>
      <c r="F321" s="36"/>
      <c r="G321" s="34"/>
    </row>
    <row r="322" spans="1:7" x14ac:dyDescent="0.2">
      <c r="A322" s="26">
        <f t="shared" si="2"/>
        <v>2020.01</v>
      </c>
      <c r="B322" s="55">
        <v>699.30499999999995</v>
      </c>
      <c r="C322" s="56">
        <v>697.20843637309747</v>
      </c>
      <c r="E322" s="37"/>
      <c r="F322" s="37"/>
    </row>
    <row r="323" spans="1:7" x14ac:dyDescent="0.2">
      <c r="A323" s="26">
        <f t="shared" si="2"/>
        <v>2020.02</v>
      </c>
      <c r="B323" s="55">
        <v>694.02700000000004</v>
      </c>
      <c r="C323" s="56">
        <v>696.22163555180737</v>
      </c>
    </row>
    <row r="324" spans="1:7" x14ac:dyDescent="0.2">
      <c r="A324" s="26">
        <f t="shared" si="2"/>
        <v>2020.03</v>
      </c>
      <c r="B324" s="55">
        <v>691.16000000000008</v>
      </c>
      <c r="C324" s="56">
        <v>691.98496153210408</v>
      </c>
    </row>
    <row r="325" spans="1:7" x14ac:dyDescent="0.2">
      <c r="A325" s="26">
        <f t="shared" si="2"/>
        <v>2020.04</v>
      </c>
      <c r="B325" s="55">
        <v>688.91700000000003</v>
      </c>
      <c r="C325" s="56">
        <v>688.47421677493071</v>
      </c>
    </row>
    <row r="326" spans="1:7" x14ac:dyDescent="0.2">
      <c r="A326" s="26">
        <f t="shared" si="2"/>
        <v>2020.05</v>
      </c>
      <c r="B326" s="55">
        <v>680.31600000000003</v>
      </c>
      <c r="C326" s="56">
        <v>684.9186955187854</v>
      </c>
    </row>
    <row r="327" spans="1:7" x14ac:dyDescent="0.2">
      <c r="A327" s="26">
        <f t="shared" si="2"/>
        <v>2020.06</v>
      </c>
      <c r="B327" s="55">
        <v>679.35599999999999</v>
      </c>
      <c r="C327" s="56">
        <v>682.15210342394016</v>
      </c>
    </row>
    <row r="328" spans="1:7" x14ac:dyDescent="0.2">
      <c r="A328" s="26">
        <f t="shared" si="2"/>
        <v>2020.07</v>
      </c>
      <c r="B328" s="55">
        <v>679.3</v>
      </c>
      <c r="C328" s="56">
        <v>680.67396542428833</v>
      </c>
    </row>
    <row r="329" spans="1:7" x14ac:dyDescent="0.2">
      <c r="A329" s="26">
        <f t="shared" si="2"/>
        <v>2020.08</v>
      </c>
      <c r="B329" s="55">
        <v>680.73399999999992</v>
      </c>
      <c r="C329" s="56">
        <v>682.24197939555006</v>
      </c>
    </row>
    <row r="330" spans="1:7" x14ac:dyDescent="0.2">
      <c r="A330" s="26">
        <f t="shared" si="2"/>
        <v>2020.09</v>
      </c>
      <c r="B330" s="55">
        <v>680.226</v>
      </c>
      <c r="C330" s="56">
        <v>680.07641596326437</v>
      </c>
    </row>
    <row r="331" spans="1:7" x14ac:dyDescent="0.2">
      <c r="A331" s="26">
        <f t="shared" si="2"/>
        <v>2020.1</v>
      </c>
      <c r="B331" s="55">
        <v>681.37199999999996</v>
      </c>
      <c r="C331" s="56">
        <v>680.42752866174703</v>
      </c>
    </row>
    <row r="332" spans="1:7" x14ac:dyDescent="0.2">
      <c r="A332" s="26">
        <f t="shared" si="2"/>
        <v>2020.11</v>
      </c>
      <c r="B332" s="55">
        <v>684.84299999999996</v>
      </c>
      <c r="C332" s="56">
        <v>681.7789963171615</v>
      </c>
    </row>
    <row r="333" spans="1:7" x14ac:dyDescent="0.2">
      <c r="A333" s="26">
        <f t="shared" si="2"/>
        <v>2020.12</v>
      </c>
      <c r="B333" s="55">
        <v>686.67499999999995</v>
      </c>
      <c r="C333" s="56">
        <v>683.03444837067013</v>
      </c>
    </row>
    <row r="334" spans="1:7" x14ac:dyDescent="0.2">
      <c r="A334" s="26">
        <f t="shared" si="2"/>
        <v>2021.01</v>
      </c>
      <c r="B334" s="55">
        <v>688.07199999999989</v>
      </c>
      <c r="C334" s="56">
        <v>686.27477828809936</v>
      </c>
      <c r="E334" s="28"/>
    </row>
    <row r="335" spans="1:7" x14ac:dyDescent="0.2">
      <c r="A335" s="26">
        <f t="shared" si="2"/>
        <v>2021.02</v>
      </c>
      <c r="B335" s="55">
        <v>688.10699999999997</v>
      </c>
      <c r="C335" s="56">
        <v>690.76869479716675</v>
      </c>
      <c r="E335" s="28"/>
      <c r="F335" s="28"/>
    </row>
    <row r="336" spans="1:7" x14ac:dyDescent="0.2">
      <c r="A336" s="26">
        <f t="shared" si="2"/>
        <v>2021.03</v>
      </c>
      <c r="B336" s="55">
        <v>690.68600000000004</v>
      </c>
      <c r="C336" s="56">
        <v>694.43860179366288</v>
      </c>
      <c r="E336" s="28"/>
      <c r="F336" s="28"/>
    </row>
    <row r="337" spans="1:6" x14ac:dyDescent="0.2">
      <c r="A337" s="26">
        <f t="shared" si="2"/>
        <v>2021.04</v>
      </c>
      <c r="B337" s="55">
        <v>696.70900000000006</v>
      </c>
      <c r="C337" s="56">
        <v>696.19966578439926</v>
      </c>
      <c r="E337" s="28"/>
      <c r="F337" s="28"/>
    </row>
    <row r="338" spans="1:6" x14ac:dyDescent="0.2">
      <c r="A338" s="26">
        <f t="shared" si="2"/>
        <v>2021.05</v>
      </c>
      <c r="B338" s="55">
        <v>699.40899999999999</v>
      </c>
      <c r="C338" s="56">
        <v>697.50428675766022</v>
      </c>
    </row>
    <row r="339" spans="1:6" x14ac:dyDescent="0.2">
      <c r="A339" s="26">
        <f t="shared" si="2"/>
        <v>2021.06</v>
      </c>
      <c r="B339" s="55">
        <v>697.71</v>
      </c>
      <c r="C339" s="56">
        <v>698.75689882789288</v>
      </c>
    </row>
    <row r="340" spans="1:6" x14ac:dyDescent="0.2">
      <c r="A340" s="26">
        <f t="shared" si="2"/>
        <v>2021.07</v>
      </c>
      <c r="B340" s="55">
        <v>696.5630000000001</v>
      </c>
      <c r="C340" s="56">
        <v>698.22738965534802</v>
      </c>
    </row>
    <row r="341" spans="1:6" x14ac:dyDescent="0.2">
      <c r="A341" s="26">
        <f t="shared" si="2"/>
        <v>2021.08</v>
      </c>
      <c r="B341" s="55">
        <v>697.24300000000005</v>
      </c>
      <c r="C341" s="56">
        <v>698.54207743479071</v>
      </c>
    </row>
    <row r="342" spans="1:6" x14ac:dyDescent="0.2">
      <c r="A342" s="26">
        <f t="shared" si="2"/>
        <v>2021.09</v>
      </c>
      <c r="B342" s="55">
        <v>700.86700000000008</v>
      </c>
      <c r="C342" s="56">
        <v>700.49147392848079</v>
      </c>
    </row>
    <row r="343" spans="1:6" x14ac:dyDescent="0.2">
      <c r="A343" s="26">
        <f t="shared" si="2"/>
        <v>2021.1</v>
      </c>
      <c r="B343" s="55">
        <v>705.68499999999995</v>
      </c>
      <c r="C343" s="56">
        <v>702.02513805484352</v>
      </c>
    </row>
    <row r="344" spans="1:6" x14ac:dyDescent="0.2">
      <c r="A344" s="26">
        <f t="shared" si="2"/>
        <v>2021.11</v>
      </c>
      <c r="B344" s="55">
        <v>703.34199999999987</v>
      </c>
      <c r="C344" s="56">
        <v>703.355952637889</v>
      </c>
    </row>
    <row r="345" spans="1:6" x14ac:dyDescent="0.2">
      <c r="A345" s="26">
        <f t="shared" si="2"/>
        <v>2021.12</v>
      </c>
      <c r="B345" s="55">
        <v>713.20100000000002</v>
      </c>
      <c r="C345" s="56">
        <v>706.46049410077103</v>
      </c>
    </row>
    <row r="346" spans="1:6" x14ac:dyDescent="0.2">
      <c r="A346" s="26">
        <f t="shared" si="2"/>
        <v>2022.01</v>
      </c>
      <c r="B346" s="55">
        <v>709.97</v>
      </c>
      <c r="C346" s="56">
        <v>708.21602917792347</v>
      </c>
    </row>
    <row r="347" spans="1:6" x14ac:dyDescent="0.2">
      <c r="A347" s="26">
        <f t="shared" si="2"/>
        <v>2022.02</v>
      </c>
      <c r="B347" s="55">
        <v>704.44600000000003</v>
      </c>
      <c r="C347" s="56">
        <v>708.34751239608045</v>
      </c>
    </row>
    <row r="348" spans="1:6" x14ac:dyDescent="0.2">
      <c r="A348" s="26">
        <f t="shared" si="2"/>
        <v>2022.03</v>
      </c>
      <c r="B348" s="55">
        <v>704.46800000000007</v>
      </c>
      <c r="C348" s="56">
        <v>708.56050326330808</v>
      </c>
    </row>
    <row r="349" spans="1:6" x14ac:dyDescent="0.2">
      <c r="A349" s="26">
        <f t="shared" si="2"/>
        <v>2022.04</v>
      </c>
      <c r="B349" s="55">
        <v>712.55500000000006</v>
      </c>
      <c r="C349" s="56">
        <v>712.00193519391587</v>
      </c>
    </row>
    <row r="350" spans="1:6" x14ac:dyDescent="0.2">
      <c r="A350" s="26">
        <f t="shared" si="2"/>
        <v>2022.05</v>
      </c>
      <c r="B350" s="55">
        <v>714.54399999999998</v>
      </c>
      <c r="C350" s="56">
        <v>714.55650076514053</v>
      </c>
    </row>
    <row r="351" spans="1:6" x14ac:dyDescent="0.2">
      <c r="A351" s="26">
        <f t="shared" si="2"/>
        <v>2022.06</v>
      </c>
      <c r="B351" s="55">
        <v>715.23</v>
      </c>
      <c r="C351" s="56">
        <v>716.29214321342852</v>
      </c>
    </row>
    <row r="352" spans="1:6" x14ac:dyDescent="0.2">
      <c r="A352" s="26">
        <f t="shared" si="2"/>
        <v>2022.07</v>
      </c>
      <c r="B352" s="55">
        <v>717.35100000000011</v>
      </c>
      <c r="C352" s="56">
        <v>719.1835262457214</v>
      </c>
    </row>
    <row r="353" spans="1:3" x14ac:dyDescent="0.2">
      <c r="A353" s="26">
        <f t="shared" si="2"/>
        <v>2022.08</v>
      </c>
      <c r="B353" s="55">
        <v>720.50600000000009</v>
      </c>
      <c r="C353" s="56">
        <v>721.82188892837712</v>
      </c>
    </row>
    <row r="354" spans="1:3" x14ac:dyDescent="0.2">
      <c r="A354" s="26">
        <f t="shared" si="2"/>
        <v>2022.09</v>
      </c>
      <c r="B354" s="55">
        <v>721.40200000000004</v>
      </c>
      <c r="C354" s="56">
        <v>721.08297596005866</v>
      </c>
    </row>
    <row r="355" spans="1:3" x14ac:dyDescent="0.2">
      <c r="A355" s="26">
        <f t="shared" si="2"/>
        <v>2022.1</v>
      </c>
      <c r="B355" s="55">
        <v>724.19600000000014</v>
      </c>
      <c r="C355" s="56">
        <v>722.84367764813135</v>
      </c>
    </row>
    <row r="356" spans="1:3" x14ac:dyDescent="0.2">
      <c r="A356" s="26">
        <f t="shared" si="2"/>
        <v>2022.11</v>
      </c>
      <c r="B356" s="55">
        <v>727.60799999999995</v>
      </c>
      <c r="C356" s="56">
        <v>724.57747041406287</v>
      </c>
    </row>
    <row r="357" spans="1:3" x14ac:dyDescent="0.2">
      <c r="A357" s="26">
        <f t="shared" si="2"/>
        <v>2022.12</v>
      </c>
      <c r="B357" s="55">
        <v>730.70699999999999</v>
      </c>
      <c r="C357" s="56">
        <v>726.26282392175585</v>
      </c>
    </row>
    <row r="358" spans="1:3" x14ac:dyDescent="0.2">
      <c r="A358" s="26">
        <f t="shared" si="2"/>
        <v>2023.01</v>
      </c>
      <c r="B358" s="55">
        <v>728.6099999999999</v>
      </c>
      <c r="C358" s="56">
        <v>726.69326308768973</v>
      </c>
    </row>
    <row r="359" spans="1:3" x14ac:dyDescent="0.2">
      <c r="A359" s="26">
        <f t="shared" si="2"/>
        <v>2023.02</v>
      </c>
      <c r="B359" s="55">
        <v>727.42100000000005</v>
      </c>
      <c r="C359" s="56">
        <v>729.60333838394104</v>
      </c>
    </row>
    <row r="360" spans="1:3" x14ac:dyDescent="0.2">
      <c r="A360" s="26">
        <f t="shared" si="2"/>
        <v>2023.03</v>
      </c>
      <c r="B360" s="55">
        <v>727.51300000000003</v>
      </c>
      <c r="C360" s="56">
        <v>732.02545725889706</v>
      </c>
    </row>
    <row r="361" spans="1:3" x14ac:dyDescent="0.2">
      <c r="A361" s="26">
        <f t="shared" si="2"/>
        <v>2023.04</v>
      </c>
      <c r="B361" s="55">
        <v>735.28499999999997</v>
      </c>
      <c r="C361" s="56">
        <v>734.70818493805461</v>
      </c>
    </row>
    <row r="362" spans="1:3" x14ac:dyDescent="0.2">
      <c r="A362" s="26">
        <f t="shared" si="2"/>
        <v>2023.05</v>
      </c>
      <c r="B362" s="55">
        <v>736.94800000000009</v>
      </c>
      <c r="C362" s="56">
        <v>738.04587561881408</v>
      </c>
    </row>
    <row r="363" spans="1:3" x14ac:dyDescent="0.2">
      <c r="A363" s="26">
        <f t="shared" si="2"/>
        <v>2023.06</v>
      </c>
      <c r="B363" s="55">
        <v>738.00199999999995</v>
      </c>
      <c r="C363" s="56">
        <v>740.88402433588953</v>
      </c>
    </row>
    <row r="364" spans="1:3" x14ac:dyDescent="0.2">
      <c r="A364" s="26">
        <f t="shared" si="2"/>
        <v>2023.07</v>
      </c>
      <c r="B364" s="55">
        <v>741.02500000000009</v>
      </c>
      <c r="C364" s="56">
        <v>743.3352229104222</v>
      </c>
    </row>
    <row r="365" spans="1:3" x14ac:dyDescent="0.2">
      <c r="A365" s="26">
        <f t="shared" si="2"/>
        <v>2023.08</v>
      </c>
      <c r="B365" s="55">
        <v>745.02500000000009</v>
      </c>
      <c r="C365" s="56">
        <v>746.43459350307853</v>
      </c>
    </row>
    <row r="366" spans="1:3" x14ac:dyDescent="0.2">
      <c r="A366" s="26">
        <f t="shared" si="2"/>
        <v>2023.09</v>
      </c>
      <c r="B366" s="55">
        <v>750.84100000000001</v>
      </c>
      <c r="C366" s="56">
        <v>749.39126332280671</v>
      </c>
    </row>
    <row r="367" spans="1:3" x14ac:dyDescent="0.2">
      <c r="A367" s="26">
        <f t="shared" si="2"/>
        <v>2023.1</v>
      </c>
      <c r="B367" s="55">
        <v>752.03800000000001</v>
      </c>
      <c r="C367" s="56">
        <v>750.48411839871028</v>
      </c>
    </row>
    <row r="368" spans="1:3" x14ac:dyDescent="0.2">
      <c r="A368" s="26">
        <f t="shared" si="2"/>
        <v>2023.11</v>
      </c>
      <c r="B368" s="55">
        <v>753.48200000000008</v>
      </c>
      <c r="C368" s="56">
        <v>750.44317334510822</v>
      </c>
    </row>
    <row r="369" spans="1:3" x14ac:dyDescent="0.2">
      <c r="A369" s="26">
        <f t="shared" si="2"/>
        <v>2023.12</v>
      </c>
      <c r="B369" s="55">
        <v>754.072</v>
      </c>
      <c r="C369" s="56">
        <v>749.2456003667827</v>
      </c>
    </row>
    <row r="370" spans="1:3" x14ac:dyDescent="0.2">
      <c r="A370" s="26">
        <f t="shared" ref="A370:A433" si="3">A358+1</f>
        <v>2024.01</v>
      </c>
      <c r="B370" s="55">
        <v>749.68700000000001</v>
      </c>
      <c r="C370" s="56">
        <v>747.64515300860273</v>
      </c>
    </row>
    <row r="371" spans="1:3" x14ac:dyDescent="0.2">
      <c r="A371" s="26">
        <f t="shared" si="3"/>
        <v>2024.02</v>
      </c>
      <c r="B371" s="55">
        <v>741.45100000000002</v>
      </c>
      <c r="C371" s="56">
        <v>744.77180755311031</v>
      </c>
    </row>
    <row r="372" spans="1:3" x14ac:dyDescent="0.2">
      <c r="A372" s="26">
        <f t="shared" si="3"/>
        <v>2024.03</v>
      </c>
      <c r="B372" s="55">
        <v>738.03599999999994</v>
      </c>
      <c r="C372" s="56">
        <v>742.53487003549355</v>
      </c>
    </row>
    <row r="373" spans="1:3" x14ac:dyDescent="0.2">
      <c r="A373" s="26">
        <f t="shared" si="3"/>
        <v>2024.04</v>
      </c>
      <c r="B373" s="55">
        <v>738.79300000000001</v>
      </c>
      <c r="C373" s="56">
        <v>740.14882877540833</v>
      </c>
    </row>
    <row r="374" spans="1:3" x14ac:dyDescent="0.2">
      <c r="A374" s="26">
        <f t="shared" si="3"/>
        <v>2024.05</v>
      </c>
      <c r="B374" s="55">
        <v>737.62499999999989</v>
      </c>
      <c r="C374" s="56">
        <v>737.54257375205941</v>
      </c>
    </row>
    <row r="375" spans="1:3" x14ac:dyDescent="0.2">
      <c r="A375" s="26">
        <f t="shared" si="3"/>
        <v>2024.06</v>
      </c>
      <c r="B375" s="55">
        <v>734.67099999999994</v>
      </c>
      <c r="C375" s="56">
        <v>735.23016372267307</v>
      </c>
    </row>
    <row r="376" spans="1:3" x14ac:dyDescent="0.2">
      <c r="A376" s="26">
        <f t="shared" si="3"/>
        <v>2024.07</v>
      </c>
      <c r="B376" s="55">
        <v>731.99499999999989</v>
      </c>
      <c r="C376" s="56">
        <v>733.43952738900089</v>
      </c>
    </row>
    <row r="377" spans="1:3" x14ac:dyDescent="0.2">
      <c r="A377" s="26">
        <f t="shared" si="3"/>
        <v>2024.08</v>
      </c>
      <c r="B377" s="55">
        <v>731.33200000000011</v>
      </c>
      <c r="C377" s="56">
        <v>733.00208868015068</v>
      </c>
    </row>
    <row r="378" spans="1:3" x14ac:dyDescent="0.2">
      <c r="A378" s="26">
        <f t="shared" si="3"/>
        <v>2024.09</v>
      </c>
      <c r="B378" s="55">
        <v>732.93399999999997</v>
      </c>
      <c r="C378" s="56">
        <v>732.82653811424359</v>
      </c>
    </row>
    <row r="379" spans="1:3" x14ac:dyDescent="0.2">
      <c r="A379" s="26">
        <f>A367+1</f>
        <v>2024.1</v>
      </c>
      <c r="B379" s="55">
        <v>734.3119999999999</v>
      </c>
      <c r="C379" s="56">
        <v>732.96467725864454</v>
      </c>
    </row>
    <row r="380" spans="1:3" x14ac:dyDescent="0.2">
      <c r="A380" s="26">
        <f t="shared" si="3"/>
        <v>2024.11</v>
      </c>
      <c r="B380" s="55">
        <v>737.8900000000001</v>
      </c>
      <c r="C380" s="56">
        <v>733.25295426311652</v>
      </c>
    </row>
    <row r="381" spans="1:3" x14ac:dyDescent="0.2">
      <c r="A381" s="26">
        <f t="shared" si="3"/>
        <v>2024.12</v>
      </c>
      <c r="B381" s="55">
        <v>739.24753333333308</v>
      </c>
      <c r="C381" s="56">
        <v>735.01142648784139</v>
      </c>
    </row>
    <row r="382" spans="1:3" x14ac:dyDescent="0.2">
      <c r="A382" s="26">
        <f t="shared" si="3"/>
        <v>2025.01</v>
      </c>
      <c r="B382" s="55">
        <v>736.82</v>
      </c>
      <c r="C382" s="56">
        <v>734.64791484475552</v>
      </c>
    </row>
    <row r="383" spans="1:3" x14ac:dyDescent="0.2">
      <c r="A383" s="26">
        <f t="shared" si="3"/>
        <v>2025.02</v>
      </c>
      <c r="B383" s="55">
        <v>731.34699999999998</v>
      </c>
      <c r="C383" s="56">
        <v>734.71066395305013</v>
      </c>
    </row>
    <row r="384" spans="1:3" x14ac:dyDescent="0.2">
      <c r="A384" s="26">
        <f t="shared" si="3"/>
        <v>2025.03</v>
      </c>
      <c r="B384" s="55">
        <v>730.83800000000008</v>
      </c>
      <c r="C384" s="56">
        <v>735.1894763526094</v>
      </c>
    </row>
    <row r="385" spans="1:3" x14ac:dyDescent="0.2">
      <c r="A385" s="26">
        <f t="shared" si="3"/>
        <v>2025.04</v>
      </c>
      <c r="B385" s="55">
        <v>734.53700000000003</v>
      </c>
      <c r="C385" s="56">
        <v>735.84054077145368</v>
      </c>
    </row>
    <row r="386" spans="1:3" x14ac:dyDescent="0.2">
      <c r="A386" s="26">
        <f t="shared" si="3"/>
        <v>2025.05</v>
      </c>
      <c r="B386" s="55">
        <v>739.09</v>
      </c>
      <c r="C386" s="56">
        <v>737.01214121245312</v>
      </c>
    </row>
    <row r="387" spans="1:3" x14ac:dyDescent="0.2">
      <c r="A387" s="26">
        <f t="shared" si="3"/>
        <v>2025.06</v>
      </c>
      <c r="B387" s="55">
        <v>737.65800000000002</v>
      </c>
      <c r="C387" s="56">
        <v>737.95064169555144</v>
      </c>
    </row>
    <row r="388" spans="1:3" x14ac:dyDescent="0.2">
      <c r="A388" s="26">
        <f t="shared" si="3"/>
        <v>2025.07</v>
      </c>
      <c r="B388" s="55">
        <v>739.27699999999993</v>
      </c>
      <c r="C388" s="56">
        <v>738.66101459234642</v>
      </c>
    </row>
    <row r="389" spans="1:3" x14ac:dyDescent="0.2">
      <c r="A389" s="26">
        <f t="shared" si="3"/>
        <v>2025.08</v>
      </c>
      <c r="B389" s="55">
        <v>735.95300000000009</v>
      </c>
      <c r="C389" s="56">
        <v>737.9184984499235</v>
      </c>
    </row>
    <row r="390" spans="1:3" x14ac:dyDescent="0.2">
      <c r="A390" s="26">
        <f t="shared" si="3"/>
        <v>2025.09</v>
      </c>
      <c r="B390" s="55">
        <v>736.24</v>
      </c>
      <c r="C390" s="56">
        <v>736.94866307372797</v>
      </c>
    </row>
    <row r="391" spans="1:3" x14ac:dyDescent="0.2">
      <c r="A391" s="26">
        <f t="shared" si="3"/>
        <v>2025.1</v>
      </c>
      <c r="B391" s="55">
        <v>737.72199999999998</v>
      </c>
      <c r="C391" s="56">
        <v>736.81884090694541</v>
      </c>
    </row>
    <row r="392" spans="1:3" x14ac:dyDescent="0.2">
      <c r="A392" s="26">
        <f t="shared" si="3"/>
        <v>2025.11</v>
      </c>
      <c r="B392" s="55">
        <v>741.47400000000005</v>
      </c>
      <c r="C392" s="56">
        <v>736.02353572383686</v>
      </c>
    </row>
    <row r="393" spans="1:3" x14ac:dyDescent="0.2">
      <c r="A393" s="26">
        <f t="shared" si="3"/>
        <v>2025.12</v>
      </c>
      <c r="B393" s="55">
        <v>738.85876666666695</v>
      </c>
      <c r="C393" s="56">
        <v>734.91206249555387</v>
      </c>
    </row>
    <row r="394" spans="1:3" x14ac:dyDescent="0.2">
      <c r="A394" s="26">
        <f t="shared" si="3"/>
        <v>2026.01</v>
      </c>
      <c r="B394" s="55">
        <v>738.800518643082</v>
      </c>
      <c r="C394" s="56">
        <v>736.6375814033604</v>
      </c>
    </row>
    <row r="395" spans="1:3" x14ac:dyDescent="0.2">
      <c r="A395" s="26">
        <f t="shared" si="3"/>
        <v>2026.02</v>
      </c>
      <c r="B395" s="55">
        <v>733.80238461732995</v>
      </c>
      <c r="C395" s="56">
        <v>737.13878625013365</v>
      </c>
    </row>
    <row r="396" spans="1:3" x14ac:dyDescent="0.2">
      <c r="A396" s="26">
        <f t="shared" si="3"/>
        <v>2026.03</v>
      </c>
      <c r="B396" s="55">
        <v>733.46581773148102</v>
      </c>
      <c r="C396" s="56">
        <v>737.57587975971694</v>
      </c>
    </row>
    <row r="397" spans="1:3" x14ac:dyDescent="0.2">
      <c r="A397" s="26">
        <f t="shared" si="3"/>
        <v>2026.04</v>
      </c>
      <c r="B397" s="55">
        <v>737.72379357082809</v>
      </c>
      <c r="C397" s="56">
        <v>737.16633270474097</v>
      </c>
    </row>
    <row r="398" spans="1:3" x14ac:dyDescent="0.2">
      <c r="A398" s="26">
        <f t="shared" si="3"/>
        <v>2026.05</v>
      </c>
      <c r="B398" s="55">
        <v>734.53141793145403</v>
      </c>
      <c r="C398" s="56">
        <v>736.1012333886714</v>
      </c>
    </row>
    <row r="399" spans="1:3" x14ac:dyDescent="0.2">
      <c r="A399" s="26">
        <f t="shared" si="3"/>
        <v>2026.06</v>
      </c>
      <c r="B399" s="55">
        <v>735.43754443930311</v>
      </c>
      <c r="C399" s="56">
        <v>735.49408482403464</v>
      </c>
    </row>
    <row r="400" spans="1:3" x14ac:dyDescent="0.2">
      <c r="A400" s="26">
        <f t="shared" si="3"/>
        <v>2026.07</v>
      </c>
      <c r="B400" s="55">
        <v>733.53584373250692</v>
      </c>
      <c r="C400" s="56">
        <v>734.5574847002564</v>
      </c>
    </row>
    <row r="401" spans="1:3" x14ac:dyDescent="0.2">
      <c r="A401" s="26">
        <f t="shared" si="3"/>
        <v>2026.08</v>
      </c>
      <c r="B401" s="55">
        <v>730.05862247929997</v>
      </c>
      <c r="C401" s="56">
        <v>732.22447591293883</v>
      </c>
    </row>
    <row r="402" spans="1:3" x14ac:dyDescent="0.2">
      <c r="A402" s="26">
        <f t="shared" si="3"/>
        <v>2026.09</v>
      </c>
      <c r="B402" s="55" t="e">
        <v>#N/A</v>
      </c>
      <c r="C402" s="56" t="e">
        <v>#N/A</v>
      </c>
    </row>
    <row r="403" spans="1:3" x14ac:dyDescent="0.2">
      <c r="A403" s="26">
        <f t="shared" si="3"/>
        <v>2026.1</v>
      </c>
      <c r="B403" s="55" t="e">
        <v>#N/A</v>
      </c>
      <c r="C403" s="56" t="e">
        <v>#N/A</v>
      </c>
    </row>
    <row r="404" spans="1:3" x14ac:dyDescent="0.2">
      <c r="A404" s="26">
        <f t="shared" si="3"/>
        <v>2026.11</v>
      </c>
      <c r="B404" s="55" t="e">
        <v>#N/A</v>
      </c>
      <c r="C404" s="56" t="e">
        <v>#N/A</v>
      </c>
    </row>
    <row r="405" spans="1:3" x14ac:dyDescent="0.2">
      <c r="A405" s="26">
        <f t="shared" si="3"/>
        <v>2026.12</v>
      </c>
      <c r="B405" s="55" t="e">
        <v>#N/A</v>
      </c>
      <c r="C405" s="56" t="e">
        <v>#N/A</v>
      </c>
    </row>
    <row r="406" spans="1:3" x14ac:dyDescent="0.2">
      <c r="A406" s="26">
        <f t="shared" si="3"/>
        <v>2027.01</v>
      </c>
      <c r="B406" s="55" t="e">
        <v>#N/A</v>
      </c>
      <c r="C406" s="56" t="e">
        <v>#N/A</v>
      </c>
    </row>
    <row r="407" spans="1:3" x14ac:dyDescent="0.2">
      <c r="A407" s="26">
        <f t="shared" si="3"/>
        <v>2027.02</v>
      </c>
      <c r="B407" s="55" t="e">
        <v>#N/A</v>
      </c>
      <c r="C407" s="56" t="e">
        <v>#N/A</v>
      </c>
    </row>
    <row r="408" spans="1:3" x14ac:dyDescent="0.2">
      <c r="A408" s="26">
        <f t="shared" si="3"/>
        <v>2027.03</v>
      </c>
      <c r="B408" s="55" t="e">
        <v>#N/A</v>
      </c>
      <c r="C408" s="56" t="e">
        <v>#N/A</v>
      </c>
    </row>
    <row r="409" spans="1:3" x14ac:dyDescent="0.2">
      <c r="A409" s="26">
        <f t="shared" si="3"/>
        <v>2027.04</v>
      </c>
      <c r="B409" s="55" t="e">
        <v>#N/A</v>
      </c>
      <c r="C409" s="56" t="e">
        <v>#N/A</v>
      </c>
    </row>
    <row r="410" spans="1:3" x14ac:dyDescent="0.2">
      <c r="A410" s="26">
        <f t="shared" si="3"/>
        <v>2027.05</v>
      </c>
      <c r="B410" s="55" t="e">
        <v>#N/A</v>
      </c>
      <c r="C410" s="56" t="e">
        <v>#N/A</v>
      </c>
    </row>
    <row r="411" spans="1:3" x14ac:dyDescent="0.2">
      <c r="A411" s="26">
        <f t="shared" si="3"/>
        <v>2027.06</v>
      </c>
      <c r="B411" s="55" t="e">
        <v>#N/A</v>
      </c>
      <c r="C411" s="56" t="e">
        <v>#N/A</v>
      </c>
    </row>
    <row r="412" spans="1:3" x14ac:dyDescent="0.2">
      <c r="A412" s="26">
        <f t="shared" si="3"/>
        <v>2027.07</v>
      </c>
      <c r="B412" s="55" t="e">
        <v>#N/A</v>
      </c>
      <c r="C412" s="56" t="e">
        <v>#N/A</v>
      </c>
    </row>
    <row r="413" spans="1:3" x14ac:dyDescent="0.2">
      <c r="A413" s="26">
        <f t="shared" si="3"/>
        <v>2027.08</v>
      </c>
      <c r="B413" s="55" t="e">
        <v>#N/A</v>
      </c>
      <c r="C413" s="56" t="e">
        <v>#N/A</v>
      </c>
    </row>
    <row r="414" spans="1:3" x14ac:dyDescent="0.2">
      <c r="A414" s="26">
        <f t="shared" si="3"/>
        <v>2027.09</v>
      </c>
      <c r="B414" s="55" t="e">
        <v>#N/A</v>
      </c>
      <c r="C414" s="56" t="e">
        <v>#N/A</v>
      </c>
    </row>
    <row r="415" spans="1:3" x14ac:dyDescent="0.2">
      <c r="A415" s="26">
        <f t="shared" si="3"/>
        <v>2027.1</v>
      </c>
      <c r="B415" s="55" t="e">
        <v>#N/A</v>
      </c>
      <c r="C415" s="56" t="e">
        <v>#N/A</v>
      </c>
    </row>
    <row r="416" spans="1:3" x14ac:dyDescent="0.2">
      <c r="A416" s="26">
        <f t="shared" si="3"/>
        <v>2027.11</v>
      </c>
      <c r="B416" s="55" t="e">
        <v>#N/A</v>
      </c>
      <c r="C416" s="56" t="e">
        <v>#N/A</v>
      </c>
    </row>
    <row r="417" spans="1:3" x14ac:dyDescent="0.2">
      <c r="A417" s="26">
        <f t="shared" si="3"/>
        <v>2027.12</v>
      </c>
      <c r="B417" s="55" t="e">
        <v>#N/A</v>
      </c>
      <c r="C417" s="56" t="e">
        <v>#N/A</v>
      </c>
    </row>
    <row r="418" spans="1:3" x14ac:dyDescent="0.2">
      <c r="A418" s="26">
        <f t="shared" si="3"/>
        <v>2028.01</v>
      </c>
      <c r="B418" s="55" t="e">
        <v>#N/A</v>
      </c>
      <c r="C418" s="56" t="e">
        <v>#N/A</v>
      </c>
    </row>
    <row r="419" spans="1:3" x14ac:dyDescent="0.2">
      <c r="A419" s="26">
        <f t="shared" si="3"/>
        <v>2028.02</v>
      </c>
      <c r="B419" s="55" t="e">
        <v>#N/A</v>
      </c>
      <c r="C419" s="56" t="e">
        <v>#N/A</v>
      </c>
    </row>
    <row r="420" spans="1:3" x14ac:dyDescent="0.2">
      <c r="A420" s="26">
        <f t="shared" si="3"/>
        <v>2028.03</v>
      </c>
      <c r="B420" s="55" t="e">
        <v>#N/A</v>
      </c>
      <c r="C420" s="56" t="e">
        <v>#N/A</v>
      </c>
    </row>
    <row r="421" spans="1:3" x14ac:dyDescent="0.2">
      <c r="A421" s="26">
        <f t="shared" si="3"/>
        <v>2028.04</v>
      </c>
      <c r="B421" s="55" t="e">
        <v>#N/A</v>
      </c>
      <c r="C421" s="56" t="e">
        <v>#N/A</v>
      </c>
    </row>
    <row r="422" spans="1:3" x14ac:dyDescent="0.2">
      <c r="A422" s="26">
        <f t="shared" si="3"/>
        <v>2028.05</v>
      </c>
      <c r="B422" s="55" t="e">
        <v>#N/A</v>
      </c>
      <c r="C422" s="56" t="e">
        <v>#N/A</v>
      </c>
    </row>
    <row r="423" spans="1:3" x14ac:dyDescent="0.2">
      <c r="A423" s="26">
        <f t="shared" si="3"/>
        <v>2028.06</v>
      </c>
      <c r="B423" s="55" t="e">
        <v>#N/A</v>
      </c>
      <c r="C423" s="56" t="e">
        <v>#N/A</v>
      </c>
    </row>
    <row r="424" spans="1:3" x14ac:dyDescent="0.2">
      <c r="A424" s="26">
        <f t="shared" si="3"/>
        <v>2028.07</v>
      </c>
      <c r="B424" s="55" t="e">
        <v>#N/A</v>
      </c>
      <c r="C424" s="56" t="e">
        <v>#N/A</v>
      </c>
    </row>
    <row r="425" spans="1:3" x14ac:dyDescent="0.2">
      <c r="A425" s="26">
        <f t="shared" si="3"/>
        <v>2028.08</v>
      </c>
      <c r="B425" s="55" t="e">
        <v>#N/A</v>
      </c>
      <c r="C425" s="56" t="e">
        <v>#N/A</v>
      </c>
    </row>
    <row r="426" spans="1:3" x14ac:dyDescent="0.2">
      <c r="A426" s="26">
        <f t="shared" si="3"/>
        <v>2028.09</v>
      </c>
      <c r="B426" s="55" t="e">
        <v>#N/A</v>
      </c>
      <c r="C426" s="56" t="e">
        <v>#N/A</v>
      </c>
    </row>
    <row r="427" spans="1:3" x14ac:dyDescent="0.2">
      <c r="A427" s="26">
        <f t="shared" si="3"/>
        <v>2028.1</v>
      </c>
      <c r="B427" s="55" t="e">
        <v>#N/A</v>
      </c>
      <c r="C427" s="56" t="e">
        <v>#N/A</v>
      </c>
    </row>
    <row r="428" spans="1:3" x14ac:dyDescent="0.2">
      <c r="A428" s="26">
        <f t="shared" si="3"/>
        <v>2028.11</v>
      </c>
      <c r="B428" s="55" t="e">
        <v>#N/A</v>
      </c>
      <c r="C428" s="56" t="e">
        <v>#N/A</v>
      </c>
    </row>
    <row r="429" spans="1:3" x14ac:dyDescent="0.2">
      <c r="A429" s="26">
        <f t="shared" si="3"/>
        <v>2028.12</v>
      </c>
      <c r="B429" s="55" t="e">
        <v>#N/A</v>
      </c>
      <c r="C429" s="56" t="e">
        <v>#N/A</v>
      </c>
    </row>
    <row r="430" spans="1:3" x14ac:dyDescent="0.2">
      <c r="A430" s="26">
        <f t="shared" si="3"/>
        <v>2029.01</v>
      </c>
      <c r="B430" s="55" t="e">
        <v>#N/A</v>
      </c>
      <c r="C430" s="56" t="e">
        <v>#N/A</v>
      </c>
    </row>
    <row r="431" spans="1:3" x14ac:dyDescent="0.2">
      <c r="A431" s="26">
        <f t="shared" si="3"/>
        <v>2029.02</v>
      </c>
      <c r="B431" s="55" t="e">
        <v>#N/A</v>
      </c>
      <c r="C431" s="56" t="e">
        <v>#N/A</v>
      </c>
    </row>
    <row r="432" spans="1:3" x14ac:dyDescent="0.2">
      <c r="A432" s="26">
        <f t="shared" si="3"/>
        <v>2029.03</v>
      </c>
      <c r="B432" s="55" t="e">
        <v>#N/A</v>
      </c>
      <c r="C432" s="56" t="e">
        <v>#N/A</v>
      </c>
    </row>
    <row r="433" spans="1:3" x14ac:dyDescent="0.2">
      <c r="A433" s="26">
        <f t="shared" si="3"/>
        <v>2029.04</v>
      </c>
      <c r="B433" s="55" t="e">
        <v>#N/A</v>
      </c>
      <c r="C433" s="56" t="e">
        <v>#N/A</v>
      </c>
    </row>
    <row r="434" spans="1:3" x14ac:dyDescent="0.2">
      <c r="A434" s="26">
        <f t="shared" ref="A434:A453" si="4">A422+1</f>
        <v>2029.05</v>
      </c>
      <c r="B434" s="55" t="e">
        <v>#N/A</v>
      </c>
      <c r="C434" s="56" t="e">
        <v>#N/A</v>
      </c>
    </row>
    <row r="435" spans="1:3" x14ac:dyDescent="0.2">
      <c r="A435" s="26">
        <f t="shared" si="4"/>
        <v>2029.06</v>
      </c>
      <c r="B435" s="55" t="e">
        <v>#N/A</v>
      </c>
      <c r="C435" s="56" t="e">
        <v>#N/A</v>
      </c>
    </row>
    <row r="436" spans="1:3" x14ac:dyDescent="0.2">
      <c r="A436" s="26">
        <f t="shared" si="4"/>
        <v>2029.07</v>
      </c>
      <c r="B436" s="55" t="e">
        <v>#N/A</v>
      </c>
      <c r="C436" s="56" t="e">
        <v>#N/A</v>
      </c>
    </row>
    <row r="437" spans="1:3" x14ac:dyDescent="0.2">
      <c r="A437" s="26">
        <f t="shared" si="4"/>
        <v>2029.08</v>
      </c>
      <c r="B437" s="55" t="e">
        <v>#N/A</v>
      </c>
      <c r="C437" s="56" t="e">
        <v>#N/A</v>
      </c>
    </row>
    <row r="438" spans="1:3" x14ac:dyDescent="0.2">
      <c r="A438" s="26">
        <f t="shared" si="4"/>
        <v>2029.09</v>
      </c>
      <c r="B438" s="55" t="e">
        <v>#N/A</v>
      </c>
      <c r="C438" s="56" t="e">
        <v>#N/A</v>
      </c>
    </row>
    <row r="439" spans="1:3" x14ac:dyDescent="0.2">
      <c r="A439" s="26">
        <f t="shared" si="4"/>
        <v>2029.1</v>
      </c>
      <c r="B439" s="55" t="e">
        <v>#N/A</v>
      </c>
      <c r="C439" s="56" t="e">
        <v>#N/A</v>
      </c>
    </row>
    <row r="440" spans="1:3" x14ac:dyDescent="0.2">
      <c r="A440" s="26">
        <f t="shared" si="4"/>
        <v>2029.11</v>
      </c>
      <c r="B440" s="55" t="e">
        <v>#N/A</v>
      </c>
      <c r="C440" s="56" t="e">
        <v>#N/A</v>
      </c>
    </row>
    <row r="441" spans="1:3" x14ac:dyDescent="0.2">
      <c r="A441" s="26">
        <f t="shared" si="4"/>
        <v>2029.12</v>
      </c>
      <c r="B441" s="55" t="e">
        <v>#N/A</v>
      </c>
      <c r="C441" s="56" t="e">
        <v>#N/A</v>
      </c>
    </row>
    <row r="442" spans="1:3" x14ac:dyDescent="0.2">
      <c r="A442" s="26">
        <f t="shared" si="4"/>
        <v>2030.01</v>
      </c>
      <c r="B442" s="55" t="e">
        <v>#N/A</v>
      </c>
      <c r="C442" s="56" t="e">
        <v>#N/A</v>
      </c>
    </row>
    <row r="443" spans="1:3" x14ac:dyDescent="0.2">
      <c r="A443" s="26">
        <f t="shared" si="4"/>
        <v>2030.02</v>
      </c>
      <c r="B443" s="55" t="e">
        <v>#N/A</v>
      </c>
      <c r="C443" s="56" t="e">
        <v>#N/A</v>
      </c>
    </row>
    <row r="444" spans="1:3" x14ac:dyDescent="0.2">
      <c r="A444" s="26">
        <f t="shared" si="4"/>
        <v>2030.03</v>
      </c>
      <c r="B444" s="55" t="e">
        <v>#N/A</v>
      </c>
      <c r="C444" s="56" t="e">
        <v>#N/A</v>
      </c>
    </row>
    <row r="445" spans="1:3" x14ac:dyDescent="0.2">
      <c r="A445" s="26">
        <f t="shared" si="4"/>
        <v>2030.04</v>
      </c>
      <c r="B445" s="55" t="e">
        <v>#N/A</v>
      </c>
      <c r="C445" s="56" t="e">
        <v>#N/A</v>
      </c>
    </row>
    <row r="446" spans="1:3" x14ac:dyDescent="0.2">
      <c r="A446" s="26">
        <f t="shared" si="4"/>
        <v>2030.05</v>
      </c>
      <c r="B446" s="55" t="e">
        <v>#N/A</v>
      </c>
      <c r="C446" s="56" t="e">
        <v>#N/A</v>
      </c>
    </row>
    <row r="447" spans="1:3" x14ac:dyDescent="0.2">
      <c r="A447" s="26">
        <f t="shared" si="4"/>
        <v>2030.06</v>
      </c>
      <c r="B447" s="55" t="e">
        <v>#N/A</v>
      </c>
      <c r="C447" s="56" t="e">
        <v>#N/A</v>
      </c>
    </row>
    <row r="448" spans="1:3" x14ac:dyDescent="0.2">
      <c r="A448" s="26">
        <f t="shared" si="4"/>
        <v>2030.07</v>
      </c>
      <c r="B448" s="55" t="e">
        <v>#N/A</v>
      </c>
      <c r="C448" s="56" t="e">
        <v>#N/A</v>
      </c>
    </row>
    <row r="449" spans="1:3" x14ac:dyDescent="0.2">
      <c r="A449" s="26">
        <f t="shared" si="4"/>
        <v>2030.08</v>
      </c>
      <c r="B449" s="55" t="e">
        <v>#N/A</v>
      </c>
      <c r="C449" s="56" t="e">
        <v>#N/A</v>
      </c>
    </row>
    <row r="450" spans="1:3" x14ac:dyDescent="0.2">
      <c r="A450" s="26">
        <f t="shared" si="4"/>
        <v>2030.09</v>
      </c>
      <c r="B450" s="55" t="e">
        <v>#N/A</v>
      </c>
      <c r="C450" s="56" t="e">
        <v>#N/A</v>
      </c>
    </row>
    <row r="451" spans="1:3" x14ac:dyDescent="0.2">
      <c r="A451" s="26">
        <f t="shared" si="4"/>
        <v>2030.1</v>
      </c>
      <c r="B451" s="55" t="e">
        <v>#N/A</v>
      </c>
      <c r="C451" s="56" t="e">
        <v>#N/A</v>
      </c>
    </row>
    <row r="452" spans="1:3" x14ac:dyDescent="0.2">
      <c r="A452" s="26">
        <f t="shared" si="4"/>
        <v>2030.11</v>
      </c>
      <c r="B452" s="55" t="e">
        <v>#N/A</v>
      </c>
      <c r="C452" s="56" t="e">
        <v>#N/A</v>
      </c>
    </row>
    <row r="453" spans="1:3" x14ac:dyDescent="0.2">
      <c r="A453" s="26">
        <f t="shared" si="4"/>
        <v>2030.12</v>
      </c>
      <c r="B453" s="55" t="e">
        <v>#N/A</v>
      </c>
      <c r="C453" s="56" t="e">
        <v>#N/A</v>
      </c>
    </row>
  </sheetData>
  <phoneticPr fontId="0" type="noConversion"/>
  <hyperlinks>
    <hyperlink ref="A1" location="INDICE!A13" display="VOLVER AL INDICE" xr:uid="{65ED919F-F9C6-4C91-8E45-D539A4C831FA}"/>
  </hyperlinks>
  <printOptions gridLines="1"/>
  <pageMargins left="0.39370078740157483" right="0.39370078740157483" top="0.59055118110236227" bottom="0.59055118110236227" header="0" footer="0"/>
  <pageSetup paperSize="9" scale="50"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fitToPage="1"/>
  </sheetPr>
  <dimension ref="A1:G453"/>
  <sheetViews>
    <sheetView zoomScale="115" zoomScaleNormal="115" workbookViewId="0">
      <pane xSplit="1" ySplit="9" topLeftCell="B10" activePane="bottomRight" state="frozen"/>
      <selection activeCell="A5" sqref="A5"/>
      <selection pane="topRight" activeCell="A5" sqref="A5"/>
      <selection pane="bottomLeft" activeCell="A5" sqref="A5"/>
      <selection pane="bottomRight" activeCell="B10" sqref="B10"/>
    </sheetView>
  </sheetViews>
  <sheetFormatPr baseColWidth="10" defaultColWidth="11.42578125" defaultRowHeight="12.75" x14ac:dyDescent="0.2"/>
  <cols>
    <col min="1" max="1" width="10.5703125" style="6" customWidth="1"/>
    <col min="2" max="2" width="15.42578125" style="6" customWidth="1"/>
    <col min="3" max="3" width="15.42578125" style="25" customWidth="1"/>
    <col min="4" max="4" width="3.42578125" style="1" customWidth="1"/>
    <col min="5" max="5" width="11.42578125" style="1"/>
    <col min="6" max="6" width="12.42578125" style="1" bestFit="1" customWidth="1"/>
    <col min="7" max="16384" width="11.42578125" style="1"/>
  </cols>
  <sheetData>
    <row r="1" spans="1:6" s="3" customFormat="1" ht="22.5" x14ac:dyDescent="0.2">
      <c r="A1" s="71" t="s">
        <v>115</v>
      </c>
      <c r="B1" s="16"/>
      <c r="C1" s="23"/>
    </row>
    <row r="2" spans="1:6" s="3" customFormat="1" ht="41.25" customHeight="1" x14ac:dyDescent="0.2">
      <c r="A2" s="70" t="s">
        <v>7</v>
      </c>
      <c r="B2" s="15" t="s">
        <v>84</v>
      </c>
      <c r="C2" s="24"/>
    </row>
    <row r="3" spans="1:6" s="3" customFormat="1" ht="45" x14ac:dyDescent="0.2">
      <c r="A3" s="70" t="s">
        <v>6</v>
      </c>
      <c r="B3" s="15" t="s">
        <v>85</v>
      </c>
      <c r="C3" s="24"/>
    </row>
    <row r="4" spans="1:6" s="3" customFormat="1" x14ac:dyDescent="0.2">
      <c r="A4" s="86" t="s">
        <v>105</v>
      </c>
      <c r="B4" s="110"/>
      <c r="C4" s="89"/>
    </row>
    <row r="5" spans="1:6" s="3" customFormat="1" x14ac:dyDescent="0.2">
      <c r="A5" s="86" t="s">
        <v>106</v>
      </c>
      <c r="B5" s="13" t="s">
        <v>22</v>
      </c>
      <c r="C5" s="44" t="s">
        <v>34</v>
      </c>
    </row>
    <row r="6" spans="1:6" s="3" customFormat="1" x14ac:dyDescent="0.2">
      <c r="A6" s="87" t="s">
        <v>107</v>
      </c>
      <c r="B6" s="16"/>
      <c r="C6" s="45"/>
    </row>
    <row r="7" spans="1:6" s="3" customFormat="1" ht="22.5" x14ac:dyDescent="0.2">
      <c r="A7" s="71" t="s">
        <v>114</v>
      </c>
      <c r="B7" s="13" t="s">
        <v>104</v>
      </c>
      <c r="C7" s="44" t="s">
        <v>104</v>
      </c>
    </row>
    <row r="8" spans="1:6" s="3" customFormat="1" x14ac:dyDescent="0.2">
      <c r="A8" s="86" t="s">
        <v>108</v>
      </c>
      <c r="B8" s="93" t="s">
        <v>110</v>
      </c>
      <c r="C8" s="94" t="s">
        <v>110</v>
      </c>
    </row>
    <row r="9" spans="1:6" s="3" customFormat="1" ht="13.5" thickBot="1" x14ac:dyDescent="0.25">
      <c r="A9" s="111" t="s">
        <v>19</v>
      </c>
      <c r="B9" s="91" t="s">
        <v>21</v>
      </c>
      <c r="C9" s="92" t="s">
        <v>35</v>
      </c>
    </row>
    <row r="10" spans="1:6" s="4" customFormat="1" x14ac:dyDescent="0.2">
      <c r="A10" s="26">
        <v>1994.01</v>
      </c>
      <c r="B10" s="46"/>
      <c r="C10" s="90">
        <v>190.28832964473676</v>
      </c>
      <c r="E10" s="31"/>
      <c r="F10" s="31"/>
    </row>
    <row r="11" spans="1:6" s="4" customFormat="1" x14ac:dyDescent="0.2">
      <c r="A11" s="26">
        <v>1994.02</v>
      </c>
      <c r="B11" s="47"/>
      <c r="C11" s="56">
        <v>192.40554016623332</v>
      </c>
      <c r="E11" s="31"/>
      <c r="F11" s="31"/>
    </row>
    <row r="12" spans="1:6" s="4" customFormat="1" x14ac:dyDescent="0.2">
      <c r="A12" s="26">
        <v>1994.03</v>
      </c>
      <c r="B12" s="47"/>
      <c r="C12" s="56">
        <v>192.13775963909526</v>
      </c>
      <c r="E12" s="31"/>
      <c r="F12" s="31"/>
    </row>
    <row r="13" spans="1:6" s="4" customFormat="1" x14ac:dyDescent="0.2">
      <c r="A13" s="26">
        <v>1994.04</v>
      </c>
      <c r="B13" s="47"/>
      <c r="C13" s="56">
        <v>186.3467892053346</v>
      </c>
      <c r="E13" s="31"/>
      <c r="F13" s="31"/>
    </row>
    <row r="14" spans="1:6" s="4" customFormat="1" x14ac:dyDescent="0.2">
      <c r="A14" s="26">
        <v>1994.05</v>
      </c>
      <c r="B14" s="47"/>
      <c r="C14" s="56">
        <v>176.0461490959182</v>
      </c>
      <c r="E14" s="31"/>
      <c r="F14" s="31"/>
    </row>
    <row r="15" spans="1:6" s="4" customFormat="1" x14ac:dyDescent="0.2">
      <c r="A15" s="26">
        <v>1994.06</v>
      </c>
      <c r="B15" s="47"/>
      <c r="C15" s="56">
        <v>163.12556551181629</v>
      </c>
      <c r="E15" s="31"/>
      <c r="F15" s="31"/>
    </row>
    <row r="16" spans="1:6" s="4" customFormat="1" x14ac:dyDescent="0.2">
      <c r="A16" s="26">
        <v>1994.07</v>
      </c>
      <c r="B16" s="47"/>
      <c r="C16" s="56">
        <v>149.67458536586022</v>
      </c>
      <c r="E16" s="31"/>
      <c r="F16" s="31"/>
    </row>
    <row r="17" spans="1:6" s="4" customFormat="1" x14ac:dyDescent="0.2">
      <c r="A17" s="26">
        <v>1994.08</v>
      </c>
      <c r="B17" s="47"/>
      <c r="C17" s="56">
        <v>137.73574029536462</v>
      </c>
      <c r="E17" s="31"/>
      <c r="F17" s="31"/>
    </row>
    <row r="18" spans="1:6" s="4" customFormat="1" x14ac:dyDescent="0.2">
      <c r="A18" s="26">
        <v>1994.09</v>
      </c>
      <c r="B18" s="47"/>
      <c r="C18" s="56">
        <v>128.4662906709635</v>
      </c>
      <c r="E18" s="31"/>
      <c r="F18" s="31"/>
    </row>
    <row r="19" spans="1:6" s="4" customFormat="1" x14ac:dyDescent="0.2">
      <c r="A19" s="26">
        <v>1994.1</v>
      </c>
      <c r="B19" s="47"/>
      <c r="C19" s="56">
        <v>121.99862552318876</v>
      </c>
      <c r="E19" s="31"/>
      <c r="F19" s="31"/>
    </row>
    <row r="20" spans="1:6" s="4" customFormat="1" x14ac:dyDescent="0.2">
      <c r="A20" s="26">
        <v>1994.11</v>
      </c>
      <c r="B20" s="47"/>
      <c r="C20" s="56">
        <v>118.04608641561499</v>
      </c>
      <c r="E20" s="31"/>
      <c r="F20" s="31"/>
    </row>
    <row r="21" spans="1:6" s="4" customFormat="1" x14ac:dyDescent="0.2">
      <c r="A21" s="26">
        <v>1994.12</v>
      </c>
      <c r="B21" s="47"/>
      <c r="C21" s="56">
        <v>115.63800682154677</v>
      </c>
      <c r="E21" s="31"/>
      <c r="F21" s="31"/>
    </row>
    <row r="22" spans="1:6" x14ac:dyDescent="0.2">
      <c r="A22" s="26">
        <v>1995.01</v>
      </c>
      <c r="B22" s="47"/>
      <c r="C22" s="56">
        <v>113.12820946115013</v>
      </c>
      <c r="E22" s="32"/>
      <c r="F22" s="31"/>
    </row>
    <row r="23" spans="1:6" x14ac:dyDescent="0.2">
      <c r="A23" s="26">
        <v>1995.02</v>
      </c>
      <c r="B23" s="47"/>
      <c r="C23" s="56">
        <v>109.49477104358023</v>
      </c>
      <c r="E23" s="32"/>
      <c r="F23" s="31"/>
    </row>
    <row r="24" spans="1:6" x14ac:dyDescent="0.2">
      <c r="A24" s="26">
        <v>1995.03</v>
      </c>
      <c r="B24" s="47"/>
      <c r="C24" s="56">
        <v>104.85002826124864</v>
      </c>
      <c r="E24" s="32"/>
      <c r="F24" s="31"/>
    </row>
    <row r="25" spans="1:6" x14ac:dyDescent="0.2">
      <c r="A25" s="26">
        <v>1995.04</v>
      </c>
      <c r="B25" s="47"/>
      <c r="C25" s="56">
        <v>99.741897474722322</v>
      </c>
      <c r="E25" s="32"/>
      <c r="F25" s="31"/>
    </row>
    <row r="26" spans="1:6" x14ac:dyDescent="0.2">
      <c r="A26" s="26">
        <v>1995.05</v>
      </c>
      <c r="B26" s="47"/>
      <c r="C26" s="56">
        <v>94.782776185476493</v>
      </c>
      <c r="E26" s="32"/>
      <c r="F26" s="31"/>
    </row>
    <row r="27" spans="1:6" x14ac:dyDescent="0.2">
      <c r="A27" s="26">
        <v>1995.06</v>
      </c>
      <c r="B27" s="47"/>
      <c r="C27" s="56">
        <v>90.53803916723011</v>
      </c>
      <c r="E27" s="32"/>
      <c r="F27" s="31"/>
    </row>
    <row r="28" spans="1:6" x14ac:dyDescent="0.2">
      <c r="A28" s="26">
        <v>1995.07</v>
      </c>
      <c r="B28" s="47"/>
      <c r="C28" s="56">
        <v>87.0141010628343</v>
      </c>
      <c r="E28" s="32"/>
      <c r="F28" s="31"/>
    </row>
    <row r="29" spans="1:6" x14ac:dyDescent="0.2">
      <c r="A29" s="26">
        <v>1995.08</v>
      </c>
      <c r="B29" s="47"/>
      <c r="C29" s="56">
        <v>83.4787888405519</v>
      </c>
      <c r="E29" s="32"/>
      <c r="F29" s="31"/>
    </row>
    <row r="30" spans="1:6" x14ac:dyDescent="0.2">
      <c r="A30" s="26">
        <v>1995.09</v>
      </c>
      <c r="B30" s="47"/>
      <c r="C30" s="56">
        <v>79.27558226837408</v>
      </c>
      <c r="E30" s="32"/>
      <c r="F30" s="31"/>
    </row>
    <row r="31" spans="1:6" x14ac:dyDescent="0.2">
      <c r="A31" s="26">
        <v>1995.1</v>
      </c>
      <c r="B31" s="47"/>
      <c r="C31" s="56">
        <v>74.468365359965389</v>
      </c>
      <c r="E31" s="32"/>
      <c r="F31" s="31"/>
    </row>
    <row r="32" spans="1:6" x14ac:dyDescent="0.2">
      <c r="A32" s="26">
        <v>1995.11</v>
      </c>
      <c r="B32" s="47"/>
      <c r="C32" s="56">
        <v>69.734238917144509</v>
      </c>
      <c r="E32" s="32"/>
      <c r="F32" s="31"/>
    </row>
    <row r="33" spans="1:6" x14ac:dyDescent="0.2">
      <c r="A33" s="26">
        <v>1995.12</v>
      </c>
      <c r="B33" s="47"/>
      <c r="C33" s="56">
        <v>66.153349277582848</v>
      </c>
      <c r="E33" s="32"/>
      <c r="F33" s="31"/>
    </row>
    <row r="34" spans="1:6" x14ac:dyDescent="0.2">
      <c r="A34" s="26">
        <v>1996.01</v>
      </c>
      <c r="B34" s="47"/>
      <c r="C34" s="56">
        <v>64.388070620697079</v>
      </c>
      <c r="E34" s="32"/>
      <c r="F34" s="31"/>
    </row>
    <row r="35" spans="1:6" x14ac:dyDescent="0.2">
      <c r="A35" s="26">
        <v>1996.02</v>
      </c>
      <c r="B35" s="47"/>
      <c r="C35" s="56">
        <v>63.891429471082276</v>
      </c>
      <c r="E35" s="32"/>
      <c r="F35" s="31"/>
    </row>
    <row r="36" spans="1:6" x14ac:dyDescent="0.2">
      <c r="A36" s="26">
        <v>1996.03</v>
      </c>
      <c r="B36" s="47"/>
      <c r="C36" s="56">
        <v>63.78202851862779</v>
      </c>
      <c r="E36" s="32"/>
      <c r="F36" s="31"/>
    </row>
    <row r="37" spans="1:6" x14ac:dyDescent="0.2">
      <c r="A37" s="26">
        <v>1996.04</v>
      </c>
      <c r="B37" s="47"/>
      <c r="C37" s="56">
        <v>63.793556691397157</v>
      </c>
      <c r="E37" s="32"/>
      <c r="F37" s="31"/>
    </row>
    <row r="38" spans="1:6" x14ac:dyDescent="0.2">
      <c r="A38" s="26">
        <v>1996.05</v>
      </c>
      <c r="B38" s="47"/>
      <c r="C38" s="56">
        <v>63.946793906390475</v>
      </c>
      <c r="E38" s="32"/>
      <c r="F38" s="31"/>
    </row>
    <row r="39" spans="1:6" x14ac:dyDescent="0.2">
      <c r="A39" s="26">
        <v>1996.06</v>
      </c>
      <c r="B39" s="47"/>
      <c r="C39" s="56">
        <v>64.192968437483842</v>
      </c>
      <c r="E39" s="32"/>
      <c r="F39" s="31"/>
    </row>
    <row r="40" spans="1:6" x14ac:dyDescent="0.2">
      <c r="A40" s="26">
        <v>1996.07</v>
      </c>
      <c r="B40" s="47"/>
      <c r="C40" s="56">
        <v>64.446365899565308</v>
      </c>
      <c r="E40" s="32"/>
      <c r="F40" s="31"/>
    </row>
    <row r="41" spans="1:6" x14ac:dyDescent="0.2">
      <c r="A41" s="26">
        <v>1996.08</v>
      </c>
      <c r="B41" s="47"/>
      <c r="C41" s="56">
        <v>64.647106969713263</v>
      </c>
      <c r="E41" s="32"/>
      <c r="F41" s="31"/>
    </row>
    <row r="42" spans="1:6" x14ac:dyDescent="0.2">
      <c r="A42" s="26">
        <v>1996.09</v>
      </c>
      <c r="B42" s="47"/>
      <c r="C42" s="56">
        <v>64.792107717295011</v>
      </c>
      <c r="E42" s="32"/>
      <c r="F42" s="31"/>
    </row>
    <row r="43" spans="1:6" x14ac:dyDescent="0.2">
      <c r="A43" s="26">
        <v>1996.1</v>
      </c>
      <c r="B43" s="47"/>
      <c r="C43" s="56">
        <v>64.931168768988371</v>
      </c>
      <c r="E43" s="32"/>
      <c r="F43" s="31"/>
    </row>
    <row r="44" spans="1:6" x14ac:dyDescent="0.2">
      <c r="A44" s="26">
        <v>1996.11</v>
      </c>
      <c r="B44" s="47"/>
      <c r="C44" s="56">
        <v>65.142208485313134</v>
      </c>
      <c r="E44" s="32"/>
      <c r="F44" s="31"/>
    </row>
    <row r="45" spans="1:6" x14ac:dyDescent="0.2">
      <c r="A45" s="26">
        <v>1996.12</v>
      </c>
      <c r="B45" s="47"/>
      <c r="C45" s="56">
        <v>65.487387758351076</v>
      </c>
      <c r="E45" s="32"/>
      <c r="F45" s="31"/>
    </row>
    <row r="46" spans="1:6" x14ac:dyDescent="0.2">
      <c r="A46" s="26">
        <v>1997.01</v>
      </c>
      <c r="B46" s="47"/>
      <c r="C46" s="56">
        <v>65.984974422329529</v>
      </c>
      <c r="E46" s="32"/>
      <c r="F46" s="31"/>
    </row>
    <row r="47" spans="1:6" x14ac:dyDescent="0.2">
      <c r="A47" s="26">
        <v>1997.02</v>
      </c>
      <c r="B47" s="47"/>
      <c r="C47" s="56">
        <v>66.602653031343493</v>
      </c>
      <c r="E47" s="32"/>
      <c r="F47" s="31"/>
    </row>
    <row r="48" spans="1:6" x14ac:dyDescent="0.2">
      <c r="A48" s="26">
        <v>1997.03</v>
      </c>
      <c r="B48" s="47"/>
      <c r="C48" s="56">
        <v>67.25849471960305</v>
      </c>
      <c r="E48" s="32"/>
      <c r="F48" s="31"/>
    </row>
    <row r="49" spans="1:6" x14ac:dyDescent="0.2">
      <c r="A49" s="26">
        <v>1997.04</v>
      </c>
      <c r="B49" s="47"/>
      <c r="C49" s="56">
        <v>67.851328942009047</v>
      </c>
      <c r="E49" s="32"/>
      <c r="F49" s="31"/>
    </row>
    <row r="50" spans="1:6" x14ac:dyDescent="0.2">
      <c r="A50" s="26">
        <v>1997.05</v>
      </c>
      <c r="B50" s="47"/>
      <c r="C50" s="56">
        <v>68.323246706285573</v>
      </c>
      <c r="E50" s="32"/>
      <c r="F50" s="31"/>
    </row>
    <row r="51" spans="1:6" x14ac:dyDescent="0.2">
      <c r="A51" s="26">
        <v>1997.06</v>
      </c>
      <c r="B51" s="47"/>
      <c r="C51" s="56">
        <v>68.699899284596199</v>
      </c>
      <c r="E51" s="32"/>
      <c r="F51" s="31"/>
    </row>
    <row r="52" spans="1:6" x14ac:dyDescent="0.2">
      <c r="A52" s="26">
        <v>1997.07</v>
      </c>
      <c r="B52" s="47"/>
      <c r="C52" s="56">
        <v>69.066967190346602</v>
      </c>
      <c r="E52" s="32"/>
      <c r="F52" s="31"/>
    </row>
    <row r="53" spans="1:6" x14ac:dyDescent="0.2">
      <c r="A53" s="26">
        <v>1997.08</v>
      </c>
      <c r="B53" s="47"/>
      <c r="C53" s="56">
        <v>69.50969350994194</v>
      </c>
      <c r="E53" s="32"/>
      <c r="F53" s="31"/>
    </row>
    <row r="54" spans="1:6" x14ac:dyDescent="0.2">
      <c r="A54" s="26">
        <v>1997.09</v>
      </c>
      <c r="B54" s="47"/>
      <c r="C54" s="56">
        <v>70.052311828910589</v>
      </c>
      <c r="E54" s="32"/>
      <c r="F54" s="31"/>
    </row>
    <row r="55" spans="1:6" x14ac:dyDescent="0.2">
      <c r="A55" s="26">
        <v>1997.1</v>
      </c>
      <c r="B55" s="47"/>
      <c r="C55" s="56">
        <v>70.638271817678088</v>
      </c>
      <c r="E55" s="32"/>
      <c r="F55" s="31"/>
    </row>
    <row r="56" spans="1:6" x14ac:dyDescent="0.2">
      <c r="A56" s="26">
        <v>1997.11</v>
      </c>
      <c r="B56" s="47"/>
      <c r="C56" s="56">
        <v>71.188212203570529</v>
      </c>
      <c r="E56" s="32"/>
      <c r="F56" s="31"/>
    </row>
    <row r="57" spans="1:6" x14ac:dyDescent="0.2">
      <c r="A57" s="26">
        <v>1997.12</v>
      </c>
      <c r="B57" s="47"/>
      <c r="C57" s="56">
        <v>71.662417833944545</v>
      </c>
      <c r="E57" s="32"/>
      <c r="F57" s="31"/>
    </row>
    <row r="58" spans="1:6" x14ac:dyDescent="0.2">
      <c r="A58" s="26">
        <v>1998.01</v>
      </c>
      <c r="B58" s="47"/>
      <c r="C58" s="56">
        <v>73.23899102629133</v>
      </c>
      <c r="E58" s="32"/>
      <c r="F58" s="31"/>
    </row>
    <row r="59" spans="1:6" x14ac:dyDescent="0.2">
      <c r="A59" s="26">
        <v>1998.02</v>
      </c>
      <c r="B59" s="47"/>
      <c r="C59" s="56">
        <v>74.850248828869752</v>
      </c>
      <c r="E59" s="32"/>
      <c r="F59" s="31"/>
    </row>
    <row r="60" spans="1:6" x14ac:dyDescent="0.2">
      <c r="A60" s="26">
        <v>1998.03</v>
      </c>
      <c r="B60" s="47"/>
      <c r="C60" s="56">
        <v>76.496954303104886</v>
      </c>
      <c r="E60" s="32"/>
      <c r="F60" s="31"/>
    </row>
    <row r="61" spans="1:6" x14ac:dyDescent="0.2">
      <c r="A61" s="26">
        <v>1998.04</v>
      </c>
      <c r="B61" s="47"/>
      <c r="C61" s="56">
        <v>78.179887297773192</v>
      </c>
      <c r="E61" s="32"/>
      <c r="F61" s="31"/>
    </row>
    <row r="62" spans="1:6" x14ac:dyDescent="0.2">
      <c r="A62" s="26">
        <v>1998.05</v>
      </c>
      <c r="B62" s="47"/>
      <c r="C62" s="56">
        <v>79.899844818324212</v>
      </c>
      <c r="E62" s="32"/>
      <c r="F62" s="31"/>
    </row>
    <row r="63" spans="1:6" x14ac:dyDescent="0.2">
      <c r="A63" s="26">
        <v>1998.06</v>
      </c>
      <c r="B63" s="47"/>
      <c r="C63" s="56">
        <v>81.65764140432735</v>
      </c>
      <c r="E63" s="32"/>
      <c r="F63" s="31"/>
    </row>
    <row r="64" spans="1:6" x14ac:dyDescent="0.2">
      <c r="A64" s="26">
        <v>1998.07</v>
      </c>
      <c r="B64" s="47"/>
      <c r="C64" s="56">
        <v>83.454109515222541</v>
      </c>
      <c r="E64" s="32"/>
      <c r="F64" s="31"/>
    </row>
    <row r="65" spans="1:6" x14ac:dyDescent="0.2">
      <c r="A65" s="26">
        <v>1998.08</v>
      </c>
      <c r="B65" s="47"/>
      <c r="C65" s="56">
        <v>85.290099924557438</v>
      </c>
      <c r="E65" s="32"/>
      <c r="F65" s="31"/>
    </row>
    <row r="66" spans="1:6" x14ac:dyDescent="0.2">
      <c r="A66" s="26">
        <v>1998.09</v>
      </c>
      <c r="B66" s="47"/>
      <c r="C66" s="56">
        <v>87.166482122897705</v>
      </c>
      <c r="E66" s="32"/>
      <c r="F66" s="31"/>
    </row>
    <row r="67" spans="1:6" x14ac:dyDescent="0.2">
      <c r="A67" s="26">
        <v>1998.1</v>
      </c>
      <c r="B67" s="47"/>
      <c r="C67" s="56">
        <v>89.084144729601462</v>
      </c>
      <c r="E67" s="32"/>
      <c r="F67" s="31"/>
    </row>
    <row r="68" spans="1:6" x14ac:dyDescent="0.2">
      <c r="A68" s="26">
        <v>1998.11</v>
      </c>
      <c r="B68" s="47"/>
      <c r="C68" s="56">
        <v>91.043995913652708</v>
      </c>
      <c r="E68" s="32"/>
      <c r="F68" s="31"/>
    </row>
    <row r="69" spans="1:6" x14ac:dyDescent="0.2">
      <c r="A69" s="26">
        <v>1998.12</v>
      </c>
      <c r="B69" s="47"/>
      <c r="C69" s="56">
        <v>93.046963823753089</v>
      </c>
      <c r="E69" s="32"/>
      <c r="F69" s="31"/>
    </row>
    <row r="70" spans="1:6" x14ac:dyDescent="0.2">
      <c r="A70" s="26">
        <v>1999.01</v>
      </c>
      <c r="B70" s="47"/>
      <c r="C70" s="56">
        <v>95.093997027875659</v>
      </c>
      <c r="E70" s="32"/>
      <c r="F70" s="31"/>
    </row>
    <row r="71" spans="1:6" x14ac:dyDescent="0.2">
      <c r="A71" s="26">
        <v>1999.02</v>
      </c>
      <c r="B71" s="47"/>
      <c r="C71" s="56">
        <v>97.186064962488942</v>
      </c>
      <c r="E71" s="32"/>
      <c r="F71" s="31"/>
    </row>
    <row r="72" spans="1:6" x14ac:dyDescent="0.2">
      <c r="A72" s="26">
        <v>1999.03</v>
      </c>
      <c r="B72" s="47"/>
      <c r="C72" s="56">
        <v>99.324158391663701</v>
      </c>
      <c r="E72" s="32"/>
      <c r="F72" s="31"/>
    </row>
    <row r="73" spans="1:6" x14ac:dyDescent="0.2">
      <c r="A73" s="26">
        <v>1999.04</v>
      </c>
      <c r="B73" s="47"/>
      <c r="C73" s="56">
        <v>101.50928987628029</v>
      </c>
      <c r="E73" s="32"/>
      <c r="F73" s="31"/>
    </row>
    <row r="74" spans="1:6" x14ac:dyDescent="0.2">
      <c r="A74" s="26">
        <v>1999.05</v>
      </c>
      <c r="B74" s="47"/>
      <c r="C74" s="56">
        <v>103.74249425355846</v>
      </c>
      <c r="E74" s="32"/>
      <c r="F74" s="31"/>
    </row>
    <row r="75" spans="1:6" x14ac:dyDescent="0.2">
      <c r="A75" s="26">
        <v>1999.06</v>
      </c>
      <c r="B75" s="47"/>
      <c r="C75" s="56">
        <v>106.02482912713674</v>
      </c>
      <c r="E75" s="32"/>
      <c r="F75" s="31"/>
    </row>
    <row r="76" spans="1:6" x14ac:dyDescent="0.2">
      <c r="A76" s="26">
        <v>1999.07</v>
      </c>
      <c r="B76" s="47"/>
      <c r="C76" s="56">
        <v>108.35737536793376</v>
      </c>
      <c r="E76" s="32"/>
      <c r="F76" s="31"/>
    </row>
    <row r="77" spans="1:6" x14ac:dyDescent="0.2">
      <c r="A77" s="26">
        <v>1999.08</v>
      </c>
      <c r="B77" s="47"/>
      <c r="C77" s="56">
        <v>110.74123762602829</v>
      </c>
      <c r="E77" s="32"/>
      <c r="F77" s="31"/>
    </row>
    <row r="78" spans="1:6" x14ac:dyDescent="0.2">
      <c r="A78" s="26">
        <v>1999.09</v>
      </c>
      <c r="B78" s="47"/>
      <c r="C78" s="56">
        <v>113.17754485380091</v>
      </c>
      <c r="E78" s="32"/>
      <c r="F78" s="31"/>
    </row>
    <row r="79" spans="1:6" x14ac:dyDescent="0.2">
      <c r="A79" s="26">
        <v>1999.1</v>
      </c>
      <c r="B79" s="47"/>
      <c r="C79" s="56">
        <v>115.66745084058454</v>
      </c>
      <c r="E79" s="32"/>
      <c r="F79" s="31"/>
    </row>
    <row r="80" spans="1:6" x14ac:dyDescent="0.2">
      <c r="A80" s="26">
        <v>1999.11</v>
      </c>
      <c r="B80" s="47"/>
      <c r="C80" s="56">
        <v>118.21213475907739</v>
      </c>
      <c r="E80" s="32"/>
      <c r="F80" s="31"/>
    </row>
    <row r="81" spans="1:6" x14ac:dyDescent="0.2">
      <c r="A81" s="26">
        <v>1999.12</v>
      </c>
      <c r="B81" s="47"/>
      <c r="C81" s="56">
        <v>120.81280172377707</v>
      </c>
      <c r="E81" s="32"/>
      <c r="F81" s="31"/>
    </row>
    <row r="82" spans="1:6" x14ac:dyDescent="0.2">
      <c r="A82" s="26">
        <v>2000.01</v>
      </c>
      <c r="B82" s="54">
        <v>178.39252074870359</v>
      </c>
      <c r="C82" s="56">
        <v>121.28562721542659</v>
      </c>
      <c r="E82" s="32"/>
      <c r="F82" s="31"/>
    </row>
    <row r="83" spans="1:6" x14ac:dyDescent="0.2">
      <c r="A83" s="26">
        <v>2000.02</v>
      </c>
      <c r="B83" s="55">
        <v>67.738008418621064</v>
      </c>
      <c r="C83" s="56">
        <v>122.84330145247817</v>
      </c>
      <c r="E83" s="32"/>
      <c r="F83" s="31"/>
    </row>
    <row r="84" spans="1:6" x14ac:dyDescent="0.2">
      <c r="A84" s="26">
        <v>2000.03</v>
      </c>
      <c r="B84" s="55">
        <v>107.18615813642157</v>
      </c>
      <c r="C84" s="56">
        <v>124.4209809373442</v>
      </c>
      <c r="E84" s="32"/>
      <c r="F84" s="31"/>
    </row>
    <row r="85" spans="1:6" x14ac:dyDescent="0.2">
      <c r="A85" s="26">
        <v>2000.04</v>
      </c>
      <c r="B85" s="55">
        <v>58.454030021447764</v>
      </c>
      <c r="C85" s="56">
        <v>126.01892259790509</v>
      </c>
      <c r="E85" s="32"/>
      <c r="F85" s="31"/>
    </row>
    <row r="86" spans="1:6" x14ac:dyDescent="0.2">
      <c r="A86" s="26">
        <v>2000.05</v>
      </c>
      <c r="B86" s="55">
        <v>94.048452857402737</v>
      </c>
      <c r="C86" s="56">
        <v>127.63738666177224</v>
      </c>
      <c r="E86" s="32"/>
      <c r="F86" s="31"/>
    </row>
    <row r="87" spans="1:6" x14ac:dyDescent="0.2">
      <c r="A87" s="26">
        <v>2000.06</v>
      </c>
      <c r="B87" s="55">
        <v>122.3383115582233</v>
      </c>
      <c r="C87" s="56">
        <v>129.27663669866652</v>
      </c>
      <c r="E87" s="32"/>
      <c r="F87" s="31"/>
    </row>
    <row r="88" spans="1:6" x14ac:dyDescent="0.2">
      <c r="A88" s="26">
        <v>2000.07</v>
      </c>
      <c r="B88" s="55">
        <v>128.88964725736068</v>
      </c>
      <c r="C88" s="56">
        <v>130.93693966334112</v>
      </c>
      <c r="E88" s="32"/>
      <c r="F88" s="31"/>
    </row>
    <row r="89" spans="1:6" x14ac:dyDescent="0.2">
      <c r="A89" s="26">
        <v>2000.08</v>
      </c>
      <c r="B89" s="55">
        <v>138.17362565453399</v>
      </c>
      <c r="C89" s="56">
        <v>132.61856593905554</v>
      </c>
      <c r="E89" s="32"/>
      <c r="F89" s="31"/>
    </row>
    <row r="90" spans="1:6" x14ac:dyDescent="0.2">
      <c r="A90" s="26">
        <v>2000.09</v>
      </c>
      <c r="B90" s="55">
        <v>162.32948642755659</v>
      </c>
      <c r="C90" s="56">
        <v>135.30668641364588</v>
      </c>
      <c r="E90" s="32"/>
      <c r="F90" s="31"/>
    </row>
    <row r="91" spans="1:6" x14ac:dyDescent="0.2">
      <c r="A91" s="26">
        <v>2000.1</v>
      </c>
      <c r="B91" s="55">
        <v>195.41898679031203</v>
      </c>
      <c r="C91" s="56">
        <v>136.20588935274316</v>
      </c>
      <c r="E91" s="32"/>
      <c r="F91" s="31"/>
    </row>
    <row r="92" spans="1:6" x14ac:dyDescent="0.2">
      <c r="A92" s="26">
        <v>2000.11</v>
      </c>
      <c r="B92" s="55">
        <v>177.93708029903095</v>
      </c>
      <c r="C92" s="56">
        <v>136.54017096484267</v>
      </c>
      <c r="E92" s="32"/>
      <c r="F92" s="31"/>
    </row>
    <row r="93" spans="1:6" x14ac:dyDescent="0.2">
      <c r="A93" s="26">
        <v>2000.12</v>
      </c>
      <c r="B93" s="55">
        <v>152.67765228257073</v>
      </c>
      <c r="C93" s="56">
        <v>137.79847118156647</v>
      </c>
      <c r="E93" s="32"/>
      <c r="F93" s="31"/>
    </row>
    <row r="94" spans="1:6" x14ac:dyDescent="0.2">
      <c r="A94" s="26">
        <v>2001.01</v>
      </c>
      <c r="B94" s="55">
        <v>153.71115176452025</v>
      </c>
      <c r="C94" s="56">
        <v>144.28345797462651</v>
      </c>
      <c r="E94" s="32"/>
      <c r="F94" s="31"/>
    </row>
    <row r="95" spans="1:6" x14ac:dyDescent="0.2">
      <c r="A95" s="26">
        <v>2001.02</v>
      </c>
      <c r="B95" s="55">
        <v>132.77840801995026</v>
      </c>
      <c r="C95" s="56">
        <v>135.29063538160818</v>
      </c>
      <c r="E95" s="32"/>
      <c r="F95" s="31"/>
    </row>
    <row r="96" spans="1:6" x14ac:dyDescent="0.2">
      <c r="A96" s="26">
        <v>2001.03</v>
      </c>
      <c r="B96" s="55">
        <v>106.66064992526083</v>
      </c>
      <c r="C96" s="56">
        <v>129.03283419353002</v>
      </c>
      <c r="E96" s="32"/>
      <c r="F96" s="31"/>
    </row>
    <row r="97" spans="1:6" x14ac:dyDescent="0.2">
      <c r="A97" s="26">
        <v>2001.04</v>
      </c>
      <c r="B97" s="55">
        <v>80.56040877094344</v>
      </c>
      <c r="C97" s="56">
        <v>124.2624267225235</v>
      </c>
      <c r="E97" s="32"/>
      <c r="F97" s="31"/>
    </row>
    <row r="98" spans="1:6" x14ac:dyDescent="0.2">
      <c r="A98" s="26">
        <v>2001.05</v>
      </c>
      <c r="B98" s="55">
        <v>79.96483279829458</v>
      </c>
      <c r="C98" s="56">
        <v>123.69752528303862</v>
      </c>
      <c r="E98" s="32"/>
      <c r="F98" s="31"/>
    </row>
    <row r="99" spans="1:6" x14ac:dyDescent="0.2">
      <c r="A99" s="26">
        <v>2001.06</v>
      </c>
      <c r="B99" s="55">
        <v>166.62113681870275</v>
      </c>
      <c r="C99" s="56">
        <v>120.02231694855953</v>
      </c>
      <c r="E99" s="32"/>
      <c r="F99" s="31"/>
    </row>
    <row r="100" spans="1:6" x14ac:dyDescent="0.2">
      <c r="A100" s="26">
        <v>2001.07</v>
      </c>
      <c r="B100" s="55">
        <v>182.45645091501345</v>
      </c>
      <c r="C100" s="56">
        <v>115.0250936428547</v>
      </c>
      <c r="E100" s="32"/>
      <c r="F100" s="31"/>
    </row>
    <row r="101" spans="1:6" x14ac:dyDescent="0.2">
      <c r="A101" s="26">
        <v>2001.08</v>
      </c>
      <c r="B101" s="55">
        <v>107.71166634758234</v>
      </c>
      <c r="C101" s="56">
        <v>107.90282023027331</v>
      </c>
      <c r="E101" s="32"/>
      <c r="F101" s="31"/>
    </row>
    <row r="102" spans="1:6" x14ac:dyDescent="0.2">
      <c r="A102" s="26">
        <v>2001.09</v>
      </c>
      <c r="B102" s="55">
        <v>78.143070999603964</v>
      </c>
      <c r="C102" s="56">
        <v>97.431554570401431</v>
      </c>
      <c r="E102" s="32"/>
      <c r="F102" s="31"/>
    </row>
    <row r="103" spans="1:6" x14ac:dyDescent="0.2">
      <c r="A103" s="26">
        <v>2001.1</v>
      </c>
      <c r="B103" s="55">
        <v>105.50453186070716</v>
      </c>
      <c r="C103" s="56">
        <v>84.490764133053304</v>
      </c>
      <c r="E103" s="32"/>
      <c r="F103" s="31"/>
    </row>
    <row r="104" spans="1:6" x14ac:dyDescent="0.2">
      <c r="A104" s="26">
        <v>2001.11</v>
      </c>
      <c r="B104" s="55">
        <v>105.01405753029047</v>
      </c>
      <c r="C104" s="56">
        <v>72.919947002036608</v>
      </c>
      <c r="E104" s="32"/>
      <c r="F104" s="31"/>
    </row>
    <row r="105" spans="1:6" x14ac:dyDescent="0.2">
      <c r="A105" s="26">
        <v>2001.12</v>
      </c>
      <c r="B105" s="55">
        <v>39.202912552592174</v>
      </c>
      <c r="C105" s="56">
        <v>65.266770997604169</v>
      </c>
      <c r="E105" s="32"/>
      <c r="F105" s="31"/>
    </row>
    <row r="106" spans="1:6" x14ac:dyDescent="0.2">
      <c r="A106" s="26">
        <v>2002.01</v>
      </c>
      <c r="B106" s="55">
        <v>58.874436590376355</v>
      </c>
      <c r="C106" s="56">
        <v>58.478296264802665</v>
      </c>
      <c r="E106" s="32"/>
      <c r="F106" s="31"/>
    </row>
    <row r="107" spans="1:6" x14ac:dyDescent="0.2">
      <c r="A107" s="26">
        <v>2002.02</v>
      </c>
      <c r="B107" s="55">
        <v>98.077349142968544</v>
      </c>
      <c r="C107" s="56">
        <v>55.373524779370783</v>
      </c>
      <c r="E107" s="32"/>
      <c r="F107" s="31"/>
    </row>
    <row r="108" spans="1:6" x14ac:dyDescent="0.2">
      <c r="A108" s="26">
        <v>2002.03</v>
      </c>
      <c r="B108" s="55">
        <v>46.122103999542084</v>
      </c>
      <c r="C108" s="56">
        <v>54.868722912393856</v>
      </c>
      <c r="E108" s="32"/>
      <c r="F108" s="31"/>
    </row>
    <row r="109" spans="1:6" x14ac:dyDescent="0.2">
      <c r="A109" s="26">
        <v>2002.04</v>
      </c>
      <c r="B109" s="55">
        <v>34.806160519213876</v>
      </c>
      <c r="C109" s="56">
        <v>56.894945377942953</v>
      </c>
      <c r="E109" s="32"/>
      <c r="F109" s="31"/>
    </row>
    <row r="110" spans="1:6" x14ac:dyDescent="0.2">
      <c r="A110" s="26">
        <v>2002.05</v>
      </c>
      <c r="B110" s="55">
        <v>61.344325182831895</v>
      </c>
      <c r="C110" s="56">
        <v>58.557600119684508</v>
      </c>
      <c r="E110" s="32"/>
      <c r="F110" s="31"/>
    </row>
    <row r="111" spans="1:6" x14ac:dyDescent="0.2">
      <c r="A111" s="26">
        <v>2002.06</v>
      </c>
      <c r="B111" s="55">
        <v>29.393425944258116</v>
      </c>
      <c r="C111" s="56">
        <v>60.858905298740098</v>
      </c>
      <c r="E111" s="32"/>
      <c r="F111" s="31"/>
    </row>
    <row r="112" spans="1:6" x14ac:dyDescent="0.2">
      <c r="A112" s="26">
        <v>2002.07</v>
      </c>
      <c r="B112" s="55">
        <v>113.17695174365416</v>
      </c>
      <c r="C112" s="56">
        <v>65.007911117601978</v>
      </c>
      <c r="E112" s="32"/>
      <c r="F112" s="31"/>
    </row>
    <row r="113" spans="1:6" x14ac:dyDescent="0.2">
      <c r="A113" s="26">
        <v>2002.08</v>
      </c>
      <c r="B113" s="55">
        <v>31.863314536713649</v>
      </c>
      <c r="C113" s="56">
        <v>72.261263787310057</v>
      </c>
      <c r="E113" s="32"/>
      <c r="F113" s="31"/>
    </row>
    <row r="114" spans="1:6" x14ac:dyDescent="0.2">
      <c r="A114" s="26">
        <v>2002.09</v>
      </c>
      <c r="B114" s="55">
        <v>58.856919650004322</v>
      </c>
      <c r="C114" s="56">
        <v>84.514718371503562</v>
      </c>
      <c r="E114" s="32"/>
      <c r="F114" s="31"/>
    </row>
    <row r="115" spans="1:6" x14ac:dyDescent="0.2">
      <c r="A115" s="26">
        <v>2002.1</v>
      </c>
      <c r="B115" s="55">
        <v>119.92097378688385</v>
      </c>
      <c r="C115" s="56">
        <v>100.24042876651792</v>
      </c>
      <c r="E115" s="32"/>
      <c r="F115" s="31"/>
    </row>
    <row r="116" spans="1:6" x14ac:dyDescent="0.2">
      <c r="A116" s="26">
        <v>2002.11</v>
      </c>
      <c r="B116" s="55">
        <v>140.29317543954903</v>
      </c>
      <c r="C116" s="56">
        <v>120.08075345231191</v>
      </c>
      <c r="E116" s="32"/>
      <c r="F116" s="31"/>
    </row>
    <row r="117" spans="1:6" x14ac:dyDescent="0.2">
      <c r="A117" s="26">
        <v>2002.12</v>
      </c>
      <c r="B117" s="55">
        <v>122.14562521413102</v>
      </c>
      <c r="C117" s="56">
        <v>140.74710218487402</v>
      </c>
      <c r="E117" s="32"/>
      <c r="F117" s="31"/>
    </row>
    <row r="118" spans="1:6" x14ac:dyDescent="0.2">
      <c r="A118" s="26">
        <v>2003.01</v>
      </c>
      <c r="B118" s="55">
        <v>165.41246793303301</v>
      </c>
      <c r="C118" s="56">
        <v>160.05505011639303</v>
      </c>
      <c r="E118" s="32"/>
      <c r="F118" s="31"/>
    </row>
    <row r="119" spans="1:6" x14ac:dyDescent="0.2">
      <c r="A119" s="26">
        <v>2003.02</v>
      </c>
      <c r="B119" s="55">
        <v>191.81049707367481</v>
      </c>
      <c r="C119" s="56">
        <v>171.70916442483278</v>
      </c>
      <c r="E119" s="32"/>
      <c r="F119" s="31"/>
    </row>
    <row r="120" spans="1:6" x14ac:dyDescent="0.2">
      <c r="A120" s="26">
        <v>2003.03</v>
      </c>
      <c r="B120" s="55">
        <v>198.79975628211287</v>
      </c>
      <c r="C120" s="56">
        <v>177.52699109292865</v>
      </c>
      <c r="E120" s="32"/>
      <c r="F120" s="31"/>
    </row>
    <row r="121" spans="1:6" x14ac:dyDescent="0.2">
      <c r="A121" s="26">
        <v>2003.04</v>
      </c>
      <c r="B121" s="55">
        <v>126.64747888974146</v>
      </c>
      <c r="C121" s="56">
        <v>180.71988112957658</v>
      </c>
      <c r="E121" s="32"/>
      <c r="F121" s="31"/>
    </row>
    <row r="122" spans="1:6" x14ac:dyDescent="0.2">
      <c r="A122" s="26">
        <v>2003.05</v>
      </c>
      <c r="B122" s="55">
        <v>147.72035815728765</v>
      </c>
      <c r="C122" s="56">
        <v>183.03965719321474</v>
      </c>
      <c r="E122" s="32"/>
      <c r="F122" s="31"/>
    </row>
    <row r="123" spans="1:6" x14ac:dyDescent="0.2">
      <c r="A123" s="26">
        <v>2003.06</v>
      </c>
      <c r="B123" s="55">
        <v>145.54825755115655</v>
      </c>
      <c r="C123" s="56">
        <v>187.92721657014533</v>
      </c>
      <c r="E123" s="32"/>
      <c r="F123" s="31"/>
    </row>
    <row r="124" spans="1:6" x14ac:dyDescent="0.2">
      <c r="A124" s="26">
        <v>2003.07</v>
      </c>
      <c r="B124" s="55">
        <v>263.3146476722813</v>
      </c>
      <c r="C124" s="56">
        <v>192.85330164739969</v>
      </c>
      <c r="E124" s="32"/>
      <c r="F124" s="31"/>
    </row>
    <row r="125" spans="1:6" x14ac:dyDescent="0.2">
      <c r="A125" s="26">
        <v>2003.08</v>
      </c>
      <c r="B125" s="55">
        <v>237.52971144466036</v>
      </c>
      <c r="C125" s="56">
        <v>200.74740626912151</v>
      </c>
      <c r="E125" s="32"/>
      <c r="F125" s="31"/>
    </row>
    <row r="126" spans="1:6" x14ac:dyDescent="0.2">
      <c r="A126" s="26">
        <v>2003.09</v>
      </c>
      <c r="B126" s="55">
        <v>211.72725827666733</v>
      </c>
      <c r="C126" s="56">
        <v>206.41071899132174</v>
      </c>
      <c r="E126" s="32"/>
      <c r="F126" s="31"/>
    </row>
    <row r="127" spans="1:6" x14ac:dyDescent="0.2">
      <c r="A127" s="26">
        <v>2003.1</v>
      </c>
      <c r="B127" s="55">
        <v>198.6946546398807</v>
      </c>
      <c r="C127" s="56">
        <v>212.08415260023901</v>
      </c>
      <c r="E127" s="32"/>
      <c r="F127" s="31"/>
    </row>
    <row r="128" spans="1:6" x14ac:dyDescent="0.2">
      <c r="A128" s="26">
        <v>2003.11</v>
      </c>
      <c r="B128" s="55">
        <v>231.99435828710043</v>
      </c>
      <c r="C128" s="56">
        <v>211.57220825212173</v>
      </c>
      <c r="E128" s="32"/>
      <c r="F128" s="31"/>
    </row>
    <row r="129" spans="1:6" x14ac:dyDescent="0.2">
      <c r="A129" s="26">
        <v>2003.12</v>
      </c>
      <c r="B129" s="55">
        <v>194.28038566613037</v>
      </c>
      <c r="C129" s="56">
        <v>208.74957400314858</v>
      </c>
      <c r="E129" s="32"/>
      <c r="F129" s="31"/>
    </row>
    <row r="130" spans="1:6" x14ac:dyDescent="0.2">
      <c r="A130" s="26">
        <v>2004.01</v>
      </c>
      <c r="B130" s="55">
        <v>242.32935310659519</v>
      </c>
      <c r="C130" s="56">
        <v>199.07738641538884</v>
      </c>
      <c r="E130" s="32"/>
      <c r="F130" s="31"/>
    </row>
    <row r="131" spans="1:6" x14ac:dyDescent="0.2">
      <c r="A131" s="26">
        <v>2004.02</v>
      </c>
      <c r="B131" s="55">
        <v>179.60118963437333</v>
      </c>
      <c r="C131" s="56">
        <v>187.64067976832283</v>
      </c>
      <c r="E131" s="32"/>
      <c r="F131" s="31"/>
    </row>
    <row r="132" spans="1:6" x14ac:dyDescent="0.2">
      <c r="A132" s="26">
        <v>2004.03</v>
      </c>
      <c r="B132" s="55">
        <v>175.2219545413671</v>
      </c>
      <c r="C132" s="56">
        <v>174.55378032456719</v>
      </c>
      <c r="E132" s="32"/>
      <c r="F132" s="31"/>
    </row>
    <row r="133" spans="1:6" x14ac:dyDescent="0.2">
      <c r="A133" s="26">
        <v>2004.04</v>
      </c>
      <c r="B133" s="55">
        <v>102.21134707076645</v>
      </c>
      <c r="C133" s="56">
        <v>163.11315679778556</v>
      </c>
      <c r="E133" s="32"/>
      <c r="F133" s="31"/>
    </row>
    <row r="134" spans="1:6" x14ac:dyDescent="0.2">
      <c r="A134" s="26">
        <v>2004.05</v>
      </c>
      <c r="B134" s="55">
        <v>155.04243923279415</v>
      </c>
      <c r="C134" s="56">
        <v>158.8761824875219</v>
      </c>
      <c r="E134" s="32"/>
      <c r="F134" s="31"/>
    </row>
    <row r="135" spans="1:6" x14ac:dyDescent="0.2">
      <c r="A135" s="26">
        <v>2004.06</v>
      </c>
      <c r="B135" s="55">
        <v>155.93580319176741</v>
      </c>
      <c r="C135" s="56">
        <v>159.74471958961584</v>
      </c>
      <c r="E135" s="32"/>
      <c r="F135" s="31"/>
    </row>
    <row r="136" spans="1:6" x14ac:dyDescent="0.2">
      <c r="A136" s="26">
        <v>2004.07</v>
      </c>
      <c r="B136" s="55">
        <v>140.43331096252521</v>
      </c>
      <c r="C136" s="56">
        <v>165.88542865647395</v>
      </c>
      <c r="E136" s="32"/>
      <c r="F136" s="31"/>
    </row>
    <row r="137" spans="1:6" x14ac:dyDescent="0.2">
      <c r="A137" s="26">
        <v>2004.08</v>
      </c>
      <c r="B137" s="55">
        <v>232.95779000756181</v>
      </c>
      <c r="C137" s="56">
        <v>166.78186881068092</v>
      </c>
      <c r="E137" s="32"/>
      <c r="F137" s="31"/>
    </row>
    <row r="138" spans="1:6" x14ac:dyDescent="0.2">
      <c r="A138" s="26">
        <v>2004.09</v>
      </c>
      <c r="B138" s="55">
        <v>148.43855271254068</v>
      </c>
      <c r="C138" s="56">
        <v>167.52613279618143</v>
      </c>
      <c r="E138" s="32"/>
      <c r="F138" s="31"/>
    </row>
    <row r="139" spans="1:6" x14ac:dyDescent="0.2">
      <c r="A139" s="26">
        <v>2004.1</v>
      </c>
      <c r="B139" s="55">
        <v>205.77149855017885</v>
      </c>
      <c r="C139" s="56">
        <v>162.03687231910095</v>
      </c>
      <c r="E139" s="32"/>
      <c r="F139" s="31"/>
    </row>
    <row r="140" spans="1:6" x14ac:dyDescent="0.2">
      <c r="A140" s="26">
        <v>2004.11</v>
      </c>
      <c r="B140" s="55">
        <v>145.32053732632019</v>
      </c>
      <c r="C140" s="56">
        <v>159.10017906854802</v>
      </c>
      <c r="E140" s="32"/>
      <c r="F140" s="31"/>
    </row>
    <row r="141" spans="1:6" x14ac:dyDescent="0.2">
      <c r="A141" s="26">
        <v>2004.12</v>
      </c>
      <c r="B141" s="55">
        <v>134.53010205715273</v>
      </c>
      <c r="C141" s="56">
        <v>152.92711055083976</v>
      </c>
      <c r="E141" s="32"/>
      <c r="F141" s="31"/>
    </row>
    <row r="142" spans="1:6" x14ac:dyDescent="0.2">
      <c r="A142" s="26">
        <v>2005.01</v>
      </c>
      <c r="B142" s="55">
        <v>142.16748805935572</v>
      </c>
      <c r="C142" s="56">
        <v>152.44296627203536</v>
      </c>
      <c r="E142" s="32"/>
      <c r="F142" s="31"/>
    </row>
    <row r="143" spans="1:6" x14ac:dyDescent="0.2">
      <c r="A143" s="26">
        <v>2005.02</v>
      </c>
      <c r="B143" s="55">
        <v>265.27635694079351</v>
      </c>
      <c r="C143" s="56">
        <v>154.78556137697791</v>
      </c>
      <c r="E143" s="32"/>
      <c r="F143" s="31"/>
    </row>
    <row r="144" spans="1:6" x14ac:dyDescent="0.2">
      <c r="A144" s="26">
        <v>2005.03</v>
      </c>
      <c r="B144" s="55">
        <v>189.82241492688695</v>
      </c>
      <c r="C144" s="56">
        <v>160.73683376718105</v>
      </c>
      <c r="E144" s="32"/>
      <c r="F144" s="31"/>
    </row>
    <row r="145" spans="1:6" x14ac:dyDescent="0.2">
      <c r="A145" s="26">
        <v>2005.04</v>
      </c>
      <c r="B145" s="55">
        <v>139.87736716062511</v>
      </c>
      <c r="C145" s="56">
        <v>166.72587752974053</v>
      </c>
      <c r="E145" s="32"/>
      <c r="F145" s="31"/>
    </row>
    <row r="146" spans="1:6" x14ac:dyDescent="0.2">
      <c r="A146" s="26">
        <v>2005.05</v>
      </c>
      <c r="B146" s="55">
        <v>202.58020632640967</v>
      </c>
      <c r="C146" s="56">
        <v>174.89369065735173</v>
      </c>
      <c r="E146" s="32"/>
      <c r="F146" s="31"/>
    </row>
    <row r="147" spans="1:6" x14ac:dyDescent="0.2">
      <c r="A147" s="26">
        <v>2005.06</v>
      </c>
      <c r="B147" s="55">
        <v>140.06676037651445</v>
      </c>
      <c r="C147" s="56">
        <v>183.60740429406894</v>
      </c>
      <c r="E147" s="32"/>
      <c r="F147" s="31"/>
    </row>
    <row r="148" spans="1:6" x14ac:dyDescent="0.2">
      <c r="A148" s="26">
        <v>2005.07</v>
      </c>
      <c r="B148" s="55">
        <v>198.7284702839375</v>
      </c>
      <c r="C148" s="56">
        <v>190.59124926024299</v>
      </c>
      <c r="E148" s="32"/>
      <c r="F148" s="31"/>
    </row>
    <row r="149" spans="1:6" x14ac:dyDescent="0.2">
      <c r="A149" s="26">
        <v>2005.08</v>
      </c>
      <c r="B149" s="55">
        <v>267.79276866064106</v>
      </c>
      <c r="C149" s="56">
        <v>194.76844382353343</v>
      </c>
      <c r="E149" s="32"/>
      <c r="F149" s="31"/>
    </row>
    <row r="150" spans="1:6" x14ac:dyDescent="0.2">
      <c r="A150" s="26">
        <v>2005.09</v>
      </c>
      <c r="B150" s="55">
        <v>183.09963249164832</v>
      </c>
      <c r="C150" s="56">
        <v>195.3522256759901</v>
      </c>
      <c r="E150" s="32"/>
      <c r="F150" s="31"/>
    </row>
    <row r="151" spans="1:6" x14ac:dyDescent="0.2">
      <c r="A151" s="26">
        <v>2005.1</v>
      </c>
      <c r="B151" s="55">
        <v>177.47818362723524</v>
      </c>
      <c r="C151" s="56">
        <v>192.9510596002149</v>
      </c>
      <c r="E151" s="32"/>
      <c r="F151" s="31"/>
    </row>
    <row r="152" spans="1:6" x14ac:dyDescent="0.2">
      <c r="A152" s="26">
        <v>2005.11</v>
      </c>
      <c r="B152" s="55">
        <v>284.96289573921143</v>
      </c>
      <c r="C152" s="56">
        <v>187.67105840795742</v>
      </c>
      <c r="E152" s="32"/>
      <c r="F152" s="31"/>
    </row>
    <row r="153" spans="1:6" x14ac:dyDescent="0.2">
      <c r="A153" s="26">
        <v>2005.12</v>
      </c>
      <c r="B153" s="55">
        <v>138.48176304541494</v>
      </c>
      <c r="C153" s="56">
        <v>183.14047957197829</v>
      </c>
      <c r="E153" s="32"/>
      <c r="F153" s="31"/>
    </row>
    <row r="154" spans="1:6" x14ac:dyDescent="0.2">
      <c r="A154" s="26">
        <v>2006.01</v>
      </c>
      <c r="B154" s="55">
        <v>200.73011354905529</v>
      </c>
      <c r="C154" s="56">
        <v>182.6725822515364</v>
      </c>
      <c r="E154" s="32"/>
      <c r="F154" s="31"/>
    </row>
    <row r="155" spans="1:6" x14ac:dyDescent="0.2">
      <c r="A155" s="26">
        <v>2006.02</v>
      </c>
      <c r="B155" s="55">
        <v>163.49540860630177</v>
      </c>
      <c r="C155" s="56">
        <v>187.1248977305664</v>
      </c>
      <c r="E155" s="32"/>
      <c r="F155" s="31"/>
    </row>
    <row r="156" spans="1:6" x14ac:dyDescent="0.2">
      <c r="A156" s="26">
        <v>2006.03</v>
      </c>
      <c r="B156" s="55">
        <v>228.9974695774458</v>
      </c>
      <c r="C156" s="56">
        <v>190.85452722981165</v>
      </c>
      <c r="E156" s="32"/>
      <c r="F156" s="31"/>
    </row>
    <row r="157" spans="1:6" x14ac:dyDescent="0.2">
      <c r="A157" s="26">
        <v>2006.04</v>
      </c>
      <c r="B157" s="55">
        <v>206.96938565785831</v>
      </c>
      <c r="C157" s="56">
        <v>195.44972695585375</v>
      </c>
      <c r="E157" s="32"/>
      <c r="F157" s="31"/>
    </row>
    <row r="158" spans="1:6" x14ac:dyDescent="0.2">
      <c r="A158" s="26">
        <v>2006.05</v>
      </c>
      <c r="B158" s="55">
        <v>226.60257118832919</v>
      </c>
      <c r="C158" s="56">
        <v>193.08377913372203</v>
      </c>
      <c r="E158" s="32"/>
      <c r="F158" s="31"/>
    </row>
    <row r="159" spans="1:6" x14ac:dyDescent="0.2">
      <c r="A159" s="26">
        <v>2006.06</v>
      </c>
      <c r="B159" s="55">
        <v>146.713159022539</v>
      </c>
      <c r="C159" s="56">
        <v>190.3980020716478</v>
      </c>
      <c r="E159" s="32"/>
      <c r="F159" s="31"/>
    </row>
    <row r="160" spans="1:6" x14ac:dyDescent="0.2">
      <c r="A160" s="26">
        <v>2006.07</v>
      </c>
      <c r="B160" s="55">
        <v>226.33001157140731</v>
      </c>
      <c r="C160" s="56">
        <v>180.51146640600462</v>
      </c>
      <c r="E160" s="32"/>
      <c r="F160" s="31"/>
    </row>
    <row r="161" spans="1:6" x14ac:dyDescent="0.2">
      <c r="A161" s="26">
        <v>2006.08</v>
      </c>
      <c r="B161" s="55">
        <v>156.72552206833791</v>
      </c>
      <c r="C161" s="56">
        <v>175.14121158323195</v>
      </c>
      <c r="E161" s="32"/>
      <c r="F161" s="31"/>
    </row>
    <row r="162" spans="1:6" x14ac:dyDescent="0.2">
      <c r="A162" s="26">
        <v>2006.09</v>
      </c>
      <c r="B162" s="55">
        <v>171.32068367909457</v>
      </c>
      <c r="C162" s="56">
        <v>168.38962571684851</v>
      </c>
      <c r="E162" s="32"/>
      <c r="F162" s="31"/>
    </row>
    <row r="163" spans="1:6" x14ac:dyDescent="0.2">
      <c r="A163" s="26">
        <v>2006.1</v>
      </c>
      <c r="B163" s="55">
        <v>101.94593511620025</v>
      </c>
      <c r="C163" s="56">
        <v>170.1921285622393</v>
      </c>
      <c r="E163" s="32"/>
      <c r="F163" s="31"/>
    </row>
    <row r="164" spans="1:6" x14ac:dyDescent="0.2">
      <c r="A164" s="26">
        <v>2006.11</v>
      </c>
      <c r="B164" s="55">
        <v>185.45433492140722</v>
      </c>
      <c r="C164" s="56">
        <v>167.34524543768379</v>
      </c>
      <c r="E164" s="32"/>
      <c r="F164" s="31"/>
    </row>
    <row r="165" spans="1:6" x14ac:dyDescent="0.2">
      <c r="A165" s="26">
        <v>2006.12</v>
      </c>
      <c r="B165" s="55">
        <v>142.00079677712534</v>
      </c>
      <c r="C165" s="56">
        <v>169.19133958771917</v>
      </c>
      <c r="E165" s="32"/>
      <c r="F165" s="31"/>
    </row>
    <row r="166" spans="1:6" x14ac:dyDescent="0.2">
      <c r="A166" s="26">
        <v>2007.01</v>
      </c>
      <c r="B166" s="55">
        <v>206.52823824512586</v>
      </c>
      <c r="C166" s="56">
        <v>165.08656010574956</v>
      </c>
      <c r="E166" s="32"/>
      <c r="F166" s="31"/>
    </row>
    <row r="167" spans="1:6" x14ac:dyDescent="0.2">
      <c r="A167" s="26">
        <v>2007.02</v>
      </c>
      <c r="B167" s="55">
        <v>120.80723215785245</v>
      </c>
      <c r="C167" s="56">
        <v>161.1069470866064</v>
      </c>
      <c r="E167" s="32"/>
      <c r="F167" s="31"/>
    </row>
    <row r="168" spans="1:6" x14ac:dyDescent="0.2">
      <c r="A168" s="26">
        <v>2007.03</v>
      </c>
      <c r="B168" s="55">
        <v>202.41282638772296</v>
      </c>
      <c r="C168" s="56">
        <v>149.4469155848528</v>
      </c>
      <c r="E168" s="32"/>
      <c r="F168" s="31"/>
    </row>
    <row r="169" spans="1:6" x14ac:dyDescent="0.2">
      <c r="A169" s="26">
        <v>2007.04</v>
      </c>
      <c r="B169" s="55">
        <v>165.51251407993692</v>
      </c>
      <c r="C169" s="56">
        <v>137.72078345921867</v>
      </c>
      <c r="E169" s="32"/>
      <c r="F169" s="31"/>
    </row>
    <row r="170" spans="1:6" x14ac:dyDescent="0.2">
      <c r="A170" s="26">
        <v>2007.05</v>
      </c>
      <c r="B170" s="55">
        <v>67.274801670813588</v>
      </c>
      <c r="C170" s="56">
        <v>122.46839315339513</v>
      </c>
      <c r="E170" s="32"/>
      <c r="F170" s="31"/>
    </row>
    <row r="171" spans="1:6" x14ac:dyDescent="0.2">
      <c r="A171" s="26">
        <v>2007.06</v>
      </c>
      <c r="B171" s="55">
        <v>92.211004265209752</v>
      </c>
      <c r="C171" s="56">
        <v>107.06833585064365</v>
      </c>
      <c r="E171" s="32"/>
      <c r="F171" s="31"/>
    </row>
    <row r="172" spans="1:6" x14ac:dyDescent="0.2">
      <c r="A172" s="26">
        <v>2007.07</v>
      </c>
      <c r="B172" s="55">
        <v>95.51029270890696</v>
      </c>
      <c r="C172" s="56">
        <v>91.275375267652592</v>
      </c>
      <c r="E172" s="32"/>
      <c r="F172" s="31"/>
    </row>
    <row r="173" spans="1:6" x14ac:dyDescent="0.2">
      <c r="A173" s="26">
        <v>2007.08</v>
      </c>
      <c r="B173" s="55">
        <v>71.956879994076132</v>
      </c>
      <c r="C173" s="56">
        <v>79.933553109619012</v>
      </c>
      <c r="E173" s="32"/>
      <c r="F173" s="31"/>
    </row>
    <row r="174" spans="1:6" x14ac:dyDescent="0.2">
      <c r="A174" s="26">
        <v>2007.09</v>
      </c>
      <c r="B174" s="55">
        <v>57.987439947596705</v>
      </c>
      <c r="C174" s="56">
        <v>73.507719417865303</v>
      </c>
      <c r="E174" s="32"/>
      <c r="F174" s="31"/>
    </row>
    <row r="175" spans="1:6" x14ac:dyDescent="0.2">
      <c r="A175" s="26">
        <v>2007.1</v>
      </c>
      <c r="B175" s="55">
        <v>19.680363788694301</v>
      </c>
      <c r="C175" s="56">
        <v>71.938650887684915</v>
      </c>
      <c r="E175" s="32"/>
      <c r="F175" s="31"/>
    </row>
    <row r="176" spans="1:6" x14ac:dyDescent="0.2">
      <c r="A176" s="26">
        <v>2007.11</v>
      </c>
      <c r="B176" s="55">
        <v>67.855822228815484</v>
      </c>
      <c r="C176" s="56">
        <v>73.866498654833407</v>
      </c>
      <c r="E176" s="32"/>
      <c r="F176" s="31"/>
    </row>
    <row r="177" spans="1:6" x14ac:dyDescent="0.2">
      <c r="A177" s="26">
        <v>2007.12</v>
      </c>
      <c r="B177" s="55">
        <v>68.361732969000428</v>
      </c>
      <c r="C177" s="56">
        <v>78.408194171790427</v>
      </c>
      <c r="E177" s="33"/>
      <c r="F177" s="31"/>
    </row>
    <row r="178" spans="1:6" x14ac:dyDescent="0.2">
      <c r="A178" s="26">
        <f t="shared" ref="A178:A241" si="0">A166+1</f>
        <v>2008.01</v>
      </c>
      <c r="B178" s="55">
        <v>97.762690913288878</v>
      </c>
      <c r="C178" s="56">
        <v>83.539268165147774</v>
      </c>
      <c r="E178" s="32"/>
      <c r="F178" s="31"/>
    </row>
    <row r="179" spans="1:6" x14ac:dyDescent="0.2">
      <c r="A179" s="26">
        <f t="shared" si="0"/>
        <v>2008.02</v>
      </c>
      <c r="B179" s="55">
        <v>72.446971226271401</v>
      </c>
      <c r="C179" s="56">
        <v>87.904933636976452</v>
      </c>
      <c r="E179" s="32"/>
      <c r="F179" s="31"/>
    </row>
    <row r="180" spans="1:6" x14ac:dyDescent="0.2">
      <c r="A180" s="26">
        <f t="shared" si="0"/>
        <v>2008.03</v>
      </c>
      <c r="B180" s="55">
        <v>113.35184310703374</v>
      </c>
      <c r="C180" s="56">
        <v>89.888106560751609</v>
      </c>
      <c r="E180" s="32"/>
      <c r="F180" s="31"/>
    </row>
    <row r="181" spans="1:6" x14ac:dyDescent="0.2">
      <c r="A181" s="26">
        <f t="shared" si="0"/>
        <v>2008.04</v>
      </c>
      <c r="B181" s="55">
        <v>120.72726815161094</v>
      </c>
      <c r="C181" s="56">
        <v>90.305888655238604</v>
      </c>
      <c r="E181" s="32"/>
      <c r="F181" s="31"/>
    </row>
    <row r="182" spans="1:6" x14ac:dyDescent="0.2">
      <c r="A182" s="26">
        <f t="shared" si="0"/>
        <v>2008.05</v>
      </c>
      <c r="B182" s="55">
        <v>86.470707198215621</v>
      </c>
      <c r="C182" s="56">
        <v>88.396342786369203</v>
      </c>
      <c r="E182" s="32"/>
      <c r="F182" s="31"/>
    </row>
    <row r="183" spans="1:6" x14ac:dyDescent="0.2">
      <c r="A183" s="26">
        <f t="shared" si="0"/>
        <v>2008.06</v>
      </c>
      <c r="B183" s="55">
        <v>74.621012085723322</v>
      </c>
      <c r="C183" s="56">
        <v>84.709810673026126</v>
      </c>
      <c r="E183" s="32"/>
      <c r="F183" s="31"/>
    </row>
    <row r="184" spans="1:6" x14ac:dyDescent="0.2">
      <c r="A184" s="26">
        <f t="shared" si="0"/>
        <v>2008.07</v>
      </c>
      <c r="B184" s="55">
        <v>88.760261889259169</v>
      </c>
      <c r="C184" s="56">
        <v>79.549186384582498</v>
      </c>
      <c r="E184" s="32"/>
      <c r="F184" s="31"/>
    </row>
    <row r="185" spans="1:6" x14ac:dyDescent="0.2">
      <c r="A185" s="26">
        <f t="shared" si="0"/>
        <v>2008.08</v>
      </c>
      <c r="B185" s="55">
        <v>70.307404280635836</v>
      </c>
      <c r="C185" s="56">
        <v>74.202861684489974</v>
      </c>
      <c r="E185" s="32"/>
      <c r="F185" s="31"/>
    </row>
    <row r="186" spans="1:6" x14ac:dyDescent="0.2">
      <c r="A186" s="26">
        <f t="shared" si="0"/>
        <v>2008.09</v>
      </c>
      <c r="B186" s="55">
        <v>31.842468387234828</v>
      </c>
      <c r="C186" s="56">
        <v>69.498899525763989</v>
      </c>
      <c r="E186" s="32"/>
      <c r="F186" s="31"/>
    </row>
    <row r="187" spans="1:6" x14ac:dyDescent="0.2">
      <c r="A187" s="26">
        <f t="shared" si="0"/>
        <v>2008.1</v>
      </c>
      <c r="B187" s="55">
        <v>64.503113925535857</v>
      </c>
      <c r="C187" s="56">
        <v>65.065765060790497</v>
      </c>
      <c r="E187" s="32"/>
      <c r="F187" s="31"/>
    </row>
    <row r="188" spans="1:6" x14ac:dyDescent="0.2">
      <c r="A188" s="26">
        <f t="shared" si="0"/>
        <v>2008.11</v>
      </c>
      <c r="B188" s="55">
        <v>50.407004067163527</v>
      </c>
      <c r="C188" s="56">
        <v>62.190383714363762</v>
      </c>
      <c r="E188" s="32"/>
      <c r="F188" s="31"/>
    </row>
    <row r="189" spans="1:6" x14ac:dyDescent="0.2">
      <c r="A189" s="26">
        <f t="shared" si="0"/>
        <v>2008.12</v>
      </c>
      <c r="B189" s="55">
        <v>54.548816538729831</v>
      </c>
      <c r="C189" s="56">
        <v>59.725213898842341</v>
      </c>
      <c r="E189" s="33"/>
      <c r="F189" s="31"/>
    </row>
    <row r="190" spans="1:6" x14ac:dyDescent="0.2">
      <c r="A190" s="26">
        <f t="shared" si="0"/>
        <v>2009.01</v>
      </c>
      <c r="B190" s="55">
        <v>43.59751411610484</v>
      </c>
      <c r="C190" s="56">
        <v>58.746796218196025</v>
      </c>
      <c r="E190" s="32"/>
      <c r="F190" s="31"/>
    </row>
    <row r="191" spans="1:6" x14ac:dyDescent="0.2">
      <c r="A191" s="26">
        <f t="shared" si="0"/>
        <v>2009.02</v>
      </c>
      <c r="B191" s="55">
        <v>103.30464192554209</v>
      </c>
      <c r="C191" s="56">
        <v>58.104609843534597</v>
      </c>
      <c r="E191" s="32"/>
      <c r="F191" s="31"/>
    </row>
    <row r="192" spans="1:6" x14ac:dyDescent="0.2">
      <c r="A192" s="26">
        <f t="shared" si="0"/>
        <v>2009.03</v>
      </c>
      <c r="B192" s="55">
        <v>59.842677640790171</v>
      </c>
      <c r="C192" s="56">
        <v>59.468667777199762</v>
      </c>
      <c r="E192" s="32"/>
      <c r="F192" s="31"/>
    </row>
    <row r="193" spans="1:6" x14ac:dyDescent="0.2">
      <c r="A193" s="26">
        <f t="shared" si="0"/>
        <v>2009.04</v>
      </c>
      <c r="B193" s="55">
        <v>124.63465500975248</v>
      </c>
      <c r="C193" s="56">
        <v>61.127606598353132</v>
      </c>
      <c r="E193" s="32"/>
      <c r="F193" s="31"/>
    </row>
    <row r="194" spans="1:6" x14ac:dyDescent="0.2">
      <c r="A194" s="26">
        <f t="shared" si="0"/>
        <v>2009.05</v>
      </c>
      <c r="B194" s="55">
        <v>59.085641397549566</v>
      </c>
      <c r="C194" s="56">
        <v>65.176442737306388</v>
      </c>
      <c r="E194" s="32"/>
      <c r="F194" s="31"/>
    </row>
    <row r="195" spans="1:6" x14ac:dyDescent="0.2">
      <c r="A195" s="26">
        <f t="shared" si="0"/>
        <v>2009.06</v>
      </c>
      <c r="B195" s="55">
        <v>65.088708120402273</v>
      </c>
      <c r="C195" s="56">
        <v>69.860039111132664</v>
      </c>
      <c r="E195" s="32"/>
      <c r="F195" s="31"/>
    </row>
    <row r="196" spans="1:6" x14ac:dyDescent="0.2">
      <c r="A196" s="26">
        <f t="shared" si="0"/>
        <v>2009.07</v>
      </c>
      <c r="B196" s="55">
        <v>72.282593717115361</v>
      </c>
      <c r="C196" s="56">
        <v>75.815696973831123</v>
      </c>
      <c r="E196" s="32"/>
      <c r="F196" s="31"/>
    </row>
    <row r="197" spans="1:6" x14ac:dyDescent="0.2">
      <c r="A197" s="26">
        <f t="shared" si="0"/>
        <v>2009.08</v>
      </c>
      <c r="B197" s="55">
        <v>87.983997422553983</v>
      </c>
      <c r="C197" s="56">
        <v>80.004178644593011</v>
      </c>
      <c r="E197" s="32"/>
      <c r="F197" s="31"/>
    </row>
    <row r="198" spans="1:6" x14ac:dyDescent="0.2">
      <c r="A198" s="26">
        <f t="shared" si="0"/>
        <v>2009.09</v>
      </c>
      <c r="B198" s="55">
        <v>81.792385333060551</v>
      </c>
      <c r="C198" s="56">
        <v>82.931292255541621</v>
      </c>
      <c r="E198" s="32"/>
      <c r="F198" s="31"/>
    </row>
    <row r="199" spans="1:6" x14ac:dyDescent="0.2">
      <c r="A199" s="26">
        <f t="shared" si="0"/>
        <v>2009.1</v>
      </c>
      <c r="B199" s="55">
        <v>90.621640454919998</v>
      </c>
      <c r="C199" s="56">
        <v>82.580803706511077</v>
      </c>
      <c r="E199" s="32"/>
      <c r="F199" s="31"/>
    </row>
    <row r="200" spans="1:6" x14ac:dyDescent="0.2">
      <c r="A200" s="26">
        <f t="shared" si="0"/>
        <v>2009.11</v>
      </c>
      <c r="B200" s="55">
        <v>76.88529519913115</v>
      </c>
      <c r="C200" s="56">
        <v>81.110182690743386</v>
      </c>
      <c r="E200" s="32"/>
      <c r="F200" s="31"/>
    </row>
    <row r="201" spans="1:6" x14ac:dyDescent="0.2">
      <c r="A201" s="26">
        <f t="shared" si="0"/>
        <v>2009.12</v>
      </c>
      <c r="B201" s="55">
        <v>67.791143316866169</v>
      </c>
      <c r="C201" s="56">
        <v>77.058043422070213</v>
      </c>
      <c r="E201" s="33"/>
      <c r="F201" s="31"/>
    </row>
    <row r="202" spans="1:6" x14ac:dyDescent="0.2">
      <c r="A202" s="26">
        <f t="shared" si="0"/>
        <v>2010.01</v>
      </c>
      <c r="B202" s="55">
        <v>72.602129506943612</v>
      </c>
      <c r="C202" s="56">
        <v>74.317084598257082</v>
      </c>
      <c r="E202" s="32"/>
      <c r="F202" s="31"/>
    </row>
    <row r="203" spans="1:6" x14ac:dyDescent="0.2">
      <c r="A203" s="26">
        <f t="shared" si="0"/>
        <v>2010.02</v>
      </c>
      <c r="B203" s="55">
        <v>75.009793527250025</v>
      </c>
      <c r="C203" s="56">
        <v>73.91520977869996</v>
      </c>
      <c r="E203" s="32"/>
      <c r="F203" s="31"/>
    </row>
    <row r="204" spans="1:6" x14ac:dyDescent="0.2">
      <c r="A204" s="26">
        <f t="shared" si="0"/>
        <v>2010.03</v>
      </c>
      <c r="B204" s="55">
        <v>65.034453305259348</v>
      </c>
      <c r="C204" s="56">
        <v>77.808074902455402</v>
      </c>
      <c r="E204" s="32"/>
      <c r="F204" s="31"/>
    </row>
    <row r="205" spans="1:6" x14ac:dyDescent="0.2">
      <c r="A205" s="26">
        <f t="shared" si="0"/>
        <v>2010.04</v>
      </c>
      <c r="B205" s="55">
        <v>44.387343272117903</v>
      </c>
      <c r="C205" s="56">
        <v>82.890322862551074</v>
      </c>
      <c r="E205" s="32"/>
      <c r="F205" s="31"/>
    </row>
    <row r="206" spans="1:6" x14ac:dyDescent="0.2">
      <c r="A206" s="26">
        <f t="shared" si="0"/>
        <v>2010.05</v>
      </c>
      <c r="B206" s="55">
        <v>98.810123255262951</v>
      </c>
      <c r="C206" s="56">
        <v>92.006267906666281</v>
      </c>
      <c r="E206" s="32"/>
      <c r="F206" s="31"/>
    </row>
    <row r="207" spans="1:6" x14ac:dyDescent="0.2">
      <c r="A207" s="26">
        <f t="shared" si="0"/>
        <v>2010.06</v>
      </c>
      <c r="B207" s="55">
        <v>95.283326222703749</v>
      </c>
      <c r="C207" s="56">
        <v>102.30053817531528</v>
      </c>
      <c r="E207" s="32"/>
      <c r="F207" s="31"/>
    </row>
    <row r="208" spans="1:6" x14ac:dyDescent="0.2">
      <c r="A208" s="26">
        <f t="shared" si="0"/>
        <v>2010.07</v>
      </c>
      <c r="B208" s="55">
        <v>88.471860002342765</v>
      </c>
      <c r="C208" s="56">
        <v>111.88916239360171</v>
      </c>
      <c r="E208" s="32"/>
      <c r="F208" s="31"/>
    </row>
    <row r="209" spans="1:6" x14ac:dyDescent="0.2">
      <c r="A209" s="26">
        <f t="shared" si="0"/>
        <v>2010.08</v>
      </c>
      <c r="B209" s="55">
        <v>150.7471099104591</v>
      </c>
      <c r="C209" s="56">
        <v>118.10590522659973</v>
      </c>
      <c r="E209" s="32"/>
      <c r="F209" s="31"/>
    </row>
    <row r="210" spans="1:6" x14ac:dyDescent="0.2">
      <c r="A210" s="26">
        <f t="shared" si="0"/>
        <v>2010.09</v>
      </c>
      <c r="B210" s="55">
        <v>124.34222473679662</v>
      </c>
      <c r="C210" s="56">
        <v>124.41778963614293</v>
      </c>
      <c r="E210" s="32"/>
      <c r="F210" s="31"/>
    </row>
    <row r="211" spans="1:6" x14ac:dyDescent="0.2">
      <c r="A211" s="26">
        <f t="shared" si="0"/>
        <v>2010.1</v>
      </c>
      <c r="B211" s="55">
        <v>116.47072583393359</v>
      </c>
      <c r="C211" s="56">
        <v>128.95242802367994</v>
      </c>
      <c r="E211" s="32"/>
      <c r="F211" s="31"/>
    </row>
    <row r="212" spans="1:6" x14ac:dyDescent="0.2">
      <c r="A212" s="26">
        <f t="shared" si="0"/>
        <v>2010.11</v>
      </c>
      <c r="B212" s="55">
        <v>145.27167744805752</v>
      </c>
      <c r="C212" s="56">
        <v>130.88643197334341</v>
      </c>
      <c r="E212" s="32"/>
      <c r="F212" s="31"/>
    </row>
    <row r="213" spans="1:6" x14ac:dyDescent="0.2">
      <c r="A213" s="26">
        <f t="shared" si="0"/>
        <v>2010.12</v>
      </c>
      <c r="B213" s="55">
        <v>123.56923297887212</v>
      </c>
      <c r="C213" s="56">
        <v>131.26828223989838</v>
      </c>
      <c r="E213" s="33"/>
      <c r="F213" s="31"/>
    </row>
    <row r="214" spans="1:6" x14ac:dyDescent="0.2">
      <c r="A214" s="26">
        <f t="shared" si="0"/>
        <v>2011.01</v>
      </c>
      <c r="B214" s="55">
        <v>129.17359276833534</v>
      </c>
      <c r="C214" s="56">
        <v>133.61200452707973</v>
      </c>
      <c r="E214" s="32"/>
      <c r="F214" s="31"/>
    </row>
    <row r="215" spans="1:6" x14ac:dyDescent="0.2">
      <c r="A215" s="26">
        <f t="shared" si="0"/>
        <v>2011.02</v>
      </c>
      <c r="B215" s="55">
        <v>130.77241001428311</v>
      </c>
      <c r="C215" s="56">
        <v>136.23270980151344</v>
      </c>
      <c r="E215" s="32"/>
      <c r="F215" s="31"/>
    </row>
    <row r="216" spans="1:6" x14ac:dyDescent="0.2">
      <c r="A216" s="26">
        <f t="shared" si="0"/>
        <v>2011.03</v>
      </c>
      <c r="B216" s="55">
        <v>150.75876798612768</v>
      </c>
      <c r="C216" s="56">
        <v>138.37182397548813</v>
      </c>
      <c r="E216" s="32"/>
      <c r="F216" s="31"/>
    </row>
    <row r="217" spans="1:6" x14ac:dyDescent="0.2">
      <c r="A217" s="26">
        <f t="shared" si="0"/>
        <v>2011.04</v>
      </c>
      <c r="B217" s="55">
        <v>156.01860062666833</v>
      </c>
      <c r="C217" s="56">
        <v>140.34793611173635</v>
      </c>
      <c r="E217" s="32"/>
      <c r="F217" s="31"/>
    </row>
    <row r="218" spans="1:6" x14ac:dyDescent="0.2">
      <c r="A218" s="26">
        <f t="shared" si="0"/>
        <v>2011.05</v>
      </c>
      <c r="B218" s="55">
        <v>139.92117929941065</v>
      </c>
      <c r="C218" s="56">
        <v>141.31592784436879</v>
      </c>
      <c r="E218" s="32"/>
      <c r="F218" s="31"/>
    </row>
    <row r="219" spans="1:6" x14ac:dyDescent="0.2">
      <c r="A219" s="26">
        <f t="shared" si="0"/>
        <v>2011.06</v>
      </c>
      <c r="B219" s="55">
        <v>141.98864758913979</v>
      </c>
      <c r="C219" s="56">
        <v>142.12311417313862</v>
      </c>
      <c r="E219" s="32"/>
      <c r="F219" s="31"/>
    </row>
    <row r="220" spans="1:6" x14ac:dyDescent="0.2">
      <c r="A220" s="26">
        <f t="shared" si="0"/>
        <v>2011.07</v>
      </c>
      <c r="B220" s="55">
        <v>120.45120965802668</v>
      </c>
      <c r="C220" s="56">
        <v>140.50086809636761</v>
      </c>
      <c r="E220" s="32"/>
      <c r="F220" s="31"/>
    </row>
    <row r="221" spans="1:6" x14ac:dyDescent="0.2">
      <c r="A221" s="26">
        <f t="shared" si="0"/>
        <v>2011.08</v>
      </c>
      <c r="B221" s="55">
        <v>125.28830934180785</v>
      </c>
      <c r="C221" s="56">
        <v>139.84492776382859</v>
      </c>
      <c r="E221" s="32"/>
      <c r="F221" s="31"/>
    </row>
    <row r="222" spans="1:6" x14ac:dyDescent="0.2">
      <c r="A222" s="26">
        <f t="shared" si="0"/>
        <v>2011.09</v>
      </c>
      <c r="B222" s="55">
        <v>159.5944886525273</v>
      </c>
      <c r="C222" s="56">
        <v>136.12422317026702</v>
      </c>
      <c r="E222" s="32"/>
      <c r="F222" s="31"/>
    </row>
    <row r="223" spans="1:6" x14ac:dyDescent="0.2">
      <c r="A223" s="26">
        <f t="shared" si="0"/>
        <v>2011.1</v>
      </c>
      <c r="B223" s="55">
        <v>128.85193579720672</v>
      </c>
      <c r="C223" s="56">
        <v>134.70725110583354</v>
      </c>
      <c r="E223" s="32"/>
      <c r="F223" s="31"/>
    </row>
    <row r="224" spans="1:6" x14ac:dyDescent="0.2">
      <c r="A224" s="26">
        <f t="shared" si="0"/>
        <v>2011.11</v>
      </c>
      <c r="B224" s="55">
        <v>167.96372226802603</v>
      </c>
      <c r="C224" s="56">
        <v>133.45903490227113</v>
      </c>
      <c r="E224" s="32"/>
      <c r="F224" s="31"/>
    </row>
    <row r="225" spans="1:6" x14ac:dyDescent="0.2">
      <c r="A225" s="26">
        <f t="shared" si="0"/>
        <v>2011.12</v>
      </c>
      <c r="B225" s="55">
        <v>89.989352016571274</v>
      </c>
      <c r="C225" s="56">
        <v>137.73771448319269</v>
      </c>
      <c r="E225" s="33"/>
      <c r="F225" s="31"/>
    </row>
    <row r="226" spans="1:6" x14ac:dyDescent="0.2">
      <c r="A226" s="26">
        <f t="shared" si="0"/>
        <v>2012.01</v>
      </c>
      <c r="B226" s="55">
        <v>132.59562432548574</v>
      </c>
      <c r="C226" s="56">
        <v>140.27819694937628</v>
      </c>
      <c r="E226" s="32"/>
      <c r="F226" s="31"/>
    </row>
    <row r="227" spans="1:6" x14ac:dyDescent="0.2">
      <c r="A227" s="26">
        <f t="shared" si="0"/>
        <v>2012.02</v>
      </c>
      <c r="B227" s="55">
        <v>179.00817198179712</v>
      </c>
      <c r="C227" s="56">
        <v>144.2249433326929</v>
      </c>
      <c r="E227" s="32"/>
      <c r="F227" s="31"/>
    </row>
    <row r="228" spans="1:6" x14ac:dyDescent="0.2">
      <c r="A228" s="26">
        <f t="shared" si="0"/>
        <v>2012.03</v>
      </c>
      <c r="B228" s="55">
        <v>186.74576930463897</v>
      </c>
      <c r="C228" s="56">
        <v>144.77230549035596</v>
      </c>
      <c r="E228" s="32"/>
      <c r="F228" s="31"/>
    </row>
    <row r="229" spans="1:6" x14ac:dyDescent="0.2">
      <c r="A229" s="26">
        <f t="shared" si="0"/>
        <v>2012.04</v>
      </c>
      <c r="B229" s="55">
        <v>126.0267751161856</v>
      </c>
      <c r="C229" s="56">
        <v>142.9371646571027</v>
      </c>
      <c r="E229" s="32"/>
      <c r="F229" s="31"/>
    </row>
    <row r="230" spans="1:6" x14ac:dyDescent="0.2">
      <c r="A230" s="26">
        <f t="shared" si="0"/>
        <v>2012.05</v>
      </c>
      <c r="B230" s="55">
        <v>123.13138680940591</v>
      </c>
      <c r="C230" s="56">
        <v>136.6600738678645</v>
      </c>
      <c r="E230" s="32"/>
      <c r="F230" s="31"/>
    </row>
    <row r="231" spans="1:6" x14ac:dyDescent="0.2">
      <c r="A231" s="26">
        <f t="shared" si="0"/>
        <v>2012.06</v>
      </c>
      <c r="B231" s="55">
        <v>133.64820488932057</v>
      </c>
      <c r="C231" s="56">
        <v>128.02874842118038</v>
      </c>
      <c r="E231" s="32"/>
      <c r="F231" s="31"/>
    </row>
    <row r="232" spans="1:6" x14ac:dyDescent="0.2">
      <c r="A232" s="26">
        <f t="shared" si="0"/>
        <v>2012.07</v>
      </c>
      <c r="B232" s="55">
        <v>101.92148799607966</v>
      </c>
      <c r="C232" s="56">
        <v>122.06253393754371</v>
      </c>
      <c r="E232" s="32"/>
      <c r="F232" s="31"/>
    </row>
    <row r="233" spans="1:6" x14ac:dyDescent="0.2">
      <c r="A233" s="26">
        <f t="shared" si="0"/>
        <v>2012.08</v>
      </c>
      <c r="B233" s="55">
        <v>124.55226624523664</v>
      </c>
      <c r="C233" s="56">
        <v>116.82991365290076</v>
      </c>
      <c r="E233" s="32"/>
      <c r="F233" s="31"/>
    </row>
    <row r="234" spans="1:6" x14ac:dyDescent="0.2">
      <c r="A234" s="26">
        <f t="shared" si="0"/>
        <v>2012.09</v>
      </c>
      <c r="B234" s="55">
        <v>66.644040349669197</v>
      </c>
      <c r="C234" s="56">
        <v>113.35807609796093</v>
      </c>
      <c r="E234" s="32"/>
      <c r="F234" s="31"/>
    </row>
    <row r="235" spans="1:6" x14ac:dyDescent="0.2">
      <c r="A235" s="26">
        <f t="shared" si="0"/>
        <v>2012.1</v>
      </c>
      <c r="B235" s="55">
        <v>128.91019908217748</v>
      </c>
      <c r="C235" s="56">
        <v>108.81183353334028</v>
      </c>
      <c r="E235" s="32"/>
      <c r="F235" s="31"/>
    </row>
    <row r="236" spans="1:6" x14ac:dyDescent="0.2">
      <c r="A236" s="26">
        <f t="shared" si="0"/>
        <v>2012.11</v>
      </c>
      <c r="B236" s="55">
        <v>122.96739654768982</v>
      </c>
      <c r="C236" s="56">
        <v>108.21643373078079</v>
      </c>
      <c r="E236" s="32"/>
      <c r="F236" s="31"/>
    </row>
    <row r="237" spans="1:6" x14ac:dyDescent="0.2">
      <c r="A237" s="26">
        <f t="shared" si="0"/>
        <v>2012.12</v>
      </c>
      <c r="B237" s="55">
        <v>139.20236679505899</v>
      </c>
      <c r="C237" s="56">
        <v>107.14545266067636</v>
      </c>
      <c r="E237" s="33"/>
      <c r="F237" s="31"/>
    </row>
    <row r="238" spans="1:6" x14ac:dyDescent="0.2">
      <c r="A238" s="26">
        <f t="shared" si="0"/>
        <v>2013.01</v>
      </c>
      <c r="B238" s="55">
        <v>100.82217932876279</v>
      </c>
      <c r="C238" s="56">
        <v>107.60545387856706</v>
      </c>
      <c r="E238" s="32"/>
      <c r="F238" s="31"/>
    </row>
    <row r="239" spans="1:6" x14ac:dyDescent="0.2">
      <c r="A239" s="26">
        <f t="shared" si="0"/>
        <v>2013.02</v>
      </c>
      <c r="B239" s="55">
        <v>141.76897106977876</v>
      </c>
      <c r="C239" s="56">
        <v>105.53740428672977</v>
      </c>
      <c r="E239" s="32"/>
      <c r="F239" s="31"/>
    </row>
    <row r="240" spans="1:6" x14ac:dyDescent="0.2">
      <c r="A240" s="26">
        <f t="shared" si="0"/>
        <v>2013.03</v>
      </c>
      <c r="B240" s="55">
        <v>54.593562975120442</v>
      </c>
      <c r="C240" s="56">
        <v>104.02244529555885</v>
      </c>
      <c r="E240" s="32"/>
      <c r="F240" s="31"/>
    </row>
    <row r="241" spans="1:6" x14ac:dyDescent="0.2">
      <c r="A241" s="26">
        <f t="shared" si="0"/>
        <v>2013.04</v>
      </c>
      <c r="B241" s="55">
        <v>122.74512440336676</v>
      </c>
      <c r="C241" s="56">
        <v>101.86615184796469</v>
      </c>
      <c r="E241" s="32"/>
      <c r="F241" s="31"/>
    </row>
    <row r="242" spans="1:6" x14ac:dyDescent="0.2">
      <c r="A242" s="26">
        <f t="shared" ref="A242:A305" si="1">A230+1</f>
        <v>2013.05</v>
      </c>
      <c r="B242" s="55">
        <v>43.887251945422591</v>
      </c>
      <c r="C242" s="56">
        <v>99.365751496566375</v>
      </c>
      <c r="E242" s="32"/>
      <c r="F242" s="31"/>
    </row>
    <row r="243" spans="1:6" x14ac:dyDescent="0.2">
      <c r="A243" s="26">
        <f t="shared" si="1"/>
        <v>2013.06</v>
      </c>
      <c r="B243" s="55">
        <v>94.863071986751834</v>
      </c>
      <c r="C243" s="56">
        <v>98.449586781879717</v>
      </c>
      <c r="E243" s="32"/>
      <c r="F243" s="31"/>
    </row>
    <row r="244" spans="1:6" x14ac:dyDescent="0.2">
      <c r="A244" s="26">
        <f t="shared" si="1"/>
        <v>2013.07</v>
      </c>
      <c r="B244" s="55">
        <v>97.952040513369383</v>
      </c>
      <c r="C244" s="56">
        <v>100.32974422309559</v>
      </c>
      <c r="E244" s="32"/>
      <c r="F244" s="31"/>
    </row>
    <row r="245" spans="1:6" x14ac:dyDescent="0.2">
      <c r="A245" s="26">
        <f t="shared" si="1"/>
        <v>2013.08</v>
      </c>
      <c r="B245" s="55">
        <v>79.55384242713447</v>
      </c>
      <c r="C245" s="56">
        <v>107.12947559663586</v>
      </c>
      <c r="E245" s="32"/>
      <c r="F245" s="31"/>
    </row>
    <row r="246" spans="1:6" x14ac:dyDescent="0.2">
      <c r="A246" s="26">
        <f t="shared" si="1"/>
        <v>2013.09</v>
      </c>
      <c r="B246" s="55">
        <v>103.67179166176439</v>
      </c>
      <c r="C246" s="56">
        <v>113.60585650181602</v>
      </c>
      <c r="E246" s="32"/>
      <c r="F246" s="31"/>
    </row>
    <row r="247" spans="1:6" x14ac:dyDescent="0.2">
      <c r="A247" s="26">
        <f t="shared" si="1"/>
        <v>2013.1</v>
      </c>
      <c r="B247" s="55">
        <v>141.88022999361561</v>
      </c>
      <c r="C247" s="56">
        <v>121.44810634851459</v>
      </c>
      <c r="E247" s="32"/>
      <c r="F247" s="31"/>
    </row>
    <row r="248" spans="1:6" x14ac:dyDescent="0.2">
      <c r="A248" s="26">
        <f t="shared" si="1"/>
        <v>2013.11</v>
      </c>
      <c r="B248" s="55">
        <v>196.10403369350439</v>
      </c>
      <c r="C248" s="56">
        <v>124.00422623779214</v>
      </c>
      <c r="E248" s="32"/>
      <c r="F248" s="31"/>
    </row>
    <row r="249" spans="1:6" x14ac:dyDescent="0.2">
      <c r="A249" s="26">
        <f t="shared" si="1"/>
        <v>2013.12</v>
      </c>
      <c r="B249" s="55">
        <v>108.22608364885232</v>
      </c>
      <c r="C249" s="56">
        <v>124.43110440129456</v>
      </c>
      <c r="E249" s="33"/>
      <c r="F249" s="31"/>
    </row>
    <row r="250" spans="1:6" x14ac:dyDescent="0.2">
      <c r="A250" s="26">
        <f t="shared" si="1"/>
        <v>2014.01</v>
      </c>
      <c r="B250" s="55">
        <v>134.28924757160607</v>
      </c>
      <c r="C250" s="56">
        <v>118.30443628111271</v>
      </c>
      <c r="E250" s="32"/>
      <c r="F250" s="31"/>
    </row>
    <row r="251" spans="1:6" x14ac:dyDescent="0.2">
      <c r="A251" s="26">
        <f t="shared" si="1"/>
        <v>2014.02</v>
      </c>
      <c r="B251" s="55">
        <v>100.55826481363405</v>
      </c>
      <c r="C251" s="56">
        <v>115.27814859067799</v>
      </c>
      <c r="E251" s="32"/>
      <c r="F251" s="31"/>
    </row>
    <row r="252" spans="1:6" x14ac:dyDescent="0.2">
      <c r="A252" s="26">
        <f t="shared" si="1"/>
        <v>2014.03</v>
      </c>
      <c r="B252" s="55">
        <v>114.23436163698611</v>
      </c>
      <c r="C252" s="56">
        <v>112.45434789701496</v>
      </c>
      <c r="E252" s="32"/>
      <c r="F252" s="31"/>
    </row>
    <row r="253" spans="1:6" x14ac:dyDescent="0.2">
      <c r="A253" s="26">
        <f t="shared" si="1"/>
        <v>2014.04</v>
      </c>
      <c r="B253" s="55">
        <v>89.354665175744572</v>
      </c>
      <c r="C253" s="56">
        <v>116.68139601735653</v>
      </c>
      <c r="E253" s="32"/>
      <c r="F253" s="31"/>
    </row>
    <row r="254" spans="1:6" x14ac:dyDescent="0.2">
      <c r="A254" s="26">
        <f t="shared" si="1"/>
        <v>2014.05</v>
      </c>
      <c r="B254" s="55">
        <v>136.42254342761316</v>
      </c>
      <c r="C254" s="56">
        <v>122.51715856143119</v>
      </c>
      <c r="E254" s="32"/>
      <c r="F254" s="31"/>
    </row>
    <row r="255" spans="1:6" x14ac:dyDescent="0.2">
      <c r="A255" s="26">
        <f t="shared" si="1"/>
        <v>2014.06</v>
      </c>
      <c r="B255" s="55">
        <v>117.6266865419216</v>
      </c>
      <c r="C255" s="56">
        <v>131.6683535785883</v>
      </c>
      <c r="E255" s="32"/>
      <c r="F255" s="31"/>
    </row>
    <row r="256" spans="1:6" x14ac:dyDescent="0.2">
      <c r="A256" s="26">
        <f t="shared" si="1"/>
        <v>2014.07</v>
      </c>
      <c r="B256" s="55">
        <v>137.66802770712383</v>
      </c>
      <c r="C256" s="56">
        <v>141.24885534545589</v>
      </c>
      <c r="E256" s="32"/>
      <c r="F256" s="31"/>
    </row>
    <row r="257" spans="1:6" x14ac:dyDescent="0.2">
      <c r="A257" s="26">
        <f t="shared" si="1"/>
        <v>2014.08</v>
      </c>
      <c r="B257" s="55">
        <v>138.4197411679433</v>
      </c>
      <c r="C257" s="56">
        <v>152.04258535863804</v>
      </c>
      <c r="E257" s="32"/>
      <c r="F257" s="31"/>
    </row>
    <row r="258" spans="1:6" x14ac:dyDescent="0.2">
      <c r="A258" s="26">
        <f t="shared" si="1"/>
        <v>2014.09</v>
      </c>
      <c r="B258" s="55">
        <v>98.003998143074881</v>
      </c>
      <c r="C258" s="56">
        <v>164.13010002743698</v>
      </c>
      <c r="E258" s="32"/>
      <c r="F258" s="31"/>
    </row>
    <row r="259" spans="1:6" x14ac:dyDescent="0.2">
      <c r="A259" s="26">
        <f t="shared" si="1"/>
        <v>2014.1</v>
      </c>
      <c r="B259" s="55">
        <v>246.16191931890847</v>
      </c>
      <c r="C259" s="56">
        <v>174.25866393206888</v>
      </c>
      <c r="E259" s="32"/>
      <c r="F259" s="31"/>
    </row>
    <row r="260" spans="1:6" x14ac:dyDescent="0.2">
      <c r="A260" s="26">
        <f t="shared" si="1"/>
        <v>2014.11</v>
      </c>
      <c r="B260" s="55">
        <v>207.2052177744597</v>
      </c>
      <c r="C260" s="56">
        <v>184.41144815761083</v>
      </c>
      <c r="E260" s="32"/>
      <c r="F260" s="31"/>
    </row>
    <row r="261" spans="1:6" x14ac:dyDescent="0.2">
      <c r="A261" s="26">
        <f t="shared" si="1"/>
        <v>2014.12</v>
      </c>
      <c r="B261" s="55">
        <v>187.63011017186926</v>
      </c>
      <c r="C261" s="56">
        <v>190.94910548483742</v>
      </c>
      <c r="E261" s="33"/>
      <c r="F261" s="31"/>
    </row>
    <row r="262" spans="1:6" x14ac:dyDescent="0.2">
      <c r="A262" s="26">
        <f t="shared" si="1"/>
        <v>2015.01</v>
      </c>
      <c r="B262" s="55">
        <v>187.94899010624914</v>
      </c>
      <c r="C262" s="56">
        <v>197.45884674083447</v>
      </c>
      <c r="E262" s="32"/>
      <c r="F262" s="31"/>
    </row>
    <row r="263" spans="1:6" x14ac:dyDescent="0.2">
      <c r="A263" s="26">
        <f t="shared" si="1"/>
        <v>2015.02</v>
      </c>
      <c r="B263" s="55">
        <v>126.81186298292982</v>
      </c>
      <c r="C263" s="56">
        <v>200.74692295079845</v>
      </c>
      <c r="E263" s="32"/>
      <c r="F263" s="31"/>
    </row>
    <row r="264" spans="1:6" x14ac:dyDescent="0.2">
      <c r="A264" s="26">
        <f t="shared" si="1"/>
        <v>2015.03</v>
      </c>
      <c r="B264" s="55">
        <v>224.57680571109387</v>
      </c>
      <c r="C264" s="56">
        <v>207.43474127743008</v>
      </c>
      <c r="E264" s="32"/>
      <c r="F264" s="31"/>
    </row>
    <row r="265" spans="1:6" x14ac:dyDescent="0.2">
      <c r="A265" s="26">
        <f t="shared" si="1"/>
        <v>2015.04</v>
      </c>
      <c r="B265" s="55">
        <v>188.32501629559863</v>
      </c>
      <c r="C265" s="56">
        <v>211.51689851200973</v>
      </c>
      <c r="E265" s="32"/>
      <c r="F265" s="31"/>
    </row>
    <row r="266" spans="1:6" x14ac:dyDescent="0.2">
      <c r="A266" s="26">
        <f t="shared" si="1"/>
        <v>2015.05</v>
      </c>
      <c r="B266" s="55">
        <v>199.72365347672252</v>
      </c>
      <c r="C266" s="56">
        <v>214.11835992100308</v>
      </c>
      <c r="E266" s="32"/>
      <c r="F266" s="31"/>
    </row>
    <row r="267" spans="1:6" x14ac:dyDescent="0.2">
      <c r="A267" s="26">
        <f t="shared" si="1"/>
        <v>2015.06</v>
      </c>
      <c r="B267" s="55">
        <v>232.78087552918595</v>
      </c>
      <c r="C267" s="56">
        <v>208.87658922056372</v>
      </c>
      <c r="E267" s="32"/>
      <c r="F267" s="31"/>
    </row>
    <row r="268" spans="1:6" x14ac:dyDescent="0.2">
      <c r="A268" s="26">
        <f t="shared" si="1"/>
        <v>2015.07</v>
      </c>
      <c r="B268" s="55">
        <v>183.33883512451195</v>
      </c>
      <c r="C268" s="56">
        <v>197.44196427930618</v>
      </c>
      <c r="E268" s="32"/>
      <c r="F268" s="31"/>
    </row>
    <row r="269" spans="1:6" x14ac:dyDescent="0.2">
      <c r="A269" s="26">
        <f t="shared" si="1"/>
        <v>2015.08</v>
      </c>
      <c r="B269" s="55">
        <v>180.17982597140374</v>
      </c>
      <c r="C269" s="56">
        <v>178.86777319824569</v>
      </c>
      <c r="E269" s="32"/>
      <c r="F269" s="31"/>
    </row>
    <row r="270" spans="1:6" x14ac:dyDescent="0.2">
      <c r="A270" s="26">
        <f t="shared" si="1"/>
        <v>2015.09</v>
      </c>
      <c r="B270" s="55">
        <v>137.87898633476394</v>
      </c>
      <c r="C270" s="56">
        <v>159.3091691948942</v>
      </c>
      <c r="E270" s="32"/>
      <c r="F270" s="31"/>
    </row>
    <row r="271" spans="1:6" x14ac:dyDescent="0.2">
      <c r="A271" s="26">
        <f t="shared" si="1"/>
        <v>2015.1</v>
      </c>
      <c r="B271" s="55">
        <v>146.52505725195272</v>
      </c>
      <c r="C271" s="56">
        <v>142.61731490514478</v>
      </c>
      <c r="E271" s="32"/>
      <c r="F271" s="31"/>
    </row>
    <row r="272" spans="1:6" x14ac:dyDescent="0.2">
      <c r="A272" s="26">
        <f t="shared" si="1"/>
        <v>2015.11</v>
      </c>
      <c r="B272" s="55">
        <v>131.10660548186593</v>
      </c>
      <c r="C272" s="56">
        <v>132.16541198237735</v>
      </c>
      <c r="E272" s="32"/>
      <c r="F272" s="31"/>
    </row>
    <row r="273" spans="1:6" x14ac:dyDescent="0.2">
      <c r="A273" s="26">
        <f t="shared" si="1"/>
        <v>2015.12</v>
      </c>
      <c r="B273" s="55">
        <v>112.86314585047282</v>
      </c>
      <c r="C273" s="56">
        <v>129.8117664284635</v>
      </c>
      <c r="E273" s="32"/>
      <c r="F273" s="31"/>
    </row>
    <row r="274" spans="1:6" x14ac:dyDescent="0.2">
      <c r="A274" s="26">
        <f t="shared" si="1"/>
        <v>2016.01</v>
      </c>
      <c r="B274" s="55">
        <v>144.8882521914349</v>
      </c>
      <c r="C274" s="56">
        <v>134.12661492730311</v>
      </c>
      <c r="E274" s="32"/>
      <c r="F274" s="31"/>
    </row>
    <row r="275" spans="1:6" x14ac:dyDescent="0.2">
      <c r="A275" s="26">
        <f t="shared" si="1"/>
        <v>2016.02</v>
      </c>
      <c r="B275" s="55">
        <v>142.20700694136792</v>
      </c>
      <c r="C275" s="56">
        <v>141.0266057168219</v>
      </c>
      <c r="E275" s="32"/>
      <c r="F275" s="31"/>
    </row>
    <row r="276" spans="1:6" x14ac:dyDescent="0.2">
      <c r="A276" s="26">
        <f t="shared" si="1"/>
        <v>2016.03</v>
      </c>
      <c r="B276" s="55">
        <v>209.118239460815</v>
      </c>
      <c r="C276" s="56">
        <v>146.96938825221565</v>
      </c>
      <c r="E276" s="32"/>
      <c r="F276" s="31"/>
    </row>
    <row r="277" spans="1:6" x14ac:dyDescent="0.2">
      <c r="A277" s="26">
        <f t="shared" si="1"/>
        <v>2016.04</v>
      </c>
      <c r="B277" s="55">
        <v>148.40670767625318</v>
      </c>
      <c r="C277" s="56">
        <v>151.37655588988915</v>
      </c>
      <c r="E277" s="32"/>
      <c r="F277" s="31"/>
    </row>
    <row r="278" spans="1:6" x14ac:dyDescent="0.2">
      <c r="A278" s="26">
        <f t="shared" si="1"/>
        <v>2016.05</v>
      </c>
      <c r="B278" s="55">
        <v>116.48648005164851</v>
      </c>
      <c r="C278" s="56">
        <v>155.97408173298376</v>
      </c>
      <c r="E278" s="33"/>
      <c r="F278" s="31"/>
    </row>
    <row r="279" spans="1:6" x14ac:dyDescent="0.2">
      <c r="A279" s="26">
        <f t="shared" si="1"/>
        <v>2016.06</v>
      </c>
      <c r="B279" s="55">
        <v>167.12036217244309</v>
      </c>
      <c r="C279" s="56">
        <v>158.88131531721331</v>
      </c>
      <c r="E279" s="32"/>
      <c r="F279" s="31"/>
    </row>
    <row r="280" spans="1:6" x14ac:dyDescent="0.2">
      <c r="A280" s="26">
        <f t="shared" si="1"/>
        <v>2016.07</v>
      </c>
      <c r="B280" s="55">
        <v>142.4130658398856</v>
      </c>
      <c r="C280" s="56">
        <v>162.70272776853042</v>
      </c>
      <c r="E280" s="33"/>
      <c r="F280" s="31"/>
    </row>
    <row r="281" spans="1:6" x14ac:dyDescent="0.2">
      <c r="A281" s="26">
        <f t="shared" si="1"/>
        <v>2016.08</v>
      </c>
      <c r="B281" s="55">
        <v>157.59115238371845</v>
      </c>
      <c r="C281" s="56">
        <v>163.51347820614799</v>
      </c>
      <c r="E281" s="32"/>
      <c r="F281" s="31"/>
    </row>
    <row r="282" spans="1:6" x14ac:dyDescent="0.2">
      <c r="A282" s="26">
        <f t="shared" si="1"/>
        <v>2016.09</v>
      </c>
      <c r="B282" s="55">
        <v>164.188263996969</v>
      </c>
      <c r="C282" s="56">
        <v>166.83877846606646</v>
      </c>
      <c r="E282" s="32"/>
      <c r="F282" s="31"/>
    </row>
    <row r="283" spans="1:6" x14ac:dyDescent="0.2">
      <c r="A283" s="26">
        <f t="shared" si="1"/>
        <v>2016.1</v>
      </c>
      <c r="B283" s="55">
        <v>126.85435539641912</v>
      </c>
      <c r="C283" s="56">
        <v>169.09285537969566</v>
      </c>
      <c r="E283" s="32"/>
      <c r="F283" s="31"/>
    </row>
    <row r="284" spans="1:6" x14ac:dyDescent="0.2">
      <c r="A284" s="26">
        <f t="shared" si="1"/>
        <v>2016.11</v>
      </c>
      <c r="B284" s="55">
        <v>149.84883624429207</v>
      </c>
      <c r="C284" s="56">
        <v>175.67400353416119</v>
      </c>
      <c r="E284" s="32"/>
      <c r="F284" s="31"/>
    </row>
    <row r="285" spans="1:6" x14ac:dyDescent="0.2">
      <c r="A285" s="26">
        <f t="shared" si="1"/>
        <v>2016.12</v>
      </c>
      <c r="B285" s="55">
        <v>202.43190587414091</v>
      </c>
      <c r="C285" s="56">
        <v>180.51982586917882</v>
      </c>
      <c r="E285" s="32"/>
      <c r="F285" s="31"/>
    </row>
    <row r="286" spans="1:6" x14ac:dyDescent="0.2">
      <c r="A286" s="26">
        <f t="shared" si="1"/>
        <v>2017.01</v>
      </c>
      <c r="B286" s="55">
        <v>195.74112483370465</v>
      </c>
      <c r="C286" s="56">
        <v>185.81400911784212</v>
      </c>
      <c r="E286" s="32"/>
      <c r="F286" s="31"/>
    </row>
    <row r="287" spans="1:6" x14ac:dyDescent="0.2">
      <c r="A287" s="26">
        <f t="shared" si="1"/>
        <v>2017.02</v>
      </c>
      <c r="B287" s="55">
        <v>237.99188857014508</v>
      </c>
      <c r="C287" s="56">
        <v>190.37235122536879</v>
      </c>
      <c r="E287" s="32"/>
      <c r="F287" s="31"/>
    </row>
    <row r="288" spans="1:6" x14ac:dyDescent="0.2">
      <c r="A288" s="26">
        <f t="shared" si="1"/>
        <v>2017.03</v>
      </c>
      <c r="B288" s="55">
        <v>189.87246174487643</v>
      </c>
      <c r="C288" s="56">
        <v>195.03761020801127</v>
      </c>
      <c r="E288" s="32"/>
      <c r="F288" s="31"/>
    </row>
    <row r="289" spans="1:6" x14ac:dyDescent="0.2">
      <c r="A289" s="26">
        <f t="shared" si="1"/>
        <v>2017.04</v>
      </c>
      <c r="B289" s="55">
        <v>158.08333039748857</v>
      </c>
      <c r="C289" s="56">
        <v>198.9024359121718</v>
      </c>
      <c r="E289" s="32"/>
      <c r="F289" s="31"/>
    </row>
    <row r="290" spans="1:6" x14ac:dyDescent="0.2">
      <c r="A290" s="26">
        <f t="shared" si="1"/>
        <v>2017.05</v>
      </c>
      <c r="B290" s="55">
        <v>180.49963783908873</v>
      </c>
      <c r="C290" s="56">
        <v>202.53727460294564</v>
      </c>
      <c r="E290" s="32"/>
      <c r="F290" s="31"/>
    </row>
    <row r="291" spans="1:6" x14ac:dyDescent="0.2">
      <c r="A291" s="26">
        <f t="shared" si="1"/>
        <v>2017.06</v>
      </c>
      <c r="B291" s="55">
        <v>203.64605255477491</v>
      </c>
      <c r="C291" s="56">
        <v>211.83224671038195</v>
      </c>
      <c r="E291" s="32"/>
      <c r="F291" s="31"/>
    </row>
    <row r="292" spans="1:6" x14ac:dyDescent="0.2">
      <c r="A292" s="26">
        <f t="shared" si="1"/>
        <v>2017.07</v>
      </c>
      <c r="B292" s="55">
        <v>212.2409928491715</v>
      </c>
      <c r="C292" s="56">
        <v>222.6784609362436</v>
      </c>
      <c r="E292" s="32"/>
      <c r="F292" s="31"/>
    </row>
    <row r="293" spans="1:6" x14ac:dyDescent="0.2">
      <c r="A293" s="26">
        <f t="shared" si="1"/>
        <v>2017.08</v>
      </c>
      <c r="B293" s="55">
        <v>172.85654352884762</v>
      </c>
      <c r="C293" s="56">
        <v>233.28414926789003</v>
      </c>
      <c r="E293" s="32"/>
      <c r="F293" s="31"/>
    </row>
    <row r="294" spans="1:6" x14ac:dyDescent="0.2">
      <c r="A294" s="26">
        <f t="shared" si="1"/>
        <v>2017.09</v>
      </c>
      <c r="B294" s="55">
        <v>283.29214639133124</v>
      </c>
      <c r="C294" s="56">
        <v>234.32423368274851</v>
      </c>
      <c r="E294" s="32"/>
      <c r="F294" s="31"/>
    </row>
    <row r="295" spans="1:6" x14ac:dyDescent="0.2">
      <c r="A295" s="26">
        <f t="shared" si="1"/>
        <v>2017.1</v>
      </c>
      <c r="B295" s="55">
        <v>309.72063652340626</v>
      </c>
      <c r="C295" s="56">
        <v>229.38862314426189</v>
      </c>
      <c r="E295" s="32"/>
      <c r="F295" s="31"/>
    </row>
    <row r="296" spans="1:6" x14ac:dyDescent="0.2">
      <c r="A296" s="26">
        <f t="shared" si="1"/>
        <v>2017.11</v>
      </c>
      <c r="B296" s="55">
        <v>228.48471096682346</v>
      </c>
      <c r="C296" s="56">
        <v>216.00903883537873</v>
      </c>
      <c r="E296" s="32"/>
      <c r="F296" s="31"/>
    </row>
    <row r="297" spans="1:6" x14ac:dyDescent="0.2">
      <c r="A297" s="26">
        <f t="shared" si="1"/>
        <v>2017.12</v>
      </c>
      <c r="B297" s="55">
        <v>205.49092051578197</v>
      </c>
      <c r="C297" s="56">
        <v>200.15116492482574</v>
      </c>
      <c r="E297" s="32"/>
      <c r="F297" s="31"/>
    </row>
    <row r="298" spans="1:6" x14ac:dyDescent="0.2">
      <c r="A298" s="26">
        <f t="shared" si="1"/>
        <v>2018.01</v>
      </c>
      <c r="B298" s="55">
        <v>145.41610823002478</v>
      </c>
      <c r="C298" s="56">
        <v>182.47548445225755</v>
      </c>
      <c r="E298" s="32"/>
      <c r="F298" s="31"/>
    </row>
    <row r="299" spans="1:6" x14ac:dyDescent="0.2">
      <c r="A299" s="26">
        <f t="shared" si="1"/>
        <v>2018.02</v>
      </c>
      <c r="B299" s="55">
        <v>382.57124402161946</v>
      </c>
      <c r="C299" s="56">
        <v>168.67770307650488</v>
      </c>
      <c r="E299" s="32"/>
      <c r="F299" s="31"/>
    </row>
    <row r="300" spans="1:6" x14ac:dyDescent="0.2">
      <c r="A300" s="26">
        <f t="shared" si="1"/>
        <v>2018.03</v>
      </c>
      <c r="B300" s="55">
        <v>178.98467650656522</v>
      </c>
      <c r="C300" s="56">
        <v>156.72427043662523</v>
      </c>
      <c r="E300" s="32"/>
      <c r="F300" s="31"/>
    </row>
    <row r="301" spans="1:6" x14ac:dyDescent="0.2">
      <c r="A301" s="26">
        <f t="shared" si="1"/>
        <v>2018.04</v>
      </c>
      <c r="B301" s="55">
        <v>147.77985913272761</v>
      </c>
      <c r="C301" s="56">
        <v>147.56672325616657</v>
      </c>
      <c r="E301" s="32"/>
      <c r="F301" s="31"/>
    </row>
    <row r="302" spans="1:6" x14ac:dyDescent="0.2">
      <c r="A302" s="26">
        <f t="shared" si="1"/>
        <v>2018.05</v>
      </c>
      <c r="B302" s="55">
        <v>103.24034008934326</v>
      </c>
      <c r="C302" s="56">
        <v>136.2025657411364</v>
      </c>
      <c r="E302" s="32"/>
      <c r="F302" s="31"/>
    </row>
    <row r="303" spans="1:6" x14ac:dyDescent="0.2">
      <c r="A303" s="26">
        <f t="shared" si="1"/>
        <v>2018.06</v>
      </c>
      <c r="B303" s="55">
        <v>84.315350590484854</v>
      </c>
      <c r="C303" s="56">
        <v>126.75676006495938</v>
      </c>
      <c r="E303" s="32"/>
      <c r="F303" s="31"/>
    </row>
    <row r="304" spans="1:6" x14ac:dyDescent="0.2">
      <c r="A304" s="26">
        <f t="shared" si="1"/>
        <v>2018.07</v>
      </c>
      <c r="B304" s="55">
        <v>124.88231792966383</v>
      </c>
      <c r="C304" s="56">
        <v>119.52904580825967</v>
      </c>
      <c r="E304" s="32"/>
      <c r="F304" s="31"/>
    </row>
    <row r="305" spans="1:7" x14ac:dyDescent="0.2">
      <c r="A305" s="26">
        <f t="shared" si="1"/>
        <v>2018.08</v>
      </c>
      <c r="B305" s="55">
        <v>78.95000404901667</v>
      </c>
      <c r="C305" s="56">
        <v>119.11507857563412</v>
      </c>
      <c r="E305" s="32"/>
      <c r="F305" s="31"/>
    </row>
    <row r="306" spans="1:7" x14ac:dyDescent="0.2">
      <c r="A306" s="26">
        <f t="shared" ref="A306:A369" si="2">A294+1</f>
        <v>2018.09</v>
      </c>
      <c r="B306" s="55">
        <v>141.56714398484121</v>
      </c>
      <c r="C306" s="56">
        <v>121.45935883170119</v>
      </c>
      <c r="E306" s="32"/>
      <c r="F306" s="31"/>
    </row>
    <row r="307" spans="1:7" x14ac:dyDescent="0.2">
      <c r="A307" s="26">
        <f t="shared" si="2"/>
        <v>2018.1</v>
      </c>
      <c r="B307" s="55">
        <v>154.64105905221618</v>
      </c>
      <c r="C307" s="56">
        <v>125.65657379172411</v>
      </c>
      <c r="E307" s="32"/>
      <c r="F307" s="31"/>
    </row>
    <row r="308" spans="1:7" x14ac:dyDescent="0.2">
      <c r="A308" s="26">
        <f t="shared" si="2"/>
        <v>2018.11</v>
      </c>
      <c r="B308" s="55">
        <v>116.23344449392462</v>
      </c>
      <c r="C308" s="56">
        <v>126.55895125838892</v>
      </c>
      <c r="E308" s="32"/>
      <c r="F308" s="31"/>
    </row>
    <row r="309" spans="1:7" x14ac:dyDescent="0.2">
      <c r="A309" s="26">
        <f t="shared" si="2"/>
        <v>2018.12</v>
      </c>
      <c r="B309" s="55">
        <v>175.95212735253247</v>
      </c>
      <c r="C309" s="56">
        <v>126.13190768376457</v>
      </c>
      <c r="E309" s="33"/>
      <c r="F309" s="31"/>
      <c r="G309" s="28"/>
    </row>
    <row r="310" spans="1:7" ht="14.25" x14ac:dyDescent="0.2">
      <c r="A310" s="26">
        <f t="shared" si="2"/>
        <v>2019.01</v>
      </c>
      <c r="B310" s="55">
        <v>110.77631437758818</v>
      </c>
      <c r="C310" s="56">
        <v>124.72335629219771</v>
      </c>
      <c r="E310" s="35"/>
      <c r="F310" s="36"/>
    </row>
    <row r="311" spans="1:7" ht="14.25" x14ac:dyDescent="0.2">
      <c r="A311" s="26">
        <f t="shared" si="2"/>
        <v>2019.02</v>
      </c>
      <c r="B311" s="55">
        <v>131.50369174815208</v>
      </c>
      <c r="C311" s="56">
        <v>123.29723791045532</v>
      </c>
      <c r="E311" s="35"/>
      <c r="F311" s="36"/>
    </row>
    <row r="312" spans="1:7" ht="14.25" x14ac:dyDescent="0.2">
      <c r="A312" s="26">
        <f t="shared" si="2"/>
        <v>2019.03</v>
      </c>
      <c r="B312" s="55">
        <v>124.00155309247279</v>
      </c>
      <c r="C312" s="56">
        <v>124.55464983006581</v>
      </c>
      <c r="E312" s="35"/>
      <c r="F312" s="36"/>
    </row>
    <row r="313" spans="1:7" ht="14.25" x14ac:dyDescent="0.2">
      <c r="A313" s="26">
        <f t="shared" si="2"/>
        <v>2019.04</v>
      </c>
      <c r="B313" s="55">
        <v>124.70994086893838</v>
      </c>
      <c r="C313" s="56">
        <v>125.95651733726967</v>
      </c>
      <c r="E313" s="35"/>
      <c r="F313" s="36"/>
    </row>
    <row r="314" spans="1:7" ht="14.25" x14ac:dyDescent="0.2">
      <c r="A314" s="26">
        <f t="shared" si="2"/>
        <v>2019.05</v>
      </c>
      <c r="B314" s="55">
        <v>93.979589854776492</v>
      </c>
      <c r="C314" s="56">
        <v>128.05523439611798</v>
      </c>
      <c r="E314" s="35"/>
      <c r="F314" s="36"/>
    </row>
    <row r="315" spans="1:7" ht="14.25" x14ac:dyDescent="0.2">
      <c r="A315" s="26">
        <f t="shared" si="2"/>
        <v>2019.06</v>
      </c>
      <c r="B315" s="55">
        <v>137.08364663140247</v>
      </c>
      <c r="C315" s="56">
        <v>125.15629103418408</v>
      </c>
      <c r="E315" s="35"/>
      <c r="F315" s="36"/>
    </row>
    <row r="316" spans="1:7" ht="14.25" x14ac:dyDescent="0.2">
      <c r="A316" s="26">
        <f t="shared" si="2"/>
        <v>2019.07</v>
      </c>
      <c r="B316" s="55">
        <v>114.60619063969418</v>
      </c>
      <c r="C316" s="56">
        <v>120.02742428266464</v>
      </c>
      <c r="E316" s="35"/>
      <c r="F316" s="36"/>
    </row>
    <row r="317" spans="1:7" ht="14.25" x14ac:dyDescent="0.2">
      <c r="A317" s="26">
        <f t="shared" si="2"/>
        <v>2019.08</v>
      </c>
      <c r="B317" s="55">
        <v>92.422157182483815</v>
      </c>
      <c r="C317" s="56">
        <v>112.33135678506764</v>
      </c>
      <c r="E317" s="35"/>
      <c r="F317" s="36"/>
    </row>
    <row r="318" spans="1:7" ht="14.25" x14ac:dyDescent="0.2">
      <c r="A318" s="26">
        <f t="shared" si="2"/>
        <v>2019.09</v>
      </c>
      <c r="B318" s="55">
        <v>98.174015265740877</v>
      </c>
      <c r="C318" s="56">
        <v>108.05376700269341</v>
      </c>
      <c r="E318" s="35"/>
      <c r="F318" s="36"/>
    </row>
    <row r="319" spans="1:7" ht="14.25" x14ac:dyDescent="0.2">
      <c r="A319" s="26">
        <f t="shared" si="2"/>
        <v>2019.1</v>
      </c>
      <c r="B319" s="55">
        <v>119.88797203893168</v>
      </c>
      <c r="C319" s="56">
        <v>105.19766297470063</v>
      </c>
      <c r="E319" s="35"/>
      <c r="F319" s="36"/>
    </row>
    <row r="320" spans="1:7" ht="14.25" x14ac:dyDescent="0.2">
      <c r="A320" s="26">
        <f t="shared" si="2"/>
        <v>2019.11</v>
      </c>
      <c r="B320" s="55">
        <v>92.665279030292112</v>
      </c>
      <c r="C320" s="56">
        <v>107.31721705435676</v>
      </c>
      <c r="E320" s="35"/>
      <c r="F320" s="36"/>
    </row>
    <row r="321" spans="1:7" ht="14.25" x14ac:dyDescent="0.2">
      <c r="A321" s="26">
        <f t="shared" si="2"/>
        <v>2019.12</v>
      </c>
      <c r="B321" s="55">
        <v>165.49688590596406</v>
      </c>
      <c r="C321" s="56">
        <v>107.91873705491184</v>
      </c>
      <c r="E321" s="38"/>
      <c r="F321" s="36"/>
      <c r="G321" s="34"/>
    </row>
    <row r="322" spans="1:7" x14ac:dyDescent="0.2">
      <c r="A322" s="26">
        <f t="shared" si="2"/>
        <v>2020.01</v>
      </c>
      <c r="B322" s="55">
        <v>145.82889915269396</v>
      </c>
      <c r="C322" s="56">
        <v>106.87850220857773</v>
      </c>
      <c r="E322" s="37"/>
      <c r="F322" s="37"/>
    </row>
    <row r="323" spans="1:7" x14ac:dyDescent="0.2">
      <c r="A323" s="26">
        <f t="shared" si="2"/>
        <v>2020.02</v>
      </c>
      <c r="B323" s="55">
        <v>135.62101743037763</v>
      </c>
      <c r="C323" s="56">
        <v>99.839617659865809</v>
      </c>
    </row>
    <row r="324" spans="1:7" x14ac:dyDescent="0.2">
      <c r="A324" s="26">
        <f t="shared" si="2"/>
        <v>2020.03</v>
      </c>
      <c r="B324" s="55">
        <v>17.824596608468493</v>
      </c>
      <c r="C324" s="56">
        <v>90.246727475814325</v>
      </c>
    </row>
    <row r="325" spans="1:7" x14ac:dyDescent="0.2">
      <c r="A325" s="26">
        <f t="shared" si="2"/>
        <v>2020.04</v>
      </c>
      <c r="B325" s="55">
        <v>17.131709253478817</v>
      </c>
      <c r="C325" s="56">
        <v>79.567811765168329</v>
      </c>
    </row>
    <row r="326" spans="1:7" x14ac:dyDescent="0.2">
      <c r="A326" s="26">
        <f t="shared" si="2"/>
        <v>2020.05</v>
      </c>
      <c r="B326" s="55">
        <v>49.785080599401915</v>
      </c>
      <c r="C326" s="56">
        <v>72.230147159787805</v>
      </c>
    </row>
    <row r="327" spans="1:7" x14ac:dyDescent="0.2">
      <c r="A327" s="26">
        <f t="shared" si="2"/>
        <v>2020.06</v>
      </c>
      <c r="B327" s="55">
        <v>50.861653727530708</v>
      </c>
      <c r="C327" s="56">
        <v>70.765604093815028</v>
      </c>
    </row>
    <row r="328" spans="1:7" x14ac:dyDescent="0.2">
      <c r="A328" s="26">
        <f t="shared" si="2"/>
        <v>2020.07</v>
      </c>
      <c r="B328" s="55">
        <v>126.91006646469882</v>
      </c>
      <c r="C328" s="56">
        <v>74.178274976791684</v>
      </c>
    </row>
    <row r="329" spans="1:7" x14ac:dyDescent="0.2">
      <c r="A329" s="26">
        <f t="shared" si="2"/>
        <v>2020.08</v>
      </c>
      <c r="B329" s="55">
        <v>64.274332735054116</v>
      </c>
      <c r="C329" s="56">
        <v>81.748897377745905</v>
      </c>
    </row>
    <row r="330" spans="1:7" x14ac:dyDescent="0.2">
      <c r="A330" s="26">
        <f t="shared" si="2"/>
        <v>2020.09</v>
      </c>
      <c r="B330" s="55">
        <v>114.15818237621704</v>
      </c>
      <c r="C330" s="56">
        <v>88.492806280032667</v>
      </c>
    </row>
    <row r="331" spans="1:7" x14ac:dyDescent="0.2">
      <c r="A331" s="26">
        <f t="shared" si="2"/>
        <v>2020.1</v>
      </c>
      <c r="B331" s="55">
        <v>110.6039698971621</v>
      </c>
      <c r="C331" s="56">
        <v>95.786804317268349</v>
      </c>
    </row>
    <row r="332" spans="1:7" x14ac:dyDescent="0.2">
      <c r="A332" s="26">
        <f t="shared" si="2"/>
        <v>2020.11</v>
      </c>
      <c r="B332" s="55">
        <v>145.68454509208232</v>
      </c>
      <c r="C332" s="56">
        <v>101.92380008819502</v>
      </c>
    </row>
    <row r="333" spans="1:7" x14ac:dyDescent="0.2">
      <c r="A333" s="26">
        <f t="shared" si="2"/>
        <v>2020.12</v>
      </c>
      <c r="B333" s="55">
        <v>115.89176085158581</v>
      </c>
      <c r="C333" s="56">
        <v>108.94201569776087</v>
      </c>
    </row>
    <row r="334" spans="1:7" x14ac:dyDescent="0.2">
      <c r="A334" s="26">
        <f t="shared" si="2"/>
        <v>2021.01</v>
      </c>
      <c r="B334" s="55">
        <v>104.85699306610366</v>
      </c>
      <c r="C334" s="56">
        <v>117.30022133928819</v>
      </c>
      <c r="E334" s="28"/>
    </row>
    <row r="335" spans="1:7" x14ac:dyDescent="0.2">
      <c r="A335" s="26">
        <f t="shared" si="2"/>
        <v>2021.02</v>
      </c>
      <c r="B335" s="55">
        <v>157.45112733381612</v>
      </c>
      <c r="C335" s="56">
        <v>125.2351637274449</v>
      </c>
      <c r="E335" s="28"/>
      <c r="F335" s="28"/>
    </row>
    <row r="336" spans="1:7" x14ac:dyDescent="0.2">
      <c r="A336" s="26">
        <f t="shared" si="2"/>
        <v>2021.03</v>
      </c>
      <c r="B336" s="55">
        <v>133.63081553731396</v>
      </c>
      <c r="C336" s="56">
        <v>134.58720468258554</v>
      </c>
      <c r="E336" s="28"/>
      <c r="F336" s="28"/>
    </row>
    <row r="337" spans="1:6" x14ac:dyDescent="0.2">
      <c r="A337" s="26">
        <f t="shared" si="2"/>
        <v>2021.04</v>
      </c>
      <c r="B337" s="55">
        <v>156.64304715104748</v>
      </c>
      <c r="C337" s="56">
        <v>139.65517178654846</v>
      </c>
      <c r="E337" s="28"/>
      <c r="F337" s="28"/>
    </row>
    <row r="338" spans="1:6" x14ac:dyDescent="0.2">
      <c r="A338" s="26">
        <f t="shared" si="2"/>
        <v>2021.05</v>
      </c>
      <c r="B338" s="55">
        <v>85.479640210871665</v>
      </c>
      <c r="C338" s="56">
        <v>146.46611736346182</v>
      </c>
    </row>
    <row r="339" spans="1:6" x14ac:dyDescent="0.2">
      <c r="A339" s="26">
        <f t="shared" si="2"/>
        <v>2021.06</v>
      </c>
      <c r="B339" s="55">
        <v>150.98859056601225</v>
      </c>
      <c r="C339" s="56">
        <v>147.96211907483251</v>
      </c>
    </row>
    <row r="340" spans="1:6" x14ac:dyDescent="0.2">
      <c r="A340" s="26">
        <f t="shared" si="2"/>
        <v>2021.07</v>
      </c>
      <c r="B340" s="55">
        <v>135.63870168434286</v>
      </c>
      <c r="C340" s="56">
        <v>154.42189204904952</v>
      </c>
    </row>
    <row r="341" spans="1:6" x14ac:dyDescent="0.2">
      <c r="A341" s="26">
        <f t="shared" si="2"/>
        <v>2021.08</v>
      </c>
      <c r="B341" s="55">
        <v>178.03016737074319</v>
      </c>
      <c r="C341" s="56">
        <v>157.28002161615598</v>
      </c>
    </row>
    <row r="342" spans="1:6" x14ac:dyDescent="0.2">
      <c r="A342" s="26">
        <f t="shared" si="2"/>
        <v>2021.09</v>
      </c>
      <c r="B342" s="55">
        <v>133.16162331984972</v>
      </c>
      <c r="C342" s="56">
        <v>163.04297464914367</v>
      </c>
    </row>
    <row r="343" spans="1:6" x14ac:dyDescent="0.2">
      <c r="A343" s="26">
        <f t="shared" si="2"/>
        <v>2021.1</v>
      </c>
      <c r="B343" s="55">
        <v>216.22729736774133</v>
      </c>
      <c r="C343" s="56">
        <v>164.77387846861356</v>
      </c>
    </row>
    <row r="344" spans="1:6" x14ac:dyDescent="0.2">
      <c r="A344" s="26">
        <f t="shared" si="2"/>
        <v>2021.11</v>
      </c>
      <c r="B344" s="55">
        <v>144.2225622997083</v>
      </c>
      <c r="C344" s="56">
        <v>168.30751180664839</v>
      </c>
    </row>
    <row r="345" spans="1:6" x14ac:dyDescent="0.2">
      <c r="A345" s="26">
        <f t="shared" si="2"/>
        <v>2021.12</v>
      </c>
      <c r="B345" s="55">
        <v>181.45098166496405</v>
      </c>
      <c r="C345" s="56">
        <v>168.71558157875467</v>
      </c>
    </row>
    <row r="346" spans="1:6" x14ac:dyDescent="0.2">
      <c r="A346" s="26">
        <f t="shared" si="2"/>
        <v>2022.01</v>
      </c>
      <c r="B346" s="55">
        <v>191.50606544525382</v>
      </c>
      <c r="C346" s="56">
        <v>168.23678185876915</v>
      </c>
    </row>
    <row r="347" spans="1:6" x14ac:dyDescent="0.2">
      <c r="A347" s="26">
        <f t="shared" si="2"/>
        <v>2022.02</v>
      </c>
      <c r="B347" s="55">
        <v>169.13047975666069</v>
      </c>
      <c r="C347" s="56">
        <v>171.08268595576672</v>
      </c>
    </row>
    <row r="348" spans="1:6" x14ac:dyDescent="0.2">
      <c r="A348" s="26">
        <f t="shared" si="2"/>
        <v>2022.03</v>
      </c>
      <c r="B348" s="55">
        <v>169.30357893042816</v>
      </c>
      <c r="C348" s="56">
        <v>174.25499210387923</v>
      </c>
    </row>
    <row r="349" spans="1:6" x14ac:dyDescent="0.2">
      <c r="A349" s="26">
        <f t="shared" si="2"/>
        <v>2022.04</v>
      </c>
      <c r="B349" s="55">
        <v>155.94994944983259</v>
      </c>
      <c r="C349" s="56">
        <v>180.38568203229906</v>
      </c>
    </row>
    <row r="350" spans="1:6" x14ac:dyDescent="0.2">
      <c r="A350" s="26">
        <f t="shared" si="2"/>
        <v>2022.05</v>
      </c>
      <c r="B350" s="55">
        <v>216.40246922017471</v>
      </c>
      <c r="C350" s="56">
        <v>184.75795742256497</v>
      </c>
    </row>
    <row r="351" spans="1:6" x14ac:dyDescent="0.2">
      <c r="A351" s="26">
        <f t="shared" si="2"/>
        <v>2022.06</v>
      </c>
      <c r="B351" s="55">
        <v>155.46884288767359</v>
      </c>
      <c r="C351" s="56">
        <v>190.10845099067015</v>
      </c>
    </row>
    <row r="352" spans="1:6" x14ac:dyDescent="0.2">
      <c r="A352" s="26">
        <f t="shared" si="2"/>
        <v>2022.07</v>
      </c>
      <c r="B352" s="55">
        <v>204.79976721798482</v>
      </c>
      <c r="C352" s="56">
        <v>189.53823266600628</v>
      </c>
    </row>
    <row r="353" spans="1:3" x14ac:dyDescent="0.2">
      <c r="A353" s="26">
        <f t="shared" si="2"/>
        <v>2022.08</v>
      </c>
      <c r="B353" s="55">
        <v>218.68294707194897</v>
      </c>
      <c r="C353" s="56">
        <v>183.90668575213382</v>
      </c>
    </row>
    <row r="354" spans="1:3" x14ac:dyDescent="0.2">
      <c r="A354" s="26">
        <f t="shared" si="2"/>
        <v>2022.09</v>
      </c>
      <c r="B354" s="55">
        <v>136.93118840143063</v>
      </c>
      <c r="C354" s="56">
        <v>173.24223391020652</v>
      </c>
    </row>
    <row r="355" spans="1:3" x14ac:dyDescent="0.2">
      <c r="A355" s="26">
        <f t="shared" si="2"/>
        <v>2022.1</v>
      </c>
      <c r="B355" s="55">
        <v>197.29252937667405</v>
      </c>
      <c r="C355" s="56">
        <v>162.05774144112243</v>
      </c>
    </row>
    <row r="356" spans="1:3" x14ac:dyDescent="0.2">
      <c r="A356" s="26">
        <f t="shared" si="2"/>
        <v>2022.11</v>
      </c>
      <c r="B356" s="55">
        <v>126.94018635224124</v>
      </c>
      <c r="C356" s="56">
        <v>151.47164315414568</v>
      </c>
    </row>
    <row r="357" spans="1:3" x14ac:dyDescent="0.2">
      <c r="A357" s="26">
        <f t="shared" si="2"/>
        <v>2022.12</v>
      </c>
      <c r="B357" s="55">
        <v>137.04333894011887</v>
      </c>
      <c r="C357" s="56">
        <v>146.4929302608484</v>
      </c>
    </row>
    <row r="358" spans="1:3" x14ac:dyDescent="0.2">
      <c r="A358" s="26">
        <f t="shared" si="2"/>
        <v>2023.01</v>
      </c>
      <c r="B358" s="55">
        <v>161.4195602144033</v>
      </c>
      <c r="C358" s="56">
        <v>147.18555016100177</v>
      </c>
    </row>
    <row r="359" spans="1:3" x14ac:dyDescent="0.2">
      <c r="A359" s="26">
        <f t="shared" si="2"/>
        <v>2023.02</v>
      </c>
      <c r="B359" s="55">
        <v>128.66623619009911</v>
      </c>
      <c r="C359" s="56">
        <v>151.11502891649963</v>
      </c>
    </row>
    <row r="360" spans="1:3" x14ac:dyDescent="0.2">
      <c r="A360" s="26">
        <f t="shared" si="2"/>
        <v>2023.03</v>
      </c>
      <c r="B360" s="55">
        <v>189.39525169717132</v>
      </c>
      <c r="C360" s="56">
        <v>153.49360922912547</v>
      </c>
    </row>
    <row r="361" spans="1:3" x14ac:dyDescent="0.2">
      <c r="A361" s="26">
        <f t="shared" si="2"/>
        <v>2023.04</v>
      </c>
      <c r="B361" s="55">
        <v>164.73765770057744</v>
      </c>
      <c r="C361" s="56">
        <v>154.09600951559091</v>
      </c>
    </row>
    <row r="362" spans="1:3" x14ac:dyDescent="0.2">
      <c r="A362" s="26">
        <f t="shared" si="2"/>
        <v>2023.05</v>
      </c>
      <c r="B362" s="55">
        <v>137.85450048914447</v>
      </c>
      <c r="C362" s="56">
        <v>148.7900824416617</v>
      </c>
    </row>
    <row r="363" spans="1:3" x14ac:dyDescent="0.2">
      <c r="A363" s="26">
        <f t="shared" si="2"/>
        <v>2023.06</v>
      </c>
      <c r="B363" s="55">
        <v>122.27810162514356</v>
      </c>
      <c r="C363" s="56">
        <v>139.66830345266584</v>
      </c>
    </row>
    <row r="364" spans="1:3" x14ac:dyDescent="0.2">
      <c r="A364" s="26">
        <f t="shared" si="2"/>
        <v>2023.07</v>
      </c>
      <c r="B364" s="55">
        <v>136.66436217934108</v>
      </c>
      <c r="C364" s="56">
        <v>125.61992609054631</v>
      </c>
    </row>
    <row r="365" spans="1:3" x14ac:dyDescent="0.2">
      <c r="A365" s="26">
        <f t="shared" si="2"/>
        <v>2023.08</v>
      </c>
      <c r="B365" s="55">
        <v>129.45208055617232</v>
      </c>
      <c r="C365" s="56">
        <v>111.68568421034367</v>
      </c>
    </row>
    <row r="366" spans="1:3" x14ac:dyDescent="0.2">
      <c r="A366" s="26">
        <f t="shared" si="2"/>
        <v>2023.09</v>
      </c>
      <c r="B366" s="55">
        <v>79.931919034442075</v>
      </c>
      <c r="C366" s="56">
        <v>99.811393311777152</v>
      </c>
    </row>
    <row r="367" spans="1:3" x14ac:dyDescent="0.2">
      <c r="A367" s="26">
        <f t="shared" si="2"/>
        <v>2023.1</v>
      </c>
      <c r="B367" s="55">
        <v>78.958704687115244</v>
      </c>
      <c r="C367" s="56">
        <v>89.664915151427465</v>
      </c>
    </row>
    <row r="368" spans="1:3" x14ac:dyDescent="0.2">
      <c r="A368" s="26">
        <f t="shared" si="2"/>
        <v>2023.11</v>
      </c>
      <c r="B368" s="55">
        <v>71.251678064612761</v>
      </c>
      <c r="C368" s="56">
        <v>82.296504740409901</v>
      </c>
    </row>
    <row r="369" spans="1:3" x14ac:dyDescent="0.2">
      <c r="A369" s="26">
        <f t="shared" si="2"/>
        <v>2023.12</v>
      </c>
      <c r="B369" s="55">
        <v>97.688336105921195</v>
      </c>
      <c r="C369" s="56">
        <v>79.109817173808025</v>
      </c>
    </row>
    <row r="370" spans="1:3" x14ac:dyDescent="0.2">
      <c r="A370" s="26">
        <f t="shared" ref="A370:A433" si="3">A358+1</f>
        <v>2024.01</v>
      </c>
      <c r="B370" s="55">
        <v>53.699629462353073</v>
      </c>
      <c r="C370" s="56">
        <v>80.428654438847829</v>
      </c>
    </row>
    <row r="371" spans="1:3" x14ac:dyDescent="0.2">
      <c r="A371" s="26">
        <f t="shared" si="3"/>
        <v>2024.02</v>
      </c>
      <c r="B371" s="55">
        <v>66.742186077157697</v>
      </c>
      <c r="C371" s="56">
        <v>84.590367226427404</v>
      </c>
    </row>
    <row r="372" spans="1:3" x14ac:dyDescent="0.2">
      <c r="A372" s="26">
        <f t="shared" si="3"/>
        <v>2024.03</v>
      </c>
      <c r="B372" s="55">
        <v>117.55870996264738</v>
      </c>
      <c r="C372" s="56">
        <v>90.240989833398928</v>
      </c>
    </row>
    <row r="373" spans="1:3" x14ac:dyDescent="0.2">
      <c r="A373" s="26">
        <f t="shared" si="3"/>
        <v>2024.04</v>
      </c>
      <c r="B373" s="55">
        <v>93.251360636566616</v>
      </c>
      <c r="C373" s="56">
        <v>96.227933137788327</v>
      </c>
    </row>
    <row r="374" spans="1:3" x14ac:dyDescent="0.2">
      <c r="A374" s="26">
        <f t="shared" si="3"/>
        <v>2024.05</v>
      </c>
      <c r="B374" s="55">
        <v>103.46270316109806</v>
      </c>
      <c r="C374" s="56">
        <v>100.25950105922537</v>
      </c>
    </row>
    <row r="375" spans="1:3" x14ac:dyDescent="0.2">
      <c r="A375" s="26">
        <f t="shared" si="3"/>
        <v>2024.06</v>
      </c>
      <c r="B375" s="55">
        <v>106.3024858195795</v>
      </c>
      <c r="C375" s="56">
        <v>101.94423592528561</v>
      </c>
    </row>
    <row r="376" spans="1:3" x14ac:dyDescent="0.2">
      <c r="A376" s="26">
        <f t="shared" si="3"/>
        <v>2024.07</v>
      </c>
      <c r="B376" s="55">
        <v>100.47756202060614</v>
      </c>
      <c r="C376" s="56">
        <v>101.74117955439777</v>
      </c>
    </row>
    <row r="377" spans="1:3" x14ac:dyDescent="0.2">
      <c r="A377" s="26">
        <f t="shared" si="3"/>
        <v>2024.08</v>
      </c>
      <c r="B377" s="55">
        <v>91.86390915964472</v>
      </c>
      <c r="C377" s="56">
        <v>103.3383397358475</v>
      </c>
    </row>
    <row r="378" spans="1:3" x14ac:dyDescent="0.2">
      <c r="A378" s="26">
        <f t="shared" si="3"/>
        <v>2024.09</v>
      </c>
      <c r="B378" s="55">
        <v>88.80113014413925</v>
      </c>
      <c r="C378" s="56">
        <v>106.08849508258758</v>
      </c>
    </row>
    <row r="379" spans="1:3" x14ac:dyDescent="0.2">
      <c r="A379" s="26">
        <f>A367+1</f>
        <v>2024.1</v>
      </c>
      <c r="B379" s="55">
        <v>108.70296880405557</v>
      </c>
      <c r="C379" s="56">
        <v>112.99077316540797</v>
      </c>
    </row>
    <row r="380" spans="1:3" x14ac:dyDescent="0.2">
      <c r="A380" s="26">
        <f t="shared" si="3"/>
        <v>2024.11</v>
      </c>
      <c r="B380" s="55">
        <v>173.07931063820243</v>
      </c>
      <c r="C380" s="56">
        <v>120.20282746459293</v>
      </c>
    </row>
    <row r="381" spans="1:3" x14ac:dyDescent="0.2">
      <c r="A381" s="26">
        <f t="shared" si="3"/>
        <v>2024.12</v>
      </c>
      <c r="B381" s="55">
        <v>138.46717136662429</v>
      </c>
      <c r="C381" s="56">
        <v>125.06589394311108</v>
      </c>
    </row>
    <row r="382" spans="1:3" x14ac:dyDescent="0.2">
      <c r="A382" s="26">
        <f t="shared" si="3"/>
        <v>2025.01</v>
      </c>
      <c r="B382" s="55">
        <v>161.96148290248107</v>
      </c>
      <c r="C382" s="56">
        <v>124.10172665310259</v>
      </c>
    </row>
    <row r="383" spans="1:3" x14ac:dyDescent="0.2">
      <c r="A383" s="26">
        <f t="shared" si="3"/>
        <v>2025.02</v>
      </c>
      <c r="B383" s="55">
        <v>116.49006505774616</v>
      </c>
      <c r="C383" s="56">
        <v>119.0087782287853</v>
      </c>
    </row>
    <row r="384" spans="1:3" x14ac:dyDescent="0.2">
      <c r="A384" s="26">
        <f t="shared" si="3"/>
        <v>2025.03</v>
      </c>
      <c r="B384" s="55">
        <v>83.342669643444111</v>
      </c>
      <c r="C384" s="56">
        <v>111.3676512666004</v>
      </c>
    </row>
    <row r="385" spans="1:3" x14ac:dyDescent="0.2">
      <c r="A385" s="26">
        <f t="shared" si="3"/>
        <v>2025.04</v>
      </c>
      <c r="B385" s="55">
        <v>107.27700819126724</v>
      </c>
      <c r="C385" s="56">
        <v>104.7458845806389</v>
      </c>
    </row>
    <row r="386" spans="1:3" x14ac:dyDescent="0.2">
      <c r="A386" s="26">
        <f t="shared" si="3"/>
        <v>2025.05</v>
      </c>
      <c r="B386" s="55">
        <v>77.293635241580915</v>
      </c>
      <c r="C386" s="56">
        <v>101.34682023704569</v>
      </c>
    </row>
    <row r="387" spans="1:3" x14ac:dyDescent="0.2">
      <c r="A387" s="26">
        <f t="shared" si="3"/>
        <v>2025.06</v>
      </c>
      <c r="B387" s="55">
        <v>87.375800957311839</v>
      </c>
      <c r="C387" s="56">
        <v>101.92421375854288</v>
      </c>
    </row>
    <row r="388" spans="1:3" x14ac:dyDescent="0.2">
      <c r="A388" s="26">
        <f t="shared" si="3"/>
        <v>2025.07</v>
      </c>
      <c r="B388" s="55">
        <v>116.25485128456037</v>
      </c>
      <c r="C388" s="56">
        <v>104.71638928308873</v>
      </c>
    </row>
    <row r="389" spans="1:3" x14ac:dyDescent="0.2">
      <c r="A389" s="26">
        <f t="shared" si="3"/>
        <v>2025.08</v>
      </c>
      <c r="B389" s="55">
        <v>65.309382475828841</v>
      </c>
      <c r="C389" s="56">
        <v>107.57413809185509</v>
      </c>
    </row>
    <row r="390" spans="1:3" x14ac:dyDescent="0.2">
      <c r="A390" s="26">
        <f t="shared" si="3"/>
        <v>2025.09</v>
      </c>
      <c r="B390" s="55">
        <v>110.87080002942088</v>
      </c>
      <c r="C390" s="56">
        <v>110.08930549652884</v>
      </c>
    </row>
    <row r="391" spans="1:3" x14ac:dyDescent="0.2">
      <c r="A391" s="26">
        <f t="shared" si="3"/>
        <v>2025.1</v>
      </c>
      <c r="B391" s="55">
        <v>102.10344078604382</v>
      </c>
      <c r="C391" s="56">
        <v>110.08669045138693</v>
      </c>
    </row>
    <row r="392" spans="1:3" x14ac:dyDescent="0.2">
      <c r="A392" s="26">
        <f t="shared" si="3"/>
        <v>2025.11</v>
      </c>
      <c r="B392" s="55">
        <v>173.06008356521173</v>
      </c>
      <c r="C392" s="56">
        <v>107.8374623662627</v>
      </c>
    </row>
    <row r="393" spans="1:3" x14ac:dyDescent="0.2">
      <c r="A393" s="26">
        <f t="shared" si="3"/>
        <v>2025.12</v>
      </c>
      <c r="B393" s="55">
        <v>137.41362724761188</v>
      </c>
      <c r="C393" s="56">
        <v>104.07263623896732</v>
      </c>
    </row>
    <row r="394" spans="1:3" x14ac:dyDescent="0.2">
      <c r="A394" s="26">
        <f t="shared" si="3"/>
        <v>2026.01</v>
      </c>
      <c r="B394" s="55">
        <v>100.18857960472309</v>
      </c>
      <c r="C394" s="56">
        <v>99.84166658837843</v>
      </c>
    </row>
    <row r="395" spans="1:3" x14ac:dyDescent="0.2">
      <c r="A395" s="26">
        <f t="shared" si="3"/>
        <v>2026.02</v>
      </c>
      <c r="B395" s="55">
        <v>93.46203286261634</v>
      </c>
      <c r="C395" s="56">
        <v>95.334960875666681</v>
      </c>
    </row>
    <row r="396" spans="1:3" x14ac:dyDescent="0.2">
      <c r="A396" s="26">
        <f t="shared" si="3"/>
        <v>2026.03</v>
      </c>
      <c r="B396" s="55">
        <v>80.917957138283512</v>
      </c>
      <c r="C396" s="56">
        <v>91.602916989997397</v>
      </c>
    </row>
    <row r="397" spans="1:3" x14ac:dyDescent="0.2">
      <c r="A397" s="26">
        <f t="shared" si="3"/>
        <v>2026.04</v>
      </c>
      <c r="B397" s="55">
        <v>83.05636208641485</v>
      </c>
      <c r="C397" s="56">
        <v>89.412345537132609</v>
      </c>
    </row>
    <row r="398" spans="1:3" x14ac:dyDescent="0.2">
      <c r="A398" s="26">
        <f t="shared" si="3"/>
        <v>2026.05</v>
      </c>
      <c r="B398" s="55">
        <v>82.590395129666447</v>
      </c>
      <c r="C398" s="56">
        <v>88.56578079003009</v>
      </c>
    </row>
    <row r="399" spans="1:3" x14ac:dyDescent="0.2">
      <c r="A399" s="26">
        <f t="shared" si="3"/>
        <v>2026.06</v>
      </c>
      <c r="B399" s="55">
        <v>75.172268404169031</v>
      </c>
      <c r="C399" s="56">
        <v>89.208315775943731</v>
      </c>
    </row>
    <row r="400" spans="1:3" x14ac:dyDescent="0.2">
      <c r="A400" s="26">
        <f t="shared" si="3"/>
        <v>2026.07</v>
      </c>
      <c r="B400" s="55">
        <v>99.302412706843498</v>
      </c>
      <c r="C400" s="56">
        <v>92.795487787378818</v>
      </c>
    </row>
    <row r="401" spans="1:3" x14ac:dyDescent="0.2">
      <c r="A401" s="26">
        <f t="shared" si="3"/>
        <v>2026.08</v>
      </c>
      <c r="B401" s="55" t="e">
        <v>#N/A</v>
      </c>
      <c r="C401" s="56" t="e">
        <v>#N/A</v>
      </c>
    </row>
    <row r="402" spans="1:3" x14ac:dyDescent="0.2">
      <c r="A402" s="26">
        <f t="shared" si="3"/>
        <v>2026.09</v>
      </c>
      <c r="B402" s="55" t="e">
        <v>#N/A</v>
      </c>
      <c r="C402" s="56" t="e">
        <v>#N/A</v>
      </c>
    </row>
    <row r="403" spans="1:3" x14ac:dyDescent="0.2">
      <c r="A403" s="26">
        <f t="shared" si="3"/>
        <v>2026.1</v>
      </c>
      <c r="B403" s="55" t="e">
        <v>#N/A</v>
      </c>
      <c r="C403" s="56" t="e">
        <v>#N/A</v>
      </c>
    </row>
    <row r="404" spans="1:3" x14ac:dyDescent="0.2">
      <c r="A404" s="26">
        <f t="shared" si="3"/>
        <v>2026.11</v>
      </c>
      <c r="B404" s="55" t="e">
        <v>#N/A</v>
      </c>
      <c r="C404" s="56" t="e">
        <v>#N/A</v>
      </c>
    </row>
    <row r="405" spans="1:3" x14ac:dyDescent="0.2">
      <c r="A405" s="26">
        <f t="shared" si="3"/>
        <v>2026.12</v>
      </c>
      <c r="B405" s="55" t="e">
        <v>#N/A</v>
      </c>
      <c r="C405" s="56" t="e">
        <v>#N/A</v>
      </c>
    </row>
    <row r="406" spans="1:3" x14ac:dyDescent="0.2">
      <c r="A406" s="26">
        <f t="shared" si="3"/>
        <v>2027.01</v>
      </c>
      <c r="B406" s="55" t="e">
        <v>#N/A</v>
      </c>
      <c r="C406" s="56" t="e">
        <v>#N/A</v>
      </c>
    </row>
    <row r="407" spans="1:3" x14ac:dyDescent="0.2">
      <c r="A407" s="26">
        <f t="shared" si="3"/>
        <v>2027.02</v>
      </c>
      <c r="B407" s="55" t="e">
        <v>#N/A</v>
      </c>
      <c r="C407" s="56" t="e">
        <v>#N/A</v>
      </c>
    </row>
    <row r="408" spans="1:3" x14ac:dyDescent="0.2">
      <c r="A408" s="26">
        <f t="shared" si="3"/>
        <v>2027.03</v>
      </c>
      <c r="B408" s="55" t="e">
        <v>#N/A</v>
      </c>
      <c r="C408" s="56" t="e">
        <v>#N/A</v>
      </c>
    </row>
    <row r="409" spans="1:3" x14ac:dyDescent="0.2">
      <c r="A409" s="26">
        <f t="shared" si="3"/>
        <v>2027.04</v>
      </c>
      <c r="B409" s="55" t="e">
        <v>#N/A</v>
      </c>
      <c r="C409" s="56" t="e">
        <v>#N/A</v>
      </c>
    </row>
    <row r="410" spans="1:3" x14ac:dyDescent="0.2">
      <c r="A410" s="26">
        <f t="shared" si="3"/>
        <v>2027.05</v>
      </c>
      <c r="B410" s="55" t="e">
        <v>#N/A</v>
      </c>
      <c r="C410" s="56" t="e">
        <v>#N/A</v>
      </c>
    </row>
    <row r="411" spans="1:3" x14ac:dyDescent="0.2">
      <c r="A411" s="26">
        <f t="shared" si="3"/>
        <v>2027.06</v>
      </c>
      <c r="B411" s="55" t="e">
        <v>#N/A</v>
      </c>
      <c r="C411" s="56" t="e">
        <v>#N/A</v>
      </c>
    </row>
    <row r="412" spans="1:3" x14ac:dyDescent="0.2">
      <c r="A412" s="26">
        <f t="shared" si="3"/>
        <v>2027.07</v>
      </c>
      <c r="B412" s="55" t="e">
        <v>#N/A</v>
      </c>
      <c r="C412" s="56" t="e">
        <v>#N/A</v>
      </c>
    </row>
    <row r="413" spans="1:3" x14ac:dyDescent="0.2">
      <c r="A413" s="26">
        <f t="shared" si="3"/>
        <v>2027.08</v>
      </c>
      <c r="B413" s="55" t="e">
        <v>#N/A</v>
      </c>
      <c r="C413" s="56" t="e">
        <v>#N/A</v>
      </c>
    </row>
    <row r="414" spans="1:3" x14ac:dyDescent="0.2">
      <c r="A414" s="26">
        <f t="shared" si="3"/>
        <v>2027.09</v>
      </c>
      <c r="B414" s="55" t="e">
        <v>#N/A</v>
      </c>
      <c r="C414" s="56" t="e">
        <v>#N/A</v>
      </c>
    </row>
    <row r="415" spans="1:3" x14ac:dyDescent="0.2">
      <c r="A415" s="26">
        <f t="shared" si="3"/>
        <v>2027.1</v>
      </c>
      <c r="B415" s="55" t="e">
        <v>#N/A</v>
      </c>
      <c r="C415" s="56" t="e">
        <v>#N/A</v>
      </c>
    </row>
    <row r="416" spans="1:3" x14ac:dyDescent="0.2">
      <c r="A416" s="26">
        <f t="shared" si="3"/>
        <v>2027.11</v>
      </c>
      <c r="B416" s="55" t="e">
        <v>#N/A</v>
      </c>
      <c r="C416" s="56" t="e">
        <v>#N/A</v>
      </c>
    </row>
    <row r="417" spans="1:3" x14ac:dyDescent="0.2">
      <c r="A417" s="26">
        <f t="shared" si="3"/>
        <v>2027.12</v>
      </c>
      <c r="B417" s="55" t="e">
        <v>#N/A</v>
      </c>
      <c r="C417" s="56" t="e">
        <v>#N/A</v>
      </c>
    </row>
    <row r="418" spans="1:3" x14ac:dyDescent="0.2">
      <c r="A418" s="26">
        <f t="shared" si="3"/>
        <v>2028.01</v>
      </c>
      <c r="B418" s="55" t="e">
        <v>#N/A</v>
      </c>
      <c r="C418" s="56" t="e">
        <v>#N/A</v>
      </c>
    </row>
    <row r="419" spans="1:3" x14ac:dyDescent="0.2">
      <c r="A419" s="26">
        <f t="shared" si="3"/>
        <v>2028.02</v>
      </c>
      <c r="B419" s="55" t="e">
        <v>#N/A</v>
      </c>
      <c r="C419" s="56" t="e">
        <v>#N/A</v>
      </c>
    </row>
    <row r="420" spans="1:3" x14ac:dyDescent="0.2">
      <c r="A420" s="26">
        <f t="shared" si="3"/>
        <v>2028.03</v>
      </c>
      <c r="B420" s="55" t="e">
        <v>#N/A</v>
      </c>
      <c r="C420" s="56" t="e">
        <v>#N/A</v>
      </c>
    </row>
    <row r="421" spans="1:3" x14ac:dyDescent="0.2">
      <c r="A421" s="26">
        <f t="shared" si="3"/>
        <v>2028.04</v>
      </c>
      <c r="B421" s="55" t="e">
        <v>#N/A</v>
      </c>
      <c r="C421" s="56" t="e">
        <v>#N/A</v>
      </c>
    </row>
    <row r="422" spans="1:3" x14ac:dyDescent="0.2">
      <c r="A422" s="26">
        <f t="shared" si="3"/>
        <v>2028.05</v>
      </c>
      <c r="B422" s="55" t="e">
        <v>#N/A</v>
      </c>
      <c r="C422" s="56" t="e">
        <v>#N/A</v>
      </c>
    </row>
    <row r="423" spans="1:3" x14ac:dyDescent="0.2">
      <c r="A423" s="26">
        <f t="shared" si="3"/>
        <v>2028.06</v>
      </c>
      <c r="B423" s="55" t="e">
        <v>#N/A</v>
      </c>
      <c r="C423" s="56" t="e">
        <v>#N/A</v>
      </c>
    </row>
    <row r="424" spans="1:3" x14ac:dyDescent="0.2">
      <c r="A424" s="26">
        <f t="shared" si="3"/>
        <v>2028.07</v>
      </c>
      <c r="B424" s="55" t="e">
        <v>#N/A</v>
      </c>
      <c r="C424" s="56" t="e">
        <v>#N/A</v>
      </c>
    </row>
    <row r="425" spans="1:3" x14ac:dyDescent="0.2">
      <c r="A425" s="26">
        <f t="shared" si="3"/>
        <v>2028.08</v>
      </c>
      <c r="B425" s="55" t="e">
        <v>#N/A</v>
      </c>
      <c r="C425" s="56" t="e">
        <v>#N/A</v>
      </c>
    </row>
    <row r="426" spans="1:3" x14ac:dyDescent="0.2">
      <c r="A426" s="26">
        <f t="shared" si="3"/>
        <v>2028.09</v>
      </c>
      <c r="B426" s="55" t="e">
        <v>#N/A</v>
      </c>
      <c r="C426" s="56" t="e">
        <v>#N/A</v>
      </c>
    </row>
    <row r="427" spans="1:3" x14ac:dyDescent="0.2">
      <c r="A427" s="26">
        <f t="shared" si="3"/>
        <v>2028.1</v>
      </c>
      <c r="B427" s="55" t="e">
        <v>#N/A</v>
      </c>
      <c r="C427" s="56" t="e">
        <v>#N/A</v>
      </c>
    </row>
    <row r="428" spans="1:3" x14ac:dyDescent="0.2">
      <c r="A428" s="26">
        <f t="shared" si="3"/>
        <v>2028.11</v>
      </c>
      <c r="B428" s="55" t="e">
        <v>#N/A</v>
      </c>
      <c r="C428" s="56" t="e">
        <v>#N/A</v>
      </c>
    </row>
    <row r="429" spans="1:3" x14ac:dyDescent="0.2">
      <c r="A429" s="26">
        <f t="shared" si="3"/>
        <v>2028.12</v>
      </c>
      <c r="B429" s="55" t="e">
        <v>#N/A</v>
      </c>
      <c r="C429" s="56" t="e">
        <v>#N/A</v>
      </c>
    </row>
    <row r="430" spans="1:3" x14ac:dyDescent="0.2">
      <c r="A430" s="26">
        <f t="shared" si="3"/>
        <v>2029.01</v>
      </c>
      <c r="B430" s="55" t="e">
        <v>#N/A</v>
      </c>
      <c r="C430" s="56" t="e">
        <v>#N/A</v>
      </c>
    </row>
    <row r="431" spans="1:3" x14ac:dyDescent="0.2">
      <c r="A431" s="26">
        <f t="shared" si="3"/>
        <v>2029.02</v>
      </c>
      <c r="B431" s="55" t="e">
        <v>#N/A</v>
      </c>
      <c r="C431" s="56" t="e">
        <v>#N/A</v>
      </c>
    </row>
    <row r="432" spans="1:3" x14ac:dyDescent="0.2">
      <c r="A432" s="26">
        <f t="shared" si="3"/>
        <v>2029.03</v>
      </c>
      <c r="B432" s="55" t="e">
        <v>#N/A</v>
      </c>
      <c r="C432" s="56" t="e">
        <v>#N/A</v>
      </c>
    </row>
    <row r="433" spans="1:3" x14ac:dyDescent="0.2">
      <c r="A433" s="26">
        <f t="shared" si="3"/>
        <v>2029.04</v>
      </c>
      <c r="B433" s="55" t="e">
        <v>#N/A</v>
      </c>
      <c r="C433" s="56" t="e">
        <v>#N/A</v>
      </c>
    </row>
    <row r="434" spans="1:3" x14ac:dyDescent="0.2">
      <c r="A434" s="26">
        <f t="shared" ref="A434:A453" si="4">A422+1</f>
        <v>2029.05</v>
      </c>
      <c r="B434" s="55" t="e">
        <v>#N/A</v>
      </c>
      <c r="C434" s="56" t="e">
        <v>#N/A</v>
      </c>
    </row>
    <row r="435" spans="1:3" x14ac:dyDescent="0.2">
      <c r="A435" s="26">
        <f t="shared" si="4"/>
        <v>2029.06</v>
      </c>
      <c r="B435" s="55" t="e">
        <v>#N/A</v>
      </c>
      <c r="C435" s="56" t="e">
        <v>#N/A</v>
      </c>
    </row>
    <row r="436" spans="1:3" x14ac:dyDescent="0.2">
      <c r="A436" s="26">
        <f t="shared" si="4"/>
        <v>2029.07</v>
      </c>
      <c r="B436" s="55" t="e">
        <v>#N/A</v>
      </c>
      <c r="C436" s="56" t="e">
        <v>#N/A</v>
      </c>
    </row>
    <row r="437" spans="1:3" x14ac:dyDescent="0.2">
      <c r="A437" s="26">
        <f t="shared" si="4"/>
        <v>2029.08</v>
      </c>
      <c r="B437" s="55" t="e">
        <v>#N/A</v>
      </c>
      <c r="C437" s="56" t="e">
        <v>#N/A</v>
      </c>
    </row>
    <row r="438" spans="1:3" x14ac:dyDescent="0.2">
      <c r="A438" s="26">
        <f t="shared" si="4"/>
        <v>2029.09</v>
      </c>
      <c r="B438" s="55" t="e">
        <v>#N/A</v>
      </c>
      <c r="C438" s="56" t="e">
        <v>#N/A</v>
      </c>
    </row>
    <row r="439" spans="1:3" x14ac:dyDescent="0.2">
      <c r="A439" s="26">
        <f t="shared" si="4"/>
        <v>2029.1</v>
      </c>
      <c r="B439" s="55" t="e">
        <v>#N/A</v>
      </c>
      <c r="C439" s="56" t="e">
        <v>#N/A</v>
      </c>
    </row>
    <row r="440" spans="1:3" x14ac:dyDescent="0.2">
      <c r="A440" s="26">
        <f t="shared" si="4"/>
        <v>2029.11</v>
      </c>
      <c r="B440" s="55" t="e">
        <v>#N/A</v>
      </c>
      <c r="C440" s="56" t="e">
        <v>#N/A</v>
      </c>
    </row>
    <row r="441" spans="1:3" x14ac:dyDescent="0.2">
      <c r="A441" s="26">
        <f t="shared" si="4"/>
        <v>2029.12</v>
      </c>
      <c r="B441" s="55" t="e">
        <v>#N/A</v>
      </c>
      <c r="C441" s="56" t="e">
        <v>#N/A</v>
      </c>
    </row>
    <row r="442" spans="1:3" x14ac:dyDescent="0.2">
      <c r="A442" s="26">
        <f t="shared" si="4"/>
        <v>2030.01</v>
      </c>
      <c r="B442" s="55" t="e">
        <v>#N/A</v>
      </c>
      <c r="C442" s="56" t="e">
        <v>#N/A</v>
      </c>
    </row>
    <row r="443" spans="1:3" x14ac:dyDescent="0.2">
      <c r="A443" s="26">
        <f t="shared" si="4"/>
        <v>2030.02</v>
      </c>
      <c r="B443" s="55" t="e">
        <v>#N/A</v>
      </c>
      <c r="C443" s="56" t="e">
        <v>#N/A</v>
      </c>
    </row>
    <row r="444" spans="1:3" x14ac:dyDescent="0.2">
      <c r="A444" s="26">
        <f t="shared" si="4"/>
        <v>2030.03</v>
      </c>
      <c r="B444" s="55" t="e">
        <v>#N/A</v>
      </c>
      <c r="C444" s="56" t="e">
        <v>#N/A</v>
      </c>
    </row>
    <row r="445" spans="1:3" x14ac:dyDescent="0.2">
      <c r="A445" s="26">
        <f t="shared" si="4"/>
        <v>2030.04</v>
      </c>
      <c r="B445" s="55" t="e">
        <v>#N/A</v>
      </c>
      <c r="C445" s="56" t="e">
        <v>#N/A</v>
      </c>
    </row>
    <row r="446" spans="1:3" x14ac:dyDescent="0.2">
      <c r="A446" s="26">
        <f t="shared" si="4"/>
        <v>2030.05</v>
      </c>
      <c r="B446" s="55" t="e">
        <v>#N/A</v>
      </c>
      <c r="C446" s="56" t="e">
        <v>#N/A</v>
      </c>
    </row>
    <row r="447" spans="1:3" x14ac:dyDescent="0.2">
      <c r="A447" s="26">
        <f t="shared" si="4"/>
        <v>2030.06</v>
      </c>
      <c r="B447" s="55" t="e">
        <v>#N/A</v>
      </c>
      <c r="C447" s="56" t="e">
        <v>#N/A</v>
      </c>
    </row>
    <row r="448" spans="1:3" x14ac:dyDescent="0.2">
      <c r="A448" s="26">
        <f t="shared" si="4"/>
        <v>2030.07</v>
      </c>
      <c r="B448" s="55" t="e">
        <v>#N/A</v>
      </c>
      <c r="C448" s="56" t="e">
        <v>#N/A</v>
      </c>
    </row>
    <row r="449" spans="1:3" x14ac:dyDescent="0.2">
      <c r="A449" s="26">
        <f t="shared" si="4"/>
        <v>2030.08</v>
      </c>
      <c r="B449" s="55" t="e">
        <v>#N/A</v>
      </c>
      <c r="C449" s="56" t="e">
        <v>#N/A</v>
      </c>
    </row>
    <row r="450" spans="1:3" x14ac:dyDescent="0.2">
      <c r="A450" s="26">
        <f t="shared" si="4"/>
        <v>2030.09</v>
      </c>
      <c r="B450" s="55" t="e">
        <v>#N/A</v>
      </c>
      <c r="C450" s="56" t="e">
        <v>#N/A</v>
      </c>
    </row>
    <row r="451" spans="1:3" x14ac:dyDescent="0.2">
      <c r="A451" s="26">
        <f t="shared" si="4"/>
        <v>2030.1</v>
      </c>
      <c r="B451" s="55" t="e">
        <v>#N/A</v>
      </c>
      <c r="C451" s="56" t="e">
        <v>#N/A</v>
      </c>
    </row>
    <row r="452" spans="1:3" x14ac:dyDescent="0.2">
      <c r="A452" s="26">
        <f t="shared" si="4"/>
        <v>2030.11</v>
      </c>
      <c r="B452" s="55" t="e">
        <v>#N/A</v>
      </c>
      <c r="C452" s="56" t="e">
        <v>#N/A</v>
      </c>
    </row>
    <row r="453" spans="1:3" x14ac:dyDescent="0.2">
      <c r="A453" s="26">
        <f t="shared" si="4"/>
        <v>2030.12</v>
      </c>
      <c r="B453" s="55" t="e">
        <v>#N/A</v>
      </c>
      <c r="C453" s="56" t="e">
        <v>#N/A</v>
      </c>
    </row>
  </sheetData>
  <hyperlinks>
    <hyperlink ref="A1" location="INDICE!A13" display="VOLVER AL INDICE" xr:uid="{996ABDED-2858-4745-A55B-3A42B725B410}"/>
  </hyperlinks>
  <printOptions gridLines="1"/>
  <pageMargins left="0.39370078740157483" right="0.39370078740157483" top="0.59055118110236227" bottom="0.59055118110236227" header="0" footer="0"/>
  <pageSetup paperSize="9" scale="5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fitToPage="1"/>
  </sheetPr>
  <dimension ref="A1:G453"/>
  <sheetViews>
    <sheetView zoomScale="115" zoomScaleNormal="115" workbookViewId="0">
      <pane xSplit="1" ySplit="9" topLeftCell="B10" activePane="bottomRight" state="frozen"/>
      <selection activeCell="A5" sqref="A5"/>
      <selection pane="topRight" activeCell="A5" sqref="A5"/>
      <selection pane="bottomLeft" activeCell="A5" sqref="A5"/>
      <selection pane="bottomRight" activeCell="B10" sqref="B10"/>
    </sheetView>
  </sheetViews>
  <sheetFormatPr baseColWidth="10" defaultColWidth="11.42578125" defaultRowHeight="12.75" x14ac:dyDescent="0.2"/>
  <cols>
    <col min="1" max="1" width="10.5703125" style="6" customWidth="1"/>
    <col min="2" max="2" width="15.42578125" style="6" customWidth="1"/>
    <col min="3" max="3" width="15.42578125" style="25" customWidth="1"/>
    <col min="4" max="4" width="4.140625" style="1" bestFit="1" customWidth="1"/>
    <col min="5" max="5" width="11.42578125" style="1"/>
    <col min="6" max="6" width="12.42578125" style="1" bestFit="1" customWidth="1"/>
    <col min="7" max="16384" width="11.42578125" style="1"/>
  </cols>
  <sheetData>
    <row r="1" spans="1:6" s="3" customFormat="1" ht="22.5" x14ac:dyDescent="0.2">
      <c r="A1" s="71" t="s">
        <v>115</v>
      </c>
      <c r="B1" s="16"/>
      <c r="C1" s="23"/>
    </row>
    <row r="2" spans="1:6" s="3" customFormat="1" ht="41.25" customHeight="1" x14ac:dyDescent="0.2">
      <c r="A2" s="70" t="s">
        <v>7</v>
      </c>
      <c r="B2" s="15" t="s">
        <v>95</v>
      </c>
      <c r="C2" s="24"/>
    </row>
    <row r="3" spans="1:6" s="3" customFormat="1" ht="45" x14ac:dyDescent="0.2">
      <c r="A3" s="70" t="s">
        <v>13</v>
      </c>
      <c r="B3" s="15" t="s">
        <v>96</v>
      </c>
      <c r="C3" s="24"/>
    </row>
    <row r="4" spans="1:6" s="3" customFormat="1" x14ac:dyDescent="0.2">
      <c r="A4" s="86" t="s">
        <v>105</v>
      </c>
      <c r="B4" s="16"/>
      <c r="C4" s="23"/>
    </row>
    <row r="5" spans="1:6" s="3" customFormat="1" x14ac:dyDescent="0.2">
      <c r="A5" s="86" t="s">
        <v>106</v>
      </c>
      <c r="B5" s="13" t="s">
        <v>22</v>
      </c>
      <c r="C5" s="44" t="s">
        <v>34</v>
      </c>
    </row>
    <row r="6" spans="1:6" s="3" customFormat="1" x14ac:dyDescent="0.2">
      <c r="A6" s="87" t="s">
        <v>107</v>
      </c>
      <c r="B6" s="16"/>
      <c r="C6" s="45"/>
    </row>
    <row r="7" spans="1:6" s="3" customFormat="1" ht="22.5" x14ac:dyDescent="0.2">
      <c r="A7" s="71" t="s">
        <v>114</v>
      </c>
      <c r="B7" s="13" t="s">
        <v>38</v>
      </c>
      <c r="C7" s="44" t="s">
        <v>38</v>
      </c>
    </row>
    <row r="8" spans="1:6" s="3" customFormat="1" x14ac:dyDescent="0.2">
      <c r="A8" s="86" t="s">
        <v>108</v>
      </c>
      <c r="B8" s="93" t="s">
        <v>110</v>
      </c>
      <c r="C8" s="94" t="s">
        <v>110</v>
      </c>
    </row>
    <row r="9" spans="1:6" s="4" customFormat="1" ht="13.5" thickBot="1" x14ac:dyDescent="0.25">
      <c r="A9" s="111" t="s">
        <v>19</v>
      </c>
      <c r="B9" s="91" t="s">
        <v>36</v>
      </c>
      <c r="C9" s="92" t="s">
        <v>37</v>
      </c>
    </row>
    <row r="10" spans="1:6" s="4" customFormat="1" x14ac:dyDescent="0.2">
      <c r="A10" s="26">
        <v>1994.01</v>
      </c>
      <c r="B10" s="54">
        <v>199.96138474402693</v>
      </c>
      <c r="C10" s="90">
        <v>199.96138474402693</v>
      </c>
      <c r="D10" s="114"/>
      <c r="E10" s="31"/>
      <c r="F10" s="31"/>
    </row>
    <row r="11" spans="1:6" s="4" customFormat="1" x14ac:dyDescent="0.2">
      <c r="A11" s="26">
        <v>1994.02</v>
      </c>
      <c r="B11" s="55">
        <v>198.78853963571612</v>
      </c>
      <c r="C11" s="56">
        <v>198.78853963571612</v>
      </c>
      <c r="D11" s="114"/>
      <c r="E11" s="31"/>
      <c r="F11" s="31"/>
    </row>
    <row r="12" spans="1:6" s="4" customFormat="1" x14ac:dyDescent="0.2">
      <c r="A12" s="26">
        <v>1994.03</v>
      </c>
      <c r="B12" s="55">
        <v>197.110010093428</v>
      </c>
      <c r="C12" s="56">
        <v>197.110010093428</v>
      </c>
      <c r="D12" s="114"/>
      <c r="E12" s="31"/>
      <c r="F12" s="31"/>
    </row>
    <row r="13" spans="1:6" s="4" customFormat="1" x14ac:dyDescent="0.2">
      <c r="A13" s="26">
        <v>1994.04</v>
      </c>
      <c r="B13" s="55">
        <v>197.99293625403729</v>
      </c>
      <c r="C13" s="56">
        <v>197.99293625403729</v>
      </c>
      <c r="D13" s="114"/>
      <c r="E13" s="31"/>
      <c r="F13" s="31"/>
    </row>
    <row r="14" spans="1:6" s="4" customFormat="1" x14ac:dyDescent="0.2">
      <c r="A14" s="26">
        <v>1994.05</v>
      </c>
      <c r="B14" s="55">
        <v>197.91802749796756</v>
      </c>
      <c r="C14" s="56">
        <v>197.91802749796756</v>
      </c>
      <c r="D14" s="114"/>
      <c r="E14" s="31"/>
      <c r="F14" s="31"/>
    </row>
    <row r="15" spans="1:6" s="4" customFormat="1" x14ac:dyDescent="0.2">
      <c r="A15" s="26">
        <v>1994.06</v>
      </c>
      <c r="B15" s="55">
        <v>197.12373238332654</v>
      </c>
      <c r="C15" s="56">
        <v>197.12373238332654</v>
      </c>
      <c r="D15" s="114"/>
      <c r="E15" s="31"/>
      <c r="F15" s="31"/>
    </row>
    <row r="16" spans="1:6" s="4" customFormat="1" x14ac:dyDescent="0.2">
      <c r="A16" s="26">
        <v>1994.07</v>
      </c>
      <c r="B16" s="55">
        <v>201.03487594257103</v>
      </c>
      <c r="C16" s="56">
        <v>201.03487594257103</v>
      </c>
      <c r="D16" s="114"/>
      <c r="E16" s="31"/>
      <c r="F16" s="31"/>
    </row>
    <row r="17" spans="1:6" s="4" customFormat="1" x14ac:dyDescent="0.2">
      <c r="A17" s="26">
        <v>1994.08</v>
      </c>
      <c r="B17" s="55">
        <v>199.78236837477405</v>
      </c>
      <c r="C17" s="56">
        <v>199.78236837477405</v>
      </c>
      <c r="D17" s="114"/>
      <c r="E17" s="31"/>
      <c r="F17" s="31"/>
    </row>
    <row r="18" spans="1:6" s="4" customFormat="1" x14ac:dyDescent="0.2">
      <c r="A18" s="26">
        <v>1994.09</v>
      </c>
      <c r="B18" s="55">
        <v>205.91386816433754</v>
      </c>
      <c r="C18" s="56">
        <v>205.91386816433754</v>
      </c>
      <c r="D18" s="114"/>
      <c r="E18" s="31"/>
      <c r="F18" s="31"/>
    </row>
    <row r="19" spans="1:6" s="4" customFormat="1" x14ac:dyDescent="0.2">
      <c r="A19" s="26">
        <v>1994.1</v>
      </c>
      <c r="B19" s="55">
        <v>207.74150976514431</v>
      </c>
      <c r="C19" s="56">
        <v>207.74150976514431</v>
      </c>
      <c r="D19" s="114"/>
      <c r="E19" s="31"/>
      <c r="F19" s="31"/>
    </row>
    <row r="20" spans="1:6" s="4" customFormat="1" x14ac:dyDescent="0.2">
      <c r="A20" s="26">
        <v>1994.11</v>
      </c>
      <c r="B20" s="55">
        <v>210.17501733803144</v>
      </c>
      <c r="C20" s="56">
        <v>210.17501733803144</v>
      </c>
      <c r="D20" s="114"/>
      <c r="E20" s="31"/>
      <c r="F20" s="31"/>
    </row>
    <row r="21" spans="1:6" s="4" customFormat="1" x14ac:dyDescent="0.2">
      <c r="A21" s="26">
        <v>1994.12</v>
      </c>
      <c r="B21" s="55">
        <v>207.01461232030761</v>
      </c>
      <c r="C21" s="56">
        <v>207.01461232030761</v>
      </c>
      <c r="D21" s="114"/>
      <c r="E21" s="31"/>
      <c r="F21" s="31"/>
    </row>
    <row r="22" spans="1:6" x14ac:dyDescent="0.2">
      <c r="A22" s="26">
        <v>1995.01</v>
      </c>
      <c r="B22" s="55">
        <v>205.06453609262195</v>
      </c>
      <c r="C22" s="56">
        <v>205.06453609262195</v>
      </c>
      <c r="D22" s="114"/>
      <c r="E22" s="32"/>
      <c r="F22" s="31"/>
    </row>
    <row r="23" spans="1:6" x14ac:dyDescent="0.2">
      <c r="A23" s="26">
        <v>1995.02</v>
      </c>
      <c r="B23" s="55">
        <v>199.43283218414081</v>
      </c>
      <c r="C23" s="56">
        <v>199.43283218414081</v>
      </c>
      <c r="D23" s="114"/>
      <c r="E23" s="32"/>
      <c r="F23" s="31"/>
    </row>
    <row r="24" spans="1:6" x14ac:dyDescent="0.2">
      <c r="A24" s="26">
        <v>1995.03</v>
      </c>
      <c r="B24" s="55">
        <v>195.89710375281928</v>
      </c>
      <c r="C24" s="56">
        <v>195.89710375281928</v>
      </c>
      <c r="D24" s="114"/>
      <c r="E24" s="32"/>
      <c r="F24" s="31"/>
    </row>
    <row r="25" spans="1:6" x14ac:dyDescent="0.2">
      <c r="A25" s="26">
        <v>1995.04</v>
      </c>
      <c r="B25" s="55">
        <v>187.91636595542667</v>
      </c>
      <c r="C25" s="56">
        <v>187.91636595542667</v>
      </c>
      <c r="D25" s="114"/>
      <c r="E25" s="32"/>
      <c r="F25" s="31"/>
    </row>
    <row r="26" spans="1:6" x14ac:dyDescent="0.2">
      <c r="A26" s="26">
        <v>1995.05</v>
      </c>
      <c r="B26" s="55">
        <v>184.64832503965872</v>
      </c>
      <c r="C26" s="56">
        <v>184.64832503965872</v>
      </c>
      <c r="D26" s="114"/>
      <c r="E26" s="32"/>
      <c r="F26" s="31"/>
    </row>
    <row r="27" spans="1:6" x14ac:dyDescent="0.2">
      <c r="A27" s="26">
        <v>1995.06</v>
      </c>
      <c r="B27" s="55">
        <v>186.34231767680308</v>
      </c>
      <c r="C27" s="56">
        <v>186.34231767680308</v>
      </c>
      <c r="D27" s="114"/>
      <c r="E27" s="32"/>
      <c r="F27" s="31"/>
    </row>
    <row r="28" spans="1:6" x14ac:dyDescent="0.2">
      <c r="A28" s="26">
        <v>1995.07</v>
      </c>
      <c r="B28" s="55">
        <v>182.12953370339645</v>
      </c>
      <c r="C28" s="56">
        <v>182.12953370339645</v>
      </c>
      <c r="D28" s="114"/>
      <c r="E28" s="32"/>
      <c r="F28" s="31"/>
    </row>
    <row r="29" spans="1:6" x14ac:dyDescent="0.2">
      <c r="A29" s="26">
        <v>1995.08</v>
      </c>
      <c r="B29" s="55">
        <v>182.54022163332681</v>
      </c>
      <c r="C29" s="56">
        <v>182.54022163332681</v>
      </c>
      <c r="D29" s="114"/>
      <c r="E29" s="32"/>
      <c r="F29" s="31"/>
    </row>
    <row r="30" spans="1:6" x14ac:dyDescent="0.2">
      <c r="A30" s="26">
        <v>1995.09</v>
      </c>
      <c r="B30" s="55">
        <v>180.82106895932955</v>
      </c>
      <c r="C30" s="56">
        <v>180.82106895932955</v>
      </c>
      <c r="D30" s="114"/>
      <c r="E30" s="32"/>
      <c r="F30" s="31"/>
    </row>
    <row r="31" spans="1:6" x14ac:dyDescent="0.2">
      <c r="A31" s="26">
        <v>1995.1</v>
      </c>
      <c r="B31" s="55">
        <v>174.84909208030541</v>
      </c>
      <c r="C31" s="56">
        <v>174.84909208030541</v>
      </c>
      <c r="D31" s="114"/>
      <c r="E31" s="32"/>
      <c r="F31" s="31"/>
    </row>
    <row r="32" spans="1:6" x14ac:dyDescent="0.2">
      <c r="A32" s="26">
        <v>1995.11</v>
      </c>
      <c r="B32" s="55">
        <v>173.11594554296769</v>
      </c>
      <c r="C32" s="56">
        <v>173.11594554296769</v>
      </c>
      <c r="D32" s="114"/>
      <c r="E32" s="32"/>
      <c r="F32" s="31"/>
    </row>
    <row r="33" spans="1:6" x14ac:dyDescent="0.2">
      <c r="A33" s="26">
        <v>1995.12</v>
      </c>
      <c r="B33" s="55">
        <v>174.76904401803654</v>
      </c>
      <c r="C33" s="56">
        <v>174.76904401803654</v>
      </c>
      <c r="D33" s="114"/>
      <c r="E33" s="32"/>
      <c r="F33" s="31"/>
    </row>
    <row r="34" spans="1:6" x14ac:dyDescent="0.2">
      <c r="A34" s="26">
        <v>1996.01</v>
      </c>
      <c r="B34" s="55">
        <v>174.75253369570126</v>
      </c>
      <c r="C34" s="56">
        <v>174.75253369570126</v>
      </c>
      <c r="D34" s="114"/>
      <c r="E34" s="32"/>
      <c r="F34" s="31"/>
    </row>
    <row r="35" spans="1:6" x14ac:dyDescent="0.2">
      <c r="A35" s="26">
        <v>1996.02</v>
      </c>
      <c r="B35" s="55">
        <v>178.87947797758756</v>
      </c>
      <c r="C35" s="56">
        <v>178.87947797758756</v>
      </c>
      <c r="D35" s="114"/>
      <c r="E35" s="32"/>
      <c r="F35" s="31"/>
    </row>
    <row r="36" spans="1:6" x14ac:dyDescent="0.2">
      <c r="A36" s="26">
        <v>1996.03</v>
      </c>
      <c r="B36" s="55">
        <v>177.44322416360612</v>
      </c>
      <c r="C36" s="56">
        <v>177.44322416360612</v>
      </c>
      <c r="D36" s="114"/>
      <c r="E36" s="32"/>
      <c r="F36" s="31"/>
    </row>
    <row r="37" spans="1:6" x14ac:dyDescent="0.2">
      <c r="A37" s="26">
        <v>1996.04</v>
      </c>
      <c r="B37" s="55">
        <v>181.41639380440475</v>
      </c>
      <c r="C37" s="56">
        <v>181.41639380440475</v>
      </c>
      <c r="D37" s="114"/>
      <c r="E37" s="32"/>
      <c r="F37" s="31"/>
    </row>
    <row r="38" spans="1:6" x14ac:dyDescent="0.2">
      <c r="A38" s="26">
        <v>1996.05</v>
      </c>
      <c r="B38" s="55">
        <v>181.25711865482248</v>
      </c>
      <c r="C38" s="56">
        <v>181.25711865482248</v>
      </c>
      <c r="D38" s="114"/>
      <c r="E38" s="32"/>
      <c r="F38" s="31"/>
    </row>
    <row r="39" spans="1:6" x14ac:dyDescent="0.2">
      <c r="A39" s="26">
        <v>1996.06</v>
      </c>
      <c r="B39" s="55">
        <v>183.89281827186252</v>
      </c>
      <c r="C39" s="56">
        <v>183.89281827186252</v>
      </c>
      <c r="D39" s="114"/>
      <c r="E39" s="32"/>
      <c r="F39" s="31"/>
    </row>
    <row r="40" spans="1:6" x14ac:dyDescent="0.2">
      <c r="A40" s="26">
        <v>1996.07</v>
      </c>
      <c r="B40" s="55">
        <v>184.36303522332727</v>
      </c>
      <c r="C40" s="56">
        <v>184.36303522332727</v>
      </c>
      <c r="D40" s="114"/>
      <c r="E40" s="32"/>
      <c r="F40" s="31"/>
    </row>
    <row r="41" spans="1:6" x14ac:dyDescent="0.2">
      <c r="A41" s="26">
        <v>1996.08</v>
      </c>
      <c r="B41" s="55">
        <v>185.77135115389453</v>
      </c>
      <c r="C41" s="56">
        <v>185.77135115389453</v>
      </c>
      <c r="D41" s="114"/>
      <c r="E41" s="32"/>
      <c r="F41" s="31"/>
    </row>
    <row r="42" spans="1:6" x14ac:dyDescent="0.2">
      <c r="A42" s="26">
        <v>1996.09</v>
      </c>
      <c r="B42" s="55">
        <v>184.16696631823027</v>
      </c>
      <c r="C42" s="56">
        <v>184.16696631823027</v>
      </c>
      <c r="D42" s="114"/>
      <c r="E42" s="32"/>
      <c r="F42" s="31"/>
    </row>
    <row r="43" spans="1:6" x14ac:dyDescent="0.2">
      <c r="A43" s="26">
        <v>1996.1</v>
      </c>
      <c r="B43" s="55">
        <v>188.37653991878037</v>
      </c>
      <c r="C43" s="56">
        <v>188.37653991878037</v>
      </c>
      <c r="D43" s="114"/>
      <c r="E43" s="32"/>
      <c r="F43" s="31"/>
    </row>
    <row r="44" spans="1:6" x14ac:dyDescent="0.2">
      <c r="A44" s="26">
        <v>1996.11</v>
      </c>
      <c r="B44" s="55">
        <v>190.78710994316776</v>
      </c>
      <c r="C44" s="56">
        <v>190.78710994316776</v>
      </c>
      <c r="D44" s="114"/>
      <c r="E44" s="32"/>
      <c r="F44" s="31"/>
    </row>
    <row r="45" spans="1:6" x14ac:dyDescent="0.2">
      <c r="A45" s="26">
        <v>1996.12</v>
      </c>
      <c r="B45" s="55">
        <v>192.8137913663883</v>
      </c>
      <c r="C45" s="56">
        <v>192.8137913663883</v>
      </c>
      <c r="D45" s="114"/>
      <c r="E45" s="32"/>
      <c r="F45" s="31"/>
    </row>
    <row r="46" spans="1:6" x14ac:dyDescent="0.2">
      <c r="A46" s="26">
        <v>1997.01</v>
      </c>
      <c r="B46" s="55">
        <v>192.55255948152919</v>
      </c>
      <c r="C46" s="56">
        <v>192.55255948152919</v>
      </c>
      <c r="D46" s="114"/>
      <c r="E46" s="32"/>
      <c r="F46" s="31"/>
    </row>
    <row r="47" spans="1:6" x14ac:dyDescent="0.2">
      <c r="A47" s="26">
        <v>1997.02</v>
      </c>
      <c r="B47" s="55">
        <v>193.0442897745873</v>
      </c>
      <c r="C47" s="56">
        <v>193.0442897745873</v>
      </c>
      <c r="D47" s="114"/>
      <c r="E47" s="32"/>
      <c r="F47" s="31"/>
    </row>
    <row r="48" spans="1:6" x14ac:dyDescent="0.2">
      <c r="A48" s="26">
        <v>1997.03</v>
      </c>
      <c r="B48" s="55">
        <v>196.97433708100456</v>
      </c>
      <c r="C48" s="56">
        <v>196.97433708100456</v>
      </c>
      <c r="D48" s="114"/>
      <c r="E48" s="32"/>
      <c r="F48" s="31"/>
    </row>
    <row r="49" spans="1:6" x14ac:dyDescent="0.2">
      <c r="A49" s="26">
        <v>1997.04</v>
      </c>
      <c r="B49" s="55">
        <v>198.7468977342503</v>
      </c>
      <c r="C49" s="56">
        <v>198.7468977342503</v>
      </c>
      <c r="D49" s="114"/>
      <c r="E49" s="32"/>
      <c r="F49" s="31"/>
    </row>
    <row r="50" spans="1:6" x14ac:dyDescent="0.2">
      <c r="A50" s="26">
        <v>1997.05</v>
      </c>
      <c r="B50" s="55">
        <v>199.87899387442087</v>
      </c>
      <c r="C50" s="56">
        <v>199.87899387442087</v>
      </c>
      <c r="D50" s="114"/>
      <c r="E50" s="32"/>
      <c r="F50" s="31"/>
    </row>
    <row r="51" spans="1:6" x14ac:dyDescent="0.2">
      <c r="A51" s="26">
        <v>1997.06</v>
      </c>
      <c r="B51" s="55">
        <v>201.27540399315922</v>
      </c>
      <c r="C51" s="56">
        <v>201.27540399315922</v>
      </c>
      <c r="D51" s="114"/>
      <c r="E51" s="32"/>
      <c r="F51" s="31"/>
    </row>
    <row r="52" spans="1:6" x14ac:dyDescent="0.2">
      <c r="A52" s="26">
        <v>1997.07</v>
      </c>
      <c r="B52" s="55">
        <v>203.49002713102959</v>
      </c>
      <c r="C52" s="56">
        <v>203.49002713102959</v>
      </c>
      <c r="D52" s="114"/>
      <c r="E52" s="32"/>
      <c r="F52" s="31"/>
    </row>
    <row r="53" spans="1:6" x14ac:dyDescent="0.2">
      <c r="A53" s="26">
        <v>1997.08</v>
      </c>
      <c r="B53" s="55">
        <v>205.69892807433862</v>
      </c>
      <c r="C53" s="56">
        <v>205.69892807433862</v>
      </c>
      <c r="D53" s="114"/>
      <c r="E53" s="32"/>
      <c r="F53" s="31"/>
    </row>
    <row r="54" spans="1:6" x14ac:dyDescent="0.2">
      <c r="A54" s="26">
        <v>1997.09</v>
      </c>
      <c r="B54" s="55">
        <v>205.55720589186828</v>
      </c>
      <c r="C54" s="56">
        <v>205.55720589186828</v>
      </c>
      <c r="D54" s="114"/>
      <c r="E54" s="32"/>
      <c r="F54" s="31"/>
    </row>
    <row r="55" spans="1:6" x14ac:dyDescent="0.2">
      <c r="A55" s="26">
        <v>1997.1</v>
      </c>
      <c r="B55" s="55">
        <v>210.50720161198385</v>
      </c>
      <c r="C55" s="56">
        <v>210.50720161198385</v>
      </c>
      <c r="D55" s="114"/>
      <c r="E55" s="32"/>
      <c r="F55" s="31"/>
    </row>
    <row r="56" spans="1:6" x14ac:dyDescent="0.2">
      <c r="A56" s="26">
        <v>1997.11</v>
      </c>
      <c r="B56" s="55">
        <v>210.27818255002492</v>
      </c>
      <c r="C56" s="56">
        <v>210.27818255002492</v>
      </c>
      <c r="D56" s="114"/>
      <c r="E56" s="32"/>
      <c r="F56" s="31"/>
    </row>
    <row r="57" spans="1:6" x14ac:dyDescent="0.2">
      <c r="A57" s="26">
        <v>1997.12</v>
      </c>
      <c r="B57" s="55">
        <v>211.70692276574147</v>
      </c>
      <c r="C57" s="56">
        <v>211.70692276574147</v>
      </c>
      <c r="D57" s="114"/>
      <c r="E57" s="32"/>
      <c r="F57" s="31"/>
    </row>
    <row r="58" spans="1:6" x14ac:dyDescent="0.2">
      <c r="A58" s="26">
        <v>1998.01</v>
      </c>
      <c r="B58" s="55">
        <v>212.21633017682342</v>
      </c>
      <c r="C58" s="56">
        <v>212.21633017682342</v>
      </c>
      <c r="D58" s="114"/>
      <c r="E58" s="32"/>
      <c r="F58" s="31"/>
    </row>
    <row r="59" spans="1:6" x14ac:dyDescent="0.2">
      <c r="A59" s="26">
        <v>1998.02</v>
      </c>
      <c r="B59" s="55">
        <v>208.97939979467452</v>
      </c>
      <c r="C59" s="56">
        <v>208.97939979467452</v>
      </c>
      <c r="D59" s="114"/>
      <c r="E59" s="32"/>
      <c r="F59" s="31"/>
    </row>
    <row r="60" spans="1:6" x14ac:dyDescent="0.2">
      <c r="A60" s="26">
        <v>1998.03</v>
      </c>
      <c r="B60" s="55">
        <v>210.72347362086754</v>
      </c>
      <c r="C60" s="56">
        <v>210.72347362086754</v>
      </c>
      <c r="D60" s="114"/>
      <c r="E60" s="32"/>
      <c r="F60" s="31"/>
    </row>
    <row r="61" spans="1:6" x14ac:dyDescent="0.2">
      <c r="A61" s="26">
        <v>1998.04</v>
      </c>
      <c r="B61" s="55">
        <v>210.49402525656291</v>
      </c>
      <c r="C61" s="56">
        <v>210.49402525656291</v>
      </c>
      <c r="D61" s="114"/>
      <c r="E61" s="32"/>
      <c r="F61" s="31"/>
    </row>
    <row r="62" spans="1:6" x14ac:dyDescent="0.2">
      <c r="A62" s="26">
        <v>1998.05</v>
      </c>
      <c r="B62" s="55">
        <v>215.92204093207343</v>
      </c>
      <c r="C62" s="56">
        <v>215.92204093207343</v>
      </c>
      <c r="D62" s="114"/>
      <c r="E62" s="32"/>
      <c r="F62" s="31"/>
    </row>
    <row r="63" spans="1:6" x14ac:dyDescent="0.2">
      <c r="A63" s="26">
        <v>1998.06</v>
      </c>
      <c r="B63" s="55">
        <v>212.99379022422985</v>
      </c>
      <c r="C63" s="56">
        <v>212.99379022422985</v>
      </c>
      <c r="D63" s="114"/>
      <c r="E63" s="32"/>
      <c r="F63" s="31"/>
    </row>
    <row r="64" spans="1:6" x14ac:dyDescent="0.2">
      <c r="A64" s="26">
        <v>1998.07</v>
      </c>
      <c r="B64" s="55">
        <v>215.45665009251195</v>
      </c>
      <c r="C64" s="56">
        <v>215.45665009251195</v>
      </c>
      <c r="D64" s="114"/>
      <c r="E64" s="32"/>
      <c r="F64" s="31"/>
    </row>
    <row r="65" spans="1:6" x14ac:dyDescent="0.2">
      <c r="A65" s="26">
        <v>1998.08</v>
      </c>
      <c r="B65" s="55">
        <v>214.49051965645734</v>
      </c>
      <c r="C65" s="56">
        <v>214.49051965645734</v>
      </c>
      <c r="D65" s="114"/>
      <c r="E65" s="32"/>
      <c r="F65" s="31"/>
    </row>
    <row r="66" spans="1:6" x14ac:dyDescent="0.2">
      <c r="A66" s="26">
        <v>1998.09</v>
      </c>
      <c r="B66" s="55">
        <v>219.99832192730312</v>
      </c>
      <c r="C66" s="56">
        <v>219.99832192730312</v>
      </c>
      <c r="D66" s="114"/>
      <c r="E66" s="32"/>
      <c r="F66" s="31"/>
    </row>
    <row r="67" spans="1:6" x14ac:dyDescent="0.2">
      <c r="A67" s="26">
        <v>1998.1</v>
      </c>
      <c r="B67" s="55">
        <v>218.66436099568594</v>
      </c>
      <c r="C67" s="56">
        <v>218.66436099568594</v>
      </c>
      <c r="D67" s="114"/>
      <c r="E67" s="32"/>
      <c r="F67" s="31"/>
    </row>
    <row r="68" spans="1:6" x14ac:dyDescent="0.2">
      <c r="A68" s="26">
        <v>1998.11</v>
      </c>
      <c r="B68" s="55">
        <v>220.90875044447458</v>
      </c>
      <c r="C68" s="56">
        <v>220.90875044447458</v>
      </c>
      <c r="D68" s="114"/>
      <c r="E68" s="32"/>
      <c r="F68" s="31"/>
    </row>
    <row r="69" spans="1:6" x14ac:dyDescent="0.2">
      <c r="A69" s="26">
        <v>1998.12</v>
      </c>
      <c r="B69" s="55">
        <v>222.77294687458357</v>
      </c>
      <c r="C69" s="56">
        <v>222.77294687458357</v>
      </c>
      <c r="D69" s="114"/>
      <c r="E69" s="32"/>
      <c r="F69" s="31"/>
    </row>
    <row r="70" spans="1:6" x14ac:dyDescent="0.2">
      <c r="A70" s="26">
        <v>1999.01</v>
      </c>
      <c r="B70" s="55">
        <v>230.19645866223348</v>
      </c>
      <c r="C70" s="56">
        <v>230.19645866223348</v>
      </c>
      <c r="D70" s="114"/>
      <c r="E70" s="32"/>
      <c r="F70" s="31"/>
    </row>
    <row r="71" spans="1:6" x14ac:dyDescent="0.2">
      <c r="A71" s="26">
        <v>1999.02</v>
      </c>
      <c r="B71" s="55">
        <v>236.49487889239359</v>
      </c>
      <c r="C71" s="56">
        <v>236.49487889239359</v>
      </c>
      <c r="D71" s="114"/>
      <c r="E71" s="32"/>
      <c r="F71" s="31"/>
    </row>
    <row r="72" spans="1:6" x14ac:dyDescent="0.2">
      <c r="A72" s="26">
        <v>1999.03</v>
      </c>
      <c r="B72" s="55">
        <v>245.86113702972199</v>
      </c>
      <c r="C72" s="56">
        <v>245.86113702972199</v>
      </c>
      <c r="D72" s="114"/>
      <c r="E72" s="32"/>
      <c r="F72" s="31"/>
    </row>
    <row r="73" spans="1:6" x14ac:dyDescent="0.2">
      <c r="A73" s="26">
        <v>1999.04</v>
      </c>
      <c r="B73" s="55">
        <v>253.16047012637216</v>
      </c>
      <c r="C73" s="56">
        <v>253.16047012637216</v>
      </c>
      <c r="D73" s="114"/>
      <c r="E73" s="32"/>
      <c r="F73" s="31"/>
    </row>
    <row r="74" spans="1:6" x14ac:dyDescent="0.2">
      <c r="A74" s="26">
        <v>1999.05</v>
      </c>
      <c r="B74" s="55">
        <v>253.28623636521257</v>
      </c>
      <c r="C74" s="56">
        <v>253.28623636521257</v>
      </c>
      <c r="D74" s="114"/>
      <c r="E74" s="32"/>
      <c r="F74" s="31"/>
    </row>
    <row r="75" spans="1:6" x14ac:dyDescent="0.2">
      <c r="A75" s="26">
        <v>1999.06</v>
      </c>
      <c r="B75" s="55">
        <v>254.95166081639681</v>
      </c>
      <c r="C75" s="56">
        <v>254.95166081639681</v>
      </c>
      <c r="D75" s="114"/>
      <c r="E75" s="32"/>
      <c r="F75" s="31"/>
    </row>
    <row r="76" spans="1:6" x14ac:dyDescent="0.2">
      <c r="A76" s="26">
        <v>1999.07</v>
      </c>
      <c r="B76" s="55">
        <v>260.45294587718399</v>
      </c>
      <c r="C76" s="56">
        <v>260.45294587718399</v>
      </c>
      <c r="D76" s="114"/>
      <c r="E76" s="32"/>
      <c r="F76" s="31"/>
    </row>
    <row r="77" spans="1:6" x14ac:dyDescent="0.2">
      <c r="A77" s="26">
        <v>1999.08</v>
      </c>
      <c r="B77" s="55">
        <v>258.88808443090892</v>
      </c>
      <c r="C77" s="56">
        <v>258.88808443090892</v>
      </c>
      <c r="D77" s="114"/>
      <c r="E77" s="32"/>
      <c r="F77" s="31"/>
    </row>
    <row r="78" spans="1:6" x14ac:dyDescent="0.2">
      <c r="A78" s="26">
        <v>1999.09</v>
      </c>
      <c r="B78" s="55">
        <v>259.05143956134799</v>
      </c>
      <c r="C78" s="56">
        <v>259.05143956134799</v>
      </c>
      <c r="D78" s="114"/>
      <c r="E78" s="32"/>
      <c r="F78" s="31"/>
    </row>
    <row r="79" spans="1:6" x14ac:dyDescent="0.2">
      <c r="A79" s="26">
        <v>1999.1</v>
      </c>
      <c r="B79" s="55">
        <v>260.66446059188314</v>
      </c>
      <c r="C79" s="56">
        <v>260.66446059188314</v>
      </c>
      <c r="D79" s="114"/>
      <c r="E79" s="32"/>
      <c r="F79" s="31"/>
    </row>
    <row r="80" spans="1:6" x14ac:dyDescent="0.2">
      <c r="A80" s="26">
        <v>1999.11</v>
      </c>
      <c r="B80" s="55">
        <v>259.91335372686649</v>
      </c>
      <c r="C80" s="56">
        <v>259.91335372686649</v>
      </c>
      <c r="D80" s="114"/>
      <c r="E80" s="32"/>
      <c r="F80" s="31"/>
    </row>
    <row r="81" spans="1:6" x14ac:dyDescent="0.2">
      <c r="A81" s="26">
        <v>1999.12</v>
      </c>
      <c r="B81" s="55">
        <v>256.60744450591278</v>
      </c>
      <c r="C81" s="56">
        <v>256.60744450591278</v>
      </c>
      <c r="D81" s="114"/>
      <c r="E81" s="32"/>
      <c r="F81" s="31"/>
    </row>
    <row r="82" spans="1:6" x14ac:dyDescent="0.2">
      <c r="A82" s="26">
        <v>2000.01</v>
      </c>
      <c r="B82" s="55">
        <v>257.6579803006756</v>
      </c>
      <c r="C82" s="56">
        <v>257.6579803006756</v>
      </c>
      <c r="D82" s="114"/>
      <c r="E82" s="32"/>
      <c r="F82" s="31"/>
    </row>
    <row r="83" spans="1:6" x14ac:dyDescent="0.2">
      <c r="A83" s="26">
        <v>2000.02</v>
      </c>
      <c r="B83" s="55">
        <v>258.15082895678842</v>
      </c>
      <c r="C83" s="56">
        <v>258.15082895678842</v>
      </c>
      <c r="D83" s="114"/>
      <c r="E83" s="32"/>
      <c r="F83" s="31"/>
    </row>
    <row r="84" spans="1:6" x14ac:dyDescent="0.2">
      <c r="A84" s="26">
        <v>2000.03</v>
      </c>
      <c r="B84" s="55">
        <v>262.78725864377668</v>
      </c>
      <c r="C84" s="56">
        <v>262.78725864377668</v>
      </c>
      <c r="D84" s="114"/>
      <c r="E84" s="32"/>
      <c r="F84" s="31"/>
    </row>
    <row r="85" spans="1:6" x14ac:dyDescent="0.2">
      <c r="A85" s="26">
        <v>2000.04</v>
      </c>
      <c r="B85" s="55">
        <v>268.42649829619671</v>
      </c>
      <c r="C85" s="56">
        <v>268.42649829619671</v>
      </c>
      <c r="D85" s="114"/>
      <c r="E85" s="32"/>
      <c r="F85" s="31"/>
    </row>
    <row r="86" spans="1:6" x14ac:dyDescent="0.2">
      <c r="A86" s="26">
        <v>2000.05</v>
      </c>
      <c r="B86" s="55">
        <v>272.96062466507942</v>
      </c>
      <c r="C86" s="56">
        <v>272.96062466507942</v>
      </c>
      <c r="D86" s="114"/>
      <c r="E86" s="32"/>
      <c r="F86" s="31"/>
    </row>
    <row r="87" spans="1:6" x14ac:dyDescent="0.2">
      <c r="A87" s="26">
        <v>2000.06</v>
      </c>
      <c r="B87" s="55">
        <v>271.15265444037595</v>
      </c>
      <c r="C87" s="56">
        <v>271.15265444037595</v>
      </c>
      <c r="D87" s="114"/>
      <c r="E87" s="32"/>
      <c r="F87" s="31"/>
    </row>
    <row r="88" spans="1:6" x14ac:dyDescent="0.2">
      <c r="A88" s="26">
        <v>2000.07</v>
      </c>
      <c r="B88" s="55">
        <v>273.11473753764596</v>
      </c>
      <c r="C88" s="56">
        <v>273.11473753764596</v>
      </c>
      <c r="D88" s="114"/>
      <c r="E88" s="32"/>
      <c r="F88" s="31"/>
    </row>
    <row r="89" spans="1:6" x14ac:dyDescent="0.2">
      <c r="A89" s="26">
        <v>2000.08</v>
      </c>
      <c r="B89" s="55">
        <v>273.77683452957524</v>
      </c>
      <c r="C89" s="56">
        <v>273.77683452957524</v>
      </c>
      <c r="D89" s="114"/>
      <c r="E89" s="32"/>
      <c r="F89" s="31"/>
    </row>
    <row r="90" spans="1:6" x14ac:dyDescent="0.2">
      <c r="A90" s="26">
        <v>2000.09</v>
      </c>
      <c r="B90" s="55">
        <v>276.25701158845459</v>
      </c>
      <c r="C90" s="56">
        <v>276.25701158845459</v>
      </c>
      <c r="D90" s="114"/>
      <c r="E90" s="32"/>
      <c r="F90" s="31"/>
    </row>
    <row r="91" spans="1:6" x14ac:dyDescent="0.2">
      <c r="A91" s="26">
        <v>2000.1</v>
      </c>
      <c r="B91" s="55">
        <v>274.98126610926914</v>
      </c>
      <c r="C91" s="56">
        <v>274.98126610926914</v>
      </c>
      <c r="D91" s="114"/>
      <c r="E91" s="32"/>
      <c r="F91" s="31"/>
    </row>
    <row r="92" spans="1:6" x14ac:dyDescent="0.2">
      <c r="A92" s="26">
        <v>2000.11</v>
      </c>
      <c r="B92" s="55">
        <v>272.26460522924293</v>
      </c>
      <c r="C92" s="56">
        <v>272.26460522924293</v>
      </c>
      <c r="D92" s="114"/>
      <c r="E92" s="32"/>
      <c r="F92" s="31"/>
    </row>
    <row r="93" spans="1:6" x14ac:dyDescent="0.2">
      <c r="A93" s="26">
        <v>2000.12</v>
      </c>
      <c r="B93" s="55">
        <v>275.65788458764382</v>
      </c>
      <c r="C93" s="56">
        <v>275.65788458764382</v>
      </c>
      <c r="D93" s="114"/>
      <c r="E93" s="32"/>
      <c r="F93" s="31"/>
    </row>
    <row r="94" spans="1:6" x14ac:dyDescent="0.2">
      <c r="A94" s="26">
        <v>2001.01</v>
      </c>
      <c r="B94" s="55">
        <v>279.49722730921951</v>
      </c>
      <c r="C94" s="56">
        <v>279.49722730921951</v>
      </c>
      <c r="D94" s="114"/>
      <c r="E94" s="32"/>
      <c r="F94" s="31"/>
    </row>
    <row r="95" spans="1:6" x14ac:dyDescent="0.2">
      <c r="A95" s="26">
        <v>2001.02</v>
      </c>
      <c r="B95" s="55">
        <v>283.51559191320297</v>
      </c>
      <c r="C95" s="56">
        <v>283.51559191320297</v>
      </c>
      <c r="D95" s="114"/>
      <c r="E95" s="32"/>
      <c r="F95" s="31"/>
    </row>
    <row r="96" spans="1:6" x14ac:dyDescent="0.2">
      <c r="A96" s="26">
        <v>2001.03</v>
      </c>
      <c r="B96" s="55">
        <v>281.52451404673565</v>
      </c>
      <c r="C96" s="56">
        <v>281.52451404673565</v>
      </c>
      <c r="D96" s="114"/>
      <c r="E96" s="32"/>
      <c r="F96" s="31"/>
    </row>
    <row r="97" spans="1:6" x14ac:dyDescent="0.2">
      <c r="A97" s="26">
        <v>2001.04</v>
      </c>
      <c r="B97" s="55">
        <v>278.55425610948964</v>
      </c>
      <c r="C97" s="56">
        <v>278.55425610948964</v>
      </c>
      <c r="D97" s="114"/>
      <c r="E97" s="32"/>
      <c r="F97" s="31"/>
    </row>
    <row r="98" spans="1:6" x14ac:dyDescent="0.2">
      <c r="A98" s="26">
        <v>2001.05</v>
      </c>
      <c r="B98" s="55">
        <v>281.96625905628525</v>
      </c>
      <c r="C98" s="56">
        <v>281.96625905628525</v>
      </c>
      <c r="D98" s="114"/>
      <c r="E98" s="32"/>
      <c r="F98" s="31"/>
    </row>
    <row r="99" spans="1:6" x14ac:dyDescent="0.2">
      <c r="A99" s="26">
        <v>2001.06</v>
      </c>
      <c r="B99" s="55">
        <v>288.16663636322448</v>
      </c>
      <c r="C99" s="56">
        <v>288.16663636322448</v>
      </c>
      <c r="D99" s="114"/>
      <c r="E99" s="32"/>
      <c r="F99" s="31"/>
    </row>
    <row r="100" spans="1:6" x14ac:dyDescent="0.2">
      <c r="A100" s="26">
        <v>2001.07</v>
      </c>
      <c r="B100" s="55">
        <v>283.21091928944287</v>
      </c>
      <c r="C100" s="56">
        <v>283.21091928944287</v>
      </c>
      <c r="D100" s="114"/>
      <c r="E100" s="32"/>
      <c r="F100" s="31"/>
    </row>
    <row r="101" spans="1:6" x14ac:dyDescent="0.2">
      <c r="A101" s="26">
        <v>2001.08</v>
      </c>
      <c r="B101" s="55">
        <v>282.19613884824008</v>
      </c>
      <c r="C101" s="56">
        <v>282.19613884824008</v>
      </c>
      <c r="D101" s="114"/>
      <c r="E101" s="32"/>
      <c r="F101" s="31"/>
    </row>
    <row r="102" spans="1:6" x14ac:dyDescent="0.2">
      <c r="A102" s="26">
        <v>2001.09</v>
      </c>
      <c r="B102" s="55">
        <v>279.25939857945087</v>
      </c>
      <c r="C102" s="56">
        <v>279.25939857945087</v>
      </c>
      <c r="D102" s="114"/>
      <c r="E102" s="32"/>
      <c r="F102" s="31"/>
    </row>
    <row r="103" spans="1:6" x14ac:dyDescent="0.2">
      <c r="A103" s="26">
        <v>2001.1</v>
      </c>
      <c r="B103" s="55">
        <v>276.50793854484311</v>
      </c>
      <c r="C103" s="56">
        <v>276.50793854484311</v>
      </c>
      <c r="D103" s="114"/>
      <c r="E103" s="32"/>
      <c r="F103" s="31"/>
    </row>
    <row r="104" spans="1:6" x14ac:dyDescent="0.2">
      <c r="A104" s="26">
        <v>2001.11</v>
      </c>
      <c r="B104" s="55">
        <v>268.80543156262371</v>
      </c>
      <c r="C104" s="56">
        <v>268.80543156262371</v>
      </c>
      <c r="D104" s="114"/>
      <c r="E104" s="32"/>
      <c r="F104" s="31"/>
    </row>
    <row r="105" spans="1:6" x14ac:dyDescent="0.2">
      <c r="A105" s="26">
        <v>2001.12</v>
      </c>
      <c r="B105" s="55">
        <v>266.6822197849574</v>
      </c>
      <c r="C105" s="56">
        <v>266.6822197849574</v>
      </c>
      <c r="D105" s="114"/>
      <c r="E105" s="32"/>
      <c r="F105" s="31"/>
    </row>
    <row r="106" spans="1:6" x14ac:dyDescent="0.2">
      <c r="A106" s="26">
        <v>2002.01</v>
      </c>
      <c r="B106" s="55">
        <v>254.13180901482349</v>
      </c>
      <c r="C106" s="56">
        <v>254.13180901482349</v>
      </c>
      <c r="D106" s="114"/>
      <c r="E106" s="32"/>
      <c r="F106" s="31"/>
    </row>
    <row r="107" spans="1:6" x14ac:dyDescent="0.2">
      <c r="A107" s="26">
        <v>2002.02</v>
      </c>
      <c r="B107" s="55">
        <v>240.98907690936983</v>
      </c>
      <c r="C107" s="56">
        <v>240.98907690936983</v>
      </c>
      <c r="D107" s="114"/>
      <c r="E107" s="32"/>
      <c r="F107" s="31"/>
    </row>
    <row r="108" spans="1:6" x14ac:dyDescent="0.2">
      <c r="A108" s="26">
        <v>2002.03</v>
      </c>
      <c r="B108" s="55">
        <v>223.68761259492715</v>
      </c>
      <c r="C108" s="56">
        <v>223.68761259492715</v>
      </c>
      <c r="D108" s="114"/>
      <c r="E108" s="32"/>
      <c r="F108" s="31"/>
    </row>
    <row r="109" spans="1:6" x14ac:dyDescent="0.2">
      <c r="A109" s="26">
        <v>2002.04</v>
      </c>
      <c r="B109" s="55">
        <v>200.01774739925736</v>
      </c>
      <c r="C109" s="56">
        <v>200.01774739925736</v>
      </c>
      <c r="D109" s="114"/>
      <c r="E109" s="32"/>
      <c r="F109" s="31"/>
    </row>
    <row r="110" spans="1:6" x14ac:dyDescent="0.2">
      <c r="A110" s="26">
        <v>2002.05</v>
      </c>
      <c r="B110" s="55">
        <v>186.82510950244028</v>
      </c>
      <c r="C110" s="56">
        <v>186.82510950244028</v>
      </c>
      <c r="D110" s="114"/>
      <c r="E110" s="32"/>
      <c r="F110" s="31"/>
    </row>
    <row r="111" spans="1:6" x14ac:dyDescent="0.2">
      <c r="A111" s="26">
        <v>2002.06</v>
      </c>
      <c r="B111" s="55">
        <v>176.19569783808774</v>
      </c>
      <c r="C111" s="56">
        <v>176.19569783808774</v>
      </c>
      <c r="D111" s="114"/>
      <c r="E111" s="32"/>
      <c r="F111" s="31"/>
    </row>
    <row r="112" spans="1:6" x14ac:dyDescent="0.2">
      <c r="A112" s="26">
        <v>2002.07</v>
      </c>
      <c r="B112" s="55">
        <v>169.35549327011279</v>
      </c>
      <c r="C112" s="56">
        <v>169.35549327011279</v>
      </c>
      <c r="D112" s="114"/>
      <c r="E112" s="32"/>
      <c r="F112" s="31"/>
    </row>
    <row r="113" spans="1:6" x14ac:dyDescent="0.2">
      <c r="A113" s="26">
        <v>2002.08</v>
      </c>
      <c r="B113" s="55">
        <v>167.95497797936463</v>
      </c>
      <c r="C113" s="56">
        <v>167.95497797936463</v>
      </c>
      <c r="D113" s="114"/>
      <c r="E113" s="32"/>
      <c r="F113" s="31"/>
    </row>
    <row r="114" spans="1:6" x14ac:dyDescent="0.2">
      <c r="A114" s="26">
        <v>2002.09</v>
      </c>
      <c r="B114" s="55">
        <v>164.55215890984388</v>
      </c>
      <c r="C114" s="56">
        <v>164.55215890984388</v>
      </c>
      <c r="D114" s="114"/>
      <c r="E114" s="32"/>
      <c r="F114" s="31"/>
    </row>
    <row r="115" spans="1:6" x14ac:dyDescent="0.2">
      <c r="A115" s="26">
        <v>2002.1</v>
      </c>
      <c r="B115" s="55">
        <v>164.34384686722575</v>
      </c>
      <c r="C115" s="56">
        <v>164.34384686722575</v>
      </c>
      <c r="D115" s="114"/>
      <c r="E115" s="32"/>
      <c r="F115" s="31"/>
    </row>
    <row r="116" spans="1:6" x14ac:dyDescent="0.2">
      <c r="A116" s="26">
        <v>2002.11</v>
      </c>
      <c r="B116" s="55">
        <v>167.20795581400208</v>
      </c>
      <c r="C116" s="56">
        <v>167.20795581400208</v>
      </c>
      <c r="D116" s="114"/>
      <c r="E116" s="32"/>
      <c r="F116" s="31"/>
    </row>
    <row r="117" spans="1:6" x14ac:dyDescent="0.2">
      <c r="A117" s="26">
        <v>2002.12</v>
      </c>
      <c r="B117" s="55">
        <v>165.84054102744685</v>
      </c>
      <c r="C117" s="56">
        <v>165.84054102744685</v>
      </c>
      <c r="D117" s="114"/>
      <c r="E117" s="32"/>
      <c r="F117" s="31"/>
    </row>
    <row r="118" spans="1:6" x14ac:dyDescent="0.2">
      <c r="A118" s="26">
        <v>2003.01</v>
      </c>
      <c r="B118" s="55">
        <v>166.22646676679162</v>
      </c>
      <c r="C118" s="56">
        <v>166.22646676679162</v>
      </c>
      <c r="D118" s="114"/>
      <c r="E118" s="32"/>
      <c r="F118" s="31"/>
    </row>
    <row r="119" spans="1:6" x14ac:dyDescent="0.2">
      <c r="A119" s="26">
        <v>2003.02</v>
      </c>
      <c r="B119" s="55">
        <v>164.59685492850366</v>
      </c>
      <c r="C119" s="56">
        <v>164.59685492850366</v>
      </c>
      <c r="D119" s="114"/>
      <c r="E119" s="32"/>
      <c r="F119" s="31"/>
    </row>
    <row r="120" spans="1:6" x14ac:dyDescent="0.2">
      <c r="A120" s="26">
        <v>2003.03</v>
      </c>
      <c r="B120" s="55">
        <v>169.18716779944458</v>
      </c>
      <c r="C120" s="56">
        <v>169.18716779944458</v>
      </c>
      <c r="D120" s="114"/>
      <c r="E120" s="32"/>
      <c r="F120" s="31"/>
    </row>
    <row r="121" spans="1:6" x14ac:dyDescent="0.2">
      <c r="A121" s="26">
        <v>2003.04</v>
      </c>
      <c r="B121" s="55">
        <v>173.59119310316461</v>
      </c>
      <c r="C121" s="56">
        <v>173.59119310316461</v>
      </c>
      <c r="D121" s="114"/>
      <c r="E121" s="32"/>
      <c r="F121" s="31"/>
    </row>
    <row r="122" spans="1:6" x14ac:dyDescent="0.2">
      <c r="A122" s="26">
        <v>2003.05</v>
      </c>
      <c r="B122" s="55">
        <v>176.94259023181888</v>
      </c>
      <c r="C122" s="56">
        <v>176.94259023181888</v>
      </c>
      <c r="D122" s="114"/>
      <c r="E122" s="32"/>
      <c r="F122" s="31"/>
    </row>
    <row r="123" spans="1:6" x14ac:dyDescent="0.2">
      <c r="A123" s="26">
        <v>2003.06</v>
      </c>
      <c r="B123" s="55">
        <v>181.37166746136836</v>
      </c>
      <c r="C123" s="56">
        <v>181.37166746136836</v>
      </c>
      <c r="D123" s="114"/>
      <c r="E123" s="32"/>
      <c r="F123" s="31"/>
    </row>
    <row r="124" spans="1:6" x14ac:dyDescent="0.2">
      <c r="A124" s="26">
        <v>2003.07</v>
      </c>
      <c r="B124" s="55">
        <v>185.72623687726147</v>
      </c>
      <c r="C124" s="56">
        <v>185.72623687726147</v>
      </c>
      <c r="D124" s="114"/>
      <c r="E124" s="32"/>
      <c r="F124" s="31"/>
    </row>
    <row r="125" spans="1:6" x14ac:dyDescent="0.2">
      <c r="A125" s="26">
        <v>2003.08</v>
      </c>
      <c r="B125" s="55">
        <v>192.01689341478155</v>
      </c>
      <c r="C125" s="56">
        <v>192.01689341478155</v>
      </c>
      <c r="D125" s="114"/>
      <c r="E125" s="32"/>
      <c r="F125" s="31"/>
    </row>
    <row r="126" spans="1:6" x14ac:dyDescent="0.2">
      <c r="A126" s="26">
        <v>2003.09</v>
      </c>
      <c r="B126" s="55">
        <v>193.60002223947313</v>
      </c>
      <c r="C126" s="56">
        <v>193.60002223947313</v>
      </c>
      <c r="D126" s="114"/>
      <c r="E126" s="32"/>
      <c r="F126" s="31"/>
    </row>
    <row r="127" spans="1:6" x14ac:dyDescent="0.2">
      <c r="A127" s="26">
        <v>2003.1</v>
      </c>
      <c r="B127" s="55">
        <v>195.81182220858031</v>
      </c>
      <c r="C127" s="56">
        <v>195.81182220858031</v>
      </c>
      <c r="D127" s="114"/>
      <c r="E127" s="32"/>
      <c r="F127" s="31"/>
    </row>
    <row r="128" spans="1:6" x14ac:dyDescent="0.2">
      <c r="A128" s="26">
        <v>2003.11</v>
      </c>
      <c r="B128" s="55">
        <v>199.84003730124437</v>
      </c>
      <c r="C128" s="56">
        <v>199.84003730124437</v>
      </c>
      <c r="D128" s="114"/>
      <c r="E128" s="32"/>
      <c r="F128" s="31"/>
    </row>
    <row r="129" spans="1:6" x14ac:dyDescent="0.2">
      <c r="A129" s="26">
        <v>2003.12</v>
      </c>
      <c r="B129" s="55">
        <v>204.31007327023482</v>
      </c>
      <c r="C129" s="56">
        <v>204.31007327023482</v>
      </c>
      <c r="D129" s="114"/>
      <c r="E129" s="32"/>
      <c r="F129" s="31"/>
    </row>
    <row r="130" spans="1:6" x14ac:dyDescent="0.2">
      <c r="A130" s="26">
        <v>2004.01</v>
      </c>
      <c r="B130" s="55">
        <v>206.17433889640634</v>
      </c>
      <c r="C130" s="56">
        <v>206.17433889640634</v>
      </c>
      <c r="D130" s="114"/>
      <c r="E130" s="32"/>
      <c r="F130" s="31"/>
    </row>
    <row r="131" spans="1:6" x14ac:dyDescent="0.2">
      <c r="A131" s="26">
        <v>2004.02</v>
      </c>
      <c r="B131" s="55">
        <v>216.30489833883911</v>
      </c>
      <c r="C131" s="56">
        <v>216.30489833883911</v>
      </c>
      <c r="D131" s="114"/>
      <c r="E131" s="32"/>
      <c r="F131" s="31"/>
    </row>
    <row r="132" spans="1:6" x14ac:dyDescent="0.2">
      <c r="A132" s="26">
        <v>2004.03</v>
      </c>
      <c r="B132" s="55">
        <v>223.44014424714976</v>
      </c>
      <c r="C132" s="56">
        <v>223.44014424714976</v>
      </c>
      <c r="D132" s="114"/>
      <c r="E132" s="32"/>
      <c r="F132" s="31"/>
    </row>
    <row r="133" spans="1:6" x14ac:dyDescent="0.2">
      <c r="A133" s="26">
        <v>2004.04</v>
      </c>
      <c r="B133" s="55">
        <v>231.92245450603386</v>
      </c>
      <c r="C133" s="56">
        <v>231.92245450603386</v>
      </c>
      <c r="D133" s="114"/>
      <c r="E133" s="32"/>
      <c r="F133" s="31"/>
    </row>
    <row r="134" spans="1:6" x14ac:dyDescent="0.2">
      <c r="A134" s="26">
        <v>2004.05</v>
      </c>
      <c r="B134" s="55">
        <v>235.13603469090529</v>
      </c>
      <c r="C134" s="56">
        <v>235.13603469090529</v>
      </c>
      <c r="D134" s="114"/>
      <c r="E134" s="32"/>
      <c r="F134" s="31"/>
    </row>
    <row r="135" spans="1:6" x14ac:dyDescent="0.2">
      <c r="A135" s="26">
        <v>2004.06</v>
      </c>
      <c r="B135" s="55">
        <v>240.81473157422013</v>
      </c>
      <c r="C135" s="56">
        <v>240.81473157422013</v>
      </c>
      <c r="D135" s="114"/>
      <c r="E135" s="32"/>
      <c r="F135" s="31"/>
    </row>
    <row r="136" spans="1:6" x14ac:dyDescent="0.2">
      <c r="A136" s="26">
        <v>2004.07</v>
      </c>
      <c r="B136" s="55">
        <v>239.15382522720748</v>
      </c>
      <c r="C136" s="56">
        <v>239.15382522720748</v>
      </c>
      <c r="D136" s="114"/>
      <c r="E136" s="32"/>
      <c r="F136" s="31"/>
    </row>
    <row r="137" spans="1:6" x14ac:dyDescent="0.2">
      <c r="A137" s="26">
        <v>2004.08</v>
      </c>
      <c r="B137" s="55">
        <v>236.74343343355514</v>
      </c>
      <c r="C137" s="56">
        <v>236.74343343355514</v>
      </c>
      <c r="D137" s="114"/>
      <c r="E137" s="32"/>
      <c r="F137" s="31"/>
    </row>
    <row r="138" spans="1:6" x14ac:dyDescent="0.2">
      <c r="A138" s="26">
        <v>2004.09</v>
      </c>
      <c r="B138" s="55">
        <v>237.59619636588079</v>
      </c>
      <c r="C138" s="56">
        <v>237.59619636588079</v>
      </c>
      <c r="D138" s="114"/>
      <c r="E138" s="32"/>
      <c r="F138" s="31"/>
    </row>
    <row r="139" spans="1:6" x14ac:dyDescent="0.2">
      <c r="A139" s="26">
        <v>2004.1</v>
      </c>
      <c r="B139" s="55">
        <v>237.75925522441565</v>
      </c>
      <c r="C139" s="56">
        <v>237.75925522441565</v>
      </c>
      <c r="D139" s="114"/>
      <c r="E139" s="32"/>
      <c r="F139" s="31"/>
    </row>
    <row r="140" spans="1:6" x14ac:dyDescent="0.2">
      <c r="A140" s="26">
        <v>2004.11</v>
      </c>
      <c r="B140" s="55">
        <v>244.47682056071977</v>
      </c>
      <c r="C140" s="56">
        <v>244.47682056071977</v>
      </c>
      <c r="D140" s="114"/>
      <c r="E140" s="32"/>
      <c r="F140" s="31"/>
    </row>
    <row r="141" spans="1:6" x14ac:dyDescent="0.2">
      <c r="A141" s="26">
        <v>2004.12</v>
      </c>
      <c r="B141" s="55">
        <v>242.67530751491293</v>
      </c>
      <c r="C141" s="56">
        <v>242.67530751491293</v>
      </c>
      <c r="D141" s="114"/>
      <c r="E141" s="32"/>
      <c r="F141" s="31"/>
    </row>
    <row r="142" spans="1:6" x14ac:dyDescent="0.2">
      <c r="A142" s="26">
        <v>2005.01</v>
      </c>
      <c r="B142" s="55">
        <v>249.97788612937265</v>
      </c>
      <c r="C142" s="56">
        <v>249.97788612937265</v>
      </c>
      <c r="D142" s="114"/>
      <c r="E142" s="32"/>
      <c r="F142" s="31"/>
    </row>
    <row r="143" spans="1:6" x14ac:dyDescent="0.2">
      <c r="A143" s="26">
        <v>2005.02</v>
      </c>
      <c r="B143" s="55">
        <v>256.91308162726051</v>
      </c>
      <c r="C143" s="56">
        <v>256.91308162726051</v>
      </c>
      <c r="D143" s="114"/>
      <c r="E143" s="32"/>
      <c r="F143" s="31"/>
    </row>
    <row r="144" spans="1:6" x14ac:dyDescent="0.2">
      <c r="A144" s="26">
        <v>2005.03</v>
      </c>
      <c r="B144" s="55">
        <v>255.40922749339279</v>
      </c>
      <c r="C144" s="56">
        <v>255.40922749339279</v>
      </c>
      <c r="D144" s="114"/>
      <c r="E144" s="32"/>
      <c r="F144" s="31"/>
    </row>
    <row r="145" spans="1:6" x14ac:dyDescent="0.2">
      <c r="A145" s="26">
        <v>2005.04</v>
      </c>
      <c r="B145" s="55">
        <v>268.4250977821344</v>
      </c>
      <c r="C145" s="56">
        <v>268.4250977821344</v>
      </c>
      <c r="D145" s="114"/>
      <c r="E145" s="32"/>
      <c r="F145" s="31"/>
    </row>
    <row r="146" spans="1:6" x14ac:dyDescent="0.2">
      <c r="A146" s="26">
        <v>2005.05</v>
      </c>
      <c r="B146" s="55">
        <v>269.91116974518934</v>
      </c>
      <c r="C146" s="56">
        <v>269.91116974518934</v>
      </c>
      <c r="D146" s="114"/>
      <c r="E146" s="32"/>
      <c r="F146" s="31"/>
    </row>
    <row r="147" spans="1:6" x14ac:dyDescent="0.2">
      <c r="A147" s="26">
        <v>2005.06</v>
      </c>
      <c r="B147" s="55">
        <v>271.79453922724065</v>
      </c>
      <c r="C147" s="56">
        <v>271.79453922724065</v>
      </c>
      <c r="D147" s="114"/>
      <c r="E147" s="32"/>
      <c r="F147" s="31"/>
    </row>
    <row r="148" spans="1:6" x14ac:dyDescent="0.2">
      <c r="A148" s="26">
        <v>2005.07</v>
      </c>
      <c r="B148" s="55">
        <v>278.91768654144443</v>
      </c>
      <c r="C148" s="56">
        <v>278.91768654144443</v>
      </c>
      <c r="D148" s="114"/>
      <c r="E148" s="32"/>
      <c r="F148" s="31"/>
    </row>
    <row r="149" spans="1:6" x14ac:dyDescent="0.2">
      <c r="A149" s="26">
        <v>2005.08</v>
      </c>
      <c r="B149" s="55">
        <v>283.83610921248788</v>
      </c>
      <c r="C149" s="56">
        <v>283.83610921248788</v>
      </c>
      <c r="D149" s="114"/>
      <c r="E149" s="32"/>
      <c r="F149" s="31"/>
    </row>
    <row r="150" spans="1:6" x14ac:dyDescent="0.2">
      <c r="A150" s="26">
        <v>2005.09</v>
      </c>
      <c r="B150" s="55">
        <v>288.10444139665231</v>
      </c>
      <c r="C150" s="56">
        <v>288.10444139665231</v>
      </c>
      <c r="D150" s="114"/>
      <c r="E150" s="32"/>
      <c r="F150" s="31"/>
    </row>
    <row r="151" spans="1:6" x14ac:dyDescent="0.2">
      <c r="A151" s="26">
        <v>2005.1</v>
      </c>
      <c r="B151" s="55">
        <v>298.52524529268874</v>
      </c>
      <c r="C151" s="56">
        <v>298.52524529268874</v>
      </c>
      <c r="D151" s="114"/>
      <c r="E151" s="32"/>
      <c r="F151" s="31"/>
    </row>
    <row r="152" spans="1:6" x14ac:dyDescent="0.2">
      <c r="A152" s="26">
        <v>2005.11</v>
      </c>
      <c r="B152" s="55">
        <v>299.9790033913149</v>
      </c>
      <c r="C152" s="56">
        <v>299.9790033913149</v>
      </c>
      <c r="D152" s="114"/>
      <c r="E152" s="32"/>
      <c r="F152" s="31"/>
    </row>
    <row r="153" spans="1:6" x14ac:dyDescent="0.2">
      <c r="A153" s="26">
        <v>2005.12</v>
      </c>
      <c r="B153" s="55">
        <v>306.99035276612153</v>
      </c>
      <c r="C153" s="56">
        <v>306.99035276612153</v>
      </c>
      <c r="D153" s="114"/>
      <c r="E153" s="32"/>
      <c r="F153" s="31"/>
    </row>
    <row r="154" spans="1:6" x14ac:dyDescent="0.2">
      <c r="A154" s="26">
        <v>2006.01</v>
      </c>
      <c r="B154" s="55">
        <v>310.58735374113525</v>
      </c>
      <c r="C154" s="56">
        <v>310.58735374113525</v>
      </c>
      <c r="D154" s="114"/>
      <c r="E154" s="32"/>
      <c r="F154" s="31"/>
    </row>
    <row r="155" spans="1:6" x14ac:dyDescent="0.2">
      <c r="A155" s="26">
        <v>2006.02</v>
      </c>
      <c r="B155" s="55">
        <v>317.9345076332844</v>
      </c>
      <c r="C155" s="56">
        <v>317.9345076332844</v>
      </c>
      <c r="D155" s="114"/>
      <c r="E155" s="32"/>
      <c r="F155" s="31"/>
    </row>
    <row r="156" spans="1:6" x14ac:dyDescent="0.2">
      <c r="A156" s="26">
        <v>2006.03</v>
      </c>
      <c r="B156" s="55">
        <v>322.13010747348403</v>
      </c>
      <c r="C156" s="56">
        <v>322.13010747348403</v>
      </c>
      <c r="D156" s="114"/>
      <c r="E156" s="32"/>
      <c r="F156" s="31"/>
    </row>
    <row r="157" spans="1:6" x14ac:dyDescent="0.2">
      <c r="A157" s="26">
        <v>2006.04</v>
      </c>
      <c r="B157" s="55">
        <v>327.70000116537932</v>
      </c>
      <c r="C157" s="56">
        <v>327.70000116537932</v>
      </c>
      <c r="D157" s="114"/>
      <c r="E157" s="32"/>
      <c r="F157" s="31"/>
    </row>
    <row r="158" spans="1:6" x14ac:dyDescent="0.2">
      <c r="A158" s="26">
        <v>2006.05</v>
      </c>
      <c r="B158" s="55">
        <v>334.76751496716025</v>
      </c>
      <c r="C158" s="56">
        <v>334.76751496716025</v>
      </c>
      <c r="D158" s="114"/>
      <c r="E158" s="32"/>
      <c r="F158" s="31"/>
    </row>
    <row r="159" spans="1:6" x14ac:dyDescent="0.2">
      <c r="A159" s="26">
        <v>2006.06</v>
      </c>
      <c r="B159" s="55">
        <v>337.36257481679928</v>
      </c>
      <c r="C159" s="56">
        <v>337.36257481679928</v>
      </c>
      <c r="D159" s="114"/>
      <c r="E159" s="32"/>
      <c r="F159" s="31"/>
    </row>
    <row r="160" spans="1:6" x14ac:dyDescent="0.2">
      <c r="A160" s="26">
        <v>2006.07</v>
      </c>
      <c r="B160" s="55">
        <v>341.7172870545358</v>
      </c>
      <c r="C160" s="56">
        <v>341.7172870545358</v>
      </c>
      <c r="D160" s="114"/>
      <c r="E160" s="32"/>
      <c r="F160" s="31"/>
    </row>
    <row r="161" spans="1:6" x14ac:dyDescent="0.2">
      <c r="A161" s="26">
        <v>2006.08</v>
      </c>
      <c r="B161" s="55">
        <v>352.24485659330799</v>
      </c>
      <c r="C161" s="56">
        <v>352.24485659330799</v>
      </c>
      <c r="D161" s="114"/>
      <c r="E161" s="32"/>
      <c r="F161" s="31"/>
    </row>
    <row r="162" spans="1:6" x14ac:dyDescent="0.2">
      <c r="A162" s="26">
        <v>2006.09</v>
      </c>
      <c r="B162" s="55">
        <v>359.46815334798328</v>
      </c>
      <c r="C162" s="56">
        <v>359.46815334798328</v>
      </c>
      <c r="D162" s="114"/>
      <c r="E162" s="32"/>
      <c r="F162" s="31"/>
    </row>
    <row r="163" spans="1:6" x14ac:dyDescent="0.2">
      <c r="A163" s="26">
        <v>2006.1</v>
      </c>
      <c r="B163" s="55">
        <v>355.61588223295092</v>
      </c>
      <c r="C163" s="56">
        <v>355.61588223295092</v>
      </c>
      <c r="D163" s="114"/>
      <c r="E163" s="32"/>
      <c r="F163" s="31"/>
    </row>
    <row r="164" spans="1:6" x14ac:dyDescent="0.2">
      <c r="A164" s="26">
        <v>2006.11</v>
      </c>
      <c r="B164" s="55">
        <v>354.59543519546361</v>
      </c>
      <c r="C164" s="56">
        <v>354.59543519546361</v>
      </c>
      <c r="D164" s="114"/>
      <c r="E164" s="32"/>
      <c r="F164" s="31"/>
    </row>
    <row r="165" spans="1:6" x14ac:dyDescent="0.2">
      <c r="A165" s="26">
        <v>2006.12</v>
      </c>
      <c r="B165" s="55">
        <v>361.63903740126102</v>
      </c>
      <c r="C165" s="56">
        <v>361.63903740126102</v>
      </c>
      <c r="D165" s="114"/>
      <c r="E165" s="32"/>
      <c r="F165" s="31"/>
    </row>
    <row r="166" spans="1:6" x14ac:dyDescent="0.2">
      <c r="A166" s="26">
        <v>2007.01</v>
      </c>
      <c r="B166" s="55">
        <v>367.59500294069665</v>
      </c>
      <c r="C166" s="56">
        <v>367.59500294069665</v>
      </c>
      <c r="D166" s="114"/>
      <c r="E166" s="32"/>
      <c r="F166" s="31"/>
    </row>
    <row r="167" spans="1:6" x14ac:dyDescent="0.2">
      <c r="A167" s="26">
        <v>2007.02</v>
      </c>
      <c r="B167" s="55">
        <v>374.31706611329577</v>
      </c>
      <c r="C167" s="56">
        <v>374.31706611329577</v>
      </c>
      <c r="D167" s="114"/>
      <c r="E167" s="32"/>
      <c r="F167" s="31"/>
    </row>
    <row r="168" spans="1:6" x14ac:dyDescent="0.2">
      <c r="A168" s="26">
        <v>2007.03</v>
      </c>
      <c r="B168" s="55">
        <v>375.60086643868925</v>
      </c>
      <c r="C168" s="56">
        <v>375.60086643868925</v>
      </c>
      <c r="D168" s="114"/>
      <c r="E168" s="32"/>
      <c r="F168" s="31"/>
    </row>
    <row r="169" spans="1:6" x14ac:dyDescent="0.2">
      <c r="A169" s="26">
        <v>2007.04</v>
      </c>
      <c r="B169" s="55">
        <v>382.00796062673106</v>
      </c>
      <c r="C169" s="56">
        <v>382.00796062673106</v>
      </c>
      <c r="D169" s="114"/>
      <c r="E169" s="32"/>
      <c r="F169" s="31"/>
    </row>
    <row r="170" spans="1:6" x14ac:dyDescent="0.2">
      <c r="A170" s="26">
        <v>2007.05</v>
      </c>
      <c r="B170" s="55">
        <v>389.69452125814939</v>
      </c>
      <c r="C170" s="56">
        <v>389.69452125814939</v>
      </c>
      <c r="D170" s="114"/>
      <c r="E170" s="32"/>
      <c r="F170" s="31"/>
    </row>
    <row r="171" spans="1:6" x14ac:dyDescent="0.2">
      <c r="A171" s="26">
        <v>2007.06</v>
      </c>
      <c r="B171" s="55">
        <v>398.64959577468858</v>
      </c>
      <c r="C171" s="56">
        <v>398.64959577468858</v>
      </c>
      <c r="D171" s="114"/>
      <c r="E171" s="32"/>
      <c r="F171" s="31"/>
    </row>
    <row r="172" spans="1:6" x14ac:dyDescent="0.2">
      <c r="A172" s="26">
        <v>2007.07</v>
      </c>
      <c r="B172" s="55">
        <v>402.38666910998859</v>
      </c>
      <c r="C172" s="56">
        <v>402.38666910998859</v>
      </c>
      <c r="D172" s="114"/>
      <c r="E172" s="32"/>
      <c r="F172" s="31"/>
    </row>
    <row r="173" spans="1:6" x14ac:dyDescent="0.2">
      <c r="A173" s="26">
        <v>2007.08</v>
      </c>
      <c r="B173" s="55">
        <v>400.95010550247264</v>
      </c>
      <c r="C173" s="56">
        <v>400.95010550247264</v>
      </c>
      <c r="D173" s="114"/>
      <c r="E173" s="32"/>
      <c r="F173" s="31"/>
    </row>
    <row r="174" spans="1:6" x14ac:dyDescent="0.2">
      <c r="A174" s="26">
        <v>2007.09</v>
      </c>
      <c r="B174" s="55">
        <v>408.73010603076796</v>
      </c>
      <c r="C174" s="56">
        <v>408.73010603076796</v>
      </c>
      <c r="D174" s="114"/>
      <c r="E174" s="32"/>
      <c r="F174" s="31"/>
    </row>
    <row r="175" spans="1:6" x14ac:dyDescent="0.2">
      <c r="A175" s="26">
        <v>2007.1</v>
      </c>
      <c r="B175" s="55">
        <v>414.15668799333469</v>
      </c>
      <c r="C175" s="56">
        <v>414.15668799333469</v>
      </c>
      <c r="D175" s="114"/>
      <c r="E175" s="32"/>
      <c r="F175" s="31"/>
    </row>
    <row r="176" spans="1:6" x14ac:dyDescent="0.2">
      <c r="A176" s="26">
        <v>2007.11</v>
      </c>
      <c r="B176" s="55">
        <v>428.58021694061955</v>
      </c>
      <c r="C176" s="56">
        <v>428.58021694061955</v>
      </c>
      <c r="D176" s="114"/>
      <c r="E176" s="32"/>
      <c r="F176" s="31"/>
    </row>
    <row r="177" spans="1:6" x14ac:dyDescent="0.2">
      <c r="A177" s="26">
        <v>2007.12</v>
      </c>
      <c r="B177" s="55">
        <v>432.65867077243109</v>
      </c>
      <c r="C177" s="56">
        <v>432.65867077243109</v>
      </c>
      <c r="D177" s="114"/>
      <c r="E177" s="33"/>
      <c r="F177" s="31"/>
    </row>
    <row r="178" spans="1:6" x14ac:dyDescent="0.2">
      <c r="A178" s="26">
        <f t="shared" ref="A178:A241" si="0">A166+1</f>
        <v>2008.01</v>
      </c>
      <c r="B178" s="55">
        <v>438.04121643075371</v>
      </c>
      <c r="C178" s="56">
        <v>438.04121643075371</v>
      </c>
      <c r="D178" s="114"/>
      <c r="E178" s="32"/>
      <c r="F178" s="31"/>
    </row>
    <row r="179" spans="1:6" x14ac:dyDescent="0.2">
      <c r="A179" s="26">
        <f t="shared" si="0"/>
        <v>2008.02</v>
      </c>
      <c r="B179" s="55">
        <v>434.299871335033</v>
      </c>
      <c r="C179" s="56">
        <v>434.299871335033</v>
      </c>
      <c r="D179" s="114"/>
      <c r="E179" s="32"/>
      <c r="F179" s="31"/>
    </row>
    <row r="180" spans="1:6" x14ac:dyDescent="0.2">
      <c r="A180" s="26">
        <f t="shared" si="0"/>
        <v>2008.03</v>
      </c>
      <c r="B180" s="55">
        <v>442.29030006063834</v>
      </c>
      <c r="C180" s="56">
        <v>442.29030006063834</v>
      </c>
      <c r="D180" s="114"/>
      <c r="E180" s="32"/>
      <c r="F180" s="31"/>
    </row>
    <row r="181" spans="1:6" x14ac:dyDescent="0.2">
      <c r="A181" s="26">
        <f t="shared" si="0"/>
        <v>2008.04</v>
      </c>
      <c r="B181" s="55">
        <v>440.57146644205687</v>
      </c>
      <c r="C181" s="56">
        <v>440.57146644205687</v>
      </c>
      <c r="D181" s="114"/>
      <c r="E181" s="32"/>
      <c r="F181" s="31"/>
    </row>
    <row r="182" spans="1:6" x14ac:dyDescent="0.2">
      <c r="A182" s="26">
        <f t="shared" si="0"/>
        <v>2008.05</v>
      </c>
      <c r="B182" s="55">
        <v>449.02235044880507</v>
      </c>
      <c r="C182" s="56">
        <v>449.02235044880507</v>
      </c>
      <c r="D182" s="114"/>
      <c r="E182" s="32"/>
      <c r="F182" s="31"/>
    </row>
    <row r="183" spans="1:6" x14ac:dyDescent="0.2">
      <c r="A183" s="26">
        <f t="shared" si="0"/>
        <v>2008.06</v>
      </c>
      <c r="B183" s="55">
        <v>452.96214471765273</v>
      </c>
      <c r="C183" s="56">
        <v>452.96214471765273</v>
      </c>
      <c r="D183" s="114"/>
      <c r="E183" s="32"/>
      <c r="F183" s="31"/>
    </row>
    <row r="184" spans="1:6" x14ac:dyDescent="0.2">
      <c r="A184" s="26">
        <f t="shared" si="0"/>
        <v>2008.07</v>
      </c>
      <c r="B184" s="55">
        <v>458.8054362499098</v>
      </c>
      <c r="C184" s="56">
        <v>458.8054362499098</v>
      </c>
      <c r="D184" s="114"/>
      <c r="E184" s="32"/>
      <c r="F184" s="31"/>
    </row>
    <row r="185" spans="1:6" x14ac:dyDescent="0.2">
      <c r="A185" s="26">
        <f t="shared" si="0"/>
        <v>2008.08</v>
      </c>
      <c r="B185" s="55">
        <v>462.91490192871561</v>
      </c>
      <c r="C185" s="56">
        <v>462.91490192871561</v>
      </c>
      <c r="D185" s="114"/>
      <c r="E185" s="32"/>
      <c r="F185" s="31"/>
    </row>
    <row r="186" spans="1:6" x14ac:dyDescent="0.2">
      <c r="A186" s="26">
        <f t="shared" si="0"/>
        <v>2008.09</v>
      </c>
      <c r="B186" s="55">
        <v>468.97036702748613</v>
      </c>
      <c r="C186" s="56">
        <v>468.97036702748613</v>
      </c>
      <c r="D186" s="114"/>
      <c r="E186" s="32"/>
      <c r="F186" s="31"/>
    </row>
    <row r="187" spans="1:6" x14ac:dyDescent="0.2">
      <c r="A187" s="26">
        <f t="shared" si="0"/>
        <v>2008.1</v>
      </c>
      <c r="B187" s="55">
        <v>474.58308348580442</v>
      </c>
      <c r="C187" s="56">
        <v>474.58308348580442</v>
      </c>
      <c r="D187" s="114"/>
      <c r="E187" s="32"/>
      <c r="F187" s="31"/>
    </row>
    <row r="188" spans="1:6" x14ac:dyDescent="0.2">
      <c r="A188" s="26">
        <f t="shared" si="0"/>
        <v>2008.11</v>
      </c>
      <c r="B188" s="55">
        <v>475.30688922125643</v>
      </c>
      <c r="C188" s="56">
        <v>475.30688922125643</v>
      </c>
      <c r="D188" s="114"/>
      <c r="E188" s="32"/>
      <c r="F188" s="31"/>
    </row>
    <row r="189" spans="1:6" x14ac:dyDescent="0.2">
      <c r="A189" s="26">
        <f t="shared" si="0"/>
        <v>2008.12</v>
      </c>
      <c r="B189" s="55">
        <v>476.43164969389073</v>
      </c>
      <c r="C189" s="56">
        <v>476.43164969389073</v>
      </c>
      <c r="D189" s="114"/>
      <c r="E189" s="33"/>
      <c r="F189" s="31"/>
    </row>
    <row r="190" spans="1:6" x14ac:dyDescent="0.2">
      <c r="A190" s="26">
        <f t="shared" si="0"/>
        <v>2009.01</v>
      </c>
      <c r="B190" s="55">
        <v>477.50749103367878</v>
      </c>
      <c r="C190" s="56">
        <v>477.50749103367878</v>
      </c>
      <c r="D190" s="114"/>
      <c r="E190" s="32"/>
      <c r="F190" s="31"/>
    </row>
    <row r="191" spans="1:6" x14ac:dyDescent="0.2">
      <c r="A191" s="26">
        <f t="shared" si="0"/>
        <v>2009.02</v>
      </c>
      <c r="B191" s="55">
        <v>477.90153061613961</v>
      </c>
      <c r="C191" s="56">
        <v>477.90153061613961</v>
      </c>
      <c r="D191" s="114"/>
      <c r="E191" s="32"/>
      <c r="F191" s="31"/>
    </row>
    <row r="192" spans="1:6" x14ac:dyDescent="0.2">
      <c r="A192" s="26">
        <f t="shared" si="0"/>
        <v>2009.03</v>
      </c>
      <c r="B192" s="55">
        <v>482.42493263172537</v>
      </c>
      <c r="C192" s="56">
        <v>482.42493263172537</v>
      </c>
      <c r="D192" s="114"/>
      <c r="E192" s="32"/>
      <c r="F192" s="31"/>
    </row>
    <row r="193" spans="1:6" x14ac:dyDescent="0.2">
      <c r="A193" s="26">
        <f t="shared" si="0"/>
        <v>2009.04</v>
      </c>
      <c r="B193" s="55">
        <v>478.7478016562053</v>
      </c>
      <c r="C193" s="56">
        <v>478.7478016562053</v>
      </c>
      <c r="D193" s="114"/>
      <c r="E193" s="32"/>
      <c r="F193" s="31"/>
    </row>
    <row r="194" spans="1:6" x14ac:dyDescent="0.2">
      <c r="A194" s="26">
        <f t="shared" si="0"/>
        <v>2009.05</v>
      </c>
      <c r="B194" s="55">
        <v>474.91754478711971</v>
      </c>
      <c r="C194" s="56">
        <v>474.91754478711971</v>
      </c>
      <c r="D194" s="114"/>
      <c r="E194" s="32"/>
      <c r="F194" s="31"/>
    </row>
    <row r="195" spans="1:6" x14ac:dyDescent="0.2">
      <c r="A195" s="26">
        <f t="shared" si="0"/>
        <v>2009.06</v>
      </c>
      <c r="B195" s="55">
        <v>476.90969469262444</v>
      </c>
      <c r="C195" s="56">
        <v>476.90969469262444</v>
      </c>
      <c r="D195" s="114"/>
      <c r="E195" s="32"/>
      <c r="F195" s="31"/>
    </row>
    <row r="196" spans="1:6" x14ac:dyDescent="0.2">
      <c r="A196" s="26">
        <f t="shared" si="0"/>
        <v>2009.07</v>
      </c>
      <c r="B196" s="55">
        <v>480.49351437815125</v>
      </c>
      <c r="C196" s="56">
        <v>480.49351437815125</v>
      </c>
      <c r="D196" s="114"/>
      <c r="E196" s="32"/>
      <c r="F196" s="31"/>
    </row>
    <row r="197" spans="1:6" x14ac:dyDescent="0.2">
      <c r="A197" s="26">
        <f t="shared" si="0"/>
        <v>2009.08</v>
      </c>
      <c r="B197" s="55">
        <v>480.36829721328786</v>
      </c>
      <c r="C197" s="56">
        <v>480.36829721328786</v>
      </c>
      <c r="D197" s="114"/>
      <c r="E197" s="32"/>
      <c r="F197" s="31"/>
    </row>
    <row r="198" spans="1:6" x14ac:dyDescent="0.2">
      <c r="A198" s="26">
        <f t="shared" si="0"/>
        <v>2009.09</v>
      </c>
      <c r="B198" s="55">
        <v>481.28491400353982</v>
      </c>
      <c r="C198" s="56">
        <v>481.28491400353982</v>
      </c>
      <c r="D198" s="114"/>
      <c r="E198" s="32"/>
      <c r="F198" s="31"/>
    </row>
    <row r="199" spans="1:6" x14ac:dyDescent="0.2">
      <c r="A199" s="26">
        <f t="shared" si="0"/>
        <v>2009.1</v>
      </c>
      <c r="B199" s="55">
        <v>488.20022577712308</v>
      </c>
      <c r="C199" s="56">
        <v>488.20022577712308</v>
      </c>
      <c r="D199" s="114"/>
      <c r="E199" s="32"/>
      <c r="F199" s="31"/>
    </row>
    <row r="200" spans="1:6" x14ac:dyDescent="0.2">
      <c r="A200" s="26">
        <f t="shared" si="0"/>
        <v>2009.11</v>
      </c>
      <c r="B200" s="55">
        <v>482.47964762021684</v>
      </c>
      <c r="C200" s="56">
        <v>482.47964762021684</v>
      </c>
      <c r="D200" s="114"/>
      <c r="E200" s="32"/>
      <c r="F200" s="31"/>
    </row>
    <row r="201" spans="1:6" x14ac:dyDescent="0.2">
      <c r="A201" s="26">
        <f t="shared" si="0"/>
        <v>2009.12</v>
      </c>
      <c r="B201" s="55">
        <v>480.11156106250104</v>
      </c>
      <c r="C201" s="56">
        <v>480.11156106250104</v>
      </c>
      <c r="D201" s="114"/>
      <c r="E201" s="33"/>
      <c r="F201" s="31"/>
    </row>
    <row r="202" spans="1:6" x14ac:dyDescent="0.2">
      <c r="A202" s="26">
        <f t="shared" si="0"/>
        <v>2010.01</v>
      </c>
      <c r="B202" s="55">
        <v>479.89653863943892</v>
      </c>
      <c r="C202" s="56">
        <v>479.89653863943892</v>
      </c>
      <c r="D202" s="114"/>
      <c r="E202" s="32"/>
      <c r="F202" s="31"/>
    </row>
    <row r="203" spans="1:6" x14ac:dyDescent="0.2">
      <c r="A203" s="26">
        <f t="shared" si="0"/>
        <v>2010.02</v>
      </c>
      <c r="B203" s="55">
        <v>479.15944502145322</v>
      </c>
      <c r="C203" s="56">
        <v>479.15944502145322</v>
      </c>
      <c r="D203" s="114"/>
      <c r="E203" s="32"/>
      <c r="F203" s="31"/>
    </row>
    <row r="204" spans="1:6" x14ac:dyDescent="0.2">
      <c r="A204" s="26">
        <f t="shared" si="0"/>
        <v>2010.03</v>
      </c>
      <c r="B204" s="55">
        <v>482.85061041034368</v>
      </c>
      <c r="C204" s="56">
        <v>482.85061041034368</v>
      </c>
      <c r="D204" s="114"/>
      <c r="E204" s="32"/>
      <c r="F204" s="31"/>
    </row>
    <row r="205" spans="1:6" x14ac:dyDescent="0.2">
      <c r="A205" s="26">
        <f t="shared" si="0"/>
        <v>2010.04</v>
      </c>
      <c r="B205" s="55">
        <v>490.16053565001147</v>
      </c>
      <c r="C205" s="56">
        <v>490.16053565001147</v>
      </c>
      <c r="D205" s="114"/>
      <c r="E205" s="32"/>
      <c r="F205" s="31"/>
    </row>
    <row r="206" spans="1:6" x14ac:dyDescent="0.2">
      <c r="A206" s="26">
        <f t="shared" si="0"/>
        <v>2010.05</v>
      </c>
      <c r="B206" s="55">
        <v>494.26037168674225</v>
      </c>
      <c r="C206" s="56">
        <v>494.26037168674225</v>
      </c>
      <c r="D206" s="114"/>
      <c r="E206" s="32"/>
      <c r="F206" s="31"/>
    </row>
    <row r="207" spans="1:6" x14ac:dyDescent="0.2">
      <c r="A207" s="26">
        <f t="shared" si="0"/>
        <v>2010.06</v>
      </c>
      <c r="B207" s="55">
        <v>494.36435247512532</v>
      </c>
      <c r="C207" s="56">
        <v>494.36435247512532</v>
      </c>
      <c r="D207" s="114"/>
      <c r="E207" s="32"/>
      <c r="F207" s="31"/>
    </row>
    <row r="208" spans="1:6" x14ac:dyDescent="0.2">
      <c r="A208" s="26">
        <f t="shared" si="0"/>
        <v>2010.07</v>
      </c>
      <c r="B208" s="55">
        <v>502.4970683428254</v>
      </c>
      <c r="C208" s="56">
        <v>502.4970683428254</v>
      </c>
      <c r="D208" s="114"/>
      <c r="E208" s="32"/>
      <c r="F208" s="31"/>
    </row>
    <row r="209" spans="1:6" x14ac:dyDescent="0.2">
      <c r="A209" s="26">
        <f t="shared" si="0"/>
        <v>2010.08</v>
      </c>
      <c r="B209" s="55">
        <v>508.32705450789695</v>
      </c>
      <c r="C209" s="56">
        <v>508.32705450789695</v>
      </c>
      <c r="D209" s="114"/>
      <c r="E209" s="32"/>
      <c r="F209" s="31"/>
    </row>
    <row r="210" spans="1:6" x14ac:dyDescent="0.2">
      <c r="A210" s="26">
        <f t="shared" si="0"/>
        <v>2010.09</v>
      </c>
      <c r="B210" s="55">
        <v>512.86596098871428</v>
      </c>
      <c r="C210" s="56">
        <v>512.86596098871428</v>
      </c>
      <c r="D210" s="114"/>
      <c r="E210" s="32"/>
      <c r="F210" s="31"/>
    </row>
    <row r="211" spans="1:6" x14ac:dyDescent="0.2">
      <c r="A211" s="26">
        <f t="shared" si="0"/>
        <v>2010.1</v>
      </c>
      <c r="B211" s="55">
        <v>511.95126675355561</v>
      </c>
      <c r="C211" s="56">
        <v>511.95126675355561</v>
      </c>
      <c r="D211" s="114"/>
      <c r="E211" s="32"/>
      <c r="F211" s="31"/>
    </row>
    <row r="212" spans="1:6" x14ac:dyDescent="0.2">
      <c r="A212" s="26">
        <f t="shared" si="0"/>
        <v>2010.11</v>
      </c>
      <c r="B212" s="55">
        <v>519.47372274167674</v>
      </c>
      <c r="C212" s="56">
        <v>519.47372274167674</v>
      </c>
      <c r="D212" s="114"/>
      <c r="E212" s="32"/>
      <c r="F212" s="31"/>
    </row>
    <row r="213" spans="1:6" x14ac:dyDescent="0.2">
      <c r="A213" s="26">
        <f t="shared" si="0"/>
        <v>2010.12</v>
      </c>
      <c r="B213" s="55">
        <v>522.94065063421488</v>
      </c>
      <c r="C213" s="56">
        <v>522.94065063421488</v>
      </c>
      <c r="D213" s="114"/>
      <c r="E213" s="33"/>
      <c r="F213" s="31"/>
    </row>
    <row r="214" spans="1:6" x14ac:dyDescent="0.2">
      <c r="A214" s="26">
        <f t="shared" si="0"/>
        <v>2011.01</v>
      </c>
      <c r="B214" s="55">
        <v>534.65813536018675</v>
      </c>
      <c r="C214" s="56">
        <v>534.65813536018675</v>
      </c>
      <c r="D214" s="114"/>
      <c r="E214" s="32"/>
      <c r="F214" s="31"/>
    </row>
    <row r="215" spans="1:6" x14ac:dyDescent="0.2">
      <c r="A215" s="26">
        <f t="shared" si="0"/>
        <v>2011.02</v>
      </c>
      <c r="B215" s="55">
        <v>547.79616874897852</v>
      </c>
      <c r="C215" s="56">
        <v>547.79616874897852</v>
      </c>
      <c r="D215" s="114"/>
      <c r="E215" s="32"/>
      <c r="F215" s="31"/>
    </row>
    <row r="216" spans="1:6" x14ac:dyDescent="0.2">
      <c r="A216" s="26">
        <f t="shared" si="0"/>
        <v>2011.03</v>
      </c>
      <c r="B216" s="55">
        <v>555.66409413558063</v>
      </c>
      <c r="C216" s="56">
        <v>555.66409413558063</v>
      </c>
      <c r="D216" s="114"/>
      <c r="E216" s="32"/>
      <c r="F216" s="31"/>
    </row>
    <row r="217" spans="1:6" x14ac:dyDescent="0.2">
      <c r="A217" s="26">
        <f t="shared" si="0"/>
        <v>2011.04</v>
      </c>
      <c r="B217" s="55">
        <v>565.14802580319531</v>
      </c>
      <c r="C217" s="56">
        <v>565.14802580319531</v>
      </c>
      <c r="D217" s="114"/>
      <c r="E217" s="32"/>
      <c r="F217" s="31"/>
    </row>
    <row r="218" spans="1:6" x14ac:dyDescent="0.2">
      <c r="A218" s="26">
        <f t="shared" si="0"/>
        <v>2011.05</v>
      </c>
      <c r="B218" s="55">
        <v>561.08695592968172</v>
      </c>
      <c r="C218" s="56">
        <v>561.08695592968172</v>
      </c>
      <c r="D218" s="114"/>
      <c r="E218" s="32"/>
      <c r="F218" s="31"/>
    </row>
    <row r="219" spans="1:6" x14ac:dyDescent="0.2">
      <c r="A219" s="26">
        <f t="shared" si="0"/>
        <v>2011.06</v>
      </c>
      <c r="B219" s="55">
        <v>568.13610247301142</v>
      </c>
      <c r="C219" s="56">
        <v>568.13610247301142</v>
      </c>
      <c r="D219" s="114"/>
      <c r="E219" s="32"/>
      <c r="F219" s="31"/>
    </row>
    <row r="220" spans="1:6" x14ac:dyDescent="0.2">
      <c r="A220" s="26">
        <f t="shared" si="0"/>
        <v>2011.07</v>
      </c>
      <c r="B220" s="55">
        <v>571.88725024147698</v>
      </c>
      <c r="C220" s="56">
        <v>571.88725024147698</v>
      </c>
      <c r="D220" s="114"/>
      <c r="E220" s="32"/>
      <c r="F220" s="31"/>
    </row>
    <row r="221" spans="1:6" x14ac:dyDescent="0.2">
      <c r="A221" s="26">
        <f t="shared" si="0"/>
        <v>2011.08</v>
      </c>
      <c r="B221" s="55">
        <v>576.95557932920474</v>
      </c>
      <c r="C221" s="56">
        <v>576.95557932920474</v>
      </c>
      <c r="D221" s="114"/>
      <c r="E221" s="32"/>
      <c r="F221" s="31"/>
    </row>
    <row r="222" spans="1:6" x14ac:dyDescent="0.2">
      <c r="A222" s="26">
        <f t="shared" si="0"/>
        <v>2011.09</v>
      </c>
      <c r="B222" s="55">
        <v>581.77202517356943</v>
      </c>
      <c r="C222" s="56">
        <v>581.77202517356943</v>
      </c>
      <c r="D222" s="114"/>
      <c r="E222" s="32"/>
      <c r="F222" s="31"/>
    </row>
    <row r="223" spans="1:6" x14ac:dyDescent="0.2">
      <c r="A223" s="26">
        <f t="shared" si="0"/>
        <v>2011.1</v>
      </c>
      <c r="B223" s="55">
        <v>591.90289877070143</v>
      </c>
      <c r="C223" s="56">
        <v>591.90289877070143</v>
      </c>
      <c r="D223" s="114"/>
      <c r="E223" s="32"/>
      <c r="F223" s="31"/>
    </row>
    <row r="224" spans="1:6" x14ac:dyDescent="0.2">
      <c r="A224" s="26">
        <f t="shared" si="0"/>
        <v>2011.11</v>
      </c>
      <c r="B224" s="55">
        <v>594.09057421626653</v>
      </c>
      <c r="C224" s="56">
        <v>594.09057421626653</v>
      </c>
      <c r="D224" s="114"/>
      <c r="E224" s="32"/>
      <c r="F224" s="31"/>
    </row>
    <row r="225" spans="1:6" x14ac:dyDescent="0.2">
      <c r="A225" s="26">
        <f t="shared" si="0"/>
        <v>2011.12</v>
      </c>
      <c r="B225" s="55">
        <v>595.32168976014952</v>
      </c>
      <c r="C225" s="56">
        <v>595.32168976014952</v>
      </c>
      <c r="D225" s="114"/>
      <c r="E225" s="33"/>
      <c r="F225" s="31"/>
    </row>
    <row r="226" spans="1:6" x14ac:dyDescent="0.2">
      <c r="A226" s="26">
        <f t="shared" si="0"/>
        <v>2012.01</v>
      </c>
      <c r="B226" s="55">
        <v>605.37864911818053</v>
      </c>
      <c r="C226" s="56">
        <v>605.37864911818053</v>
      </c>
      <c r="D226" s="114"/>
      <c r="E226" s="32"/>
      <c r="F226" s="31"/>
    </row>
    <row r="227" spans="1:6" x14ac:dyDescent="0.2">
      <c r="A227" s="26">
        <f t="shared" si="0"/>
        <v>2012.02</v>
      </c>
      <c r="B227" s="55">
        <v>597.28518000861698</v>
      </c>
      <c r="C227" s="56">
        <v>597.28518000861698</v>
      </c>
      <c r="D227" s="114"/>
      <c r="E227" s="32"/>
      <c r="F227" s="31"/>
    </row>
    <row r="228" spans="1:6" x14ac:dyDescent="0.2">
      <c r="A228" s="26">
        <f t="shared" si="0"/>
        <v>2012.03</v>
      </c>
      <c r="B228" s="55">
        <v>608.36024906654529</v>
      </c>
      <c r="C228" s="56">
        <v>608.36024906654529</v>
      </c>
      <c r="D228" s="114"/>
      <c r="E228" s="32"/>
      <c r="F228" s="31"/>
    </row>
    <row r="229" spans="1:6" x14ac:dyDescent="0.2">
      <c r="A229" s="26">
        <f t="shared" si="0"/>
        <v>2012.04</v>
      </c>
      <c r="B229" s="55">
        <v>601.01702788847012</v>
      </c>
      <c r="C229" s="56">
        <v>601.01702788847012</v>
      </c>
      <c r="D229" s="114"/>
      <c r="E229" s="32"/>
      <c r="F229" s="31"/>
    </row>
    <row r="230" spans="1:6" x14ac:dyDescent="0.2">
      <c r="A230" s="26">
        <f t="shared" si="0"/>
        <v>2012.05</v>
      </c>
      <c r="B230" s="55">
        <v>614.32807779300663</v>
      </c>
      <c r="C230" s="56">
        <v>614.32807779300663</v>
      </c>
      <c r="D230" s="114"/>
      <c r="E230" s="32"/>
      <c r="F230" s="31"/>
    </row>
    <row r="231" spans="1:6" x14ac:dyDescent="0.2">
      <c r="A231" s="26">
        <f t="shared" si="0"/>
        <v>2012.06</v>
      </c>
      <c r="B231" s="55">
        <v>614.46625251617229</v>
      </c>
      <c r="C231" s="56">
        <v>614.46625251617229</v>
      </c>
      <c r="D231" s="114"/>
      <c r="E231" s="32"/>
      <c r="F231" s="31"/>
    </row>
    <row r="232" spans="1:6" x14ac:dyDescent="0.2">
      <c r="A232" s="26">
        <f t="shared" si="0"/>
        <v>2012.07</v>
      </c>
      <c r="B232" s="55">
        <v>612.75382124369469</v>
      </c>
      <c r="C232" s="56">
        <v>612.75382124369469</v>
      </c>
      <c r="D232" s="114"/>
      <c r="E232" s="32"/>
      <c r="F232" s="31"/>
    </row>
    <row r="233" spans="1:6" x14ac:dyDescent="0.2">
      <c r="A233" s="26">
        <f t="shared" si="0"/>
        <v>2012.08</v>
      </c>
      <c r="B233" s="55">
        <v>607.83275930009063</v>
      </c>
      <c r="C233" s="56">
        <v>607.83275930009063</v>
      </c>
      <c r="D233" s="114"/>
      <c r="E233" s="32"/>
      <c r="F233" s="31"/>
    </row>
    <row r="234" spans="1:6" x14ac:dyDescent="0.2">
      <c r="A234" s="26">
        <f t="shared" si="0"/>
        <v>2012.09</v>
      </c>
      <c r="B234" s="55">
        <v>609.60542255793939</v>
      </c>
      <c r="C234" s="56">
        <v>609.60542255793939</v>
      </c>
      <c r="D234" s="114"/>
      <c r="E234" s="32"/>
      <c r="F234" s="31"/>
    </row>
    <row r="235" spans="1:6" x14ac:dyDescent="0.2">
      <c r="A235" s="26">
        <f t="shared" si="0"/>
        <v>2012.1</v>
      </c>
      <c r="B235" s="55">
        <v>607.01468452292829</v>
      </c>
      <c r="C235" s="56">
        <v>607.01468452292829</v>
      </c>
      <c r="D235" s="114"/>
      <c r="E235" s="32"/>
      <c r="F235" s="31"/>
    </row>
    <row r="236" spans="1:6" x14ac:dyDescent="0.2">
      <c r="A236" s="26">
        <f t="shared" si="0"/>
        <v>2012.11</v>
      </c>
      <c r="B236" s="55">
        <v>603.33616005678425</v>
      </c>
      <c r="C236" s="56">
        <v>603.33616005678425</v>
      </c>
      <c r="D236" s="114"/>
      <c r="E236" s="32"/>
      <c r="F236" s="31"/>
    </row>
    <row r="237" spans="1:6" x14ac:dyDescent="0.2">
      <c r="A237" s="26">
        <f t="shared" si="0"/>
        <v>2012.12</v>
      </c>
      <c r="B237" s="55">
        <v>611.77972787400404</v>
      </c>
      <c r="C237" s="56">
        <v>611.77972787400404</v>
      </c>
      <c r="D237" s="114"/>
      <c r="E237" s="33"/>
      <c r="F237" s="31"/>
    </row>
    <row r="238" spans="1:6" x14ac:dyDescent="0.2">
      <c r="A238" s="26">
        <f t="shared" si="0"/>
        <v>2013.01</v>
      </c>
      <c r="B238" s="55">
        <v>612.81417802853218</v>
      </c>
      <c r="C238" s="56">
        <v>612.81417802853218</v>
      </c>
      <c r="D238" s="114"/>
      <c r="E238" s="32"/>
      <c r="F238" s="31"/>
    </row>
    <row r="239" spans="1:6" x14ac:dyDescent="0.2">
      <c r="A239" s="26">
        <f t="shared" si="0"/>
        <v>2013.02</v>
      </c>
      <c r="B239" s="55">
        <v>626.50889614821563</v>
      </c>
      <c r="C239" s="56">
        <v>626.50889614821563</v>
      </c>
      <c r="D239" s="114"/>
      <c r="E239" s="32"/>
      <c r="F239" s="31"/>
    </row>
    <row r="240" spans="1:6" x14ac:dyDescent="0.2">
      <c r="A240" s="26">
        <f t="shared" si="0"/>
        <v>2013.03</v>
      </c>
      <c r="B240" s="55">
        <v>627.79888603657037</v>
      </c>
      <c r="C240" s="56">
        <v>627.79888603657037</v>
      </c>
      <c r="D240" s="114"/>
      <c r="E240" s="32"/>
      <c r="F240" s="31"/>
    </row>
    <row r="241" spans="1:6" x14ac:dyDescent="0.2">
      <c r="A241" s="26">
        <f t="shared" si="0"/>
        <v>2013.04</v>
      </c>
      <c r="B241" s="55">
        <v>635.00869322912172</v>
      </c>
      <c r="C241" s="56">
        <v>635.00869322912172</v>
      </c>
      <c r="D241" s="114"/>
      <c r="E241" s="32"/>
      <c r="F241" s="31"/>
    </row>
    <row r="242" spans="1:6" x14ac:dyDescent="0.2">
      <c r="A242" s="26">
        <f t="shared" ref="A242:A305" si="1">A230+1</f>
        <v>2013.05</v>
      </c>
      <c r="B242" s="55">
        <v>637.20396619802341</v>
      </c>
      <c r="C242" s="56">
        <v>637.20396619802341</v>
      </c>
      <c r="D242" s="114"/>
      <c r="E242" s="32"/>
      <c r="F242" s="31"/>
    </row>
    <row r="243" spans="1:6" x14ac:dyDescent="0.2">
      <c r="A243" s="26">
        <f t="shared" si="1"/>
        <v>2013.06</v>
      </c>
      <c r="B243" s="55">
        <v>638.62235897732296</v>
      </c>
      <c r="C243" s="56">
        <v>638.62235897732296</v>
      </c>
      <c r="D243" s="114"/>
      <c r="E243" s="32"/>
      <c r="F243" s="31"/>
    </row>
    <row r="244" spans="1:6" x14ac:dyDescent="0.2">
      <c r="A244" s="26">
        <f t="shared" si="1"/>
        <v>2013.07</v>
      </c>
      <c r="B244" s="55">
        <v>637.69711557430151</v>
      </c>
      <c r="C244" s="56">
        <v>637.69711557430151</v>
      </c>
      <c r="D244" s="114"/>
      <c r="E244" s="32"/>
      <c r="F244" s="31"/>
    </row>
    <row r="245" spans="1:6" x14ac:dyDescent="0.2">
      <c r="A245" s="26">
        <f t="shared" si="1"/>
        <v>2013.08</v>
      </c>
      <c r="B245" s="55">
        <v>631.975855157002</v>
      </c>
      <c r="C245" s="56">
        <v>631.975855157002</v>
      </c>
      <c r="D245" s="114"/>
      <c r="E245" s="32"/>
      <c r="F245" s="31"/>
    </row>
    <row r="246" spans="1:6" x14ac:dyDescent="0.2">
      <c r="A246" s="26">
        <f t="shared" si="1"/>
        <v>2013.09</v>
      </c>
      <c r="B246" s="55">
        <v>633.04207160695182</v>
      </c>
      <c r="C246" s="56">
        <v>633.04207160695182</v>
      </c>
      <c r="D246" s="114"/>
      <c r="E246" s="32"/>
      <c r="F246" s="31"/>
    </row>
    <row r="247" spans="1:6" x14ac:dyDescent="0.2">
      <c r="A247" s="26">
        <f t="shared" si="1"/>
        <v>2013.1</v>
      </c>
      <c r="B247" s="55">
        <v>627.53033130693098</v>
      </c>
      <c r="C247" s="56">
        <v>627.53033130693098</v>
      </c>
      <c r="D247" s="114"/>
      <c r="E247" s="32"/>
      <c r="F247" s="31"/>
    </row>
    <row r="248" spans="1:6" x14ac:dyDescent="0.2">
      <c r="A248" s="26">
        <f t="shared" si="1"/>
        <v>2013.11</v>
      </c>
      <c r="B248" s="55">
        <v>630.51694922410081</v>
      </c>
      <c r="C248" s="56">
        <v>630.51694922410081</v>
      </c>
      <c r="D248" s="114"/>
      <c r="E248" s="32"/>
      <c r="F248" s="31"/>
    </row>
    <row r="249" spans="1:6" x14ac:dyDescent="0.2">
      <c r="A249" s="26">
        <f t="shared" si="1"/>
        <v>2013.12</v>
      </c>
      <c r="B249" s="55">
        <v>627.65437096931919</v>
      </c>
      <c r="C249" s="56">
        <v>627.65437096931919</v>
      </c>
      <c r="D249" s="114"/>
      <c r="E249" s="33"/>
      <c r="F249" s="31"/>
    </row>
    <row r="250" spans="1:6" x14ac:dyDescent="0.2">
      <c r="A250" s="26">
        <f t="shared" si="1"/>
        <v>2014.01</v>
      </c>
      <c r="B250" s="55">
        <v>613.66435368321174</v>
      </c>
      <c r="C250" s="56">
        <v>613.66435368321174</v>
      </c>
      <c r="D250" s="114"/>
      <c r="E250" s="32"/>
      <c r="F250" s="31"/>
    </row>
    <row r="251" spans="1:6" x14ac:dyDescent="0.2">
      <c r="A251" s="26">
        <f t="shared" si="1"/>
        <v>2014.02</v>
      </c>
      <c r="B251" s="55">
        <v>605.93491054930894</v>
      </c>
      <c r="C251" s="56">
        <v>605.93491054930894</v>
      </c>
      <c r="D251" s="114"/>
      <c r="E251" s="32"/>
      <c r="F251" s="31"/>
    </row>
    <row r="252" spans="1:6" x14ac:dyDescent="0.2">
      <c r="A252" s="26">
        <f t="shared" si="1"/>
        <v>2014.03</v>
      </c>
      <c r="B252" s="55">
        <v>599.22591625287851</v>
      </c>
      <c r="C252" s="56">
        <v>599.22591625287851</v>
      </c>
      <c r="D252" s="114"/>
      <c r="E252" s="32"/>
      <c r="F252" s="31"/>
    </row>
    <row r="253" spans="1:6" x14ac:dyDescent="0.2">
      <c r="A253" s="26">
        <f t="shared" si="1"/>
        <v>2014.04</v>
      </c>
      <c r="B253" s="55">
        <v>601.95842843721243</v>
      </c>
      <c r="C253" s="56">
        <v>601.95842843721243</v>
      </c>
      <c r="D253" s="114"/>
      <c r="E253" s="32"/>
      <c r="F253" s="31"/>
    </row>
    <row r="254" spans="1:6" x14ac:dyDescent="0.2">
      <c r="A254" s="26">
        <f t="shared" si="1"/>
        <v>2014.05</v>
      </c>
      <c r="B254" s="55">
        <v>601.25240634698741</v>
      </c>
      <c r="C254" s="56">
        <v>601.25240634698741</v>
      </c>
      <c r="D254" s="114"/>
      <c r="E254" s="32"/>
      <c r="F254" s="31"/>
    </row>
    <row r="255" spans="1:6" x14ac:dyDescent="0.2">
      <c r="A255" s="26">
        <f t="shared" si="1"/>
        <v>2014.06</v>
      </c>
      <c r="B255" s="55">
        <v>604.73575651192436</v>
      </c>
      <c r="C255" s="56">
        <v>604.73575651192436</v>
      </c>
      <c r="D255" s="114"/>
      <c r="E255" s="32"/>
      <c r="F255" s="31"/>
    </row>
    <row r="256" spans="1:6" x14ac:dyDescent="0.2">
      <c r="A256" s="26">
        <f t="shared" si="1"/>
        <v>2014.07</v>
      </c>
      <c r="B256" s="55">
        <v>600.65352853052354</v>
      </c>
      <c r="C256" s="56">
        <v>600.65352853052354</v>
      </c>
      <c r="D256" s="114"/>
      <c r="E256" s="32"/>
      <c r="F256" s="31"/>
    </row>
    <row r="257" spans="1:6" x14ac:dyDescent="0.2">
      <c r="A257" s="26">
        <f t="shared" si="1"/>
        <v>2014.08</v>
      </c>
      <c r="B257" s="55">
        <v>608.48582817073009</v>
      </c>
      <c r="C257" s="56">
        <v>608.48582817073009</v>
      </c>
      <c r="D257" s="114"/>
      <c r="E257" s="32"/>
      <c r="F257" s="31"/>
    </row>
    <row r="258" spans="1:6" x14ac:dyDescent="0.2">
      <c r="A258" s="26">
        <f t="shared" si="1"/>
        <v>2014.09</v>
      </c>
      <c r="B258" s="55">
        <v>597.55986522170963</v>
      </c>
      <c r="C258" s="56">
        <v>597.55986522170963</v>
      </c>
      <c r="D258" s="114"/>
      <c r="E258" s="32"/>
      <c r="F258" s="31"/>
    </row>
    <row r="259" spans="1:6" x14ac:dyDescent="0.2">
      <c r="A259" s="26">
        <f t="shared" si="1"/>
        <v>2014.1</v>
      </c>
      <c r="B259" s="55">
        <v>600.23976994992859</v>
      </c>
      <c r="C259" s="56">
        <v>600.23976994992859</v>
      </c>
      <c r="D259" s="114"/>
      <c r="E259" s="32"/>
      <c r="F259" s="31"/>
    </row>
    <row r="260" spans="1:6" x14ac:dyDescent="0.2">
      <c r="A260" s="26">
        <f t="shared" si="1"/>
        <v>2014.11</v>
      </c>
      <c r="B260" s="55">
        <v>600.98076875706329</v>
      </c>
      <c r="C260" s="56">
        <v>600.98076875706329</v>
      </c>
      <c r="D260" s="114"/>
      <c r="E260" s="32"/>
      <c r="F260" s="31"/>
    </row>
    <row r="261" spans="1:6" x14ac:dyDescent="0.2">
      <c r="A261" s="26">
        <f t="shared" si="1"/>
        <v>2014.12</v>
      </c>
      <c r="B261" s="55">
        <v>608.24392560875583</v>
      </c>
      <c r="C261" s="56">
        <v>608.24392560875583</v>
      </c>
      <c r="D261" s="114"/>
      <c r="E261" s="33"/>
      <c r="F261" s="31"/>
    </row>
    <row r="262" spans="1:6" x14ac:dyDescent="0.2">
      <c r="A262" s="26">
        <f t="shared" si="1"/>
        <v>2015.01</v>
      </c>
      <c r="B262" s="55">
        <v>608.39937292457421</v>
      </c>
      <c r="C262" s="56">
        <v>608.39937292457421</v>
      </c>
      <c r="D262" s="114"/>
      <c r="E262" s="32"/>
      <c r="F262" s="31"/>
    </row>
    <row r="263" spans="1:6" x14ac:dyDescent="0.2">
      <c r="A263" s="26">
        <f t="shared" si="1"/>
        <v>2015.02</v>
      </c>
      <c r="B263" s="55">
        <v>616.38628602362496</v>
      </c>
      <c r="C263" s="56">
        <v>616.38628602362496</v>
      </c>
      <c r="D263" s="114"/>
      <c r="E263" s="32"/>
      <c r="F263" s="31"/>
    </row>
    <row r="264" spans="1:6" x14ac:dyDescent="0.2">
      <c r="A264" s="26">
        <f t="shared" si="1"/>
        <v>2015.03</v>
      </c>
      <c r="B264" s="55">
        <v>612.51034070127196</v>
      </c>
      <c r="C264" s="56">
        <v>612.51034070127196</v>
      </c>
      <c r="D264" s="114"/>
      <c r="E264" s="32"/>
      <c r="F264" s="31"/>
    </row>
    <row r="265" spans="1:6" x14ac:dyDescent="0.2">
      <c r="A265" s="26">
        <f t="shared" si="1"/>
        <v>2015.04</v>
      </c>
      <c r="B265" s="55">
        <v>613.92466793938274</v>
      </c>
      <c r="C265" s="56">
        <v>613.92466793938274</v>
      </c>
      <c r="D265" s="114"/>
      <c r="E265" s="32"/>
      <c r="F265" s="31"/>
    </row>
    <row r="266" spans="1:6" x14ac:dyDescent="0.2">
      <c r="A266" s="26">
        <f t="shared" si="1"/>
        <v>2015.05</v>
      </c>
      <c r="B266" s="55">
        <v>616.62191824123011</v>
      </c>
      <c r="C266" s="56">
        <v>616.62191824123011</v>
      </c>
      <c r="D266" s="114"/>
      <c r="E266" s="32"/>
      <c r="F266" s="31"/>
    </row>
    <row r="267" spans="1:6" x14ac:dyDescent="0.2">
      <c r="A267" s="26">
        <f t="shared" si="1"/>
        <v>2015.06</v>
      </c>
      <c r="B267" s="55">
        <v>624.87700692447822</v>
      </c>
      <c r="C267" s="56">
        <v>624.87700692447822</v>
      </c>
      <c r="D267" s="114"/>
      <c r="E267" s="32"/>
      <c r="F267" s="31"/>
    </row>
    <row r="268" spans="1:6" x14ac:dyDescent="0.2">
      <c r="A268" s="26">
        <f t="shared" si="1"/>
        <v>2015.07</v>
      </c>
      <c r="B268" s="55">
        <v>646.61523510788913</v>
      </c>
      <c r="C268" s="56">
        <v>646.61523510788913</v>
      </c>
      <c r="D268" s="114"/>
      <c r="E268" s="32"/>
      <c r="F268" s="31"/>
    </row>
    <row r="269" spans="1:6" x14ac:dyDescent="0.2">
      <c r="A269" s="26">
        <f t="shared" si="1"/>
        <v>2015.08</v>
      </c>
      <c r="B269" s="55">
        <v>653.32398339382473</v>
      </c>
      <c r="C269" s="56">
        <v>653.32398339382473</v>
      </c>
      <c r="D269" s="114"/>
      <c r="E269" s="32"/>
      <c r="F269" s="31"/>
    </row>
    <row r="270" spans="1:6" x14ac:dyDescent="0.2">
      <c r="A270" s="26">
        <f t="shared" si="1"/>
        <v>2015.09</v>
      </c>
      <c r="B270" s="55">
        <v>646.94843401647813</v>
      </c>
      <c r="C270" s="56">
        <v>646.94843401647813</v>
      </c>
      <c r="D270" s="114"/>
      <c r="E270" s="32"/>
      <c r="F270" s="31"/>
    </row>
    <row r="271" spans="1:6" x14ac:dyDescent="0.2">
      <c r="A271" s="26">
        <f t="shared" si="1"/>
        <v>2015.1</v>
      </c>
      <c r="B271" s="55">
        <v>649.61250268423362</v>
      </c>
      <c r="C271" s="56">
        <v>649.61250268423362</v>
      </c>
      <c r="D271" s="114"/>
      <c r="E271" s="32"/>
      <c r="F271" s="31"/>
    </row>
    <row r="272" spans="1:6" x14ac:dyDescent="0.2">
      <c r="A272" s="26">
        <f t="shared" si="1"/>
        <v>2015.11</v>
      </c>
      <c r="B272" s="55">
        <v>633.94641616238528</v>
      </c>
      <c r="C272" s="56">
        <v>633.94641616238528</v>
      </c>
      <c r="D272" s="114"/>
      <c r="E272" s="32"/>
      <c r="F272" s="31"/>
    </row>
    <row r="273" spans="1:6" x14ac:dyDescent="0.2">
      <c r="A273" s="26">
        <f t="shared" si="1"/>
        <v>2015.12</v>
      </c>
      <c r="B273" s="55">
        <v>630.29862902845514</v>
      </c>
      <c r="C273" s="56">
        <v>630.29862902845514</v>
      </c>
      <c r="D273" s="114"/>
      <c r="E273" s="32"/>
      <c r="F273" s="31"/>
    </row>
    <row r="274" spans="1:6" x14ac:dyDescent="0.2">
      <c r="A274" s="26">
        <f t="shared" si="1"/>
        <v>2016.01</v>
      </c>
      <c r="B274" s="55">
        <v>622.96822798222604</v>
      </c>
      <c r="C274" s="56">
        <v>622.96822798222604</v>
      </c>
      <c r="D274" s="114"/>
      <c r="E274" s="32"/>
      <c r="F274" s="31"/>
    </row>
    <row r="275" spans="1:6" x14ac:dyDescent="0.2">
      <c r="A275" s="26">
        <f t="shared" si="1"/>
        <v>2016.02</v>
      </c>
      <c r="B275" s="55">
        <v>614.34330416253738</v>
      </c>
      <c r="C275" s="56">
        <v>614.34330416253738</v>
      </c>
      <c r="D275" s="114"/>
      <c r="E275" s="32"/>
      <c r="F275" s="31"/>
    </row>
    <row r="276" spans="1:6" x14ac:dyDescent="0.2">
      <c r="A276" s="26">
        <f t="shared" si="1"/>
        <v>2016.03</v>
      </c>
      <c r="B276" s="55">
        <v>612.75015170163852</v>
      </c>
      <c r="C276" s="56">
        <v>612.75015170163852</v>
      </c>
      <c r="D276" s="114"/>
      <c r="E276" s="32"/>
      <c r="F276" s="31"/>
    </row>
    <row r="277" spans="1:6" x14ac:dyDescent="0.2">
      <c r="A277" s="26">
        <f t="shared" si="1"/>
        <v>2016.04</v>
      </c>
      <c r="B277" s="55">
        <v>599.24790753883781</v>
      </c>
      <c r="C277" s="56">
        <v>599.24790753883781</v>
      </c>
      <c r="D277" s="114"/>
      <c r="E277" s="32"/>
      <c r="F277" s="31"/>
    </row>
    <row r="278" spans="1:6" x14ac:dyDescent="0.2">
      <c r="A278" s="26">
        <f t="shared" si="1"/>
        <v>2016.05</v>
      </c>
      <c r="B278" s="55">
        <v>594.77716452221364</v>
      </c>
      <c r="C278" s="56">
        <v>594.77716452221364</v>
      </c>
      <c r="D278" s="114"/>
      <c r="E278" s="33"/>
      <c r="F278" s="31"/>
    </row>
    <row r="279" spans="1:6" x14ac:dyDescent="0.2">
      <c r="A279" s="26">
        <f t="shared" si="1"/>
        <v>2016.06</v>
      </c>
      <c r="B279" s="55">
        <v>579.56149648780683</v>
      </c>
      <c r="C279" s="56">
        <v>579.56149648780683</v>
      </c>
      <c r="D279" s="114"/>
      <c r="E279" s="32"/>
      <c r="F279" s="31"/>
    </row>
    <row r="280" spans="1:6" x14ac:dyDescent="0.2">
      <c r="A280" s="26">
        <f t="shared" si="1"/>
        <v>2016.07</v>
      </c>
      <c r="B280" s="55">
        <v>578.7314313606156</v>
      </c>
      <c r="C280" s="56">
        <v>578.7314313606156</v>
      </c>
      <c r="D280" s="114"/>
      <c r="E280" s="33"/>
      <c r="F280" s="31"/>
    </row>
    <row r="281" spans="1:6" x14ac:dyDescent="0.2">
      <c r="A281" s="26">
        <f t="shared" si="1"/>
        <v>2016.08</v>
      </c>
      <c r="B281" s="55">
        <v>586.68094618705743</v>
      </c>
      <c r="C281" s="56">
        <v>586.68094618705743</v>
      </c>
      <c r="D281" s="114"/>
      <c r="E281" s="32"/>
      <c r="F281" s="31"/>
    </row>
    <row r="282" spans="1:6" x14ac:dyDescent="0.2">
      <c r="A282" s="26">
        <f t="shared" si="1"/>
        <v>2016.09</v>
      </c>
      <c r="B282" s="55">
        <v>588.62179750745804</v>
      </c>
      <c r="C282" s="56">
        <v>588.62179750745804</v>
      </c>
      <c r="D282" s="114"/>
      <c r="E282" s="32"/>
      <c r="F282" s="31"/>
    </row>
    <row r="283" spans="1:6" x14ac:dyDescent="0.2">
      <c r="A283" s="26">
        <f t="shared" si="1"/>
        <v>2016.1</v>
      </c>
      <c r="B283" s="55">
        <v>593.00596459937242</v>
      </c>
      <c r="C283" s="56">
        <v>593.00596459937242</v>
      </c>
      <c r="D283" s="114"/>
      <c r="E283" s="32"/>
      <c r="F283" s="31"/>
    </row>
    <row r="284" spans="1:6" x14ac:dyDescent="0.2">
      <c r="A284" s="26">
        <f t="shared" si="1"/>
        <v>2016.11</v>
      </c>
      <c r="B284" s="55">
        <v>602.63080866637324</v>
      </c>
      <c r="C284" s="56">
        <v>602.63080866637324</v>
      </c>
      <c r="D284" s="114"/>
      <c r="E284" s="32"/>
      <c r="F284" s="31"/>
    </row>
    <row r="285" spans="1:6" x14ac:dyDescent="0.2">
      <c r="A285" s="26">
        <f t="shared" si="1"/>
        <v>2016.12</v>
      </c>
      <c r="B285" s="55">
        <v>606.25590802958641</v>
      </c>
      <c r="C285" s="56">
        <v>606.25590802958641</v>
      </c>
      <c r="D285" s="114"/>
      <c r="E285" s="32"/>
      <c r="F285" s="31"/>
    </row>
    <row r="286" spans="1:6" x14ac:dyDescent="0.2">
      <c r="A286" s="26">
        <f t="shared" si="1"/>
        <v>2017.01</v>
      </c>
      <c r="B286" s="55">
        <v>622.11635402520528</v>
      </c>
      <c r="C286" s="56">
        <v>622.11635402520528</v>
      </c>
      <c r="D286" s="114"/>
      <c r="E286" s="32"/>
      <c r="F286" s="31"/>
    </row>
    <row r="287" spans="1:6" x14ac:dyDescent="0.2">
      <c r="A287" s="26">
        <f t="shared" si="1"/>
        <v>2017.02</v>
      </c>
      <c r="B287" s="55">
        <v>621.47196208010701</v>
      </c>
      <c r="C287" s="56">
        <v>621.47196208010701</v>
      </c>
      <c r="D287" s="114"/>
      <c r="E287" s="32"/>
      <c r="F287" s="31"/>
    </row>
    <row r="288" spans="1:6" x14ac:dyDescent="0.2">
      <c r="A288" s="26">
        <f t="shared" si="1"/>
        <v>2017.03</v>
      </c>
      <c r="B288" s="55">
        <v>625.01390624677015</v>
      </c>
      <c r="C288" s="56">
        <v>625.01390624677015</v>
      </c>
      <c r="D288" s="114"/>
      <c r="E288" s="32"/>
      <c r="F288" s="31"/>
    </row>
    <row r="289" spans="1:6" x14ac:dyDescent="0.2">
      <c r="A289" s="26">
        <f t="shared" si="1"/>
        <v>2017.04</v>
      </c>
      <c r="B289" s="55">
        <v>622.36713390731927</v>
      </c>
      <c r="C289" s="56">
        <v>622.36713390731927</v>
      </c>
      <c r="D289" s="114"/>
      <c r="E289" s="32"/>
      <c r="F289" s="31"/>
    </row>
    <row r="290" spans="1:6" x14ac:dyDescent="0.2">
      <c r="A290" s="26">
        <f t="shared" si="1"/>
        <v>2017.05</v>
      </c>
      <c r="B290" s="55">
        <v>622.24451562930381</v>
      </c>
      <c r="C290" s="56">
        <v>622.24451562930381</v>
      </c>
      <c r="D290" s="114"/>
      <c r="E290" s="32"/>
      <c r="F290" s="31"/>
    </row>
    <row r="291" spans="1:6" x14ac:dyDescent="0.2">
      <c r="A291" s="26">
        <f t="shared" si="1"/>
        <v>2017.06</v>
      </c>
      <c r="B291" s="55">
        <v>633.48440973456115</v>
      </c>
      <c r="C291" s="56">
        <v>633.48440973456115</v>
      </c>
      <c r="D291" s="114"/>
      <c r="E291" s="32"/>
      <c r="F291" s="31"/>
    </row>
    <row r="292" spans="1:6" x14ac:dyDescent="0.2">
      <c r="A292" s="26">
        <f t="shared" si="1"/>
        <v>2017.07</v>
      </c>
      <c r="B292" s="55">
        <v>624.46442622873826</v>
      </c>
      <c r="C292" s="56">
        <v>624.46442622873826</v>
      </c>
      <c r="D292" s="114"/>
      <c r="E292" s="32"/>
      <c r="F292" s="31"/>
    </row>
    <row r="293" spans="1:6" x14ac:dyDescent="0.2">
      <c r="A293" s="26">
        <f t="shared" si="1"/>
        <v>2017.08</v>
      </c>
      <c r="B293" s="55">
        <v>631.66123966806208</v>
      </c>
      <c r="C293" s="56">
        <v>631.66123966806208</v>
      </c>
      <c r="D293" s="114"/>
      <c r="E293" s="32"/>
      <c r="F293" s="31"/>
    </row>
    <row r="294" spans="1:6" x14ac:dyDescent="0.2">
      <c r="A294" s="26">
        <f t="shared" si="1"/>
        <v>2017.09</v>
      </c>
      <c r="B294" s="55">
        <v>641.181630383948</v>
      </c>
      <c r="C294" s="56">
        <v>641.181630383948</v>
      </c>
      <c r="D294" s="114"/>
      <c r="E294" s="32"/>
      <c r="F294" s="31"/>
    </row>
    <row r="295" spans="1:6" x14ac:dyDescent="0.2">
      <c r="A295" s="26">
        <f t="shared" si="1"/>
        <v>2017.1</v>
      </c>
      <c r="B295" s="55">
        <v>639.73718086347196</v>
      </c>
      <c r="C295" s="56">
        <v>639.73718086347196</v>
      </c>
      <c r="D295" s="114"/>
      <c r="E295" s="32"/>
      <c r="F295" s="31"/>
    </row>
    <row r="296" spans="1:6" x14ac:dyDescent="0.2">
      <c r="A296" s="26">
        <f t="shared" si="1"/>
        <v>2017.11</v>
      </c>
      <c r="B296" s="55">
        <v>642.14934915929632</v>
      </c>
      <c r="C296" s="56">
        <v>642.14934915929632</v>
      </c>
      <c r="D296" s="114"/>
      <c r="E296" s="32"/>
      <c r="F296" s="31"/>
    </row>
    <row r="297" spans="1:6" x14ac:dyDescent="0.2">
      <c r="A297" s="26">
        <f t="shared" si="1"/>
        <v>2017.12</v>
      </c>
      <c r="B297" s="55">
        <v>633.96770868186013</v>
      </c>
      <c r="C297" s="56">
        <v>633.96770868186013</v>
      </c>
      <c r="D297" s="114"/>
      <c r="E297" s="32"/>
      <c r="F297" s="31"/>
    </row>
    <row r="298" spans="1:6" x14ac:dyDescent="0.2">
      <c r="A298" s="26">
        <f t="shared" si="1"/>
        <v>2018.01</v>
      </c>
      <c r="B298" s="55">
        <v>632.25822066064586</v>
      </c>
      <c r="C298" s="56">
        <v>632.25822066064586</v>
      </c>
      <c r="D298" s="114"/>
      <c r="E298" s="32"/>
      <c r="F298" s="31"/>
    </row>
    <row r="299" spans="1:6" x14ac:dyDescent="0.2">
      <c r="A299" s="26">
        <f t="shared" si="1"/>
        <v>2018.02</v>
      </c>
      <c r="B299" s="55">
        <v>622.85043792097383</v>
      </c>
      <c r="C299" s="56">
        <v>622.85043792097383</v>
      </c>
      <c r="D299" s="114"/>
      <c r="E299" s="32"/>
      <c r="F299" s="31"/>
    </row>
    <row r="300" spans="1:6" x14ac:dyDescent="0.2">
      <c r="A300" s="26">
        <f t="shared" si="1"/>
        <v>2018.03</v>
      </c>
      <c r="B300" s="55">
        <v>608.43120992278523</v>
      </c>
      <c r="C300" s="56">
        <v>608.43120992278523</v>
      </c>
      <c r="D300" s="114"/>
      <c r="E300" s="32"/>
      <c r="F300" s="31"/>
    </row>
    <row r="301" spans="1:6" x14ac:dyDescent="0.2">
      <c r="A301" s="26">
        <f t="shared" si="1"/>
        <v>2018.04</v>
      </c>
      <c r="B301" s="55">
        <v>613.27220972528323</v>
      </c>
      <c r="C301" s="56">
        <v>613.27220972528323</v>
      </c>
      <c r="D301" s="114"/>
      <c r="E301" s="32"/>
      <c r="F301" s="31"/>
    </row>
    <row r="302" spans="1:6" x14ac:dyDescent="0.2">
      <c r="A302" s="26">
        <f t="shared" si="1"/>
        <v>2018.05</v>
      </c>
      <c r="B302" s="55">
        <v>608.73217429849831</v>
      </c>
      <c r="C302" s="56">
        <v>608.73217429849831</v>
      </c>
      <c r="D302" s="114"/>
      <c r="E302" s="32"/>
      <c r="F302" s="31"/>
    </row>
    <row r="303" spans="1:6" x14ac:dyDescent="0.2">
      <c r="A303" s="26">
        <f t="shared" si="1"/>
        <v>2018.06</v>
      </c>
      <c r="B303" s="55">
        <v>603.40235475360544</v>
      </c>
      <c r="C303" s="56">
        <v>603.40235475360544</v>
      </c>
      <c r="D303" s="114"/>
      <c r="E303" s="32"/>
      <c r="F303" s="31"/>
    </row>
    <row r="304" spans="1:6" x14ac:dyDescent="0.2">
      <c r="A304" s="26">
        <f t="shared" si="1"/>
        <v>2018.07</v>
      </c>
      <c r="B304" s="55">
        <v>590.97128977091108</v>
      </c>
      <c r="C304" s="56">
        <v>590.97128977091108</v>
      </c>
      <c r="D304" s="114"/>
      <c r="E304" s="32"/>
      <c r="F304" s="31"/>
    </row>
    <row r="305" spans="1:7" x14ac:dyDescent="0.2">
      <c r="A305" s="26">
        <f t="shared" si="1"/>
        <v>2018.08</v>
      </c>
      <c r="B305" s="55">
        <v>568.75659611383412</v>
      </c>
      <c r="C305" s="56">
        <v>568.75659611383412</v>
      </c>
      <c r="D305" s="114"/>
      <c r="E305" s="32"/>
      <c r="F305" s="31"/>
    </row>
    <row r="306" spans="1:7" x14ac:dyDescent="0.2">
      <c r="A306" s="26">
        <f t="shared" ref="A306:A369" si="2">A294+1</f>
        <v>2018.09</v>
      </c>
      <c r="B306" s="55">
        <v>557.64034100457059</v>
      </c>
      <c r="C306" s="56">
        <v>557.64034100457059</v>
      </c>
      <c r="D306" s="114"/>
      <c r="E306" s="32"/>
      <c r="F306" s="31"/>
    </row>
    <row r="307" spans="1:7" x14ac:dyDescent="0.2">
      <c r="A307" s="26">
        <f t="shared" si="2"/>
        <v>2018.1</v>
      </c>
      <c r="B307" s="55">
        <v>551.24322445435075</v>
      </c>
      <c r="C307" s="56">
        <v>551.24322445435075</v>
      </c>
      <c r="D307" s="114"/>
      <c r="E307" s="32"/>
      <c r="F307" s="31"/>
    </row>
    <row r="308" spans="1:7" x14ac:dyDescent="0.2">
      <c r="A308" s="26">
        <f t="shared" si="2"/>
        <v>2018.11</v>
      </c>
      <c r="B308" s="55">
        <v>549.75887174188006</v>
      </c>
      <c r="C308" s="56">
        <v>549.75887174188006</v>
      </c>
      <c r="D308" s="114"/>
      <c r="E308" s="32"/>
      <c r="F308" s="31"/>
    </row>
    <row r="309" spans="1:7" x14ac:dyDescent="0.2">
      <c r="A309" s="26">
        <f t="shared" si="2"/>
        <v>2018.12</v>
      </c>
      <c r="B309" s="55">
        <v>561.10785744186035</v>
      </c>
      <c r="C309" s="56">
        <v>561.10785744186035</v>
      </c>
      <c r="D309" s="114"/>
      <c r="E309" s="33"/>
      <c r="F309" s="31"/>
      <c r="G309" s="28"/>
    </row>
    <row r="310" spans="1:7" ht="14.25" x14ac:dyDescent="0.2">
      <c r="A310" s="26">
        <f t="shared" si="2"/>
        <v>2019.01</v>
      </c>
      <c r="B310" s="55">
        <v>557.27885588206834</v>
      </c>
      <c r="C310" s="56">
        <v>557.27885588206834</v>
      </c>
      <c r="D310" s="114"/>
      <c r="E310" s="35"/>
      <c r="F310" s="36"/>
    </row>
    <row r="311" spans="1:7" ht="14.25" x14ac:dyDescent="0.2">
      <c r="A311" s="26">
        <f t="shared" si="2"/>
        <v>2019.02</v>
      </c>
      <c r="B311" s="55">
        <v>557.93768960910961</v>
      </c>
      <c r="C311" s="56">
        <v>557.93768960910961</v>
      </c>
      <c r="D311" s="114"/>
      <c r="E311" s="35"/>
      <c r="F311" s="36"/>
    </row>
    <row r="312" spans="1:7" ht="14.25" x14ac:dyDescent="0.2">
      <c r="A312" s="26">
        <f t="shared" si="2"/>
        <v>2019.03</v>
      </c>
      <c r="B312" s="55">
        <v>551.39709105076747</v>
      </c>
      <c r="C312" s="56">
        <v>551.39709105076747</v>
      </c>
      <c r="D312" s="114"/>
      <c r="E312" s="35"/>
      <c r="F312" s="36"/>
    </row>
    <row r="313" spans="1:7" ht="14.25" x14ac:dyDescent="0.2">
      <c r="A313" s="26">
        <f t="shared" si="2"/>
        <v>2019.04</v>
      </c>
      <c r="B313" s="55">
        <v>546.73526120376005</v>
      </c>
      <c r="C313" s="56">
        <v>546.73526120376005</v>
      </c>
      <c r="D313" s="114"/>
      <c r="E313" s="35"/>
      <c r="F313" s="36"/>
    </row>
    <row r="314" spans="1:7" ht="14.25" x14ac:dyDescent="0.2">
      <c r="A314" s="26">
        <f t="shared" si="2"/>
        <v>2019.05</v>
      </c>
      <c r="B314" s="55">
        <v>547.31851383286858</v>
      </c>
      <c r="C314" s="56">
        <v>547.31851383286858</v>
      </c>
      <c r="D314" s="114"/>
      <c r="E314" s="35"/>
      <c r="F314" s="36"/>
    </row>
    <row r="315" spans="1:7" ht="14.25" x14ac:dyDescent="0.2">
      <c r="A315" s="26">
        <f t="shared" si="2"/>
        <v>2019.06</v>
      </c>
      <c r="B315" s="55">
        <v>545.58389978767275</v>
      </c>
      <c r="C315" s="56">
        <v>545.58389978767275</v>
      </c>
      <c r="D315" s="114"/>
      <c r="E315" s="35"/>
      <c r="F315" s="36"/>
    </row>
    <row r="316" spans="1:7" ht="14.25" x14ac:dyDescent="0.2">
      <c r="A316" s="26">
        <f t="shared" si="2"/>
        <v>2019.07</v>
      </c>
      <c r="B316" s="55">
        <v>546.3459518533856</v>
      </c>
      <c r="C316" s="56">
        <v>546.3459518533856</v>
      </c>
      <c r="D316" s="114"/>
      <c r="E316" s="35"/>
      <c r="F316" s="36"/>
    </row>
    <row r="317" spans="1:7" ht="14.25" x14ac:dyDescent="0.2">
      <c r="A317" s="26">
        <f t="shared" si="2"/>
        <v>2019.08</v>
      </c>
      <c r="B317" s="55">
        <v>538.33153607379927</v>
      </c>
      <c r="C317" s="56">
        <v>538.33153607379927</v>
      </c>
      <c r="D317" s="114"/>
      <c r="E317" s="35"/>
      <c r="F317" s="36"/>
    </row>
    <row r="318" spans="1:7" ht="14.25" x14ac:dyDescent="0.2">
      <c r="A318" s="26">
        <f t="shared" si="2"/>
        <v>2019.09</v>
      </c>
      <c r="B318" s="55">
        <v>537.27214233059101</v>
      </c>
      <c r="C318" s="56">
        <v>537.27214233059101</v>
      </c>
      <c r="D318" s="114"/>
      <c r="E318" s="35"/>
      <c r="F318" s="36"/>
    </row>
    <row r="319" spans="1:7" ht="14.25" x14ac:dyDescent="0.2">
      <c r="A319" s="26">
        <f t="shared" si="2"/>
        <v>2019.1</v>
      </c>
      <c r="B319" s="55">
        <v>532.79642956233045</v>
      </c>
      <c r="C319" s="56">
        <v>532.79642956233045</v>
      </c>
      <c r="D319" s="114"/>
      <c r="E319" s="35"/>
      <c r="F319" s="36"/>
    </row>
    <row r="320" spans="1:7" ht="14.25" x14ac:dyDescent="0.2">
      <c r="A320" s="26">
        <f t="shared" si="2"/>
        <v>2019.11</v>
      </c>
      <c r="B320" s="55">
        <v>536.39347297597317</v>
      </c>
      <c r="C320" s="56">
        <v>536.39347297597317</v>
      </c>
      <c r="D320" s="114"/>
      <c r="E320" s="35"/>
      <c r="F320" s="36"/>
    </row>
    <row r="321" spans="1:7" ht="14.25" x14ac:dyDescent="0.2">
      <c r="A321" s="26">
        <f t="shared" si="2"/>
        <v>2019.12</v>
      </c>
      <c r="B321" s="55">
        <v>526.63493757321839</v>
      </c>
      <c r="C321" s="56">
        <v>526.63493757321839</v>
      </c>
      <c r="D321" s="114"/>
      <c r="E321" s="38"/>
      <c r="F321" s="36"/>
      <c r="G321" s="34"/>
    </row>
    <row r="322" spans="1:7" x14ac:dyDescent="0.2">
      <c r="A322" s="26">
        <f t="shared" si="2"/>
        <v>2020.01</v>
      </c>
      <c r="B322" s="55">
        <v>522.70927269464562</v>
      </c>
      <c r="C322" s="56">
        <v>522.70927269464562</v>
      </c>
      <c r="D322" s="114"/>
      <c r="E322" s="37"/>
      <c r="F322" s="37"/>
    </row>
    <row r="323" spans="1:7" x14ac:dyDescent="0.2">
      <c r="A323" s="26">
        <f t="shared" si="2"/>
        <v>2020.02</v>
      </c>
      <c r="B323" s="55">
        <v>524.44918459347127</v>
      </c>
      <c r="C323" s="56">
        <v>524.44918459347127</v>
      </c>
      <c r="D323" s="114"/>
    </row>
    <row r="324" spans="1:7" x14ac:dyDescent="0.2">
      <c r="A324" s="26">
        <f t="shared" si="2"/>
        <v>2020.03</v>
      </c>
      <c r="B324" s="55">
        <v>522.68983129060803</v>
      </c>
      <c r="C324" s="56">
        <v>522.68983129060803</v>
      </c>
      <c r="D324" s="114"/>
    </row>
    <row r="325" spans="1:7" x14ac:dyDescent="0.2">
      <c r="A325" s="26">
        <f t="shared" si="2"/>
        <v>2020.04</v>
      </c>
      <c r="B325" s="55">
        <v>526.05555945197682</v>
      </c>
      <c r="C325" s="56">
        <v>526.05555945197682</v>
      </c>
      <c r="D325" s="114"/>
    </row>
    <row r="326" spans="1:7" x14ac:dyDescent="0.2">
      <c r="A326" s="26">
        <f t="shared" si="2"/>
        <v>2020.05</v>
      </c>
      <c r="B326" s="55">
        <v>515.58886337138028</v>
      </c>
      <c r="C326" s="56">
        <v>515.58886337138028</v>
      </c>
      <c r="D326" s="114"/>
    </row>
    <row r="327" spans="1:7" x14ac:dyDescent="0.2">
      <c r="A327" s="26">
        <f t="shared" si="2"/>
        <v>2020.06</v>
      </c>
      <c r="B327" s="55">
        <v>507.94427225312245</v>
      </c>
      <c r="C327" s="56">
        <v>507.94427225312245</v>
      </c>
      <c r="D327" s="114"/>
    </row>
    <row r="328" spans="1:7" x14ac:dyDescent="0.2">
      <c r="A328" s="26">
        <f t="shared" si="2"/>
        <v>2020.07</v>
      </c>
      <c r="B328" s="55">
        <v>517.28601139974512</v>
      </c>
      <c r="C328" s="56">
        <v>517.28601139974512</v>
      </c>
      <c r="D328" s="114"/>
    </row>
    <row r="329" spans="1:7" x14ac:dyDescent="0.2">
      <c r="A329" s="26">
        <f t="shared" si="2"/>
        <v>2020.08</v>
      </c>
      <c r="B329" s="55">
        <v>510.77044017600895</v>
      </c>
      <c r="C329" s="56">
        <v>510.77044017600895</v>
      </c>
      <c r="D329" s="114"/>
    </row>
    <row r="330" spans="1:7" x14ac:dyDescent="0.2">
      <c r="A330" s="26">
        <f t="shared" si="2"/>
        <v>2020.09</v>
      </c>
      <c r="B330" s="55">
        <v>514.33059636338805</v>
      </c>
      <c r="C330" s="56">
        <v>514.33059636338805</v>
      </c>
      <c r="D330" s="114"/>
    </row>
    <row r="331" spans="1:7" x14ac:dyDescent="0.2">
      <c r="A331" s="26">
        <f t="shared" si="2"/>
        <v>2020.1</v>
      </c>
      <c r="B331" s="55">
        <v>511.33796085354351</v>
      </c>
      <c r="C331" s="56">
        <v>511.33796085354351</v>
      </c>
      <c r="D331" s="114"/>
    </row>
    <row r="332" spans="1:7" x14ac:dyDescent="0.2">
      <c r="A332" s="26">
        <f t="shared" si="2"/>
        <v>2020.11</v>
      </c>
      <c r="B332" s="55">
        <v>512.36630197948705</v>
      </c>
      <c r="C332" s="56">
        <v>512.36630197948705</v>
      </c>
      <c r="D332" s="114"/>
    </row>
    <row r="333" spans="1:7" x14ac:dyDescent="0.2">
      <c r="A333" s="26">
        <f t="shared" si="2"/>
        <v>2020.12</v>
      </c>
      <c r="B333" s="55">
        <v>505.89123747291939</v>
      </c>
      <c r="C333" s="56">
        <v>505.89123747291939</v>
      </c>
      <c r="D333" s="114"/>
    </row>
    <row r="334" spans="1:7" x14ac:dyDescent="0.2">
      <c r="A334" s="26">
        <f t="shared" si="2"/>
        <v>2021.01</v>
      </c>
      <c r="B334" s="55">
        <v>502.88448355460861</v>
      </c>
      <c r="C334" s="56">
        <v>502.88448355460861</v>
      </c>
      <c r="D334" s="114"/>
      <c r="E334" s="28"/>
    </row>
    <row r="335" spans="1:7" x14ac:dyDescent="0.2">
      <c r="A335" s="26">
        <f t="shared" si="2"/>
        <v>2021.02</v>
      </c>
      <c r="B335" s="55">
        <v>515.10104887151738</v>
      </c>
      <c r="C335" s="56">
        <v>515.10104887151738</v>
      </c>
      <c r="D335" s="114"/>
      <c r="E335" s="28"/>
      <c r="F335" s="28"/>
    </row>
    <row r="336" spans="1:7" x14ac:dyDescent="0.2">
      <c r="A336" s="26">
        <f t="shared" si="2"/>
        <v>2021.03</v>
      </c>
      <c r="B336" s="55">
        <v>522.14785927998571</v>
      </c>
      <c r="C336" s="56">
        <v>522.14785927998571</v>
      </c>
      <c r="D336" s="114"/>
      <c r="E336" s="28"/>
      <c r="F336" s="28"/>
    </row>
    <row r="337" spans="1:6" x14ac:dyDescent="0.2">
      <c r="A337" s="26">
        <f t="shared" si="2"/>
        <v>2021.04</v>
      </c>
      <c r="B337" s="55">
        <v>516.48186454566951</v>
      </c>
      <c r="C337" s="56">
        <v>516.48186454566951</v>
      </c>
      <c r="D337" s="114"/>
      <c r="E337" s="28"/>
      <c r="F337" s="28"/>
    </row>
    <row r="338" spans="1:6" x14ac:dyDescent="0.2">
      <c r="A338" s="26">
        <f t="shared" si="2"/>
        <v>2021.05</v>
      </c>
      <c r="B338" s="55">
        <v>522.72278011896708</v>
      </c>
      <c r="C338" s="56">
        <v>522.72278011896708</v>
      </c>
      <c r="D338" s="114"/>
    </row>
    <row r="339" spans="1:6" x14ac:dyDescent="0.2">
      <c r="A339" s="26">
        <f t="shared" si="2"/>
        <v>2021.06</v>
      </c>
      <c r="B339" s="55">
        <v>522.13594079290999</v>
      </c>
      <c r="C339" s="56">
        <v>522.13594079290999</v>
      </c>
      <c r="D339" s="114"/>
    </row>
    <row r="340" spans="1:6" x14ac:dyDescent="0.2">
      <c r="A340" s="26">
        <f t="shared" si="2"/>
        <v>2021.07</v>
      </c>
      <c r="B340" s="55">
        <v>517.7658446302413</v>
      </c>
      <c r="C340" s="56">
        <v>517.7658446302413</v>
      </c>
      <c r="D340" s="114"/>
    </row>
    <row r="341" spans="1:6" x14ac:dyDescent="0.2">
      <c r="A341" s="26">
        <f t="shared" si="2"/>
        <v>2021.08</v>
      </c>
      <c r="B341" s="55">
        <v>529.26004897289783</v>
      </c>
      <c r="C341" s="56">
        <v>529.26004897289783</v>
      </c>
      <c r="D341" s="114"/>
    </row>
    <row r="342" spans="1:6" x14ac:dyDescent="0.2">
      <c r="A342" s="26">
        <f t="shared" si="2"/>
        <v>2021.09</v>
      </c>
      <c r="B342" s="55">
        <v>526.72096776665956</v>
      </c>
      <c r="C342" s="56">
        <v>526.72096776665956</v>
      </c>
      <c r="D342" s="114"/>
    </row>
    <row r="343" spans="1:6" x14ac:dyDescent="0.2">
      <c r="A343" s="26">
        <f t="shared" si="2"/>
        <v>2021.1</v>
      </c>
      <c r="B343" s="55">
        <v>537.44519917088837</v>
      </c>
      <c r="C343" s="56">
        <v>537.44519917088837</v>
      </c>
      <c r="D343" s="114"/>
    </row>
    <row r="344" spans="1:6" x14ac:dyDescent="0.2">
      <c r="A344" s="26">
        <f t="shared" si="2"/>
        <v>2021.11</v>
      </c>
      <c r="B344" s="55">
        <v>538.17757799343144</v>
      </c>
      <c r="C344" s="56">
        <v>538.17757799343144</v>
      </c>
      <c r="D344" s="114"/>
    </row>
    <row r="345" spans="1:6" x14ac:dyDescent="0.2">
      <c r="A345" s="26">
        <f t="shared" si="2"/>
        <v>2021.12</v>
      </c>
      <c r="B345" s="55">
        <v>540.67323794641879</v>
      </c>
      <c r="C345" s="56">
        <v>540.67323794641879</v>
      </c>
      <c r="D345" s="114"/>
    </row>
    <row r="346" spans="1:6" x14ac:dyDescent="0.2">
      <c r="A346" s="26">
        <f t="shared" si="2"/>
        <v>2022.01</v>
      </c>
      <c r="B346" s="55">
        <v>540.93492675572509</v>
      </c>
      <c r="C346" s="56">
        <v>540.93492675572509</v>
      </c>
      <c r="D346" s="114"/>
    </row>
    <row r="347" spans="1:6" x14ac:dyDescent="0.2">
      <c r="A347" s="26">
        <f t="shared" si="2"/>
        <v>2022.02</v>
      </c>
      <c r="B347" s="55">
        <v>533.14800969231112</v>
      </c>
      <c r="C347" s="56">
        <v>533.14800969231112</v>
      </c>
      <c r="D347" s="114"/>
    </row>
    <row r="348" spans="1:6" x14ac:dyDescent="0.2">
      <c r="A348" s="26">
        <f t="shared" si="2"/>
        <v>2022.03</v>
      </c>
      <c r="B348" s="55">
        <v>533.00923849915819</v>
      </c>
      <c r="C348" s="56">
        <v>533.00923849915819</v>
      </c>
      <c r="D348" s="114"/>
    </row>
    <row r="349" spans="1:6" x14ac:dyDescent="0.2">
      <c r="A349" s="26">
        <f t="shared" si="2"/>
        <v>2022.04</v>
      </c>
      <c r="B349" s="55">
        <v>536.64187536510519</v>
      </c>
      <c r="C349" s="56">
        <v>536.64187536510519</v>
      </c>
      <c r="D349" s="114"/>
    </row>
    <row r="350" spans="1:6" x14ac:dyDescent="0.2">
      <c r="A350" s="26">
        <f t="shared" si="2"/>
        <v>2022.05</v>
      </c>
      <c r="B350" s="55">
        <v>530.80257997332205</v>
      </c>
      <c r="C350" s="56">
        <v>530.80257997332205</v>
      </c>
      <c r="D350" s="114"/>
    </row>
    <row r="351" spans="1:6" x14ac:dyDescent="0.2">
      <c r="A351" s="26">
        <f t="shared" si="2"/>
        <v>2022.06</v>
      </c>
      <c r="B351" s="55">
        <v>530.06281554266468</v>
      </c>
      <c r="C351" s="56">
        <v>530.06281554266468</v>
      </c>
      <c r="D351" s="114"/>
    </row>
    <row r="352" spans="1:6" x14ac:dyDescent="0.2">
      <c r="A352" s="26">
        <f t="shared" si="2"/>
        <v>2022.07</v>
      </c>
      <c r="B352" s="55">
        <v>513.97284859232661</v>
      </c>
      <c r="C352" s="56">
        <v>513.97284859232661</v>
      </c>
      <c r="D352" s="114"/>
    </row>
    <row r="353" spans="1:4" x14ac:dyDescent="0.2">
      <c r="A353" s="26">
        <f t="shared" si="2"/>
        <v>2022.08</v>
      </c>
      <c r="B353" s="55">
        <v>518.89443156221375</v>
      </c>
      <c r="C353" s="56">
        <v>518.89443156221375</v>
      </c>
      <c r="D353" s="114"/>
    </row>
    <row r="354" spans="1:4" x14ac:dyDescent="0.2">
      <c r="A354" s="26">
        <f t="shared" si="2"/>
        <v>2022.09</v>
      </c>
      <c r="B354" s="55">
        <v>516.00374072927991</v>
      </c>
      <c r="C354" s="56">
        <v>516.00374072927991</v>
      </c>
      <c r="D354" s="114"/>
    </row>
    <row r="355" spans="1:4" x14ac:dyDescent="0.2">
      <c r="A355" s="26">
        <f t="shared" si="2"/>
        <v>2022.1</v>
      </c>
      <c r="B355" s="55">
        <v>523.75514914136897</v>
      </c>
      <c r="C355" s="56">
        <v>523.75514914136897</v>
      </c>
      <c r="D355" s="114"/>
    </row>
    <row r="356" spans="1:4" x14ac:dyDescent="0.2">
      <c r="A356" s="26">
        <f t="shared" si="2"/>
        <v>2022.11</v>
      </c>
      <c r="B356" s="55">
        <v>525.0467546875268</v>
      </c>
      <c r="C356" s="56">
        <v>525.0467546875268</v>
      </c>
      <c r="D356" s="114"/>
    </row>
    <row r="357" spans="1:4" x14ac:dyDescent="0.2">
      <c r="A357" s="26">
        <f t="shared" si="2"/>
        <v>2022.12</v>
      </c>
      <c r="B357" s="55">
        <v>540.18400616980387</v>
      </c>
      <c r="C357" s="56">
        <v>540.18400616980387</v>
      </c>
      <c r="D357" s="114"/>
    </row>
    <row r="358" spans="1:4" x14ac:dyDescent="0.2">
      <c r="A358" s="26">
        <f t="shared" si="2"/>
        <v>2023.01</v>
      </c>
      <c r="B358" s="55">
        <v>538.86436936602172</v>
      </c>
      <c r="C358" s="56">
        <v>538.86436936602172</v>
      </c>
      <c r="D358" s="114"/>
    </row>
    <row r="359" spans="1:4" x14ac:dyDescent="0.2">
      <c r="A359" s="26">
        <f t="shared" si="2"/>
        <v>2023.02</v>
      </c>
      <c r="B359" s="55">
        <v>543.94170170083737</v>
      </c>
      <c r="C359" s="56">
        <v>543.94170170083737</v>
      </c>
      <c r="D359" s="114"/>
    </row>
    <row r="360" spans="1:4" x14ac:dyDescent="0.2">
      <c r="A360" s="26">
        <f t="shared" si="2"/>
        <v>2023.03</v>
      </c>
      <c r="B360" s="55">
        <v>540.17767865178769</v>
      </c>
      <c r="C360" s="56">
        <v>540.17767865178769</v>
      </c>
      <c r="D360" s="114"/>
    </row>
    <row r="361" spans="1:4" x14ac:dyDescent="0.2">
      <c r="A361" s="26">
        <f t="shared" si="2"/>
        <v>2023.04</v>
      </c>
      <c r="B361" s="55">
        <v>538.73163739696463</v>
      </c>
      <c r="C361" s="56">
        <v>538.73163739696463</v>
      </c>
      <c r="D361" s="114"/>
    </row>
    <row r="362" spans="1:4" x14ac:dyDescent="0.2">
      <c r="A362" s="26">
        <f t="shared" si="2"/>
        <v>2023.05</v>
      </c>
      <c r="B362" s="55">
        <v>536.3251522170018</v>
      </c>
      <c r="C362" s="56">
        <v>536.3251522170018</v>
      </c>
      <c r="D362" s="114"/>
    </row>
    <row r="363" spans="1:4" x14ac:dyDescent="0.2">
      <c r="A363" s="26">
        <f t="shared" si="2"/>
        <v>2023.06</v>
      </c>
      <c r="B363" s="55">
        <v>533.90136008648528</v>
      </c>
      <c r="C363" s="56">
        <v>533.90136008648528</v>
      </c>
      <c r="D363" s="114"/>
    </row>
    <row r="364" spans="1:4" x14ac:dyDescent="0.2">
      <c r="A364" s="26">
        <f t="shared" si="2"/>
        <v>2023.07</v>
      </c>
      <c r="B364" s="55">
        <v>533.58237380916864</v>
      </c>
      <c r="C364" s="56">
        <v>533.58237380916864</v>
      </c>
      <c r="D364" s="114"/>
    </row>
    <row r="365" spans="1:4" x14ac:dyDescent="0.2">
      <c r="A365" s="26">
        <f t="shared" si="2"/>
        <v>2023.08</v>
      </c>
      <c r="B365" s="55">
        <v>519.47437133669075</v>
      </c>
      <c r="C365" s="56">
        <v>519.47437133669075</v>
      </c>
      <c r="D365" s="114"/>
    </row>
    <row r="366" spans="1:4" x14ac:dyDescent="0.2">
      <c r="A366" s="26">
        <f t="shared" si="2"/>
        <v>2023.09</v>
      </c>
      <c r="B366" s="55">
        <v>522.10305457338995</v>
      </c>
      <c r="C366" s="56">
        <v>522.10305457338995</v>
      </c>
      <c r="D366" s="114"/>
    </row>
    <row r="367" spans="1:4" x14ac:dyDescent="0.2">
      <c r="A367" s="26">
        <f t="shared" si="2"/>
        <v>2023.1</v>
      </c>
      <c r="B367" s="55">
        <v>498.81597919521761</v>
      </c>
      <c r="C367" s="56">
        <v>498.81597919521761</v>
      </c>
      <c r="D367" s="114"/>
    </row>
    <row r="368" spans="1:4" x14ac:dyDescent="0.2">
      <c r="A368" s="26">
        <f t="shared" si="2"/>
        <v>2023.11</v>
      </c>
      <c r="B368" s="55">
        <v>483.66178034928521</v>
      </c>
      <c r="C368" s="56">
        <v>483.66178034928521</v>
      </c>
      <c r="D368" s="114"/>
    </row>
    <row r="369" spans="1:4" x14ac:dyDescent="0.2">
      <c r="A369" s="26">
        <f t="shared" si="2"/>
        <v>2023.12</v>
      </c>
      <c r="B369" s="55">
        <v>465.38443735785324</v>
      </c>
      <c r="C369" s="56">
        <v>465.38443735785324</v>
      </c>
      <c r="D369" s="114"/>
    </row>
    <row r="370" spans="1:4" x14ac:dyDescent="0.2">
      <c r="A370" s="26">
        <f t="shared" ref="A370:A433" si="3">A358+1</f>
        <v>2024.01</v>
      </c>
      <c r="B370" s="55">
        <v>460.8998910741181</v>
      </c>
      <c r="C370" s="56">
        <v>460.8998910741181</v>
      </c>
      <c r="D370" s="114"/>
    </row>
    <row r="371" spans="1:4" x14ac:dyDescent="0.2">
      <c r="A371" s="26">
        <f t="shared" si="3"/>
        <v>2024.02</v>
      </c>
      <c r="B371" s="55">
        <v>457.93550437122741</v>
      </c>
      <c r="C371" s="56">
        <v>457.93550437122741</v>
      </c>
      <c r="D371" s="114"/>
    </row>
    <row r="372" spans="1:4" x14ac:dyDescent="0.2">
      <c r="A372" s="26">
        <f t="shared" si="3"/>
        <v>2024.03</v>
      </c>
      <c r="B372" s="55">
        <v>461.09031891205484</v>
      </c>
      <c r="C372" s="56">
        <v>461.09031891205484</v>
      </c>
      <c r="D372" s="114"/>
    </row>
    <row r="373" spans="1:4" x14ac:dyDescent="0.2">
      <c r="A373" s="26">
        <f t="shared" si="3"/>
        <v>2024.04</v>
      </c>
      <c r="B373" s="55">
        <v>470.24382705577119</v>
      </c>
      <c r="C373" s="56">
        <v>470.24382705577119</v>
      </c>
      <c r="D373" s="114"/>
    </row>
    <row r="374" spans="1:4" x14ac:dyDescent="0.2">
      <c r="A374" s="26">
        <f t="shared" si="3"/>
        <v>2024.05</v>
      </c>
      <c r="B374" s="55">
        <v>483.78040019763182</v>
      </c>
      <c r="C374" s="56">
        <v>483.78040019763182</v>
      </c>
      <c r="D374" s="114"/>
    </row>
    <row r="375" spans="1:4" x14ac:dyDescent="0.2">
      <c r="A375" s="26">
        <f t="shared" si="3"/>
        <v>2024.06</v>
      </c>
      <c r="B375" s="55">
        <v>500.16640360221464</v>
      </c>
      <c r="C375" s="56">
        <v>500.16640360221464</v>
      </c>
      <c r="D375" s="114"/>
    </row>
    <row r="376" spans="1:4" x14ac:dyDescent="0.2">
      <c r="A376" s="26">
        <f t="shared" si="3"/>
        <v>2024.07</v>
      </c>
      <c r="B376" s="55">
        <v>508.21069003436389</v>
      </c>
      <c r="C376" s="56">
        <v>508.21069003436389</v>
      </c>
      <c r="D376" s="114"/>
    </row>
    <row r="377" spans="1:4" x14ac:dyDescent="0.2">
      <c r="A377" s="26">
        <f t="shared" si="3"/>
        <v>2024.08</v>
      </c>
      <c r="B377" s="55">
        <v>517.28525074521428</v>
      </c>
      <c r="C377" s="56">
        <v>517.28525074521428</v>
      </c>
      <c r="D377" s="114"/>
    </row>
    <row r="378" spans="1:4" x14ac:dyDescent="0.2">
      <c r="A378" s="26">
        <f t="shared" si="3"/>
        <v>2024.09</v>
      </c>
      <c r="B378" s="55">
        <v>519.85687016547911</v>
      </c>
      <c r="C378" s="56">
        <v>519.85687016547911</v>
      </c>
      <c r="D378" s="114"/>
    </row>
    <row r="379" spans="1:4" x14ac:dyDescent="0.2">
      <c r="A379" s="26">
        <f>A367+1</f>
        <v>2024.1</v>
      </c>
      <c r="B379" s="55">
        <v>528.10264371077994</v>
      </c>
      <c r="C379" s="56">
        <v>528.10264371077994</v>
      </c>
      <c r="D379" s="114"/>
    </row>
    <row r="380" spans="1:4" x14ac:dyDescent="0.2">
      <c r="A380" s="26">
        <f t="shared" si="3"/>
        <v>2024.11</v>
      </c>
      <c r="B380" s="55">
        <v>541.56213180154464</v>
      </c>
      <c r="C380" s="56">
        <v>541.56213180154464</v>
      </c>
      <c r="D380" s="114"/>
    </row>
    <row r="381" spans="1:4" x14ac:dyDescent="0.2">
      <c r="A381" s="26">
        <f t="shared" si="3"/>
        <v>2024.12</v>
      </c>
      <c r="B381" s="55">
        <v>547.98576687144919</v>
      </c>
      <c r="C381" s="56">
        <v>547.98576687144919</v>
      </c>
      <c r="D381" s="114"/>
    </row>
    <row r="382" spans="1:4" x14ac:dyDescent="0.2">
      <c r="A382" s="26">
        <f t="shared" si="3"/>
        <v>2025.01</v>
      </c>
      <c r="B382" s="55">
        <v>558.1172014839259</v>
      </c>
      <c r="C382" s="56">
        <v>558.1172014839259</v>
      </c>
      <c r="D382" s="114"/>
    </row>
    <row r="383" spans="1:4" x14ac:dyDescent="0.2">
      <c r="A383" s="26">
        <f t="shared" si="3"/>
        <v>2025.02</v>
      </c>
      <c r="B383" s="55">
        <v>560.83136968351323</v>
      </c>
      <c r="C383" s="56">
        <v>560.83136968351323</v>
      </c>
      <c r="D383" s="114"/>
    </row>
    <row r="384" spans="1:4" x14ac:dyDescent="0.2">
      <c r="A384" s="26">
        <f t="shared" si="3"/>
        <v>2025.03</v>
      </c>
      <c r="B384" s="55">
        <v>564.26441999662381</v>
      </c>
      <c r="C384" s="56">
        <v>564.26441999662381</v>
      </c>
      <c r="D384" s="114"/>
    </row>
    <row r="385" spans="1:4" x14ac:dyDescent="0.2">
      <c r="A385" s="26">
        <f t="shared" si="3"/>
        <v>2025.04</v>
      </c>
      <c r="B385" s="55">
        <v>552.02842137525124</v>
      </c>
      <c r="C385" s="56">
        <v>552.02842137525124</v>
      </c>
      <c r="D385" s="114"/>
    </row>
    <row r="386" spans="1:4" x14ac:dyDescent="0.2">
      <c r="A386" s="26">
        <f t="shared" si="3"/>
        <v>2025.05</v>
      </c>
      <c r="B386" s="55">
        <v>545.58152327712162</v>
      </c>
      <c r="C386" s="56">
        <v>545.58152327712162</v>
      </c>
      <c r="D386" s="114"/>
    </row>
    <row r="387" spans="1:4" x14ac:dyDescent="0.2">
      <c r="A387" s="26">
        <f t="shared" si="3"/>
        <v>2025.06</v>
      </c>
      <c r="B387" s="55">
        <v>542.97330995542688</v>
      </c>
      <c r="C387" s="56">
        <v>542.97330995542688</v>
      </c>
      <c r="D387" s="114"/>
    </row>
    <row r="388" spans="1:4" x14ac:dyDescent="0.2">
      <c r="A388" s="26">
        <f t="shared" si="3"/>
        <v>2025.07</v>
      </c>
      <c r="B388" s="55">
        <v>548.68834621952658</v>
      </c>
      <c r="C388" s="56">
        <v>548.68834621952658</v>
      </c>
      <c r="D388" s="114"/>
    </row>
    <row r="389" spans="1:4" x14ac:dyDescent="0.2">
      <c r="A389" s="26">
        <f t="shared" si="3"/>
        <v>2025.08</v>
      </c>
      <c r="B389" s="55">
        <v>548.96375533717321</v>
      </c>
      <c r="C389" s="56">
        <v>548.96375533717321</v>
      </c>
      <c r="D389" s="114"/>
    </row>
    <row r="390" spans="1:4" x14ac:dyDescent="0.2">
      <c r="A390" s="26">
        <f t="shared" si="3"/>
        <v>2025.09</v>
      </c>
      <c r="B390" s="55">
        <v>550.76398783807531</v>
      </c>
      <c r="C390" s="56">
        <v>550.76398783807531</v>
      </c>
      <c r="D390" s="114"/>
    </row>
    <row r="391" spans="1:4" x14ac:dyDescent="0.2">
      <c r="A391" s="26">
        <f t="shared" si="3"/>
        <v>2025.1</v>
      </c>
      <c r="B391" s="55">
        <v>545.68042090045992</v>
      </c>
      <c r="C391" s="56">
        <v>545.68042090045992</v>
      </c>
      <c r="D391" s="114"/>
    </row>
    <row r="392" spans="1:4" x14ac:dyDescent="0.2">
      <c r="A392" s="26">
        <f t="shared" si="3"/>
        <v>2025.11</v>
      </c>
      <c r="B392" s="55">
        <v>542.16630559462033</v>
      </c>
      <c r="C392" s="56">
        <v>542.16630559462033</v>
      </c>
      <c r="D392" s="114"/>
    </row>
    <row r="393" spans="1:4" x14ac:dyDescent="0.2">
      <c r="A393" s="26">
        <f t="shared" si="3"/>
        <v>2025.12</v>
      </c>
      <c r="B393" s="55">
        <v>551.7610379722945</v>
      </c>
      <c r="C393" s="56">
        <v>551.7610379722945</v>
      </c>
      <c r="D393" s="114"/>
    </row>
    <row r="394" spans="1:4" x14ac:dyDescent="0.2">
      <c r="A394" s="26">
        <f t="shared" si="3"/>
        <v>2026.01</v>
      </c>
      <c r="B394" s="55">
        <v>546.68959493159093</v>
      </c>
      <c r="C394" s="56">
        <v>546.68959493159093</v>
      </c>
      <c r="D394" s="114"/>
    </row>
    <row r="395" spans="1:4" x14ac:dyDescent="0.2">
      <c r="A395" s="26">
        <f t="shared" si="3"/>
        <v>2026.02</v>
      </c>
      <c r="B395" s="55">
        <v>546.12805861723177</v>
      </c>
      <c r="C395" s="56">
        <v>546.12805861723177</v>
      </c>
      <c r="D395" s="114"/>
    </row>
    <row r="396" spans="1:4" x14ac:dyDescent="0.2">
      <c r="A396" s="26">
        <f t="shared" si="3"/>
        <v>2026.03</v>
      </c>
      <c r="B396" s="55">
        <v>542.0937790831465</v>
      </c>
      <c r="C396" s="56">
        <v>542.0937790831465</v>
      </c>
      <c r="D396" s="114"/>
    </row>
    <row r="397" spans="1:4" x14ac:dyDescent="0.2">
      <c r="A397" s="26">
        <f t="shared" si="3"/>
        <v>2026.04</v>
      </c>
      <c r="B397" s="55">
        <v>552.98354730497329</v>
      </c>
      <c r="C397" s="56">
        <v>552.98354730497329</v>
      </c>
      <c r="D397" s="114"/>
    </row>
    <row r="398" spans="1:4" x14ac:dyDescent="0.2">
      <c r="A398" s="26">
        <f t="shared" si="3"/>
        <v>2026.05</v>
      </c>
      <c r="B398" s="55">
        <v>546.37787595750012</v>
      </c>
      <c r="C398" s="56">
        <v>546.37787595750012</v>
      </c>
      <c r="D398" s="114"/>
    </row>
    <row r="399" spans="1:4" x14ac:dyDescent="0.2">
      <c r="A399" s="26">
        <f t="shared" si="3"/>
        <v>2026.06</v>
      </c>
      <c r="B399" s="55">
        <v>535.93630376166868</v>
      </c>
      <c r="C399" s="56">
        <v>535.93630376166868</v>
      </c>
      <c r="D399" s="114"/>
    </row>
    <row r="400" spans="1:4" x14ac:dyDescent="0.2">
      <c r="A400" s="26">
        <f t="shared" si="3"/>
        <v>2026.07</v>
      </c>
      <c r="B400" s="55">
        <v>537.3161715965457</v>
      </c>
      <c r="C400" s="56">
        <v>537.3161715965457</v>
      </c>
      <c r="D400" s="114"/>
    </row>
    <row r="401" spans="1:4" x14ac:dyDescent="0.2">
      <c r="A401" s="26">
        <f t="shared" si="3"/>
        <v>2026.08</v>
      </c>
      <c r="B401" s="55">
        <v>533.69091371399236</v>
      </c>
      <c r="C401" s="56">
        <v>533.69091371399236</v>
      </c>
      <c r="D401" s="114"/>
    </row>
    <row r="402" spans="1:4" x14ac:dyDescent="0.2">
      <c r="A402" s="26">
        <f t="shared" si="3"/>
        <v>2026.09</v>
      </c>
      <c r="B402" s="55" t="e">
        <v>#N/A</v>
      </c>
      <c r="C402" s="56" t="e">
        <v>#N/A</v>
      </c>
      <c r="D402" s="114"/>
    </row>
    <row r="403" spans="1:4" x14ac:dyDescent="0.2">
      <c r="A403" s="26">
        <f t="shared" si="3"/>
        <v>2026.1</v>
      </c>
      <c r="B403" s="55" t="e">
        <v>#N/A</v>
      </c>
      <c r="C403" s="56" t="e">
        <v>#N/A</v>
      </c>
      <c r="D403" s="114"/>
    </row>
    <row r="404" spans="1:4" x14ac:dyDescent="0.2">
      <c r="A404" s="26">
        <f t="shared" si="3"/>
        <v>2026.11</v>
      </c>
      <c r="B404" s="55" t="e">
        <v>#N/A</v>
      </c>
      <c r="C404" s="56" t="e">
        <v>#N/A</v>
      </c>
      <c r="D404" s="114"/>
    </row>
    <row r="405" spans="1:4" x14ac:dyDescent="0.2">
      <c r="A405" s="26">
        <f t="shared" si="3"/>
        <v>2026.12</v>
      </c>
      <c r="B405" s="55" t="e">
        <v>#N/A</v>
      </c>
      <c r="C405" s="56" t="e">
        <v>#N/A</v>
      </c>
      <c r="D405" s="114"/>
    </row>
    <row r="406" spans="1:4" x14ac:dyDescent="0.2">
      <c r="A406" s="26">
        <f t="shared" si="3"/>
        <v>2027.01</v>
      </c>
      <c r="B406" s="55" t="e">
        <v>#N/A</v>
      </c>
      <c r="C406" s="56" t="e">
        <v>#N/A</v>
      </c>
      <c r="D406" s="114"/>
    </row>
    <row r="407" spans="1:4" x14ac:dyDescent="0.2">
      <c r="A407" s="26">
        <f t="shared" si="3"/>
        <v>2027.02</v>
      </c>
      <c r="B407" s="55" t="e">
        <v>#N/A</v>
      </c>
      <c r="C407" s="56" t="e">
        <v>#N/A</v>
      </c>
      <c r="D407" s="114"/>
    </row>
    <row r="408" spans="1:4" x14ac:dyDescent="0.2">
      <c r="A408" s="26">
        <f t="shared" si="3"/>
        <v>2027.03</v>
      </c>
      <c r="B408" s="55" t="e">
        <v>#N/A</v>
      </c>
      <c r="C408" s="56" t="e">
        <v>#N/A</v>
      </c>
      <c r="D408" s="114"/>
    </row>
    <row r="409" spans="1:4" x14ac:dyDescent="0.2">
      <c r="A409" s="26">
        <f t="shared" si="3"/>
        <v>2027.04</v>
      </c>
      <c r="B409" s="55" t="e">
        <v>#N/A</v>
      </c>
      <c r="C409" s="56" t="e">
        <v>#N/A</v>
      </c>
      <c r="D409" s="114"/>
    </row>
    <row r="410" spans="1:4" x14ac:dyDescent="0.2">
      <c r="A410" s="26">
        <f t="shared" si="3"/>
        <v>2027.05</v>
      </c>
      <c r="B410" s="55" t="e">
        <v>#N/A</v>
      </c>
      <c r="C410" s="56" t="e">
        <v>#N/A</v>
      </c>
      <c r="D410" s="114"/>
    </row>
    <row r="411" spans="1:4" x14ac:dyDescent="0.2">
      <c r="A411" s="26">
        <f t="shared" si="3"/>
        <v>2027.06</v>
      </c>
      <c r="B411" s="55" t="e">
        <v>#N/A</v>
      </c>
      <c r="C411" s="56" t="e">
        <v>#N/A</v>
      </c>
      <c r="D411" s="114"/>
    </row>
    <row r="412" spans="1:4" x14ac:dyDescent="0.2">
      <c r="A412" s="26">
        <f t="shared" si="3"/>
        <v>2027.07</v>
      </c>
      <c r="B412" s="55" t="e">
        <v>#N/A</v>
      </c>
      <c r="C412" s="56" t="e">
        <v>#N/A</v>
      </c>
      <c r="D412" s="114"/>
    </row>
    <row r="413" spans="1:4" x14ac:dyDescent="0.2">
      <c r="A413" s="26">
        <f t="shared" si="3"/>
        <v>2027.08</v>
      </c>
      <c r="B413" s="55" t="e">
        <v>#N/A</v>
      </c>
      <c r="C413" s="56" t="e">
        <v>#N/A</v>
      </c>
      <c r="D413" s="114"/>
    </row>
    <row r="414" spans="1:4" x14ac:dyDescent="0.2">
      <c r="A414" s="26">
        <f t="shared" si="3"/>
        <v>2027.09</v>
      </c>
      <c r="B414" s="55" t="e">
        <v>#N/A</v>
      </c>
      <c r="C414" s="56" t="e">
        <v>#N/A</v>
      </c>
      <c r="D414" s="114"/>
    </row>
    <row r="415" spans="1:4" x14ac:dyDescent="0.2">
      <c r="A415" s="26">
        <f t="shared" si="3"/>
        <v>2027.1</v>
      </c>
      <c r="B415" s="55" t="e">
        <v>#N/A</v>
      </c>
      <c r="C415" s="56" t="e">
        <v>#N/A</v>
      </c>
      <c r="D415" s="114"/>
    </row>
    <row r="416" spans="1:4" x14ac:dyDescent="0.2">
      <c r="A416" s="26">
        <f t="shared" si="3"/>
        <v>2027.11</v>
      </c>
      <c r="B416" s="55" t="e">
        <v>#N/A</v>
      </c>
      <c r="C416" s="56" t="e">
        <v>#N/A</v>
      </c>
      <c r="D416" s="114"/>
    </row>
    <row r="417" spans="1:4" x14ac:dyDescent="0.2">
      <c r="A417" s="26">
        <f t="shared" si="3"/>
        <v>2027.12</v>
      </c>
      <c r="B417" s="55" t="e">
        <v>#N/A</v>
      </c>
      <c r="C417" s="56" t="e">
        <v>#N/A</v>
      </c>
      <c r="D417" s="114"/>
    </row>
    <row r="418" spans="1:4" x14ac:dyDescent="0.2">
      <c r="A418" s="26">
        <f t="shared" si="3"/>
        <v>2028.01</v>
      </c>
      <c r="B418" s="55" t="e">
        <v>#N/A</v>
      </c>
      <c r="C418" s="56" t="e">
        <v>#N/A</v>
      </c>
      <c r="D418" s="114"/>
    </row>
    <row r="419" spans="1:4" x14ac:dyDescent="0.2">
      <c r="A419" s="26">
        <f t="shared" si="3"/>
        <v>2028.02</v>
      </c>
      <c r="B419" s="55" t="e">
        <v>#N/A</v>
      </c>
      <c r="C419" s="56" t="e">
        <v>#N/A</v>
      </c>
      <c r="D419" s="114"/>
    </row>
    <row r="420" spans="1:4" x14ac:dyDescent="0.2">
      <c r="A420" s="26">
        <f t="shared" si="3"/>
        <v>2028.03</v>
      </c>
      <c r="B420" s="55" t="e">
        <v>#N/A</v>
      </c>
      <c r="C420" s="56" t="e">
        <v>#N/A</v>
      </c>
      <c r="D420" s="114"/>
    </row>
    <row r="421" spans="1:4" x14ac:dyDescent="0.2">
      <c r="A421" s="26">
        <f t="shared" si="3"/>
        <v>2028.04</v>
      </c>
      <c r="B421" s="55" t="e">
        <v>#N/A</v>
      </c>
      <c r="C421" s="56" t="e">
        <v>#N/A</v>
      </c>
      <c r="D421" s="114"/>
    </row>
    <row r="422" spans="1:4" x14ac:dyDescent="0.2">
      <c r="A422" s="26">
        <f t="shared" si="3"/>
        <v>2028.05</v>
      </c>
      <c r="B422" s="55" t="e">
        <v>#N/A</v>
      </c>
      <c r="C422" s="56" t="e">
        <v>#N/A</v>
      </c>
      <c r="D422" s="114"/>
    </row>
    <row r="423" spans="1:4" x14ac:dyDescent="0.2">
      <c r="A423" s="26">
        <f t="shared" si="3"/>
        <v>2028.06</v>
      </c>
      <c r="B423" s="55" t="e">
        <v>#N/A</v>
      </c>
      <c r="C423" s="56" t="e">
        <v>#N/A</v>
      </c>
      <c r="D423" s="114"/>
    </row>
    <row r="424" spans="1:4" x14ac:dyDescent="0.2">
      <c r="A424" s="26">
        <f t="shared" si="3"/>
        <v>2028.07</v>
      </c>
      <c r="B424" s="55" t="e">
        <v>#N/A</v>
      </c>
      <c r="C424" s="56" t="e">
        <v>#N/A</v>
      </c>
      <c r="D424" s="114"/>
    </row>
    <row r="425" spans="1:4" x14ac:dyDescent="0.2">
      <c r="A425" s="26">
        <f t="shared" si="3"/>
        <v>2028.08</v>
      </c>
      <c r="B425" s="55" t="e">
        <v>#N/A</v>
      </c>
      <c r="C425" s="56" t="e">
        <v>#N/A</v>
      </c>
      <c r="D425" s="114"/>
    </row>
    <row r="426" spans="1:4" x14ac:dyDescent="0.2">
      <c r="A426" s="26">
        <f t="shared" si="3"/>
        <v>2028.09</v>
      </c>
      <c r="B426" s="55" t="e">
        <v>#N/A</v>
      </c>
      <c r="C426" s="56" t="e">
        <v>#N/A</v>
      </c>
      <c r="D426" s="114"/>
    </row>
    <row r="427" spans="1:4" x14ac:dyDescent="0.2">
      <c r="A427" s="26">
        <f t="shared" si="3"/>
        <v>2028.1</v>
      </c>
      <c r="B427" s="55" t="e">
        <v>#N/A</v>
      </c>
      <c r="C427" s="56" t="e">
        <v>#N/A</v>
      </c>
      <c r="D427" s="114"/>
    </row>
    <row r="428" spans="1:4" x14ac:dyDescent="0.2">
      <c r="A428" s="26">
        <f t="shared" si="3"/>
        <v>2028.11</v>
      </c>
      <c r="B428" s="55" t="e">
        <v>#N/A</v>
      </c>
      <c r="C428" s="56" t="e">
        <v>#N/A</v>
      </c>
      <c r="D428" s="114"/>
    </row>
    <row r="429" spans="1:4" x14ac:dyDescent="0.2">
      <c r="A429" s="26">
        <f t="shared" si="3"/>
        <v>2028.12</v>
      </c>
      <c r="B429" s="55" t="e">
        <v>#N/A</v>
      </c>
      <c r="C429" s="56" t="e">
        <v>#N/A</v>
      </c>
      <c r="D429" s="114"/>
    </row>
    <row r="430" spans="1:4" x14ac:dyDescent="0.2">
      <c r="A430" s="26">
        <f t="shared" si="3"/>
        <v>2029.01</v>
      </c>
      <c r="B430" s="55" t="e">
        <v>#N/A</v>
      </c>
      <c r="C430" s="56" t="e">
        <v>#N/A</v>
      </c>
      <c r="D430" s="114"/>
    </row>
    <row r="431" spans="1:4" x14ac:dyDescent="0.2">
      <c r="A431" s="26">
        <f t="shared" si="3"/>
        <v>2029.02</v>
      </c>
      <c r="B431" s="55" t="e">
        <v>#N/A</v>
      </c>
      <c r="C431" s="56" t="e">
        <v>#N/A</v>
      </c>
      <c r="D431" s="114"/>
    </row>
    <row r="432" spans="1:4" x14ac:dyDescent="0.2">
      <c r="A432" s="26">
        <f t="shared" si="3"/>
        <v>2029.03</v>
      </c>
      <c r="B432" s="55" t="e">
        <v>#N/A</v>
      </c>
      <c r="C432" s="56" t="e">
        <v>#N/A</v>
      </c>
      <c r="D432" s="114"/>
    </row>
    <row r="433" spans="1:4" x14ac:dyDescent="0.2">
      <c r="A433" s="26">
        <f t="shared" si="3"/>
        <v>2029.04</v>
      </c>
      <c r="B433" s="55" t="e">
        <v>#N/A</v>
      </c>
      <c r="C433" s="56" t="e">
        <v>#N/A</v>
      </c>
      <c r="D433" s="114"/>
    </row>
    <row r="434" spans="1:4" x14ac:dyDescent="0.2">
      <c r="A434" s="26">
        <f t="shared" ref="A434:A453" si="4">A422+1</f>
        <v>2029.05</v>
      </c>
      <c r="B434" s="55" t="e">
        <v>#N/A</v>
      </c>
      <c r="C434" s="56" t="e">
        <v>#N/A</v>
      </c>
      <c r="D434" s="114"/>
    </row>
    <row r="435" spans="1:4" x14ac:dyDescent="0.2">
      <c r="A435" s="26">
        <f t="shared" si="4"/>
        <v>2029.06</v>
      </c>
      <c r="B435" s="55" t="e">
        <v>#N/A</v>
      </c>
      <c r="C435" s="56" t="e">
        <v>#N/A</v>
      </c>
      <c r="D435" s="114"/>
    </row>
    <row r="436" spans="1:4" x14ac:dyDescent="0.2">
      <c r="A436" s="26">
        <f t="shared" si="4"/>
        <v>2029.07</v>
      </c>
      <c r="B436" s="55" t="e">
        <v>#N/A</v>
      </c>
      <c r="C436" s="56" t="e">
        <v>#N/A</v>
      </c>
      <c r="D436" s="114"/>
    </row>
    <row r="437" spans="1:4" x14ac:dyDescent="0.2">
      <c r="A437" s="26">
        <f t="shared" si="4"/>
        <v>2029.08</v>
      </c>
      <c r="B437" s="55" t="e">
        <v>#N/A</v>
      </c>
      <c r="C437" s="56" t="e">
        <v>#N/A</v>
      </c>
      <c r="D437" s="114"/>
    </row>
    <row r="438" spans="1:4" x14ac:dyDescent="0.2">
      <c r="A438" s="26">
        <f t="shared" si="4"/>
        <v>2029.09</v>
      </c>
      <c r="B438" s="55" t="e">
        <v>#N/A</v>
      </c>
      <c r="C438" s="56" t="e">
        <v>#N/A</v>
      </c>
      <c r="D438" s="114"/>
    </row>
    <row r="439" spans="1:4" x14ac:dyDescent="0.2">
      <c r="A439" s="26">
        <f t="shared" si="4"/>
        <v>2029.1</v>
      </c>
      <c r="B439" s="55" t="e">
        <v>#N/A</v>
      </c>
      <c r="C439" s="56" t="e">
        <v>#N/A</v>
      </c>
      <c r="D439" s="114"/>
    </row>
    <row r="440" spans="1:4" x14ac:dyDescent="0.2">
      <c r="A440" s="26">
        <f t="shared" si="4"/>
        <v>2029.11</v>
      </c>
      <c r="B440" s="55" t="e">
        <v>#N/A</v>
      </c>
      <c r="C440" s="56" t="e">
        <v>#N/A</v>
      </c>
      <c r="D440" s="114"/>
    </row>
    <row r="441" spans="1:4" x14ac:dyDescent="0.2">
      <c r="A441" s="26">
        <f t="shared" si="4"/>
        <v>2029.12</v>
      </c>
      <c r="B441" s="55" t="e">
        <v>#N/A</v>
      </c>
      <c r="C441" s="56" t="e">
        <v>#N/A</v>
      </c>
      <c r="D441" s="114"/>
    </row>
    <row r="442" spans="1:4" x14ac:dyDescent="0.2">
      <c r="A442" s="26">
        <f t="shared" si="4"/>
        <v>2030.01</v>
      </c>
      <c r="B442" s="55" t="e">
        <v>#N/A</v>
      </c>
      <c r="C442" s="56" t="e">
        <v>#N/A</v>
      </c>
      <c r="D442" s="114"/>
    </row>
    <row r="443" spans="1:4" x14ac:dyDescent="0.2">
      <c r="A443" s="26">
        <f t="shared" si="4"/>
        <v>2030.02</v>
      </c>
      <c r="B443" s="55" t="e">
        <v>#N/A</v>
      </c>
      <c r="C443" s="56" t="e">
        <v>#N/A</v>
      </c>
      <c r="D443" s="114"/>
    </row>
    <row r="444" spans="1:4" x14ac:dyDescent="0.2">
      <c r="A444" s="26">
        <f t="shared" si="4"/>
        <v>2030.03</v>
      </c>
      <c r="B444" s="55" t="e">
        <v>#N/A</v>
      </c>
      <c r="C444" s="56" t="e">
        <v>#N/A</v>
      </c>
      <c r="D444" s="114"/>
    </row>
    <row r="445" spans="1:4" x14ac:dyDescent="0.2">
      <c r="A445" s="26">
        <f t="shared" si="4"/>
        <v>2030.04</v>
      </c>
      <c r="B445" s="55" t="e">
        <v>#N/A</v>
      </c>
      <c r="C445" s="56" t="e">
        <v>#N/A</v>
      </c>
      <c r="D445" s="114"/>
    </row>
    <row r="446" spans="1:4" x14ac:dyDescent="0.2">
      <c r="A446" s="26">
        <f t="shared" si="4"/>
        <v>2030.05</v>
      </c>
      <c r="B446" s="55" t="e">
        <v>#N/A</v>
      </c>
      <c r="C446" s="56" t="e">
        <v>#N/A</v>
      </c>
      <c r="D446" s="114"/>
    </row>
    <row r="447" spans="1:4" x14ac:dyDescent="0.2">
      <c r="A447" s="26">
        <f t="shared" si="4"/>
        <v>2030.06</v>
      </c>
      <c r="B447" s="55" t="e">
        <v>#N/A</v>
      </c>
      <c r="C447" s="56" t="e">
        <v>#N/A</v>
      </c>
      <c r="D447" s="114"/>
    </row>
    <row r="448" spans="1:4" x14ac:dyDescent="0.2">
      <c r="A448" s="26">
        <f t="shared" si="4"/>
        <v>2030.07</v>
      </c>
      <c r="B448" s="55" t="e">
        <v>#N/A</v>
      </c>
      <c r="C448" s="56" t="e">
        <v>#N/A</v>
      </c>
      <c r="D448" s="114"/>
    </row>
    <row r="449" spans="1:4" x14ac:dyDescent="0.2">
      <c r="A449" s="26">
        <f t="shared" si="4"/>
        <v>2030.08</v>
      </c>
      <c r="B449" s="55" t="e">
        <v>#N/A</v>
      </c>
      <c r="C449" s="56" t="e">
        <v>#N/A</v>
      </c>
      <c r="D449" s="114"/>
    </row>
    <row r="450" spans="1:4" x14ac:dyDescent="0.2">
      <c r="A450" s="26">
        <f t="shared" si="4"/>
        <v>2030.09</v>
      </c>
      <c r="B450" s="55" t="e">
        <v>#N/A</v>
      </c>
      <c r="C450" s="56" t="e">
        <v>#N/A</v>
      </c>
      <c r="D450" s="114"/>
    </row>
    <row r="451" spans="1:4" x14ac:dyDescent="0.2">
      <c r="A451" s="26">
        <f t="shared" si="4"/>
        <v>2030.1</v>
      </c>
      <c r="B451" s="55" t="e">
        <v>#N/A</v>
      </c>
      <c r="C451" s="56" t="e">
        <v>#N/A</v>
      </c>
      <c r="D451" s="114"/>
    </row>
    <row r="452" spans="1:4" x14ac:dyDescent="0.2">
      <c r="A452" s="26">
        <f t="shared" si="4"/>
        <v>2030.11</v>
      </c>
      <c r="B452" s="55" t="e">
        <v>#N/A</v>
      </c>
      <c r="C452" s="56" t="e">
        <v>#N/A</v>
      </c>
      <c r="D452" s="114"/>
    </row>
    <row r="453" spans="1:4" x14ac:dyDescent="0.2">
      <c r="A453" s="26">
        <f t="shared" si="4"/>
        <v>2030.12</v>
      </c>
      <c r="B453" s="55" t="e">
        <v>#N/A</v>
      </c>
      <c r="C453" s="56" t="e">
        <v>#N/A</v>
      </c>
      <c r="D453" s="114"/>
    </row>
  </sheetData>
  <hyperlinks>
    <hyperlink ref="A1" location="INDICE!A13" display="VOLVER AL INDICE" xr:uid="{00E75E95-63DA-4D24-AFD4-1D45BAA025E6}"/>
  </hyperlinks>
  <printOptions gridLines="1"/>
  <pageMargins left="0.39370078740157483" right="0.39370078740157483" top="0.59055118110236227" bottom="0.59055118110236227" header="0" footer="0"/>
  <pageSetup paperSize="9" scale="15"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fitToPage="1"/>
  </sheetPr>
  <dimension ref="A1:G453"/>
  <sheetViews>
    <sheetView zoomScale="115" zoomScaleNormal="115" workbookViewId="0">
      <pane xSplit="1" ySplit="9" topLeftCell="B10" activePane="bottomRight" state="frozen"/>
      <selection activeCell="A5" sqref="A5"/>
      <selection pane="topRight" activeCell="A5" sqref="A5"/>
      <selection pane="bottomLeft" activeCell="A5" sqref="A5"/>
      <selection pane="bottomRight" activeCell="B10" sqref="B10"/>
    </sheetView>
  </sheetViews>
  <sheetFormatPr baseColWidth="10" defaultColWidth="11.42578125" defaultRowHeight="12.75" x14ac:dyDescent="0.2"/>
  <cols>
    <col min="1" max="1" width="10.5703125" style="6" customWidth="1"/>
    <col min="2" max="2" width="15.42578125" style="6" customWidth="1"/>
    <col min="3" max="3" width="15.42578125" style="25" customWidth="1"/>
    <col min="4" max="4" width="3.42578125" style="1" customWidth="1"/>
    <col min="5" max="5" width="11.42578125" style="1"/>
    <col min="6" max="6" width="12.42578125" style="1" bestFit="1" customWidth="1"/>
    <col min="7" max="16384" width="11.42578125" style="1"/>
  </cols>
  <sheetData>
    <row r="1" spans="1:6" s="3" customFormat="1" ht="22.5" x14ac:dyDescent="0.2">
      <c r="A1" s="71" t="s">
        <v>115</v>
      </c>
      <c r="B1" s="16"/>
      <c r="C1" s="23"/>
    </row>
    <row r="2" spans="1:6" s="3" customFormat="1" ht="41.25" customHeight="1" x14ac:dyDescent="0.2">
      <c r="A2" s="70" t="s">
        <v>7</v>
      </c>
      <c r="B2" s="59" t="s">
        <v>98</v>
      </c>
      <c r="C2" s="24"/>
    </row>
    <row r="3" spans="1:6" s="3" customFormat="1" x14ac:dyDescent="0.2">
      <c r="A3" s="70" t="s">
        <v>13</v>
      </c>
      <c r="B3" s="15" t="s">
        <v>76</v>
      </c>
      <c r="C3" s="24"/>
    </row>
    <row r="4" spans="1:6" s="3" customFormat="1" x14ac:dyDescent="0.2">
      <c r="A4" s="86" t="s">
        <v>105</v>
      </c>
      <c r="B4" s="16"/>
      <c r="C4" s="23"/>
    </row>
    <row r="5" spans="1:6" s="3" customFormat="1" x14ac:dyDescent="0.2">
      <c r="A5" s="86" t="s">
        <v>106</v>
      </c>
      <c r="B5" s="13" t="s">
        <v>22</v>
      </c>
      <c r="C5" s="44" t="s">
        <v>34</v>
      </c>
    </row>
    <row r="6" spans="1:6" s="3" customFormat="1" x14ac:dyDescent="0.2">
      <c r="A6" s="87" t="s">
        <v>107</v>
      </c>
      <c r="B6" s="16"/>
      <c r="C6" s="45"/>
    </row>
    <row r="7" spans="1:6" s="3" customFormat="1" ht="22.5" x14ac:dyDescent="0.2">
      <c r="A7" s="71" t="s">
        <v>114</v>
      </c>
      <c r="B7" s="13" t="s">
        <v>102</v>
      </c>
      <c r="C7" s="44" t="s">
        <v>102</v>
      </c>
    </row>
    <row r="8" spans="1:6" s="3" customFormat="1" x14ac:dyDescent="0.2">
      <c r="A8" s="86" t="s">
        <v>108</v>
      </c>
      <c r="B8" s="93" t="s">
        <v>110</v>
      </c>
      <c r="C8" s="94" t="s">
        <v>110</v>
      </c>
    </row>
    <row r="9" spans="1:6" s="4" customFormat="1" ht="13.5" thickBot="1" x14ac:dyDescent="0.25">
      <c r="A9" s="111" t="s">
        <v>19</v>
      </c>
      <c r="B9" s="91" t="s">
        <v>39</v>
      </c>
      <c r="C9" s="92" t="s">
        <v>40</v>
      </c>
    </row>
    <row r="10" spans="1:6" s="4" customFormat="1" x14ac:dyDescent="0.2">
      <c r="A10" s="26">
        <v>1994.01</v>
      </c>
      <c r="B10" s="60">
        <v>71.919499475138494</v>
      </c>
      <c r="C10" s="61">
        <v>71.394676103013566</v>
      </c>
      <c r="E10" s="31"/>
      <c r="F10" s="31"/>
    </row>
    <row r="11" spans="1:6" s="4" customFormat="1" x14ac:dyDescent="0.2">
      <c r="A11" s="26">
        <v>1994.02</v>
      </c>
      <c r="B11" s="55">
        <v>71.802790506098702</v>
      </c>
      <c r="C11" s="56">
        <v>71.58329527950707</v>
      </c>
      <c r="E11" s="31"/>
      <c r="F11" s="31"/>
    </row>
    <row r="12" spans="1:6" s="4" customFormat="1" x14ac:dyDescent="0.2">
      <c r="A12" s="26">
        <v>1994.03</v>
      </c>
      <c r="B12" s="55">
        <v>71.843702944027001</v>
      </c>
      <c r="C12" s="56">
        <v>71.857793289638849</v>
      </c>
      <c r="E12" s="31"/>
      <c r="F12" s="31"/>
    </row>
    <row r="13" spans="1:6" s="4" customFormat="1" x14ac:dyDescent="0.2">
      <c r="A13" s="26">
        <v>1994.04</v>
      </c>
      <c r="B13" s="55">
        <v>72.564744424816993</v>
      </c>
      <c r="C13" s="56">
        <v>72.711077326149564</v>
      </c>
      <c r="E13" s="31"/>
      <c r="F13" s="31"/>
    </row>
    <row r="14" spans="1:6" s="4" customFormat="1" x14ac:dyDescent="0.2">
      <c r="A14" s="26">
        <v>1994.05</v>
      </c>
      <c r="B14" s="55">
        <v>73.531926069391403</v>
      </c>
      <c r="C14" s="56">
        <v>73.592430943992383</v>
      </c>
      <c r="E14" s="31"/>
      <c r="F14" s="31"/>
    </row>
    <row r="15" spans="1:6" s="4" customFormat="1" x14ac:dyDescent="0.2">
      <c r="A15" s="26">
        <v>1994.06</v>
      </c>
      <c r="B15" s="55">
        <v>74.345422709006897</v>
      </c>
      <c r="C15" s="56">
        <v>74.262782873909671</v>
      </c>
      <c r="E15" s="31"/>
      <c r="F15" s="31"/>
    </row>
    <row r="16" spans="1:6" s="4" customFormat="1" x14ac:dyDescent="0.2">
      <c r="A16" s="26">
        <v>1994.07</v>
      </c>
      <c r="B16" s="55">
        <v>74.557445182723697</v>
      </c>
      <c r="C16" s="56">
        <v>74.585207345882694</v>
      </c>
      <c r="E16" s="31"/>
      <c r="F16" s="31"/>
    </row>
    <row r="17" spans="1:6" s="4" customFormat="1" x14ac:dyDescent="0.2">
      <c r="A17" s="26">
        <v>1994.08</v>
      </c>
      <c r="B17" s="55">
        <v>74.405160250155404</v>
      </c>
      <c r="C17" s="56">
        <v>75.049338201369608</v>
      </c>
      <c r="E17" s="31"/>
      <c r="F17" s="31"/>
    </row>
    <row r="18" spans="1:6" s="4" customFormat="1" x14ac:dyDescent="0.2">
      <c r="A18" s="26">
        <v>1994.09</v>
      </c>
      <c r="B18" s="55">
        <v>74.698568460391002</v>
      </c>
      <c r="C18" s="56">
        <v>75.772219835436331</v>
      </c>
      <c r="E18" s="31"/>
      <c r="F18" s="31"/>
    </row>
    <row r="19" spans="1:6" s="4" customFormat="1" x14ac:dyDescent="0.2">
      <c r="A19" s="26">
        <v>1994.1</v>
      </c>
      <c r="B19" s="55">
        <v>75.614215368967805</v>
      </c>
      <c r="C19" s="56">
        <v>76.418130649654671</v>
      </c>
      <c r="E19" s="31"/>
      <c r="F19" s="31"/>
    </row>
    <row r="20" spans="1:6" s="4" customFormat="1" x14ac:dyDescent="0.2">
      <c r="A20" s="26">
        <v>1994.11</v>
      </c>
      <c r="B20" s="55">
        <v>76.756289727453805</v>
      </c>
      <c r="C20" s="56">
        <v>77.345078461157129</v>
      </c>
      <c r="E20" s="31"/>
      <c r="F20" s="31"/>
    </row>
    <row r="21" spans="1:6" s="4" customFormat="1" x14ac:dyDescent="0.2">
      <c r="A21" s="26">
        <v>1994.12</v>
      </c>
      <c r="B21" s="55">
        <v>77.679074413625401</v>
      </c>
      <c r="C21" s="56">
        <v>77.869507397481058</v>
      </c>
      <c r="E21" s="31"/>
      <c r="F21" s="31"/>
    </row>
    <row r="22" spans="1:6" x14ac:dyDescent="0.2">
      <c r="A22" s="26">
        <v>1995.01</v>
      </c>
      <c r="B22" s="55">
        <v>78.169811921424198</v>
      </c>
      <c r="C22" s="56">
        <v>78.01823505014606</v>
      </c>
      <c r="E22" s="32"/>
      <c r="F22" s="31"/>
    </row>
    <row r="23" spans="1:6" x14ac:dyDescent="0.2">
      <c r="A23" s="26">
        <v>1995.02</v>
      </c>
      <c r="B23" s="55">
        <v>78.487066571459593</v>
      </c>
      <c r="C23" s="56">
        <v>78.432473940031642</v>
      </c>
      <c r="E23" s="32"/>
      <c r="F23" s="31"/>
    </row>
    <row r="24" spans="1:6" x14ac:dyDescent="0.2">
      <c r="A24" s="26">
        <v>1995.03</v>
      </c>
      <c r="B24" s="55">
        <v>78.894519841934297</v>
      </c>
      <c r="C24" s="56">
        <v>78.807249446188521</v>
      </c>
      <c r="E24" s="32"/>
      <c r="F24" s="31"/>
    </row>
    <row r="25" spans="1:6" x14ac:dyDescent="0.2">
      <c r="A25" s="26">
        <v>1995.04</v>
      </c>
      <c r="B25" s="55">
        <v>79.356155477380298</v>
      </c>
      <c r="C25" s="56">
        <v>79.274438489406293</v>
      </c>
      <c r="E25" s="32"/>
      <c r="F25" s="31"/>
    </row>
    <row r="26" spans="1:6" x14ac:dyDescent="0.2">
      <c r="A26" s="26">
        <v>1995.05</v>
      </c>
      <c r="B26" s="55">
        <v>79.702943603188501</v>
      </c>
      <c r="C26" s="56">
        <v>79.559374472087427</v>
      </c>
      <c r="E26" s="32"/>
      <c r="F26" s="31"/>
    </row>
    <row r="27" spans="1:6" x14ac:dyDescent="0.2">
      <c r="A27" s="26">
        <v>1995.06</v>
      </c>
      <c r="B27" s="55">
        <v>79.779607700922497</v>
      </c>
      <c r="C27" s="56">
        <v>79.499789573993795</v>
      </c>
      <c r="E27" s="32"/>
      <c r="F27" s="31"/>
    </row>
    <row r="28" spans="1:6" x14ac:dyDescent="0.2">
      <c r="A28" s="26">
        <v>1995.07</v>
      </c>
      <c r="B28" s="55">
        <v>79.300512752745405</v>
      </c>
      <c r="C28" s="56">
        <v>79.103232509812941</v>
      </c>
      <c r="E28" s="32"/>
      <c r="F28" s="31"/>
    </row>
    <row r="29" spans="1:6" x14ac:dyDescent="0.2">
      <c r="A29" s="26">
        <v>1995.08</v>
      </c>
      <c r="B29" s="55">
        <v>78.708207005828299</v>
      </c>
      <c r="C29" s="56">
        <v>78.850887463988357</v>
      </c>
      <c r="E29" s="32"/>
      <c r="F29" s="31"/>
    </row>
    <row r="30" spans="1:6" x14ac:dyDescent="0.2">
      <c r="A30" s="26">
        <v>1995.09</v>
      </c>
      <c r="B30" s="55">
        <v>78.745072210316494</v>
      </c>
      <c r="C30" s="56">
        <v>79.040070885078478</v>
      </c>
      <c r="E30" s="32"/>
      <c r="F30" s="31"/>
    </row>
    <row r="31" spans="1:6" x14ac:dyDescent="0.2">
      <c r="A31" s="26">
        <v>1995.1</v>
      </c>
      <c r="B31" s="55">
        <v>78.981385173529404</v>
      </c>
      <c r="C31" s="56">
        <v>79.588396495405675</v>
      </c>
      <c r="E31" s="32"/>
      <c r="F31" s="31"/>
    </row>
    <row r="32" spans="1:6" x14ac:dyDescent="0.2">
      <c r="A32" s="26">
        <v>1995.11</v>
      </c>
      <c r="B32" s="55">
        <v>79.742397685547004</v>
      </c>
      <c r="C32" s="56">
        <v>80.450738433753585</v>
      </c>
      <c r="E32" s="32"/>
      <c r="F32" s="31"/>
    </row>
    <row r="33" spans="1:6" x14ac:dyDescent="0.2">
      <c r="A33" s="26">
        <v>1995.12</v>
      </c>
      <c r="B33" s="55">
        <v>81.028854567426293</v>
      </c>
      <c r="C33" s="56">
        <v>81.51519588513618</v>
      </c>
      <c r="E33" s="32"/>
      <c r="F33" s="31"/>
    </row>
    <row r="34" spans="1:6" x14ac:dyDescent="0.2">
      <c r="A34" s="26">
        <v>1996.01</v>
      </c>
      <c r="B34" s="55">
        <v>82.227786002233202</v>
      </c>
      <c r="C34" s="56">
        <v>82.216323287916154</v>
      </c>
      <c r="E34" s="32"/>
      <c r="F34" s="31"/>
    </row>
    <row r="35" spans="1:6" x14ac:dyDescent="0.2">
      <c r="A35" s="26">
        <v>1996.02</v>
      </c>
      <c r="B35" s="55">
        <v>83.055386528727695</v>
      </c>
      <c r="C35" s="56">
        <v>82.568759024803285</v>
      </c>
      <c r="E35" s="32"/>
      <c r="F35" s="31"/>
    </row>
    <row r="36" spans="1:6" x14ac:dyDescent="0.2">
      <c r="A36" s="26">
        <v>1996.03</v>
      </c>
      <c r="B36" s="55">
        <v>82.913826412162194</v>
      </c>
      <c r="C36" s="56">
        <v>82.626723780395807</v>
      </c>
      <c r="E36" s="32"/>
      <c r="F36" s="31"/>
    </row>
    <row r="37" spans="1:6" x14ac:dyDescent="0.2">
      <c r="A37" s="26">
        <v>1996.04</v>
      </c>
      <c r="B37" s="55">
        <v>82.855427815820903</v>
      </c>
      <c r="C37" s="56">
        <v>82.869930051468415</v>
      </c>
      <c r="E37" s="32"/>
      <c r="F37" s="31"/>
    </row>
    <row r="38" spans="1:6" x14ac:dyDescent="0.2">
      <c r="A38" s="26">
        <v>1996.05</v>
      </c>
      <c r="B38" s="55">
        <v>83.538495243043798</v>
      </c>
      <c r="C38" s="56">
        <v>83.589907133659167</v>
      </c>
      <c r="E38" s="32"/>
      <c r="F38" s="31"/>
    </row>
    <row r="39" spans="1:6" x14ac:dyDescent="0.2">
      <c r="A39" s="26">
        <v>1996.06</v>
      </c>
      <c r="B39" s="55">
        <v>84.098596163959598</v>
      </c>
      <c r="C39" s="56">
        <v>84.215842453775949</v>
      </c>
      <c r="E39" s="32"/>
      <c r="F39" s="31"/>
    </row>
    <row r="40" spans="1:6" x14ac:dyDescent="0.2">
      <c r="A40" s="26">
        <v>1996.07</v>
      </c>
      <c r="B40" s="55">
        <v>84.603631064781098</v>
      </c>
      <c r="C40" s="56">
        <v>84.703418584691306</v>
      </c>
      <c r="E40" s="32"/>
      <c r="F40" s="31"/>
    </row>
    <row r="41" spans="1:6" x14ac:dyDescent="0.2">
      <c r="A41" s="26">
        <v>1996.08</v>
      </c>
      <c r="B41" s="55">
        <v>84.968990790124295</v>
      </c>
      <c r="C41" s="56">
        <v>84.980500622333764</v>
      </c>
      <c r="E41" s="32"/>
      <c r="F41" s="31"/>
    </row>
    <row r="42" spans="1:6" x14ac:dyDescent="0.2">
      <c r="A42" s="26">
        <v>1996.09</v>
      </c>
      <c r="B42" s="55">
        <v>84.986715352019502</v>
      </c>
      <c r="C42" s="56">
        <v>85.137235318836488</v>
      </c>
      <c r="E42" s="32"/>
      <c r="F42" s="31"/>
    </row>
    <row r="43" spans="1:6" x14ac:dyDescent="0.2">
      <c r="A43" s="26">
        <v>1996.1</v>
      </c>
      <c r="B43" s="55">
        <v>85.2331162368246</v>
      </c>
      <c r="C43" s="56">
        <v>85.593654117990013</v>
      </c>
      <c r="E43" s="32"/>
      <c r="F43" s="31"/>
    </row>
    <row r="44" spans="1:6" x14ac:dyDescent="0.2">
      <c r="A44" s="26">
        <v>1996.11</v>
      </c>
      <c r="B44" s="55">
        <v>85.561923207820897</v>
      </c>
      <c r="C44" s="56">
        <v>85.693490421464233</v>
      </c>
      <c r="E44" s="32"/>
      <c r="F44" s="31"/>
    </row>
    <row r="45" spans="1:6" x14ac:dyDescent="0.2">
      <c r="A45" s="26">
        <v>1996.12</v>
      </c>
      <c r="B45" s="55">
        <v>85.059614161625305</v>
      </c>
      <c r="C45" s="56">
        <v>85.301264073891659</v>
      </c>
      <c r="E45" s="32"/>
      <c r="F45" s="31"/>
    </row>
    <row r="46" spans="1:6" x14ac:dyDescent="0.2">
      <c r="A46" s="26">
        <v>1997.01</v>
      </c>
      <c r="B46" s="55">
        <v>84.273209776135104</v>
      </c>
      <c r="C46" s="56">
        <v>85.056752125065543</v>
      </c>
      <c r="E46" s="32"/>
      <c r="F46" s="31"/>
    </row>
    <row r="47" spans="1:6" x14ac:dyDescent="0.2">
      <c r="A47" s="26">
        <v>1997.02</v>
      </c>
      <c r="B47" s="55">
        <v>84.626592965969905</v>
      </c>
      <c r="C47" s="56">
        <v>84.884049598505428</v>
      </c>
      <c r="E47" s="32"/>
      <c r="F47" s="31"/>
    </row>
    <row r="48" spans="1:6" x14ac:dyDescent="0.2">
      <c r="A48" s="26">
        <v>1997.03</v>
      </c>
      <c r="B48" s="55">
        <v>85.522003170930304</v>
      </c>
      <c r="C48" s="56">
        <v>85.136495783777704</v>
      </c>
      <c r="E48" s="32"/>
      <c r="F48" s="31"/>
    </row>
    <row r="49" spans="1:6" x14ac:dyDescent="0.2">
      <c r="A49" s="26">
        <v>1997.04</v>
      </c>
      <c r="B49" s="55">
        <v>85.189583288477806</v>
      </c>
      <c r="C49" s="56">
        <v>84.69540785148088</v>
      </c>
      <c r="E49" s="32"/>
      <c r="F49" s="31"/>
    </row>
    <row r="50" spans="1:6" x14ac:dyDescent="0.2">
      <c r="A50" s="26">
        <v>1997.05</v>
      </c>
      <c r="B50" s="55">
        <v>84.093579353224101</v>
      </c>
      <c r="C50" s="56">
        <v>84.054132733383696</v>
      </c>
      <c r="E50" s="32"/>
      <c r="F50" s="31"/>
    </row>
    <row r="51" spans="1:6" x14ac:dyDescent="0.2">
      <c r="A51" s="26">
        <v>1997.06</v>
      </c>
      <c r="B51" s="55">
        <v>83.971598066538704</v>
      </c>
      <c r="C51" s="56">
        <v>84.125398649784202</v>
      </c>
      <c r="E51" s="32"/>
      <c r="F51" s="31"/>
    </row>
    <row r="52" spans="1:6" x14ac:dyDescent="0.2">
      <c r="A52" s="26">
        <v>1997.07</v>
      </c>
      <c r="B52" s="55">
        <v>84.493390179866097</v>
      </c>
      <c r="C52" s="56">
        <v>84.492005541238328</v>
      </c>
      <c r="E52" s="32"/>
      <c r="F52" s="31"/>
    </row>
    <row r="53" spans="1:6" x14ac:dyDescent="0.2">
      <c r="A53" s="26">
        <v>1997.08</v>
      </c>
      <c r="B53" s="55">
        <v>84.547113397937906</v>
      </c>
      <c r="C53" s="56">
        <v>84.309979332806179</v>
      </c>
      <c r="E53" s="32"/>
      <c r="F53" s="31"/>
    </row>
    <row r="54" spans="1:6" x14ac:dyDescent="0.2">
      <c r="A54" s="26">
        <v>1997.09</v>
      </c>
      <c r="B54" s="55">
        <v>84.106887347517301</v>
      </c>
      <c r="C54" s="56">
        <v>83.77698821720837</v>
      </c>
      <c r="E54" s="32"/>
      <c r="F54" s="31"/>
    </row>
    <row r="55" spans="1:6" x14ac:dyDescent="0.2">
      <c r="A55" s="26">
        <v>1997.1</v>
      </c>
      <c r="B55" s="55">
        <v>83.281875354043393</v>
      </c>
      <c r="C55" s="56">
        <v>83.011309896105345</v>
      </c>
      <c r="E55" s="32"/>
      <c r="F55" s="31"/>
    </row>
    <row r="56" spans="1:6" x14ac:dyDescent="0.2">
      <c r="A56" s="26">
        <v>1997.11</v>
      </c>
      <c r="B56" s="55">
        <v>82.087718022453004</v>
      </c>
      <c r="C56" s="56">
        <v>82.206322768300183</v>
      </c>
      <c r="E56" s="32"/>
      <c r="F56" s="31"/>
    </row>
    <row r="57" spans="1:6" x14ac:dyDescent="0.2">
      <c r="A57" s="26">
        <v>1997.12</v>
      </c>
      <c r="B57" s="55">
        <v>81.537448557737804</v>
      </c>
      <c r="C57" s="56">
        <v>82.030056310537887</v>
      </c>
      <c r="E57" s="32"/>
      <c r="F57" s="31"/>
    </row>
    <row r="58" spans="1:6" x14ac:dyDescent="0.2">
      <c r="A58" s="26">
        <v>1998.01</v>
      </c>
      <c r="B58" s="55">
        <v>82.149301288773998</v>
      </c>
      <c r="C58" s="56">
        <v>82.675508532062267</v>
      </c>
      <c r="E58" s="32"/>
      <c r="F58" s="31"/>
    </row>
    <row r="59" spans="1:6" x14ac:dyDescent="0.2">
      <c r="A59" s="26">
        <v>1998.02</v>
      </c>
      <c r="B59" s="55">
        <v>83.350303082654804</v>
      </c>
      <c r="C59" s="56">
        <v>83.928613043550072</v>
      </c>
      <c r="E59" s="32"/>
      <c r="F59" s="31"/>
    </row>
    <row r="60" spans="1:6" x14ac:dyDescent="0.2">
      <c r="A60" s="26">
        <v>1998.03</v>
      </c>
      <c r="B60" s="55">
        <v>84.868075448731204</v>
      </c>
      <c r="C60" s="56">
        <v>85.038925925668138</v>
      </c>
      <c r="E60" s="32"/>
      <c r="F60" s="31"/>
    </row>
    <row r="61" spans="1:6" x14ac:dyDescent="0.2">
      <c r="A61" s="26">
        <v>1998.04</v>
      </c>
      <c r="B61" s="55">
        <v>86.129554715208599</v>
      </c>
      <c r="C61" s="56">
        <v>86.063101334120589</v>
      </c>
      <c r="E61" s="32"/>
      <c r="F61" s="31"/>
    </row>
    <row r="62" spans="1:6" x14ac:dyDescent="0.2">
      <c r="A62" s="26">
        <v>1998.05</v>
      </c>
      <c r="B62" s="55">
        <v>86.566730897576505</v>
      </c>
      <c r="C62" s="56">
        <v>86.453986516620049</v>
      </c>
      <c r="E62" s="32"/>
      <c r="F62" s="31"/>
    </row>
    <row r="63" spans="1:6" x14ac:dyDescent="0.2">
      <c r="A63" s="26">
        <v>1998.06</v>
      </c>
      <c r="B63" s="55">
        <v>86.640912399165103</v>
      </c>
      <c r="C63" s="56">
        <v>86.924483145396536</v>
      </c>
      <c r="E63" s="32"/>
      <c r="F63" s="31"/>
    </row>
    <row r="64" spans="1:6" x14ac:dyDescent="0.2">
      <c r="A64" s="26">
        <v>1998.07</v>
      </c>
      <c r="B64" s="55">
        <v>87.573281013003495</v>
      </c>
      <c r="C64" s="56">
        <v>88.037095555046577</v>
      </c>
      <c r="E64" s="32"/>
      <c r="F64" s="31"/>
    </row>
    <row r="65" spans="1:6" x14ac:dyDescent="0.2">
      <c r="A65" s="26">
        <v>1998.08</v>
      </c>
      <c r="B65" s="55">
        <v>89.062294237306901</v>
      </c>
      <c r="C65" s="56">
        <v>89.266040773761787</v>
      </c>
      <c r="E65" s="32"/>
      <c r="F65" s="31"/>
    </row>
    <row r="66" spans="1:6" x14ac:dyDescent="0.2">
      <c r="A66" s="26">
        <v>1998.09</v>
      </c>
      <c r="B66" s="55">
        <v>90.045152561172898</v>
      </c>
      <c r="C66" s="56">
        <v>90.010252577018107</v>
      </c>
      <c r="E66" s="32"/>
      <c r="F66" s="31"/>
    </row>
    <row r="67" spans="1:6" x14ac:dyDescent="0.2">
      <c r="A67" s="26">
        <v>1998.1</v>
      </c>
      <c r="B67" s="55">
        <v>90.3051292005417</v>
      </c>
      <c r="C67" s="56">
        <v>90.301052154287575</v>
      </c>
      <c r="E67" s="32"/>
      <c r="F67" s="31"/>
    </row>
    <row r="68" spans="1:6" x14ac:dyDescent="0.2">
      <c r="A68" s="26">
        <v>1998.11</v>
      </c>
      <c r="B68" s="55">
        <v>90.253293202587201</v>
      </c>
      <c r="C68" s="56">
        <v>90.600913699273164</v>
      </c>
      <c r="E68" s="32"/>
      <c r="F68" s="31"/>
    </row>
    <row r="69" spans="1:6" x14ac:dyDescent="0.2">
      <c r="A69" s="26">
        <v>1998.12</v>
      </c>
      <c r="B69" s="55">
        <v>90.589808939663499</v>
      </c>
      <c r="C69" s="56">
        <v>90.927099261969673</v>
      </c>
      <c r="E69" s="32"/>
      <c r="F69" s="31"/>
    </row>
    <row r="70" spans="1:6" x14ac:dyDescent="0.2">
      <c r="A70" s="26">
        <v>1999.01</v>
      </c>
      <c r="B70" s="55">
        <v>90.637693905088099</v>
      </c>
      <c r="C70" s="56">
        <v>90.494444590795595</v>
      </c>
      <c r="E70" s="32"/>
      <c r="F70" s="31"/>
    </row>
    <row r="71" spans="1:6" x14ac:dyDescent="0.2">
      <c r="A71" s="26">
        <v>1999.02</v>
      </c>
      <c r="B71" s="55">
        <v>89.539056660838298</v>
      </c>
      <c r="C71" s="56">
        <v>89.871718931231655</v>
      </c>
      <c r="E71" s="32"/>
      <c r="F71" s="31"/>
    </row>
    <row r="72" spans="1:6" x14ac:dyDescent="0.2">
      <c r="A72" s="26">
        <v>1999.03</v>
      </c>
      <c r="B72" s="55">
        <v>88.817823632691201</v>
      </c>
      <c r="C72" s="56">
        <v>89.83019591186725</v>
      </c>
      <c r="E72" s="32"/>
      <c r="F72" s="31"/>
    </row>
    <row r="73" spans="1:6" x14ac:dyDescent="0.2">
      <c r="A73" s="26">
        <v>1999.04</v>
      </c>
      <c r="B73" s="55">
        <v>89.845251593551595</v>
      </c>
      <c r="C73" s="56">
        <v>89.964158696205345</v>
      </c>
      <c r="E73" s="32"/>
      <c r="F73" s="31"/>
    </row>
    <row r="74" spans="1:6" x14ac:dyDescent="0.2">
      <c r="A74" s="26">
        <v>1999.05</v>
      </c>
      <c r="B74" s="55">
        <v>91.224299390071906</v>
      </c>
      <c r="C74" s="56">
        <v>90.755013921854584</v>
      </c>
      <c r="E74" s="32"/>
      <c r="F74" s="31"/>
    </row>
    <row r="75" spans="1:6" x14ac:dyDescent="0.2">
      <c r="A75" s="26">
        <v>1999.06</v>
      </c>
      <c r="B75" s="55">
        <v>91.078341079278502</v>
      </c>
      <c r="C75" s="56">
        <v>90.792177868760248</v>
      </c>
      <c r="E75" s="32"/>
      <c r="F75" s="31"/>
    </row>
    <row r="76" spans="1:6" x14ac:dyDescent="0.2">
      <c r="A76" s="26">
        <v>1999.07</v>
      </c>
      <c r="B76" s="55">
        <v>90.390882271243598</v>
      </c>
      <c r="C76" s="56">
        <v>90.363406459212385</v>
      </c>
      <c r="E76" s="32"/>
      <c r="F76" s="31"/>
    </row>
    <row r="77" spans="1:6" x14ac:dyDescent="0.2">
      <c r="A77" s="26">
        <v>1999.08</v>
      </c>
      <c r="B77" s="55">
        <v>90.473876654942401</v>
      </c>
      <c r="C77" s="56">
        <v>90.516813690982076</v>
      </c>
      <c r="E77" s="32"/>
      <c r="F77" s="31"/>
    </row>
    <row r="78" spans="1:6" x14ac:dyDescent="0.2">
      <c r="A78" s="26">
        <v>1999.09</v>
      </c>
      <c r="B78" s="55">
        <v>91.003410670956995</v>
      </c>
      <c r="C78" s="56">
        <v>90.984239803739754</v>
      </c>
      <c r="E78" s="32"/>
      <c r="F78" s="31"/>
    </row>
    <row r="79" spans="1:6" x14ac:dyDescent="0.2">
      <c r="A79" s="26">
        <v>1999.1</v>
      </c>
      <c r="B79" s="55">
        <v>91.356933358053794</v>
      </c>
      <c r="C79" s="56">
        <v>91.168308995104141</v>
      </c>
      <c r="E79" s="32"/>
      <c r="F79" s="31"/>
    </row>
    <row r="80" spans="1:6" x14ac:dyDescent="0.2">
      <c r="A80" s="26">
        <v>1999.11</v>
      </c>
      <c r="B80" s="55">
        <v>90.814387557408494</v>
      </c>
      <c r="C80" s="56">
        <v>90.846256663383599</v>
      </c>
      <c r="E80" s="32"/>
      <c r="F80" s="31"/>
    </row>
    <row r="81" spans="1:6" x14ac:dyDescent="0.2">
      <c r="A81" s="26">
        <v>1999.12</v>
      </c>
      <c r="B81" s="55">
        <v>90.418820831979204</v>
      </c>
      <c r="C81" s="56">
        <v>90.867898249126981</v>
      </c>
      <c r="E81" s="32"/>
      <c r="F81" s="31"/>
    </row>
    <row r="82" spans="1:6" x14ac:dyDescent="0.2">
      <c r="A82" s="26">
        <v>2000.01</v>
      </c>
      <c r="B82" s="55">
        <v>90.935519017162406</v>
      </c>
      <c r="C82" s="56">
        <v>91.277465253348467</v>
      </c>
      <c r="E82" s="32"/>
      <c r="F82" s="31"/>
    </row>
    <row r="83" spans="1:6" x14ac:dyDescent="0.2">
      <c r="A83" s="26">
        <v>2000.02</v>
      </c>
      <c r="B83" s="55">
        <v>91.262781869714303</v>
      </c>
      <c r="C83" s="56">
        <v>91.460447569257937</v>
      </c>
      <c r="E83" s="32"/>
      <c r="F83" s="31"/>
    </row>
    <row r="84" spans="1:6" x14ac:dyDescent="0.2">
      <c r="A84" s="26">
        <v>2000.03</v>
      </c>
      <c r="B84" s="55">
        <v>91.173945745441799</v>
      </c>
      <c r="C84" s="56">
        <v>90.851999336716517</v>
      </c>
      <c r="E84" s="32"/>
      <c r="F84" s="31"/>
    </row>
    <row r="85" spans="1:6" x14ac:dyDescent="0.2">
      <c r="A85" s="26">
        <v>2000.04</v>
      </c>
      <c r="B85" s="55">
        <v>90.282633492927602</v>
      </c>
      <c r="C85" s="56">
        <v>89.719783406842907</v>
      </c>
      <c r="E85" s="32"/>
      <c r="F85" s="31"/>
    </row>
    <row r="86" spans="1:6" x14ac:dyDescent="0.2">
      <c r="A86" s="26">
        <v>2000.05</v>
      </c>
      <c r="B86" s="55">
        <v>88.999706295703206</v>
      </c>
      <c r="C86" s="56">
        <v>88.488371447071259</v>
      </c>
      <c r="E86" s="32"/>
      <c r="F86" s="31"/>
    </row>
    <row r="87" spans="1:6" x14ac:dyDescent="0.2">
      <c r="A87" s="26">
        <v>2000.06</v>
      </c>
      <c r="B87" s="55">
        <v>88.120682652800994</v>
      </c>
      <c r="C87" s="56">
        <v>87.683503144523186</v>
      </c>
      <c r="E87" s="32"/>
      <c r="F87" s="31"/>
    </row>
    <row r="88" spans="1:6" x14ac:dyDescent="0.2">
      <c r="A88" s="26">
        <v>2000.07</v>
      </c>
      <c r="B88" s="55">
        <v>87.361934394588403</v>
      </c>
      <c r="C88" s="56">
        <v>87.122005700986165</v>
      </c>
      <c r="E88" s="32"/>
      <c r="F88" s="31"/>
    </row>
    <row r="89" spans="1:6" x14ac:dyDescent="0.2">
      <c r="A89" s="26">
        <v>2000.08</v>
      </c>
      <c r="B89" s="55">
        <v>86.914570372721897</v>
      </c>
      <c r="C89" s="56">
        <v>86.744006965669087</v>
      </c>
      <c r="E89" s="32"/>
      <c r="F89" s="31"/>
    </row>
    <row r="90" spans="1:6" x14ac:dyDescent="0.2">
      <c r="A90" s="26">
        <v>2000.09</v>
      </c>
      <c r="B90" s="55">
        <v>86.612980956384405</v>
      </c>
      <c r="C90" s="56">
        <v>86.451416374839809</v>
      </c>
      <c r="E90" s="32"/>
      <c r="F90" s="31"/>
    </row>
    <row r="91" spans="1:6" x14ac:dyDescent="0.2">
      <c r="A91" s="26">
        <v>2000.1</v>
      </c>
      <c r="B91" s="55">
        <v>86.427596354719299</v>
      </c>
      <c r="C91" s="56">
        <v>86.656756626986706</v>
      </c>
      <c r="E91" s="32"/>
      <c r="F91" s="31"/>
    </row>
    <row r="92" spans="1:6" x14ac:dyDescent="0.2">
      <c r="A92" s="26">
        <v>2000.11</v>
      </c>
      <c r="B92" s="55">
        <v>87.171421461172301</v>
      </c>
      <c r="C92" s="56">
        <v>87.170563141296739</v>
      </c>
      <c r="E92" s="32"/>
      <c r="F92" s="31"/>
    </row>
    <row r="93" spans="1:6" x14ac:dyDescent="0.2">
      <c r="A93" s="26">
        <v>2000.12</v>
      </c>
      <c r="B93" s="55">
        <v>87.624615548249395</v>
      </c>
      <c r="C93" s="56">
        <v>87.048042804888198</v>
      </c>
      <c r="E93" s="32"/>
      <c r="F93" s="31"/>
    </row>
    <row r="94" spans="1:6" x14ac:dyDescent="0.2">
      <c r="A94" s="26">
        <v>2001.01</v>
      </c>
      <c r="B94" s="55">
        <v>86.823496605677406</v>
      </c>
      <c r="C94" s="56">
        <v>86.719749666862796</v>
      </c>
      <c r="E94" s="32"/>
      <c r="F94" s="31"/>
    </row>
    <row r="95" spans="1:6" x14ac:dyDescent="0.2">
      <c r="A95" s="26">
        <v>2001.02</v>
      </c>
      <c r="B95" s="55">
        <v>85.984202166316805</v>
      </c>
      <c r="C95" s="56">
        <v>86.068789904074606</v>
      </c>
      <c r="E95" s="32"/>
      <c r="F95" s="31"/>
    </row>
    <row r="96" spans="1:6" x14ac:dyDescent="0.2">
      <c r="A96" s="26">
        <v>2001.03</v>
      </c>
      <c r="B96" s="55">
        <v>85.750410476915306</v>
      </c>
      <c r="C96" s="56">
        <v>85.840582321904591</v>
      </c>
      <c r="E96" s="32"/>
      <c r="F96" s="31"/>
    </row>
    <row r="97" spans="1:6" x14ac:dyDescent="0.2">
      <c r="A97" s="26">
        <v>2001.04</v>
      </c>
      <c r="B97" s="55">
        <v>85.815536567152606</v>
      </c>
      <c r="C97" s="56">
        <v>85.701861467808044</v>
      </c>
      <c r="E97" s="32"/>
      <c r="F97" s="31"/>
    </row>
    <row r="98" spans="1:6" x14ac:dyDescent="0.2">
      <c r="A98" s="26">
        <v>2001.05</v>
      </c>
      <c r="B98" s="55">
        <v>85.585438115131396</v>
      </c>
      <c r="C98" s="56">
        <v>85.17868498715093</v>
      </c>
      <c r="E98" s="32"/>
      <c r="F98" s="31"/>
    </row>
    <row r="99" spans="1:6" x14ac:dyDescent="0.2">
      <c r="A99" s="26">
        <v>2001.06</v>
      </c>
      <c r="B99" s="55">
        <v>84.926332602667998</v>
      </c>
      <c r="C99" s="56">
        <v>84.355493195320449</v>
      </c>
      <c r="E99" s="32"/>
      <c r="F99" s="31"/>
    </row>
    <row r="100" spans="1:6" x14ac:dyDescent="0.2">
      <c r="A100" s="26">
        <v>2001.07</v>
      </c>
      <c r="B100" s="55">
        <v>83.931968220373406</v>
      </c>
      <c r="C100" s="56">
        <v>83.416005811421527</v>
      </c>
      <c r="E100" s="32"/>
      <c r="F100" s="31"/>
    </row>
    <row r="101" spans="1:6" x14ac:dyDescent="0.2">
      <c r="A101" s="26">
        <v>2001.08</v>
      </c>
      <c r="B101" s="55">
        <v>82.792652061127995</v>
      </c>
      <c r="C101" s="56">
        <v>82.453150224575268</v>
      </c>
      <c r="E101" s="32"/>
      <c r="F101" s="31"/>
    </row>
    <row r="102" spans="1:6" x14ac:dyDescent="0.2">
      <c r="A102" s="26">
        <v>2001.09</v>
      </c>
      <c r="B102" s="55">
        <v>81.798600189178501</v>
      </c>
      <c r="C102" s="56">
        <v>81.535464870385951</v>
      </c>
      <c r="E102" s="32"/>
      <c r="F102" s="31"/>
    </row>
    <row r="103" spans="1:6" x14ac:dyDescent="0.2">
      <c r="A103" s="26">
        <v>2001.1</v>
      </c>
      <c r="B103" s="55">
        <v>81.059862152807398</v>
      </c>
      <c r="C103" s="56">
        <v>80.922650222358001</v>
      </c>
      <c r="E103" s="32"/>
      <c r="F103" s="31"/>
    </row>
    <row r="104" spans="1:6" x14ac:dyDescent="0.2">
      <c r="A104" s="26">
        <v>2001.11</v>
      </c>
      <c r="B104" s="55">
        <v>80.626774275741795</v>
      </c>
      <c r="C104" s="56">
        <v>80.39934349157798</v>
      </c>
      <c r="E104" s="32"/>
      <c r="F104" s="31"/>
    </row>
    <row r="105" spans="1:6" x14ac:dyDescent="0.2">
      <c r="A105" s="26">
        <v>2001.12</v>
      </c>
      <c r="B105" s="55">
        <v>79.824032885693796</v>
      </c>
      <c r="C105" s="56">
        <v>79.785018904756214</v>
      </c>
      <c r="E105" s="32"/>
      <c r="F105" s="31"/>
    </row>
    <row r="106" spans="1:6" x14ac:dyDescent="0.2">
      <c r="A106" s="26">
        <v>2002.01</v>
      </c>
      <c r="B106" s="55">
        <v>79.077821785706703</v>
      </c>
      <c r="C106" s="56">
        <v>79.530507331617244</v>
      </c>
      <c r="E106" s="32"/>
      <c r="F106" s="31"/>
    </row>
    <row r="107" spans="1:6" x14ac:dyDescent="0.2">
      <c r="A107" s="26">
        <v>2002.02</v>
      </c>
      <c r="B107" s="55">
        <v>79.499663818323697</v>
      </c>
      <c r="C107" s="56">
        <v>80.175000267481451</v>
      </c>
      <c r="E107" s="32"/>
      <c r="F107" s="31"/>
    </row>
    <row r="108" spans="1:6" x14ac:dyDescent="0.2">
      <c r="A108" s="26">
        <v>2002.03</v>
      </c>
      <c r="B108" s="55">
        <v>80.7366876909078</v>
      </c>
      <c r="C108" s="56">
        <v>81.430723602656954</v>
      </c>
      <c r="E108" s="32"/>
      <c r="F108" s="31"/>
    </row>
    <row r="109" spans="1:6" x14ac:dyDescent="0.2">
      <c r="A109" s="26">
        <v>2002.04</v>
      </c>
      <c r="B109" s="55">
        <v>82.499360549385599</v>
      </c>
      <c r="C109" s="56">
        <v>83.192003424283143</v>
      </c>
      <c r="E109" s="32"/>
      <c r="F109" s="31"/>
    </row>
    <row r="110" spans="1:6" x14ac:dyDescent="0.2">
      <c r="A110" s="26">
        <v>2002.05</v>
      </c>
      <c r="B110" s="55">
        <v>84.199725536850394</v>
      </c>
      <c r="C110" s="56">
        <v>84.55096417308674</v>
      </c>
      <c r="E110" s="32"/>
      <c r="F110" s="31"/>
    </row>
    <row r="111" spans="1:6" x14ac:dyDescent="0.2">
      <c r="A111" s="26">
        <v>2002.06</v>
      </c>
      <c r="B111" s="55">
        <v>85.426999146418197</v>
      </c>
      <c r="C111" s="56">
        <v>85.581174484284588</v>
      </c>
      <c r="E111" s="32"/>
      <c r="F111" s="31"/>
    </row>
    <row r="112" spans="1:6" x14ac:dyDescent="0.2">
      <c r="A112" s="26">
        <v>2002.07</v>
      </c>
      <c r="B112" s="55">
        <v>86.520446500986594</v>
      </c>
      <c r="C112" s="56">
        <v>86.394606198329811</v>
      </c>
      <c r="E112" s="32"/>
      <c r="F112" s="31"/>
    </row>
    <row r="113" spans="1:6" x14ac:dyDescent="0.2">
      <c r="A113" s="26">
        <v>2002.08</v>
      </c>
      <c r="B113" s="55">
        <v>87.117877851205407</v>
      </c>
      <c r="C113" s="56">
        <v>86.649982771775626</v>
      </c>
      <c r="E113" s="32"/>
      <c r="F113" s="31"/>
    </row>
    <row r="114" spans="1:6" x14ac:dyDescent="0.2">
      <c r="A114" s="26">
        <v>2002.09</v>
      </c>
      <c r="B114" s="55">
        <v>86.8012919086473</v>
      </c>
      <c r="C114" s="56">
        <v>86.640047192646549</v>
      </c>
      <c r="E114" s="32"/>
      <c r="F114" s="31"/>
    </row>
    <row r="115" spans="1:6" x14ac:dyDescent="0.2">
      <c r="A115" s="26">
        <v>2002.1</v>
      </c>
      <c r="B115" s="55">
        <v>86.319844534856102</v>
      </c>
      <c r="C115" s="56">
        <v>86.236397254678081</v>
      </c>
      <c r="E115" s="32"/>
      <c r="F115" s="31"/>
    </row>
    <row r="116" spans="1:6" x14ac:dyDescent="0.2">
      <c r="A116" s="26">
        <v>2002.11</v>
      </c>
      <c r="B116" s="55">
        <v>86.096534529450693</v>
      </c>
      <c r="C116" s="56">
        <v>86.136960432797366</v>
      </c>
      <c r="E116" s="32"/>
      <c r="F116" s="31"/>
    </row>
    <row r="117" spans="1:6" x14ac:dyDescent="0.2">
      <c r="A117" s="26">
        <v>2002.12</v>
      </c>
      <c r="B117" s="55">
        <v>86.279182582641397</v>
      </c>
      <c r="C117" s="56">
        <v>86.44415867111492</v>
      </c>
      <c r="E117" s="32"/>
      <c r="F117" s="31"/>
    </row>
    <row r="118" spans="1:6" x14ac:dyDescent="0.2">
      <c r="A118" s="26">
        <v>2003.01</v>
      </c>
      <c r="B118" s="55">
        <v>86.661229804111599</v>
      </c>
      <c r="C118" s="56">
        <v>86.557701730958954</v>
      </c>
      <c r="E118" s="32"/>
      <c r="F118" s="31"/>
    </row>
    <row r="119" spans="1:6" x14ac:dyDescent="0.2">
      <c r="A119" s="26">
        <v>2003.02</v>
      </c>
      <c r="B119" s="55">
        <v>86.603710938686604</v>
      </c>
      <c r="C119" s="56">
        <v>86.345954643142576</v>
      </c>
      <c r="E119" s="32"/>
      <c r="F119" s="31"/>
    </row>
    <row r="120" spans="1:6" x14ac:dyDescent="0.2">
      <c r="A120" s="26">
        <v>2003.03</v>
      </c>
      <c r="B120" s="55">
        <v>86.054076675837706</v>
      </c>
      <c r="C120" s="56">
        <v>86.035991603113487</v>
      </c>
      <c r="E120" s="32"/>
      <c r="F120" s="31"/>
    </row>
    <row r="121" spans="1:6" x14ac:dyDescent="0.2">
      <c r="A121" s="26">
        <v>2003.04</v>
      </c>
      <c r="B121" s="55">
        <v>85.604819652069395</v>
      </c>
      <c r="C121" s="56">
        <v>86.215014242887534</v>
      </c>
      <c r="E121" s="32"/>
      <c r="F121" s="31"/>
    </row>
    <row r="122" spans="1:6" x14ac:dyDescent="0.2">
      <c r="A122" s="26">
        <v>2003.05</v>
      </c>
      <c r="B122" s="55">
        <v>86.620413248030005</v>
      </c>
      <c r="C122" s="56">
        <v>87.563351818973004</v>
      </c>
      <c r="E122" s="32"/>
      <c r="F122" s="31"/>
    </row>
    <row r="123" spans="1:6" x14ac:dyDescent="0.2">
      <c r="A123" s="26">
        <v>2003.06</v>
      </c>
      <c r="B123" s="55">
        <v>89.103474167802801</v>
      </c>
      <c r="C123" s="56">
        <v>89.780828476186102</v>
      </c>
      <c r="E123" s="32"/>
      <c r="F123" s="31"/>
    </row>
    <row r="124" spans="1:6" x14ac:dyDescent="0.2">
      <c r="A124" s="26">
        <v>2003.07</v>
      </c>
      <c r="B124" s="55">
        <v>91.424067707126099</v>
      </c>
      <c r="C124" s="56">
        <v>91.887655867071587</v>
      </c>
      <c r="E124" s="32"/>
      <c r="F124" s="31"/>
    </row>
    <row r="125" spans="1:6" x14ac:dyDescent="0.2">
      <c r="A125" s="26">
        <v>2003.08</v>
      </c>
      <c r="B125" s="55">
        <v>93.053176742519398</v>
      </c>
      <c r="C125" s="56">
        <v>93.667206619634783</v>
      </c>
      <c r="E125" s="32"/>
      <c r="F125" s="31"/>
    </row>
    <row r="126" spans="1:6" x14ac:dyDescent="0.2">
      <c r="A126" s="26">
        <v>2003.09</v>
      </c>
      <c r="B126" s="55">
        <v>94.796095603799003</v>
      </c>
      <c r="C126" s="56">
        <v>95.451101394930674</v>
      </c>
      <c r="E126" s="32"/>
      <c r="F126" s="31"/>
    </row>
    <row r="127" spans="1:6" x14ac:dyDescent="0.2">
      <c r="A127" s="26">
        <v>2003.1</v>
      </c>
      <c r="B127" s="55">
        <v>96.886533626033597</v>
      </c>
      <c r="C127" s="56">
        <v>97.352365164757316</v>
      </c>
      <c r="E127" s="32"/>
      <c r="F127" s="31"/>
    </row>
    <row r="128" spans="1:6" x14ac:dyDescent="0.2">
      <c r="A128" s="26">
        <v>2003.11</v>
      </c>
      <c r="B128" s="55">
        <v>98.448310532870806</v>
      </c>
      <c r="C128" s="56">
        <v>98.664635188630655</v>
      </c>
      <c r="E128" s="32"/>
      <c r="F128" s="31"/>
    </row>
    <row r="129" spans="1:6" x14ac:dyDescent="0.2">
      <c r="A129" s="26">
        <v>2003.12</v>
      </c>
      <c r="B129" s="55">
        <v>99.275834589801406</v>
      </c>
      <c r="C129" s="56">
        <v>99.502670188140669</v>
      </c>
      <c r="E129" s="32"/>
      <c r="F129" s="31"/>
    </row>
    <row r="130" spans="1:6" x14ac:dyDescent="0.2">
      <c r="A130" s="26">
        <v>2004.01</v>
      </c>
      <c r="B130" s="55">
        <v>100.15290499269</v>
      </c>
      <c r="C130" s="56">
        <v>100.31741298875802</v>
      </c>
      <c r="E130" s="32"/>
      <c r="F130" s="31"/>
    </row>
    <row r="131" spans="1:6" x14ac:dyDescent="0.2">
      <c r="A131" s="26">
        <v>2004.02</v>
      </c>
      <c r="B131" s="55">
        <v>101.387688605912</v>
      </c>
      <c r="C131" s="56">
        <v>101.28006343767065</v>
      </c>
      <c r="E131" s="32"/>
      <c r="F131" s="31"/>
    </row>
    <row r="132" spans="1:6" x14ac:dyDescent="0.2">
      <c r="A132" s="26">
        <v>2004.03</v>
      </c>
      <c r="B132" s="55">
        <v>101.64541203616299</v>
      </c>
      <c r="C132" s="56">
        <v>101.62529117648803</v>
      </c>
      <c r="E132" s="32"/>
      <c r="F132" s="31"/>
    </row>
    <row r="133" spans="1:6" x14ac:dyDescent="0.2">
      <c r="A133" s="26">
        <v>2004.04</v>
      </c>
      <c r="B133" s="55">
        <v>101.322095027061</v>
      </c>
      <c r="C133" s="56">
        <v>101.73878056773522</v>
      </c>
      <c r="E133" s="32"/>
      <c r="F133" s="31"/>
    </row>
    <row r="134" spans="1:6" x14ac:dyDescent="0.2">
      <c r="A134" s="26">
        <v>2004.05</v>
      </c>
      <c r="B134" s="55">
        <v>101.44085687464499</v>
      </c>
      <c r="C134" s="56">
        <v>101.45797339955634</v>
      </c>
      <c r="E134" s="32"/>
      <c r="F134" s="31"/>
    </row>
    <row r="135" spans="1:6" x14ac:dyDescent="0.2">
      <c r="A135" s="26">
        <v>2004.06</v>
      </c>
      <c r="B135" s="55">
        <v>100.547605915519</v>
      </c>
      <c r="C135" s="56">
        <v>100.2277506000048</v>
      </c>
      <c r="E135" s="32"/>
      <c r="F135" s="31"/>
    </row>
    <row r="136" spans="1:6" x14ac:dyDescent="0.2">
      <c r="A136" s="26">
        <v>2004.07</v>
      </c>
      <c r="B136" s="55">
        <v>98.968277080309207</v>
      </c>
      <c r="C136" s="56">
        <v>99.032915346507721</v>
      </c>
      <c r="E136" s="32"/>
      <c r="F136" s="31"/>
    </row>
    <row r="137" spans="1:6" x14ac:dyDescent="0.2">
      <c r="A137" s="26">
        <v>2004.08</v>
      </c>
      <c r="B137" s="55">
        <v>98.368858984115107</v>
      </c>
      <c r="C137" s="56">
        <v>98.44718569234179</v>
      </c>
      <c r="E137" s="32"/>
      <c r="F137" s="31"/>
    </row>
    <row r="138" spans="1:6" x14ac:dyDescent="0.2">
      <c r="A138" s="26">
        <v>2004.09</v>
      </c>
      <c r="B138" s="55">
        <v>98.394183797377494</v>
      </c>
      <c r="C138" s="56">
        <v>98.368954896423858</v>
      </c>
      <c r="E138" s="32"/>
      <c r="F138" s="31"/>
    </row>
    <row r="139" spans="1:6" x14ac:dyDescent="0.2">
      <c r="A139" s="26">
        <v>2004.1</v>
      </c>
      <c r="B139" s="55">
        <v>98.535942822557402</v>
      </c>
      <c r="C139" s="56">
        <v>98.520258071079908</v>
      </c>
      <c r="E139" s="32"/>
      <c r="F139" s="31"/>
    </row>
    <row r="140" spans="1:6" x14ac:dyDescent="0.2">
      <c r="A140" s="26">
        <v>2004.11</v>
      </c>
      <c r="B140" s="55">
        <v>99.016659901989399</v>
      </c>
      <c r="C140" s="56">
        <v>99.25841978967479</v>
      </c>
      <c r="E140" s="32"/>
      <c r="F140" s="31"/>
    </row>
    <row r="141" spans="1:6" x14ac:dyDescent="0.2">
      <c r="A141" s="26">
        <v>2004.12</v>
      </c>
      <c r="B141" s="55">
        <v>100.21951396166099</v>
      </c>
      <c r="C141" s="56">
        <v>100.61365507222597</v>
      </c>
      <c r="E141" s="32"/>
      <c r="F141" s="31"/>
    </row>
    <row r="142" spans="1:6" x14ac:dyDescent="0.2">
      <c r="A142" s="26">
        <v>2005.01</v>
      </c>
      <c r="B142" s="55">
        <v>101.94493645321501</v>
      </c>
      <c r="C142" s="56">
        <v>102.10198076619589</v>
      </c>
      <c r="E142" s="32"/>
      <c r="F142" s="31"/>
    </row>
    <row r="143" spans="1:6" x14ac:dyDescent="0.2">
      <c r="A143" s="26">
        <v>2005.02</v>
      </c>
      <c r="B143" s="55">
        <v>103.597965952645</v>
      </c>
      <c r="C143" s="56">
        <v>103.66176726778355</v>
      </c>
      <c r="E143" s="32"/>
      <c r="F143" s="31"/>
    </row>
    <row r="144" spans="1:6" x14ac:dyDescent="0.2">
      <c r="A144" s="26">
        <v>2005.03</v>
      </c>
      <c r="B144" s="55">
        <v>104.659540708618</v>
      </c>
      <c r="C144" s="56">
        <v>104.73352630107492</v>
      </c>
      <c r="E144" s="32"/>
      <c r="F144" s="31"/>
    </row>
    <row r="145" spans="1:6" x14ac:dyDescent="0.2">
      <c r="A145" s="26">
        <v>2005.04</v>
      </c>
      <c r="B145" s="55">
        <v>104.654720145076</v>
      </c>
      <c r="C145" s="56">
        <v>104.98292659412773</v>
      </c>
      <c r="E145" s="32"/>
      <c r="F145" s="31"/>
    </row>
    <row r="146" spans="1:6" x14ac:dyDescent="0.2">
      <c r="A146" s="26">
        <v>2005.05</v>
      </c>
      <c r="B146" s="55">
        <v>104.16140569413101</v>
      </c>
      <c r="C146" s="56">
        <v>105.01540704475327</v>
      </c>
      <c r="E146" s="32"/>
      <c r="F146" s="31"/>
    </row>
    <row r="147" spans="1:6" x14ac:dyDescent="0.2">
      <c r="A147" s="26">
        <v>2005.06</v>
      </c>
      <c r="B147" s="55">
        <v>104.76205671032</v>
      </c>
      <c r="C147" s="56">
        <v>105.83349753149446</v>
      </c>
      <c r="E147" s="32"/>
      <c r="F147" s="31"/>
    </row>
    <row r="148" spans="1:6" x14ac:dyDescent="0.2">
      <c r="A148" s="26">
        <v>2005.07</v>
      </c>
      <c r="B148" s="55">
        <v>106.189284796873</v>
      </c>
      <c r="C148" s="56">
        <v>106.71784329954075</v>
      </c>
      <c r="E148" s="32"/>
      <c r="F148" s="31"/>
    </row>
    <row r="149" spans="1:6" x14ac:dyDescent="0.2">
      <c r="A149" s="26">
        <v>2005.08</v>
      </c>
      <c r="B149" s="55">
        <v>107.30672127715</v>
      </c>
      <c r="C149" s="56">
        <v>107.70433784412586</v>
      </c>
      <c r="E149" s="32"/>
      <c r="F149" s="31"/>
    </row>
    <row r="150" spans="1:6" x14ac:dyDescent="0.2">
      <c r="A150" s="26">
        <v>2005.09</v>
      </c>
      <c r="B150" s="55">
        <v>108.27611646257699</v>
      </c>
      <c r="C150" s="56">
        <v>108.37360936853986</v>
      </c>
      <c r="E150" s="32"/>
      <c r="F150" s="31"/>
    </row>
    <row r="151" spans="1:6" x14ac:dyDescent="0.2">
      <c r="A151" s="26">
        <v>2005.1</v>
      </c>
      <c r="B151" s="55">
        <v>108.920019099488</v>
      </c>
      <c r="C151" s="56">
        <v>108.97198878157853</v>
      </c>
      <c r="E151" s="32"/>
      <c r="F151" s="31"/>
    </row>
    <row r="152" spans="1:6" x14ac:dyDescent="0.2">
      <c r="A152" s="26">
        <v>2005.11</v>
      </c>
      <c r="B152" s="55">
        <v>109.710493487183</v>
      </c>
      <c r="C152" s="56">
        <v>109.42071637278356</v>
      </c>
      <c r="E152" s="32"/>
      <c r="F152" s="31"/>
    </row>
    <row r="153" spans="1:6" x14ac:dyDescent="0.2">
      <c r="A153" s="26">
        <v>2005.12</v>
      </c>
      <c r="B153" s="55">
        <v>110.599588722017</v>
      </c>
      <c r="C153" s="56">
        <v>109.19186416307319</v>
      </c>
      <c r="E153" s="32"/>
      <c r="F153" s="31"/>
    </row>
    <row r="154" spans="1:6" x14ac:dyDescent="0.2">
      <c r="A154" s="26">
        <v>2006.01</v>
      </c>
      <c r="B154" s="55">
        <v>109.73156415457299</v>
      </c>
      <c r="C154" s="56">
        <v>108.69778032015695</v>
      </c>
      <c r="E154" s="32"/>
      <c r="F154" s="31"/>
    </row>
    <row r="155" spans="1:6" x14ac:dyDescent="0.2">
      <c r="A155" s="26">
        <v>2006.02</v>
      </c>
      <c r="B155" s="55">
        <v>108.144615375256</v>
      </c>
      <c r="C155" s="56">
        <v>107.59826010489938</v>
      </c>
      <c r="E155" s="32"/>
      <c r="F155" s="31"/>
    </row>
    <row r="156" spans="1:6" x14ac:dyDescent="0.2">
      <c r="A156" s="26">
        <v>2006.03</v>
      </c>
      <c r="B156" s="55">
        <v>107.469302553462</v>
      </c>
      <c r="C156" s="56">
        <v>107.29368914989776</v>
      </c>
      <c r="E156" s="32"/>
      <c r="F156" s="31"/>
    </row>
    <row r="157" spans="1:6" x14ac:dyDescent="0.2">
      <c r="A157" s="26">
        <v>2006.04</v>
      </c>
      <c r="B157" s="55">
        <v>106.808832089909</v>
      </c>
      <c r="C157" s="56">
        <v>107.4066794772386</v>
      </c>
      <c r="E157" s="32"/>
      <c r="F157" s="31"/>
    </row>
    <row r="158" spans="1:6" x14ac:dyDescent="0.2">
      <c r="A158" s="26">
        <v>2006.05</v>
      </c>
      <c r="B158" s="55">
        <v>106.8255174591</v>
      </c>
      <c r="C158" s="56">
        <v>108.20497009985577</v>
      </c>
      <c r="E158" s="32"/>
      <c r="F158" s="31"/>
    </row>
    <row r="159" spans="1:6" x14ac:dyDescent="0.2">
      <c r="A159" s="26">
        <v>2006.06</v>
      </c>
      <c r="B159" s="55">
        <v>108.510523126946</v>
      </c>
      <c r="C159" s="56">
        <v>109.41342291270757</v>
      </c>
      <c r="E159" s="32"/>
      <c r="F159" s="31"/>
    </row>
    <row r="160" spans="1:6" x14ac:dyDescent="0.2">
      <c r="A160" s="26">
        <v>2006.07</v>
      </c>
      <c r="B160" s="55">
        <v>110.256983562944</v>
      </c>
      <c r="C160" s="56">
        <v>110.75803837759565</v>
      </c>
      <c r="E160" s="32"/>
      <c r="F160" s="31"/>
    </row>
    <row r="161" spans="1:6" x14ac:dyDescent="0.2">
      <c r="A161" s="26">
        <v>2006.08</v>
      </c>
      <c r="B161" s="55">
        <v>111.08845657474799</v>
      </c>
      <c r="C161" s="56">
        <v>111.28580402331077</v>
      </c>
      <c r="E161" s="32"/>
      <c r="F161" s="31"/>
    </row>
    <row r="162" spans="1:6" x14ac:dyDescent="0.2">
      <c r="A162" s="26">
        <v>2006.09</v>
      </c>
      <c r="B162" s="55">
        <v>111.364750512122</v>
      </c>
      <c r="C162" s="56">
        <v>111.11089677457754</v>
      </c>
      <c r="E162" s="32"/>
      <c r="F162" s="31"/>
    </row>
    <row r="163" spans="1:6" x14ac:dyDescent="0.2">
      <c r="A163" s="26">
        <v>2006.1</v>
      </c>
      <c r="B163" s="55">
        <v>110.850785173961</v>
      </c>
      <c r="C163" s="56">
        <v>110.25421634211766</v>
      </c>
      <c r="E163" s="32"/>
      <c r="F163" s="31"/>
    </row>
    <row r="164" spans="1:6" x14ac:dyDescent="0.2">
      <c r="A164" s="26">
        <v>2006.11</v>
      </c>
      <c r="B164" s="55">
        <v>109.641462185942</v>
      </c>
      <c r="C164" s="56">
        <v>109.21821737001248</v>
      </c>
      <c r="E164" s="32"/>
      <c r="F164" s="31"/>
    </row>
    <row r="165" spans="1:6" x14ac:dyDescent="0.2">
      <c r="A165" s="26">
        <v>2006.12</v>
      </c>
      <c r="B165" s="55">
        <v>108.833577191396</v>
      </c>
      <c r="C165" s="56">
        <v>108.63234100684851</v>
      </c>
      <c r="E165" s="32"/>
      <c r="F165" s="31"/>
    </row>
    <row r="166" spans="1:6" x14ac:dyDescent="0.2">
      <c r="A166" s="26">
        <v>2007.01</v>
      </c>
      <c r="B166" s="55">
        <v>108.983078058705</v>
      </c>
      <c r="C166" s="56">
        <v>108.71460384493712</v>
      </c>
      <c r="E166" s="32"/>
      <c r="F166" s="31"/>
    </row>
    <row r="167" spans="1:6" x14ac:dyDescent="0.2">
      <c r="A167" s="26">
        <v>2007.02</v>
      </c>
      <c r="B167" s="55">
        <v>109.544377221004</v>
      </c>
      <c r="C167" s="56">
        <v>109.40797738006796</v>
      </c>
      <c r="E167" s="32"/>
      <c r="F167" s="31"/>
    </row>
    <row r="168" spans="1:6" x14ac:dyDescent="0.2">
      <c r="A168" s="26">
        <v>2007.03</v>
      </c>
      <c r="B168" s="55">
        <v>109.885310116867</v>
      </c>
      <c r="C168" s="56">
        <v>109.93087587950247</v>
      </c>
      <c r="E168" s="32"/>
      <c r="F168" s="31"/>
    </row>
    <row r="169" spans="1:6" x14ac:dyDescent="0.2">
      <c r="A169" s="26">
        <v>2007.04</v>
      </c>
      <c r="B169" s="55">
        <v>109.909492038221</v>
      </c>
      <c r="C169" s="56">
        <v>110.19051430769258</v>
      </c>
      <c r="E169" s="32"/>
      <c r="F169" s="31"/>
    </row>
    <row r="170" spans="1:6" x14ac:dyDescent="0.2">
      <c r="A170" s="26">
        <v>2007.05</v>
      </c>
      <c r="B170" s="55">
        <v>109.970081862878</v>
      </c>
      <c r="C170" s="56">
        <v>110.13910920227909</v>
      </c>
      <c r="E170" s="32"/>
      <c r="F170" s="31"/>
    </row>
    <row r="171" spans="1:6" x14ac:dyDescent="0.2">
      <c r="A171" s="26">
        <v>2007.06</v>
      </c>
      <c r="B171" s="55">
        <v>109.510230701865</v>
      </c>
      <c r="C171" s="56">
        <v>109.50373419348348</v>
      </c>
      <c r="E171" s="32"/>
      <c r="F171" s="31"/>
    </row>
    <row r="172" spans="1:6" x14ac:dyDescent="0.2">
      <c r="A172" s="26">
        <v>2007.07</v>
      </c>
      <c r="B172" s="55">
        <v>108.497102152789</v>
      </c>
      <c r="C172" s="56">
        <v>108.87760288791087</v>
      </c>
      <c r="E172" s="32"/>
      <c r="F172" s="31"/>
    </row>
    <row r="173" spans="1:6" x14ac:dyDescent="0.2">
      <c r="A173" s="26">
        <v>2007.08</v>
      </c>
      <c r="B173" s="55">
        <v>108.60259646155799</v>
      </c>
      <c r="C173" s="56">
        <v>109.42488448115948</v>
      </c>
      <c r="E173" s="32"/>
      <c r="F173" s="31"/>
    </row>
    <row r="174" spans="1:6" x14ac:dyDescent="0.2">
      <c r="A174" s="26">
        <v>2007.09</v>
      </c>
      <c r="B174" s="55">
        <v>110.20319849696899</v>
      </c>
      <c r="C174" s="56">
        <v>111.07552871160361</v>
      </c>
      <c r="E174" s="32"/>
      <c r="F174" s="31"/>
    </row>
    <row r="175" spans="1:6" x14ac:dyDescent="0.2">
      <c r="A175" s="26">
        <v>2007.1</v>
      </c>
      <c r="B175" s="55">
        <v>112.96199744226401</v>
      </c>
      <c r="C175" s="56">
        <v>113.3293603619922</v>
      </c>
      <c r="E175" s="32"/>
      <c r="F175" s="31"/>
    </row>
    <row r="176" spans="1:6" x14ac:dyDescent="0.2">
      <c r="A176" s="26">
        <v>2007.11</v>
      </c>
      <c r="B176" s="55">
        <v>115.494629326443</v>
      </c>
      <c r="C176" s="56">
        <v>114.59357342944709</v>
      </c>
      <c r="E176" s="32"/>
      <c r="F176" s="31"/>
    </row>
    <row r="177" spans="1:6" x14ac:dyDescent="0.2">
      <c r="A177" s="26">
        <v>2007.12</v>
      </c>
      <c r="B177" s="55">
        <v>116.203737240373</v>
      </c>
      <c r="C177" s="56">
        <v>115.49239105740342</v>
      </c>
      <c r="E177" s="33"/>
      <c r="F177" s="31"/>
    </row>
    <row r="178" spans="1:6" x14ac:dyDescent="0.2">
      <c r="A178" s="26">
        <f t="shared" ref="A178:A241" si="0">A166+1</f>
        <v>2008.01</v>
      </c>
      <c r="B178" s="55">
        <v>115.947140771623</v>
      </c>
      <c r="C178" s="56">
        <v>115.30418106013417</v>
      </c>
      <c r="E178" s="32"/>
      <c r="F178" s="31"/>
    </row>
    <row r="179" spans="1:6" x14ac:dyDescent="0.2">
      <c r="A179" s="26">
        <f t="shared" si="0"/>
        <v>2008.02</v>
      </c>
      <c r="B179" s="55">
        <v>115.042501620669</v>
      </c>
      <c r="C179" s="56">
        <v>114.70263773479179</v>
      </c>
      <c r="E179" s="32"/>
      <c r="F179" s="31"/>
    </row>
    <row r="180" spans="1:6" x14ac:dyDescent="0.2">
      <c r="A180" s="26">
        <f t="shared" si="0"/>
        <v>2008.03</v>
      </c>
      <c r="B180" s="55">
        <v>113.782678354475</v>
      </c>
      <c r="C180" s="56">
        <v>113.79893240847548</v>
      </c>
      <c r="E180" s="32"/>
      <c r="F180" s="31"/>
    </row>
    <row r="181" spans="1:6" x14ac:dyDescent="0.2">
      <c r="A181" s="26">
        <f t="shared" si="0"/>
        <v>2008.04</v>
      </c>
      <c r="B181" s="55">
        <v>112.94729342653901</v>
      </c>
      <c r="C181" s="56">
        <v>113.01103392774792</v>
      </c>
      <c r="E181" s="32"/>
      <c r="F181" s="31"/>
    </row>
    <row r="182" spans="1:6" x14ac:dyDescent="0.2">
      <c r="A182" s="26">
        <f t="shared" si="0"/>
        <v>2008.05</v>
      </c>
      <c r="B182" s="55">
        <v>112.28512708288601</v>
      </c>
      <c r="C182" s="56">
        <v>112.51894503036003</v>
      </c>
      <c r="E182" s="32"/>
      <c r="F182" s="31"/>
    </row>
    <row r="183" spans="1:6" x14ac:dyDescent="0.2">
      <c r="A183" s="26">
        <f t="shared" si="0"/>
        <v>2008.06</v>
      </c>
      <c r="B183" s="55">
        <v>112.251542069549</v>
      </c>
      <c r="C183" s="56">
        <v>112.57439282814175</v>
      </c>
      <c r="E183" s="32"/>
      <c r="F183" s="31"/>
    </row>
    <row r="184" spans="1:6" x14ac:dyDescent="0.2">
      <c r="A184" s="26">
        <f t="shared" si="0"/>
        <v>2008.07</v>
      </c>
      <c r="B184" s="55">
        <v>112.859558424829</v>
      </c>
      <c r="C184" s="56">
        <v>112.94304862214042</v>
      </c>
      <c r="E184" s="32"/>
      <c r="F184" s="31"/>
    </row>
    <row r="185" spans="1:6" x14ac:dyDescent="0.2">
      <c r="A185" s="26">
        <f t="shared" si="0"/>
        <v>2008.08</v>
      </c>
      <c r="B185" s="55">
        <v>113.05857651127801</v>
      </c>
      <c r="C185" s="56">
        <v>112.82475078542143</v>
      </c>
      <c r="E185" s="32"/>
      <c r="F185" s="31"/>
    </row>
    <row r="186" spans="1:6" x14ac:dyDescent="0.2">
      <c r="A186" s="26">
        <f t="shared" si="0"/>
        <v>2008.09</v>
      </c>
      <c r="B186" s="55">
        <v>111.964610327618</v>
      </c>
      <c r="C186" s="56">
        <v>111.86801812302718</v>
      </c>
      <c r="E186" s="32"/>
      <c r="F186" s="31"/>
    </row>
    <row r="187" spans="1:6" x14ac:dyDescent="0.2">
      <c r="A187" s="26">
        <f t="shared" si="0"/>
        <v>2008.1</v>
      </c>
      <c r="B187" s="55">
        <v>110.421015892597</v>
      </c>
      <c r="C187" s="56">
        <v>110.68121876547006</v>
      </c>
      <c r="E187" s="32"/>
      <c r="F187" s="31"/>
    </row>
    <row r="188" spans="1:6" x14ac:dyDescent="0.2">
      <c r="A188" s="26">
        <f t="shared" si="0"/>
        <v>2008.11</v>
      </c>
      <c r="B188" s="55">
        <v>109.601631228239</v>
      </c>
      <c r="C188" s="56">
        <v>109.82287052997971</v>
      </c>
      <c r="E188" s="32"/>
      <c r="F188" s="31"/>
    </row>
    <row r="189" spans="1:6" x14ac:dyDescent="0.2">
      <c r="A189" s="26">
        <f t="shared" si="0"/>
        <v>2008.12</v>
      </c>
      <c r="B189" s="55">
        <v>109.08812650603601</v>
      </c>
      <c r="C189" s="56">
        <v>109.29988428132829</v>
      </c>
      <c r="E189" s="33"/>
      <c r="F189" s="31"/>
    </row>
    <row r="190" spans="1:6" x14ac:dyDescent="0.2">
      <c r="A190" s="26">
        <f t="shared" si="0"/>
        <v>2009.01</v>
      </c>
      <c r="B190" s="55">
        <v>109.295608266269</v>
      </c>
      <c r="C190" s="56">
        <v>109.07536853649574</v>
      </c>
      <c r="E190" s="32"/>
      <c r="F190" s="31"/>
    </row>
    <row r="191" spans="1:6" x14ac:dyDescent="0.2">
      <c r="A191" s="26">
        <f t="shared" si="0"/>
        <v>2009.02</v>
      </c>
      <c r="B191" s="55">
        <v>109.255543823796</v>
      </c>
      <c r="C191" s="56">
        <v>108.79501736211809</v>
      </c>
      <c r="E191" s="32"/>
      <c r="F191" s="31"/>
    </row>
    <row r="192" spans="1:6" x14ac:dyDescent="0.2">
      <c r="A192" s="26">
        <f t="shared" si="0"/>
        <v>2009.03</v>
      </c>
      <c r="B192" s="55">
        <v>108.236795266963</v>
      </c>
      <c r="C192" s="56">
        <v>108.23102466047152</v>
      </c>
      <c r="E192" s="32"/>
      <c r="F192" s="31"/>
    </row>
    <row r="193" spans="1:6" x14ac:dyDescent="0.2">
      <c r="A193" s="26">
        <f t="shared" si="0"/>
        <v>2009.04</v>
      </c>
      <c r="B193" s="55">
        <v>107.831456680011</v>
      </c>
      <c r="C193" s="56">
        <v>107.62629867156497</v>
      </c>
      <c r="E193" s="32"/>
      <c r="F193" s="31"/>
    </row>
    <row r="194" spans="1:6" x14ac:dyDescent="0.2">
      <c r="A194" s="26">
        <f t="shared" si="0"/>
        <v>2009.05</v>
      </c>
      <c r="B194" s="55">
        <v>107.20611976314299</v>
      </c>
      <c r="C194" s="56">
        <v>106.92201314675188</v>
      </c>
      <c r="E194" s="32"/>
      <c r="F194" s="31"/>
    </row>
    <row r="195" spans="1:6" x14ac:dyDescent="0.2">
      <c r="A195" s="26">
        <f t="shared" si="0"/>
        <v>2009.06</v>
      </c>
      <c r="B195" s="55">
        <v>105.925853034106</v>
      </c>
      <c r="C195" s="56">
        <v>106.05370755659908</v>
      </c>
      <c r="E195" s="32"/>
      <c r="F195" s="31"/>
    </row>
    <row r="196" spans="1:6" x14ac:dyDescent="0.2">
      <c r="A196" s="26">
        <f t="shared" si="0"/>
        <v>2009.07</v>
      </c>
      <c r="B196" s="55">
        <v>104.97301766235501</v>
      </c>
      <c r="C196" s="56">
        <v>104.97562869942391</v>
      </c>
      <c r="E196" s="32"/>
      <c r="F196" s="31"/>
    </row>
    <row r="197" spans="1:6" x14ac:dyDescent="0.2">
      <c r="A197" s="26">
        <f t="shared" si="0"/>
        <v>2009.08</v>
      </c>
      <c r="B197" s="55">
        <v>103.44003459767001</v>
      </c>
      <c r="C197" s="56">
        <v>103.9414032416642</v>
      </c>
      <c r="E197" s="32"/>
      <c r="F197" s="31"/>
    </row>
    <row r="198" spans="1:6" x14ac:dyDescent="0.2">
      <c r="A198" s="26">
        <f t="shared" si="0"/>
        <v>2009.09</v>
      </c>
      <c r="B198" s="55">
        <v>102.29164358107801</v>
      </c>
      <c r="C198" s="56">
        <v>103.48885831372786</v>
      </c>
      <c r="E198" s="32"/>
      <c r="F198" s="31"/>
    </row>
    <row r="199" spans="1:6" x14ac:dyDescent="0.2">
      <c r="A199" s="26">
        <f t="shared" si="0"/>
        <v>2009.1</v>
      </c>
      <c r="B199" s="55">
        <v>103.09735508390401</v>
      </c>
      <c r="C199" s="56">
        <v>103.70304999024164</v>
      </c>
      <c r="E199" s="32"/>
      <c r="F199" s="31"/>
    </row>
    <row r="200" spans="1:6" x14ac:dyDescent="0.2">
      <c r="A200" s="26">
        <f t="shared" si="0"/>
        <v>2009.11</v>
      </c>
      <c r="B200" s="55">
        <v>104.22128687379799</v>
      </c>
      <c r="C200" s="56">
        <v>104.48421522328883</v>
      </c>
      <c r="E200" s="32"/>
      <c r="F200" s="31"/>
    </row>
    <row r="201" spans="1:6" x14ac:dyDescent="0.2">
      <c r="A201" s="26">
        <f t="shared" si="0"/>
        <v>2009.12</v>
      </c>
      <c r="B201" s="55">
        <v>105.169237508273</v>
      </c>
      <c r="C201" s="56">
        <v>105.32906921682108</v>
      </c>
      <c r="E201" s="33"/>
      <c r="F201" s="31"/>
    </row>
    <row r="202" spans="1:6" x14ac:dyDescent="0.2">
      <c r="A202" s="26">
        <f t="shared" si="0"/>
        <v>2010.01</v>
      </c>
      <c r="B202" s="55">
        <v>105.90790329768301</v>
      </c>
      <c r="C202" s="56">
        <v>105.89046852487995</v>
      </c>
      <c r="E202" s="32"/>
      <c r="F202" s="31"/>
    </row>
    <row r="203" spans="1:6" x14ac:dyDescent="0.2">
      <c r="A203" s="26">
        <f t="shared" si="0"/>
        <v>2010.02</v>
      </c>
      <c r="B203" s="55">
        <v>106.58330901142099</v>
      </c>
      <c r="C203" s="56">
        <v>106.70385803485146</v>
      </c>
      <c r="E203" s="32"/>
      <c r="F203" s="31"/>
    </row>
    <row r="204" spans="1:6" x14ac:dyDescent="0.2">
      <c r="A204" s="26">
        <f t="shared" si="0"/>
        <v>2010.03</v>
      </c>
      <c r="B204" s="55">
        <v>108.45584201688401</v>
      </c>
      <c r="C204" s="56">
        <v>108.35075667620372</v>
      </c>
      <c r="E204" s="32"/>
      <c r="F204" s="31"/>
    </row>
    <row r="205" spans="1:6" x14ac:dyDescent="0.2">
      <c r="A205" s="26">
        <f t="shared" si="0"/>
        <v>2010.04</v>
      </c>
      <c r="B205" s="55">
        <v>111.179525961636</v>
      </c>
      <c r="C205" s="56">
        <v>110.50193570469619</v>
      </c>
      <c r="E205" s="32"/>
      <c r="F205" s="31"/>
    </row>
    <row r="206" spans="1:6" x14ac:dyDescent="0.2">
      <c r="A206" s="26">
        <f t="shared" si="0"/>
        <v>2010.05</v>
      </c>
      <c r="B206" s="55">
        <v>113.075618149337</v>
      </c>
      <c r="C206" s="56">
        <v>112.33443877220262</v>
      </c>
      <c r="E206" s="32"/>
      <c r="F206" s="31"/>
    </row>
    <row r="207" spans="1:6" x14ac:dyDescent="0.2">
      <c r="A207" s="26">
        <f t="shared" si="0"/>
        <v>2010.06</v>
      </c>
      <c r="B207" s="55">
        <v>113.610154372254</v>
      </c>
      <c r="C207" s="56">
        <v>113.56685649544366</v>
      </c>
      <c r="E207" s="32"/>
      <c r="F207" s="31"/>
    </row>
    <row r="208" spans="1:6" x14ac:dyDescent="0.2">
      <c r="A208" s="26">
        <f t="shared" si="0"/>
        <v>2010.07</v>
      </c>
      <c r="B208" s="55">
        <v>114.2791611472</v>
      </c>
      <c r="C208" s="56">
        <v>114.4449452006523</v>
      </c>
      <c r="E208" s="32"/>
      <c r="F208" s="31"/>
    </row>
    <row r="209" spans="1:6" x14ac:dyDescent="0.2">
      <c r="A209" s="26">
        <f t="shared" si="0"/>
        <v>2010.08</v>
      </c>
      <c r="B209" s="55">
        <v>115.08264116644401</v>
      </c>
      <c r="C209" s="56">
        <v>114.84569275608033</v>
      </c>
      <c r="E209" s="32"/>
      <c r="F209" s="31"/>
    </row>
    <row r="210" spans="1:6" x14ac:dyDescent="0.2">
      <c r="A210" s="26">
        <f t="shared" si="0"/>
        <v>2010.09</v>
      </c>
      <c r="B210" s="55">
        <v>114.667393615346</v>
      </c>
      <c r="C210" s="56">
        <v>114.50997890628162</v>
      </c>
      <c r="E210" s="32"/>
      <c r="F210" s="31"/>
    </row>
    <row r="211" spans="1:6" x14ac:dyDescent="0.2">
      <c r="A211" s="26">
        <f t="shared" si="0"/>
        <v>2010.1</v>
      </c>
      <c r="B211" s="55">
        <v>113.57664524784001</v>
      </c>
      <c r="C211" s="56">
        <v>113.76843570259692</v>
      </c>
      <c r="E211" s="32"/>
      <c r="F211" s="31"/>
    </row>
    <row r="212" spans="1:6" x14ac:dyDescent="0.2">
      <c r="A212" s="26">
        <f t="shared" si="0"/>
        <v>2010.11</v>
      </c>
      <c r="B212" s="55">
        <v>112.470257793691</v>
      </c>
      <c r="C212" s="56">
        <v>113.09745364345059</v>
      </c>
      <c r="E212" s="32"/>
      <c r="F212" s="31"/>
    </row>
    <row r="213" spans="1:6" x14ac:dyDescent="0.2">
      <c r="A213" s="26">
        <f t="shared" si="0"/>
        <v>2010.12</v>
      </c>
      <c r="B213" s="55">
        <v>112.07890306234</v>
      </c>
      <c r="C213" s="56">
        <v>112.90545772011643</v>
      </c>
      <c r="E213" s="33"/>
      <c r="F213" s="31"/>
    </row>
    <row r="214" spans="1:6" x14ac:dyDescent="0.2">
      <c r="A214" s="26">
        <f t="shared" si="0"/>
        <v>2011.01</v>
      </c>
      <c r="B214" s="55">
        <v>113.063135216459</v>
      </c>
      <c r="C214" s="56">
        <v>113.32897179153949</v>
      </c>
      <c r="E214" s="32"/>
      <c r="F214" s="31"/>
    </row>
    <row r="215" spans="1:6" x14ac:dyDescent="0.2">
      <c r="A215" s="26">
        <f t="shared" si="0"/>
        <v>2011.02</v>
      </c>
      <c r="B215" s="55">
        <v>114.29065945278001</v>
      </c>
      <c r="C215" s="56">
        <v>114.16649572508729</v>
      </c>
      <c r="E215" s="32"/>
      <c r="F215" s="31"/>
    </row>
    <row r="216" spans="1:6" x14ac:dyDescent="0.2">
      <c r="A216" s="26">
        <f t="shared" si="0"/>
        <v>2011.03</v>
      </c>
      <c r="B216" s="55">
        <v>115.38229022060899</v>
      </c>
      <c r="C216" s="56">
        <v>115.02882449754611</v>
      </c>
      <c r="E216" s="32"/>
      <c r="F216" s="31"/>
    </row>
    <row r="217" spans="1:6" x14ac:dyDescent="0.2">
      <c r="A217" s="26">
        <f t="shared" si="0"/>
        <v>2011.04</v>
      </c>
      <c r="B217" s="55">
        <v>116.42168489893101</v>
      </c>
      <c r="C217" s="56">
        <v>115.52085059444397</v>
      </c>
      <c r="E217" s="32"/>
      <c r="F217" s="31"/>
    </row>
    <row r="218" spans="1:6" x14ac:dyDescent="0.2">
      <c r="A218" s="26">
        <f t="shared" si="0"/>
        <v>2011.05</v>
      </c>
      <c r="B218" s="55">
        <v>116.234133481382</v>
      </c>
      <c r="C218" s="56">
        <v>115.5154423387059</v>
      </c>
      <c r="E218" s="32"/>
      <c r="F218" s="31"/>
    </row>
    <row r="219" spans="1:6" x14ac:dyDescent="0.2">
      <c r="A219" s="26">
        <f t="shared" si="0"/>
        <v>2011.06</v>
      </c>
      <c r="B219" s="55">
        <v>115.23928641322399</v>
      </c>
      <c r="C219" s="56">
        <v>115.2243755210049</v>
      </c>
      <c r="E219" s="32"/>
      <c r="F219" s="31"/>
    </row>
    <row r="220" spans="1:6" x14ac:dyDescent="0.2">
      <c r="A220" s="26">
        <f t="shared" si="0"/>
        <v>2011.07</v>
      </c>
      <c r="B220" s="55">
        <v>114.83599516193</v>
      </c>
      <c r="C220" s="56">
        <v>115.23859747026358</v>
      </c>
      <c r="E220" s="32"/>
      <c r="F220" s="31"/>
    </row>
    <row r="221" spans="1:6" x14ac:dyDescent="0.2">
      <c r="A221" s="26">
        <f t="shared" si="0"/>
        <v>2011.08</v>
      </c>
      <c r="B221" s="55">
        <v>115.75755631139801</v>
      </c>
      <c r="C221" s="56">
        <v>115.9519780509106</v>
      </c>
      <c r="E221" s="32"/>
      <c r="F221" s="31"/>
    </row>
    <row r="222" spans="1:6" x14ac:dyDescent="0.2">
      <c r="A222" s="26">
        <f t="shared" si="0"/>
        <v>2011.09</v>
      </c>
      <c r="B222" s="55">
        <v>117.437285839582</v>
      </c>
      <c r="C222" s="56">
        <v>117.00610639431682</v>
      </c>
      <c r="E222" s="32"/>
      <c r="F222" s="31"/>
    </row>
    <row r="223" spans="1:6" x14ac:dyDescent="0.2">
      <c r="A223" s="26">
        <f t="shared" si="0"/>
        <v>2011.1</v>
      </c>
      <c r="B223" s="55">
        <v>117.68884578553499</v>
      </c>
      <c r="C223" s="56">
        <v>117.70791778286127</v>
      </c>
      <c r="E223" s="32"/>
      <c r="F223" s="31"/>
    </row>
    <row r="224" spans="1:6" x14ac:dyDescent="0.2">
      <c r="A224" s="26">
        <f t="shared" si="0"/>
        <v>2011.11</v>
      </c>
      <c r="B224" s="55">
        <v>117.43767907913799</v>
      </c>
      <c r="C224" s="56">
        <v>117.93385022624796</v>
      </c>
      <c r="E224" s="32"/>
      <c r="F224" s="31"/>
    </row>
    <row r="225" spans="1:6" x14ac:dyDescent="0.2">
      <c r="A225" s="26">
        <f t="shared" si="0"/>
        <v>2011.12</v>
      </c>
      <c r="B225" s="55">
        <v>117.596884348282</v>
      </c>
      <c r="C225" s="56">
        <v>117.89250677534305</v>
      </c>
      <c r="E225" s="33"/>
      <c r="F225" s="31"/>
    </row>
    <row r="226" spans="1:6" x14ac:dyDescent="0.2">
      <c r="A226" s="26">
        <f t="shared" si="0"/>
        <v>2012.01</v>
      </c>
      <c r="B226" s="55">
        <v>117.267383850664</v>
      </c>
      <c r="C226" s="56">
        <v>117.50598774231477</v>
      </c>
      <c r="E226" s="32"/>
      <c r="F226" s="31"/>
    </row>
    <row r="227" spans="1:6" x14ac:dyDescent="0.2">
      <c r="A227" s="26">
        <f t="shared" si="0"/>
        <v>2012.02</v>
      </c>
      <c r="B227" s="55">
        <v>116.841325542132</v>
      </c>
      <c r="C227" s="56">
        <v>116.51368064778416</v>
      </c>
      <c r="E227" s="32"/>
      <c r="F227" s="31"/>
    </row>
    <row r="228" spans="1:6" x14ac:dyDescent="0.2">
      <c r="A228" s="26">
        <f t="shared" si="0"/>
        <v>2012.03</v>
      </c>
      <c r="B228" s="55">
        <v>114.950282556454</v>
      </c>
      <c r="C228" s="56">
        <v>114.44077413530719</v>
      </c>
      <c r="E228" s="32"/>
      <c r="F228" s="31"/>
    </row>
    <row r="229" spans="1:6" x14ac:dyDescent="0.2">
      <c r="A229" s="26">
        <f t="shared" si="0"/>
        <v>2012.04</v>
      </c>
      <c r="B229" s="55">
        <v>111.53213379527701</v>
      </c>
      <c r="C229" s="56">
        <v>111.47835395725869</v>
      </c>
      <c r="E229" s="32"/>
      <c r="F229" s="31"/>
    </row>
    <row r="230" spans="1:6" x14ac:dyDescent="0.2">
      <c r="A230" s="26">
        <f t="shared" si="0"/>
        <v>2012.05</v>
      </c>
      <c r="B230" s="55">
        <v>109.065903067628</v>
      </c>
      <c r="C230" s="56">
        <v>108.81851877755261</v>
      </c>
      <c r="E230" s="32"/>
      <c r="F230" s="31"/>
    </row>
    <row r="231" spans="1:6" x14ac:dyDescent="0.2">
      <c r="A231" s="26">
        <f t="shared" si="0"/>
        <v>2012.06</v>
      </c>
      <c r="B231" s="55">
        <v>107.29879723652201</v>
      </c>
      <c r="C231" s="56">
        <v>107.12279621383111</v>
      </c>
      <c r="E231" s="32"/>
      <c r="F231" s="31"/>
    </row>
    <row r="232" spans="1:6" x14ac:dyDescent="0.2">
      <c r="A232" s="26">
        <f t="shared" si="0"/>
        <v>2012.07</v>
      </c>
      <c r="B232" s="55">
        <v>105.954879015827</v>
      </c>
      <c r="C232" s="56">
        <v>106.28885872818591</v>
      </c>
      <c r="E232" s="32"/>
      <c r="F232" s="31"/>
    </row>
    <row r="233" spans="1:6" x14ac:dyDescent="0.2">
      <c r="A233" s="26">
        <f t="shared" si="0"/>
        <v>2012.08</v>
      </c>
      <c r="B233" s="55">
        <v>106.074797270953</v>
      </c>
      <c r="C233" s="56">
        <v>106.24765008720672</v>
      </c>
      <c r="E233" s="32"/>
      <c r="F233" s="31"/>
    </row>
    <row r="234" spans="1:6" x14ac:dyDescent="0.2">
      <c r="A234" s="26">
        <f t="shared" si="0"/>
        <v>2012.09</v>
      </c>
      <c r="B234" s="55">
        <v>106.997899662207</v>
      </c>
      <c r="C234" s="56">
        <v>106.75035342130028</v>
      </c>
      <c r="E234" s="32"/>
      <c r="F234" s="31"/>
    </row>
    <row r="235" spans="1:6" x14ac:dyDescent="0.2">
      <c r="A235" s="26">
        <f t="shared" si="0"/>
        <v>2012.1</v>
      </c>
      <c r="B235" s="55">
        <v>107.32390781977099</v>
      </c>
      <c r="C235" s="56">
        <v>107.31566837511204</v>
      </c>
      <c r="E235" s="32"/>
      <c r="F235" s="31"/>
    </row>
    <row r="236" spans="1:6" x14ac:dyDescent="0.2">
      <c r="A236" s="26">
        <f t="shared" si="0"/>
        <v>2012.11</v>
      </c>
      <c r="B236" s="55">
        <v>107.359850700883</v>
      </c>
      <c r="C236" s="56">
        <v>107.78383451101784</v>
      </c>
      <c r="E236" s="32"/>
      <c r="F236" s="31"/>
    </row>
    <row r="237" spans="1:6" x14ac:dyDescent="0.2">
      <c r="A237" s="26">
        <f t="shared" si="0"/>
        <v>2012.12</v>
      </c>
      <c r="B237" s="55">
        <v>107.832168269807</v>
      </c>
      <c r="C237" s="56">
        <v>108.13725007016686</v>
      </c>
      <c r="E237" s="33"/>
      <c r="F237" s="31"/>
    </row>
    <row r="238" spans="1:6" x14ac:dyDescent="0.2">
      <c r="A238" s="26">
        <f t="shared" si="0"/>
        <v>2013.01</v>
      </c>
      <c r="B238" s="55">
        <v>107.88751884111301</v>
      </c>
      <c r="C238" s="56">
        <v>108.47366479378586</v>
      </c>
      <c r="E238" s="32"/>
      <c r="F238" s="31"/>
    </row>
    <row r="239" spans="1:6" x14ac:dyDescent="0.2">
      <c r="A239" s="26">
        <f t="shared" si="0"/>
        <v>2013.02</v>
      </c>
      <c r="B239" s="55">
        <v>107.954757221892</v>
      </c>
      <c r="C239" s="56">
        <v>109.04778139465147</v>
      </c>
      <c r="E239" s="32"/>
      <c r="F239" s="31"/>
    </row>
    <row r="240" spans="1:6" x14ac:dyDescent="0.2">
      <c r="A240" s="26">
        <f t="shared" si="0"/>
        <v>2013.03</v>
      </c>
      <c r="B240" s="55">
        <v>109.750545341362</v>
      </c>
      <c r="C240" s="56">
        <v>110.18910433692423</v>
      </c>
      <c r="E240" s="32"/>
      <c r="F240" s="31"/>
    </row>
    <row r="241" spans="1:6" x14ac:dyDescent="0.2">
      <c r="A241" s="26">
        <f t="shared" si="0"/>
        <v>2013.04</v>
      </c>
      <c r="B241" s="55">
        <v>112.309567490417</v>
      </c>
      <c r="C241" s="56">
        <v>111.95018600315713</v>
      </c>
      <c r="E241" s="32"/>
      <c r="F241" s="31"/>
    </row>
    <row r="242" spans="1:6" x14ac:dyDescent="0.2">
      <c r="A242" s="26">
        <f t="shared" ref="A242:A305" si="1">A230+1</f>
        <v>2013.05</v>
      </c>
      <c r="B242" s="55">
        <v>114.005508984868</v>
      </c>
      <c r="C242" s="56">
        <v>113.58612996582177</v>
      </c>
      <c r="E242" s="32"/>
      <c r="F242" s="31"/>
    </row>
    <row r="243" spans="1:6" x14ac:dyDescent="0.2">
      <c r="A243" s="26">
        <f t="shared" si="1"/>
        <v>2013.06</v>
      </c>
      <c r="B243" s="55">
        <v>115.25465986069401</v>
      </c>
      <c r="C243" s="56">
        <v>114.58848683022539</v>
      </c>
      <c r="E243" s="32"/>
      <c r="F243" s="31"/>
    </row>
    <row r="244" spans="1:6" x14ac:dyDescent="0.2">
      <c r="A244" s="26">
        <f t="shared" si="1"/>
        <v>2013.07</v>
      </c>
      <c r="B244" s="55">
        <v>115.58353966823999</v>
      </c>
      <c r="C244" s="56">
        <v>114.81419795960727</v>
      </c>
      <c r="E244" s="32"/>
      <c r="F244" s="31"/>
    </row>
    <row r="245" spans="1:6" x14ac:dyDescent="0.2">
      <c r="A245" s="26">
        <f t="shared" si="1"/>
        <v>2013.08</v>
      </c>
      <c r="B245" s="55">
        <v>114.421944645948</v>
      </c>
      <c r="C245" s="56">
        <v>114.13043205583782</v>
      </c>
      <c r="E245" s="32"/>
      <c r="F245" s="31"/>
    </row>
    <row r="246" spans="1:6" x14ac:dyDescent="0.2">
      <c r="A246" s="26">
        <f t="shared" si="1"/>
        <v>2013.09</v>
      </c>
      <c r="B246" s="55">
        <v>113.024626610978</v>
      </c>
      <c r="C246" s="56">
        <v>112.97200197324317</v>
      </c>
      <c r="E246" s="32"/>
      <c r="F246" s="31"/>
    </row>
    <row r="247" spans="1:6" x14ac:dyDescent="0.2">
      <c r="A247" s="26">
        <f t="shared" si="1"/>
        <v>2013.1</v>
      </c>
      <c r="B247" s="55">
        <v>111.993696363518</v>
      </c>
      <c r="C247" s="56">
        <v>112.00256295865285</v>
      </c>
      <c r="E247" s="32"/>
      <c r="F247" s="31"/>
    </row>
    <row r="248" spans="1:6" x14ac:dyDescent="0.2">
      <c r="A248" s="26">
        <f t="shared" si="1"/>
        <v>2013.11</v>
      </c>
      <c r="B248" s="55">
        <v>111.05425825525199</v>
      </c>
      <c r="C248" s="56">
        <v>111.1705287571538</v>
      </c>
      <c r="E248" s="32"/>
      <c r="F248" s="31"/>
    </row>
    <row r="249" spans="1:6" x14ac:dyDescent="0.2">
      <c r="A249" s="26">
        <f t="shared" si="1"/>
        <v>2013.12</v>
      </c>
      <c r="B249" s="55">
        <v>109.70519808734601</v>
      </c>
      <c r="C249" s="56">
        <v>110.28913888854794</v>
      </c>
      <c r="E249" s="33"/>
      <c r="F249" s="31"/>
    </row>
    <row r="250" spans="1:6" x14ac:dyDescent="0.2">
      <c r="A250" s="26">
        <f t="shared" si="1"/>
        <v>2014.01</v>
      </c>
      <c r="B250" s="55">
        <v>108.504732601604</v>
      </c>
      <c r="C250" s="56">
        <v>109.71941816085931</v>
      </c>
      <c r="E250" s="32"/>
      <c r="F250" s="31"/>
    </row>
    <row r="251" spans="1:6" x14ac:dyDescent="0.2">
      <c r="A251" s="26">
        <f t="shared" si="1"/>
        <v>2014.02</v>
      </c>
      <c r="B251" s="55">
        <v>108.78184917088799</v>
      </c>
      <c r="C251" s="56">
        <v>109.68565964809427</v>
      </c>
      <c r="E251" s="32"/>
      <c r="F251" s="31"/>
    </row>
    <row r="252" spans="1:6" x14ac:dyDescent="0.2">
      <c r="A252" s="26">
        <f t="shared" si="1"/>
        <v>2014.03</v>
      </c>
      <c r="B252" s="55">
        <v>110.047740991284</v>
      </c>
      <c r="C252" s="56">
        <v>110.1877903082103</v>
      </c>
      <c r="E252" s="32"/>
      <c r="F252" s="31"/>
    </row>
    <row r="253" spans="1:6" x14ac:dyDescent="0.2">
      <c r="A253" s="26">
        <f t="shared" si="1"/>
        <v>2014.04</v>
      </c>
      <c r="B253" s="55">
        <v>110.992235948453</v>
      </c>
      <c r="C253" s="56">
        <v>110.93633780492652</v>
      </c>
      <c r="E253" s="32"/>
      <c r="F253" s="31"/>
    </row>
    <row r="254" spans="1:6" x14ac:dyDescent="0.2">
      <c r="A254" s="26">
        <f t="shared" si="1"/>
        <v>2014.05</v>
      </c>
      <c r="B254" s="55">
        <v>111.77011425537999</v>
      </c>
      <c r="C254" s="56">
        <v>111.50287715552864</v>
      </c>
      <c r="E254" s="32"/>
      <c r="F254" s="31"/>
    </row>
    <row r="255" spans="1:6" x14ac:dyDescent="0.2">
      <c r="A255" s="26">
        <f t="shared" si="1"/>
        <v>2014.06</v>
      </c>
      <c r="B255" s="55">
        <v>112.308137745214</v>
      </c>
      <c r="C255" s="56">
        <v>111.85094814899264</v>
      </c>
      <c r="E255" s="32"/>
      <c r="F255" s="31"/>
    </row>
    <row r="256" spans="1:6" x14ac:dyDescent="0.2">
      <c r="A256" s="26">
        <f t="shared" si="1"/>
        <v>2014.07</v>
      </c>
      <c r="B256" s="55">
        <v>112.030176692605</v>
      </c>
      <c r="C256" s="56">
        <v>111.9827823523386</v>
      </c>
      <c r="E256" s="32"/>
      <c r="F256" s="31"/>
    </row>
    <row r="257" spans="1:6" x14ac:dyDescent="0.2">
      <c r="A257" s="26">
        <f t="shared" si="1"/>
        <v>2014.08</v>
      </c>
      <c r="B257" s="55">
        <v>111.84931020136401</v>
      </c>
      <c r="C257" s="56">
        <v>111.87315905385144</v>
      </c>
      <c r="E257" s="32"/>
      <c r="F257" s="31"/>
    </row>
    <row r="258" spans="1:6" x14ac:dyDescent="0.2">
      <c r="A258" s="26">
        <f t="shared" si="1"/>
        <v>2014.09</v>
      </c>
      <c r="B258" s="55">
        <v>111.863905187803</v>
      </c>
      <c r="C258" s="56">
        <v>111.69424071743776</v>
      </c>
      <c r="E258" s="32"/>
      <c r="F258" s="31"/>
    </row>
    <row r="259" spans="1:6" x14ac:dyDescent="0.2">
      <c r="A259" s="26">
        <f t="shared" si="1"/>
        <v>2014.1</v>
      </c>
      <c r="B259" s="55">
        <v>111.562676549608</v>
      </c>
      <c r="C259" s="56">
        <v>111.54047973972088</v>
      </c>
      <c r="E259" s="32"/>
      <c r="F259" s="31"/>
    </row>
    <row r="260" spans="1:6" x14ac:dyDescent="0.2">
      <c r="A260" s="26">
        <f t="shared" si="1"/>
        <v>2014.11</v>
      </c>
      <c r="B260" s="55">
        <v>111.321585954817</v>
      </c>
      <c r="C260" s="56">
        <v>111.53932264981624</v>
      </c>
      <c r="E260" s="32"/>
      <c r="F260" s="31"/>
    </row>
    <row r="261" spans="1:6" x14ac:dyDescent="0.2">
      <c r="A261" s="26">
        <f t="shared" si="1"/>
        <v>2014.12</v>
      </c>
      <c r="B261" s="55">
        <v>111.476574113152</v>
      </c>
      <c r="C261" s="56">
        <v>111.79730578370585</v>
      </c>
      <c r="E261" s="33"/>
      <c r="F261" s="31"/>
    </row>
    <row r="262" spans="1:6" x14ac:dyDescent="0.2">
      <c r="A262" s="26">
        <f t="shared" si="1"/>
        <v>2015.01</v>
      </c>
      <c r="B262" s="55">
        <v>112.16477316423401</v>
      </c>
      <c r="C262" s="56">
        <v>112.02497656137778</v>
      </c>
      <c r="E262" s="32"/>
      <c r="F262" s="31"/>
    </row>
    <row r="263" spans="1:6" x14ac:dyDescent="0.2">
      <c r="A263" s="26">
        <f t="shared" si="1"/>
        <v>2015.02</v>
      </c>
      <c r="B263" s="55">
        <v>111.990742543732</v>
      </c>
      <c r="C263" s="56">
        <v>112.21468545023441</v>
      </c>
      <c r="E263" s="32"/>
      <c r="F263" s="31"/>
    </row>
    <row r="264" spans="1:6" x14ac:dyDescent="0.2">
      <c r="A264" s="26">
        <f t="shared" si="1"/>
        <v>2015.03</v>
      </c>
      <c r="B264" s="55">
        <v>111.79967071878499</v>
      </c>
      <c r="C264" s="56">
        <v>112.74236599982292</v>
      </c>
      <c r="E264" s="32"/>
      <c r="F264" s="31"/>
    </row>
    <row r="265" spans="1:6" x14ac:dyDescent="0.2">
      <c r="A265" s="26">
        <f t="shared" si="1"/>
        <v>2015.04</v>
      </c>
      <c r="B265" s="55">
        <v>113.329915993038</v>
      </c>
      <c r="C265" s="56">
        <v>113.73101730653707</v>
      </c>
      <c r="E265" s="32"/>
      <c r="F265" s="31"/>
    </row>
    <row r="266" spans="1:6" x14ac:dyDescent="0.2">
      <c r="A266" s="26">
        <f t="shared" si="1"/>
        <v>2015.05</v>
      </c>
      <c r="B266" s="55">
        <v>115.21544601680399</v>
      </c>
      <c r="C266" s="56">
        <v>114.99654218328479</v>
      </c>
      <c r="E266" s="32"/>
      <c r="F266" s="31"/>
    </row>
    <row r="267" spans="1:6" x14ac:dyDescent="0.2">
      <c r="A267" s="26">
        <f t="shared" si="1"/>
        <v>2015.06</v>
      </c>
      <c r="B267" s="55">
        <v>116.362686129529</v>
      </c>
      <c r="C267" s="56">
        <v>115.95671833043508</v>
      </c>
      <c r="E267" s="32"/>
      <c r="F267" s="31"/>
    </row>
    <row r="268" spans="1:6" x14ac:dyDescent="0.2">
      <c r="A268" s="26">
        <f t="shared" si="1"/>
        <v>2015.07</v>
      </c>
      <c r="B268" s="55">
        <v>116.27477787288301</v>
      </c>
      <c r="C268" s="56">
        <v>116.22087073367544</v>
      </c>
      <c r="E268" s="32"/>
      <c r="F268" s="31"/>
    </row>
    <row r="269" spans="1:6" x14ac:dyDescent="0.2">
      <c r="A269" s="26">
        <f t="shared" si="1"/>
        <v>2015.08</v>
      </c>
      <c r="B269" s="55">
        <v>115.868448767975</v>
      </c>
      <c r="C269" s="56">
        <v>116.03648025227577</v>
      </c>
      <c r="E269" s="32"/>
      <c r="F269" s="31"/>
    </row>
    <row r="270" spans="1:6" x14ac:dyDescent="0.2">
      <c r="A270" s="26">
        <f t="shared" si="1"/>
        <v>2015.09</v>
      </c>
      <c r="B270" s="55">
        <v>115.852051674051</v>
      </c>
      <c r="C270" s="56">
        <v>115.74946902863047</v>
      </c>
      <c r="E270" s="32"/>
      <c r="F270" s="31"/>
    </row>
    <row r="271" spans="1:6" x14ac:dyDescent="0.2">
      <c r="A271" s="26">
        <f t="shared" si="1"/>
        <v>2015.1</v>
      </c>
      <c r="B271" s="55">
        <v>115.441459722792</v>
      </c>
      <c r="C271" s="56">
        <v>115.26125480059136</v>
      </c>
      <c r="E271" s="32"/>
      <c r="F271" s="31"/>
    </row>
    <row r="272" spans="1:6" x14ac:dyDescent="0.2">
      <c r="A272" s="26">
        <f t="shared" si="1"/>
        <v>2015.11</v>
      </c>
      <c r="B272" s="55">
        <v>114.535751312534</v>
      </c>
      <c r="C272" s="56">
        <v>114.56476521572147</v>
      </c>
      <c r="E272" s="32"/>
      <c r="F272" s="31"/>
    </row>
    <row r="273" spans="1:6" x14ac:dyDescent="0.2">
      <c r="A273" s="26">
        <f t="shared" si="1"/>
        <v>2015.12</v>
      </c>
      <c r="B273" s="55">
        <v>113.80203632537101</v>
      </c>
      <c r="C273" s="56">
        <v>113.90684942973542</v>
      </c>
      <c r="E273" s="32"/>
      <c r="F273" s="31"/>
    </row>
    <row r="274" spans="1:6" x14ac:dyDescent="0.2">
      <c r="A274" s="26">
        <f t="shared" si="1"/>
        <v>2016.01</v>
      </c>
      <c r="B274" s="55">
        <v>113.473777764125</v>
      </c>
      <c r="C274" s="56">
        <v>113.31744446741982</v>
      </c>
      <c r="E274" s="32"/>
      <c r="F274" s="31"/>
    </row>
    <row r="275" spans="1:6" x14ac:dyDescent="0.2">
      <c r="A275" s="26">
        <f t="shared" si="1"/>
        <v>2016.02</v>
      </c>
      <c r="B275" s="55">
        <v>112.940033553711</v>
      </c>
      <c r="C275" s="56">
        <v>112.48790295717782</v>
      </c>
      <c r="E275" s="32"/>
      <c r="F275" s="31"/>
    </row>
    <row r="276" spans="1:6" x14ac:dyDescent="0.2">
      <c r="A276" s="26">
        <f t="shared" si="1"/>
        <v>2016.03</v>
      </c>
      <c r="B276" s="55">
        <v>111.19110751133</v>
      </c>
      <c r="C276" s="56">
        <v>110.88555471277954</v>
      </c>
      <c r="E276" s="32"/>
      <c r="F276" s="31"/>
    </row>
    <row r="277" spans="1:6" x14ac:dyDescent="0.2">
      <c r="A277" s="26">
        <f t="shared" si="1"/>
        <v>2016.04</v>
      </c>
      <c r="B277" s="55">
        <v>108.42014425093301</v>
      </c>
      <c r="C277" s="56">
        <v>108.74808404787255</v>
      </c>
      <c r="E277" s="32"/>
      <c r="F277" s="31"/>
    </row>
    <row r="278" spans="1:6" x14ac:dyDescent="0.2">
      <c r="A278" s="26">
        <f t="shared" si="1"/>
        <v>2016.05</v>
      </c>
      <c r="B278" s="55">
        <v>106.558260867812</v>
      </c>
      <c r="C278" s="56">
        <v>107.1857399090259</v>
      </c>
      <c r="E278" s="33"/>
      <c r="F278" s="31"/>
    </row>
    <row r="279" spans="1:6" x14ac:dyDescent="0.2">
      <c r="A279" s="26">
        <f t="shared" si="1"/>
        <v>2016.06</v>
      </c>
      <c r="B279" s="55">
        <v>105.80979587109</v>
      </c>
      <c r="C279" s="56">
        <v>106.77576867138646</v>
      </c>
      <c r="E279" s="32"/>
      <c r="F279" s="31"/>
    </row>
    <row r="280" spans="1:6" x14ac:dyDescent="0.2">
      <c r="A280" s="26">
        <f t="shared" si="1"/>
        <v>2016.07</v>
      </c>
      <c r="B280" s="55">
        <v>106.747723642463</v>
      </c>
      <c r="C280" s="56">
        <v>107.39284074217046</v>
      </c>
      <c r="E280" s="33"/>
      <c r="F280" s="31"/>
    </row>
    <row r="281" spans="1:6" x14ac:dyDescent="0.2">
      <c r="A281" s="26">
        <f t="shared" si="1"/>
        <v>2016.08</v>
      </c>
      <c r="B281" s="55">
        <v>108.65581980437599</v>
      </c>
      <c r="C281" s="56">
        <v>108.52251704615321</v>
      </c>
      <c r="E281" s="32"/>
      <c r="F281" s="31"/>
    </row>
    <row r="282" spans="1:6" x14ac:dyDescent="0.2">
      <c r="A282" s="26">
        <f t="shared" si="1"/>
        <v>2016.09</v>
      </c>
      <c r="B282" s="55">
        <v>109.29075706847701</v>
      </c>
      <c r="C282" s="56">
        <v>109.36038440640705</v>
      </c>
      <c r="E282" s="32"/>
      <c r="F282" s="31"/>
    </row>
    <row r="283" spans="1:6" x14ac:dyDescent="0.2">
      <c r="A283" s="26">
        <f t="shared" si="1"/>
        <v>2016.1</v>
      </c>
      <c r="B283" s="55">
        <v>110.035972277003</v>
      </c>
      <c r="C283" s="56">
        <v>110.01073312707283</v>
      </c>
      <c r="E283" s="32"/>
      <c r="F283" s="31"/>
    </row>
    <row r="284" spans="1:6" x14ac:dyDescent="0.2">
      <c r="A284" s="26">
        <f t="shared" si="1"/>
        <v>2016.11</v>
      </c>
      <c r="B284" s="55">
        <v>111.944959861309</v>
      </c>
      <c r="C284" s="56">
        <v>110.52481593329655</v>
      </c>
      <c r="E284" s="32"/>
      <c r="F284" s="31"/>
    </row>
    <row r="285" spans="1:6" x14ac:dyDescent="0.2">
      <c r="A285" s="26">
        <f t="shared" si="1"/>
        <v>2016.12</v>
      </c>
      <c r="B285" s="55">
        <v>112.375368516842</v>
      </c>
      <c r="C285" s="56">
        <v>110.44527410028627</v>
      </c>
      <c r="E285" s="32"/>
      <c r="F285" s="31"/>
    </row>
    <row r="286" spans="1:6" x14ac:dyDescent="0.2">
      <c r="A286" s="26">
        <f t="shared" si="1"/>
        <v>2017.01</v>
      </c>
      <c r="B286" s="55">
        <v>110.574770893558</v>
      </c>
      <c r="C286" s="56">
        <v>109.97781671463103</v>
      </c>
      <c r="E286" s="32"/>
      <c r="F286" s="31"/>
    </row>
    <row r="287" spans="1:6" x14ac:dyDescent="0.2">
      <c r="A287" s="26">
        <f t="shared" si="1"/>
        <v>2017.02</v>
      </c>
      <c r="B287" s="55">
        <v>109.591063393434</v>
      </c>
      <c r="C287" s="56">
        <v>109.53350402642212</v>
      </c>
      <c r="E287" s="32"/>
      <c r="F287" s="31"/>
    </row>
    <row r="288" spans="1:6" x14ac:dyDescent="0.2">
      <c r="A288" s="26">
        <f t="shared" si="1"/>
        <v>2017.03</v>
      </c>
      <c r="B288" s="55">
        <v>109.66866707302199</v>
      </c>
      <c r="C288" s="56">
        <v>109.61183742153068</v>
      </c>
      <c r="E288" s="32"/>
      <c r="F288" s="31"/>
    </row>
    <row r="289" spans="1:6" x14ac:dyDescent="0.2">
      <c r="A289" s="26">
        <f t="shared" si="1"/>
        <v>2017.04</v>
      </c>
      <c r="B289" s="55">
        <v>110.090810799883</v>
      </c>
      <c r="C289" s="56">
        <v>110.21859120300491</v>
      </c>
      <c r="E289" s="32"/>
      <c r="F289" s="31"/>
    </row>
    <row r="290" spans="1:6" x14ac:dyDescent="0.2">
      <c r="A290" s="26">
        <f t="shared" si="1"/>
        <v>2017.05</v>
      </c>
      <c r="B290" s="55">
        <v>110.441440252428</v>
      </c>
      <c r="C290" s="56">
        <v>110.43455561872005</v>
      </c>
      <c r="E290" s="32"/>
      <c r="F290" s="31"/>
    </row>
    <row r="291" spans="1:6" x14ac:dyDescent="0.2">
      <c r="A291" s="26">
        <f t="shared" si="1"/>
        <v>2017.06</v>
      </c>
      <c r="B291" s="55">
        <v>109.539013138741</v>
      </c>
      <c r="C291" s="56">
        <v>109.82617131246172</v>
      </c>
      <c r="E291" s="32"/>
      <c r="F291" s="31"/>
    </row>
    <row r="292" spans="1:6" x14ac:dyDescent="0.2">
      <c r="A292" s="26">
        <f t="shared" si="1"/>
        <v>2017.07</v>
      </c>
      <c r="B292" s="55">
        <v>108.471407741764</v>
      </c>
      <c r="C292" s="56">
        <v>109.05155374966702</v>
      </c>
      <c r="E292" s="32"/>
      <c r="F292" s="31"/>
    </row>
    <row r="293" spans="1:6" x14ac:dyDescent="0.2">
      <c r="A293" s="26">
        <f t="shared" si="1"/>
        <v>2017.08</v>
      </c>
      <c r="B293" s="55">
        <v>108.171354737516</v>
      </c>
      <c r="C293" s="56">
        <v>108.72980244438048</v>
      </c>
      <c r="E293" s="32"/>
      <c r="F293" s="31"/>
    </row>
    <row r="294" spans="1:6" x14ac:dyDescent="0.2">
      <c r="A294" s="26">
        <f t="shared" si="1"/>
        <v>2017.09</v>
      </c>
      <c r="B294" s="55">
        <v>108.831133752811</v>
      </c>
      <c r="C294" s="56">
        <v>108.94055588051393</v>
      </c>
      <c r="E294" s="32"/>
      <c r="F294" s="31"/>
    </row>
    <row r="295" spans="1:6" x14ac:dyDescent="0.2">
      <c r="A295" s="26">
        <f t="shared" si="1"/>
        <v>2017.1</v>
      </c>
      <c r="B295" s="55">
        <v>109.661994368534</v>
      </c>
      <c r="C295" s="56">
        <v>109.41407053084215</v>
      </c>
      <c r="E295" s="32"/>
      <c r="F295" s="31"/>
    </row>
    <row r="296" spans="1:6" x14ac:dyDescent="0.2">
      <c r="A296" s="26">
        <f t="shared" si="1"/>
        <v>2017.11</v>
      </c>
      <c r="B296" s="55">
        <v>110.10530675287799</v>
      </c>
      <c r="C296" s="56">
        <v>110.17349293142615</v>
      </c>
      <c r="E296" s="32"/>
      <c r="F296" s="31"/>
    </row>
    <row r="297" spans="1:6" x14ac:dyDescent="0.2">
      <c r="A297" s="26">
        <f t="shared" si="1"/>
        <v>2017.12</v>
      </c>
      <c r="B297" s="55">
        <v>111.601396311195</v>
      </c>
      <c r="C297" s="56">
        <v>111.4037162142201</v>
      </c>
      <c r="E297" s="32"/>
      <c r="F297" s="31"/>
    </row>
    <row r="298" spans="1:6" x14ac:dyDescent="0.2">
      <c r="A298" s="26">
        <f t="shared" si="1"/>
        <v>2018.01</v>
      </c>
      <c r="B298" s="55">
        <v>113.219581559145</v>
      </c>
      <c r="C298" s="56">
        <v>112.62865091506644</v>
      </c>
      <c r="E298" s="32"/>
      <c r="F298" s="31"/>
    </row>
    <row r="299" spans="1:6" x14ac:dyDescent="0.2">
      <c r="A299" s="26">
        <f t="shared" si="1"/>
        <v>2018.02</v>
      </c>
      <c r="B299" s="55">
        <v>113.930084052141</v>
      </c>
      <c r="C299" s="56">
        <v>113.45896053631481</v>
      </c>
      <c r="E299" s="32"/>
      <c r="F299" s="31"/>
    </row>
    <row r="300" spans="1:6" x14ac:dyDescent="0.2">
      <c r="A300" s="26">
        <f t="shared" si="1"/>
        <v>2018.03</v>
      </c>
      <c r="B300" s="55">
        <v>114.360774252346</v>
      </c>
      <c r="C300" s="56">
        <v>113.68237459417499</v>
      </c>
      <c r="E300" s="32"/>
      <c r="F300" s="31"/>
    </row>
    <row r="301" spans="1:6" x14ac:dyDescent="0.2">
      <c r="A301" s="26">
        <f t="shared" si="1"/>
        <v>2018.04</v>
      </c>
      <c r="B301" s="55">
        <v>112.943089120156</v>
      </c>
      <c r="C301" s="56">
        <v>112.82693963887722</v>
      </c>
      <c r="E301" s="32"/>
      <c r="F301" s="31"/>
    </row>
    <row r="302" spans="1:6" x14ac:dyDescent="0.2">
      <c r="A302" s="26">
        <f t="shared" si="1"/>
        <v>2018.05</v>
      </c>
      <c r="B302" s="55">
        <v>110.484414536706</v>
      </c>
      <c r="C302" s="56">
        <v>111.19603027523681</v>
      </c>
      <c r="E302" s="32"/>
      <c r="F302" s="31"/>
    </row>
    <row r="303" spans="1:6" x14ac:dyDescent="0.2">
      <c r="A303" s="26">
        <f t="shared" si="1"/>
        <v>2018.06</v>
      </c>
      <c r="B303" s="55">
        <v>109.29830389232301</v>
      </c>
      <c r="C303" s="56">
        <v>109.68369594158617</v>
      </c>
      <c r="E303" s="32"/>
      <c r="F303" s="31"/>
    </row>
    <row r="304" spans="1:6" x14ac:dyDescent="0.2">
      <c r="A304" s="26">
        <f t="shared" si="1"/>
        <v>2018.07</v>
      </c>
      <c r="B304" s="55">
        <v>108.137528511225</v>
      </c>
      <c r="C304" s="56">
        <v>108.34809498819328</v>
      </c>
      <c r="E304" s="32"/>
      <c r="F304" s="31"/>
    </row>
    <row r="305" spans="1:7" x14ac:dyDescent="0.2">
      <c r="A305" s="26">
        <f t="shared" si="1"/>
        <v>2018.08</v>
      </c>
      <c r="B305" s="55">
        <v>106.626685022161</v>
      </c>
      <c r="C305" s="56">
        <v>107.07516437514371</v>
      </c>
      <c r="E305" s="32"/>
      <c r="F305" s="31"/>
    </row>
    <row r="306" spans="1:7" x14ac:dyDescent="0.2">
      <c r="A306" s="26">
        <f t="shared" ref="A306:A369" si="2">A294+1</f>
        <v>2018.09</v>
      </c>
      <c r="B306" s="55">
        <v>106.12621719894101</v>
      </c>
      <c r="C306" s="56">
        <v>106.34915737129923</v>
      </c>
      <c r="E306" s="32"/>
      <c r="F306" s="31"/>
    </row>
    <row r="307" spans="1:7" x14ac:dyDescent="0.2">
      <c r="A307" s="26">
        <f t="shared" si="2"/>
        <v>2018.1</v>
      </c>
      <c r="B307" s="55">
        <v>106.49694646859101</v>
      </c>
      <c r="C307" s="56">
        <v>106.21477578215499</v>
      </c>
      <c r="E307" s="32"/>
      <c r="F307" s="31"/>
    </row>
    <row r="308" spans="1:7" x14ac:dyDescent="0.2">
      <c r="A308" s="26">
        <f t="shared" si="2"/>
        <v>2018.11</v>
      </c>
      <c r="B308" s="55">
        <v>106.37220669415601</v>
      </c>
      <c r="C308" s="56">
        <v>106.13415679256603</v>
      </c>
      <c r="E308" s="32"/>
      <c r="F308" s="31"/>
    </row>
    <row r="309" spans="1:7" x14ac:dyDescent="0.2">
      <c r="A309" s="26">
        <f t="shared" si="2"/>
        <v>2018.12</v>
      </c>
      <c r="B309" s="55">
        <v>105.976337261157</v>
      </c>
      <c r="C309" s="56">
        <v>105.88151987843689</v>
      </c>
      <c r="E309" s="33"/>
      <c r="F309" s="31"/>
      <c r="G309" s="28"/>
    </row>
    <row r="310" spans="1:7" ht="14.25" x14ac:dyDescent="0.2">
      <c r="A310" s="26">
        <f t="shared" si="2"/>
        <v>2019.01</v>
      </c>
      <c r="B310" s="55">
        <v>105.926806245416</v>
      </c>
      <c r="C310" s="56">
        <v>105.59434220817066</v>
      </c>
      <c r="E310" s="35"/>
      <c r="F310" s="36"/>
    </row>
    <row r="311" spans="1:7" ht="14.25" x14ac:dyDescent="0.2">
      <c r="A311" s="26">
        <f t="shared" si="2"/>
        <v>2019.02</v>
      </c>
      <c r="B311" s="55">
        <v>105.745220546244</v>
      </c>
      <c r="C311" s="56">
        <v>105.46713319082707</v>
      </c>
      <c r="E311" s="35"/>
      <c r="F311" s="36"/>
    </row>
    <row r="312" spans="1:7" ht="14.25" x14ac:dyDescent="0.2">
      <c r="A312" s="26">
        <f t="shared" si="2"/>
        <v>2019.03</v>
      </c>
      <c r="B312" s="55">
        <v>105.744205438591</v>
      </c>
      <c r="C312" s="56">
        <v>105.66339351466688</v>
      </c>
      <c r="E312" s="35"/>
      <c r="F312" s="36"/>
    </row>
    <row r="313" spans="1:7" ht="14.25" x14ac:dyDescent="0.2">
      <c r="A313" s="26">
        <f t="shared" si="2"/>
        <v>2019.04</v>
      </c>
      <c r="B313" s="55">
        <v>106.06891826317801</v>
      </c>
      <c r="C313" s="56">
        <v>106.32185674831966</v>
      </c>
      <c r="E313" s="35"/>
      <c r="F313" s="36"/>
    </row>
    <row r="314" spans="1:7" ht="14.25" x14ac:dyDescent="0.2">
      <c r="A314" s="26">
        <f t="shared" si="2"/>
        <v>2019.05</v>
      </c>
      <c r="B314" s="55">
        <v>106.95636812945899</v>
      </c>
      <c r="C314" s="56">
        <v>107.52879609705036</v>
      </c>
      <c r="E314" s="35"/>
      <c r="F314" s="36"/>
    </row>
    <row r="315" spans="1:7" ht="14.25" x14ac:dyDescent="0.2">
      <c r="A315" s="26">
        <f t="shared" si="2"/>
        <v>2019.06</v>
      </c>
      <c r="B315" s="55">
        <v>108.771790896149</v>
      </c>
      <c r="C315" s="56">
        <v>109.06348306810111</v>
      </c>
      <c r="E315" s="35"/>
      <c r="F315" s="36"/>
    </row>
    <row r="316" spans="1:7" ht="14.25" x14ac:dyDescent="0.2">
      <c r="A316" s="26">
        <f t="shared" si="2"/>
        <v>2019.07</v>
      </c>
      <c r="B316" s="55">
        <v>110.462413870604</v>
      </c>
      <c r="C316" s="56">
        <v>110.45412625738902</v>
      </c>
      <c r="E316" s="35"/>
      <c r="F316" s="36"/>
    </row>
    <row r="317" spans="1:7" ht="14.25" x14ac:dyDescent="0.2">
      <c r="A317" s="26">
        <f t="shared" si="2"/>
        <v>2019.08</v>
      </c>
      <c r="B317" s="55">
        <v>111.339612980666</v>
      </c>
      <c r="C317" s="56">
        <v>111.35985314525435</v>
      </c>
      <c r="E317" s="35"/>
      <c r="F317" s="36"/>
    </row>
    <row r="318" spans="1:7" ht="14.25" x14ac:dyDescent="0.2">
      <c r="A318" s="26">
        <f t="shared" si="2"/>
        <v>2019.09</v>
      </c>
      <c r="B318" s="55">
        <v>111.905396812964</v>
      </c>
      <c r="C318" s="56">
        <v>111.73173037304845</v>
      </c>
      <c r="E318" s="35"/>
      <c r="F318" s="36"/>
    </row>
    <row r="319" spans="1:7" ht="14.25" x14ac:dyDescent="0.2">
      <c r="A319" s="26">
        <f t="shared" si="2"/>
        <v>2019.1</v>
      </c>
      <c r="B319" s="55">
        <v>111.934227726129</v>
      </c>
      <c r="C319" s="56">
        <v>111.42535149564371</v>
      </c>
      <c r="E319" s="35"/>
      <c r="F319" s="36"/>
    </row>
    <row r="320" spans="1:7" ht="14.25" x14ac:dyDescent="0.2">
      <c r="A320" s="26">
        <f t="shared" si="2"/>
        <v>2019.11</v>
      </c>
      <c r="B320" s="55">
        <v>110.413231450296</v>
      </c>
      <c r="C320" s="56">
        <v>110.20335459448694</v>
      </c>
      <c r="E320" s="35"/>
      <c r="F320" s="36"/>
    </row>
    <row r="321" spans="1:7" ht="14.25" x14ac:dyDescent="0.2">
      <c r="A321" s="26">
        <f t="shared" si="2"/>
        <v>2019.12</v>
      </c>
      <c r="B321" s="55">
        <v>108.39009148957599</v>
      </c>
      <c r="C321" s="56">
        <v>108.54288788222885</v>
      </c>
      <c r="E321" s="38"/>
      <c r="F321" s="36"/>
      <c r="G321" s="34"/>
    </row>
    <row r="322" spans="1:7" x14ac:dyDescent="0.2">
      <c r="A322" s="26">
        <f t="shared" si="2"/>
        <v>2020.01</v>
      </c>
      <c r="B322" s="55">
        <v>107.306817174386</v>
      </c>
      <c r="C322" s="56">
        <v>107.18468369615438</v>
      </c>
      <c r="E322" s="37"/>
      <c r="F322" s="37"/>
    </row>
    <row r="323" spans="1:7" x14ac:dyDescent="0.2">
      <c r="A323" s="26">
        <f t="shared" si="2"/>
        <v>2020.02</v>
      </c>
      <c r="B323" s="55">
        <v>106.33140645489701</v>
      </c>
      <c r="C323" s="56">
        <v>106.01526148092307</v>
      </c>
    </row>
    <row r="324" spans="1:7" x14ac:dyDescent="0.2">
      <c r="A324" s="26">
        <f t="shared" si="2"/>
        <v>2020.03</v>
      </c>
      <c r="B324" s="55">
        <v>104.76533479448101</v>
      </c>
      <c r="C324" s="56">
        <v>104.927702033899</v>
      </c>
    </row>
    <row r="325" spans="1:7" x14ac:dyDescent="0.2">
      <c r="A325" s="26">
        <f t="shared" si="2"/>
        <v>2020.04</v>
      </c>
      <c r="B325" s="55">
        <v>104.297510633126</v>
      </c>
      <c r="C325" s="56">
        <v>104.62392727271111</v>
      </c>
    </row>
    <row r="326" spans="1:7" x14ac:dyDescent="0.2">
      <c r="A326" s="26">
        <f t="shared" si="2"/>
        <v>2020.05</v>
      </c>
      <c r="B326" s="55">
        <v>104.951626267715</v>
      </c>
      <c r="C326" s="56">
        <v>105.06441209151052</v>
      </c>
    </row>
    <row r="327" spans="1:7" x14ac:dyDescent="0.2">
      <c r="A327" s="26">
        <f t="shared" si="2"/>
        <v>2020.06</v>
      </c>
      <c r="B327" s="55">
        <v>105.25265564376301</v>
      </c>
      <c r="C327" s="56">
        <v>105.5225813986239</v>
      </c>
    </row>
    <row r="328" spans="1:7" x14ac:dyDescent="0.2">
      <c r="A328" s="26">
        <f t="shared" si="2"/>
        <v>2020.07</v>
      </c>
      <c r="B328" s="55">
        <v>106.13910515416499</v>
      </c>
      <c r="C328" s="56">
        <v>106.06761188101717</v>
      </c>
    </row>
    <row r="329" spans="1:7" x14ac:dyDescent="0.2">
      <c r="A329" s="26">
        <f t="shared" si="2"/>
        <v>2020.08</v>
      </c>
      <c r="B329" s="55">
        <v>107.63008285319999</v>
      </c>
      <c r="C329" s="56">
        <v>106.88224119156027</v>
      </c>
    </row>
    <row r="330" spans="1:7" x14ac:dyDescent="0.2">
      <c r="A330" s="26">
        <f t="shared" si="2"/>
        <v>2020.09</v>
      </c>
      <c r="B330" s="55">
        <v>107.857798754585</v>
      </c>
      <c r="C330" s="56">
        <v>107.59729141460903</v>
      </c>
    </row>
    <row r="331" spans="1:7" x14ac:dyDescent="0.2">
      <c r="A331" s="26">
        <f t="shared" si="2"/>
        <v>2020.1</v>
      </c>
      <c r="B331" s="55">
        <v>107.916716188066</v>
      </c>
      <c r="C331" s="56">
        <v>108.35761089219189</v>
      </c>
    </row>
    <row r="332" spans="1:7" x14ac:dyDescent="0.2">
      <c r="A332" s="26">
        <f t="shared" si="2"/>
        <v>2020.11</v>
      </c>
      <c r="B332" s="55">
        <v>109.720278095651</v>
      </c>
      <c r="C332" s="56">
        <v>109.90235352827574</v>
      </c>
    </row>
    <row r="333" spans="1:7" x14ac:dyDescent="0.2">
      <c r="A333" s="26">
        <f t="shared" si="2"/>
        <v>2020.12</v>
      </c>
      <c r="B333" s="55">
        <v>111.97949203761399</v>
      </c>
      <c r="C333" s="56">
        <v>112.04359279795558</v>
      </c>
    </row>
    <row r="334" spans="1:7" x14ac:dyDescent="0.2">
      <c r="A334" s="26">
        <f t="shared" si="2"/>
        <v>2021.01</v>
      </c>
      <c r="B334" s="55">
        <v>114.16971464017401</v>
      </c>
      <c r="C334" s="56">
        <v>114.17574861107788</v>
      </c>
      <c r="E334" s="28"/>
    </row>
    <row r="335" spans="1:7" x14ac:dyDescent="0.2">
      <c r="A335" s="26">
        <f t="shared" si="2"/>
        <v>2021.02</v>
      </c>
      <c r="B335" s="55">
        <v>116.33303935563001</v>
      </c>
      <c r="C335" s="56">
        <v>116.08574356127988</v>
      </c>
      <c r="E335" s="28"/>
      <c r="F335" s="28"/>
    </row>
    <row r="336" spans="1:7" x14ac:dyDescent="0.2">
      <c r="A336" s="26">
        <f t="shared" si="2"/>
        <v>2021.03</v>
      </c>
      <c r="B336" s="55">
        <v>117.745707512335</v>
      </c>
      <c r="C336" s="56">
        <v>117.3293261643197</v>
      </c>
      <c r="E336" s="28"/>
      <c r="F336" s="28"/>
    </row>
    <row r="337" spans="1:6" x14ac:dyDescent="0.2">
      <c r="A337" s="26">
        <f t="shared" si="2"/>
        <v>2021.04</v>
      </c>
      <c r="B337" s="55">
        <v>117.882182433517</v>
      </c>
      <c r="C337" s="56">
        <v>117.62772398570564</v>
      </c>
      <c r="E337" s="28"/>
      <c r="F337" s="28"/>
    </row>
    <row r="338" spans="1:6" x14ac:dyDescent="0.2">
      <c r="A338" s="26">
        <f t="shared" si="2"/>
        <v>2021.05</v>
      </c>
      <c r="B338" s="55">
        <v>117.213440940336</v>
      </c>
      <c r="C338" s="56">
        <v>117.51987153378984</v>
      </c>
    </row>
    <row r="339" spans="1:6" x14ac:dyDescent="0.2">
      <c r="A339" s="26">
        <f t="shared" si="2"/>
        <v>2021.06</v>
      </c>
      <c r="B339" s="55">
        <v>117.67397091653299</v>
      </c>
      <c r="C339" s="56">
        <v>117.77326141075861</v>
      </c>
    </row>
    <row r="340" spans="1:6" x14ac:dyDescent="0.2">
      <c r="A340" s="26">
        <f t="shared" si="2"/>
        <v>2021.07</v>
      </c>
      <c r="B340" s="55">
        <v>118.817763635516</v>
      </c>
      <c r="C340" s="56">
        <v>118.48384246595035</v>
      </c>
    </row>
    <row r="341" spans="1:6" x14ac:dyDescent="0.2">
      <c r="A341" s="26">
        <f t="shared" si="2"/>
        <v>2021.08</v>
      </c>
      <c r="B341" s="55">
        <v>119.317605029761</v>
      </c>
      <c r="C341" s="56">
        <v>119.26651530292139</v>
      </c>
    </row>
    <row r="342" spans="1:6" x14ac:dyDescent="0.2">
      <c r="A342" s="26">
        <f t="shared" si="2"/>
        <v>2021.09</v>
      </c>
      <c r="B342" s="55">
        <v>119.894319024525</v>
      </c>
      <c r="C342" s="56">
        <v>119.76914695324278</v>
      </c>
    </row>
    <row r="343" spans="1:6" x14ac:dyDescent="0.2">
      <c r="A343" s="26">
        <f t="shared" si="2"/>
        <v>2021.1</v>
      </c>
      <c r="B343" s="55">
        <v>119.716146843711</v>
      </c>
      <c r="C343" s="56">
        <v>119.75444583889782</v>
      </c>
    </row>
    <row r="344" spans="1:6" x14ac:dyDescent="0.2">
      <c r="A344" s="26">
        <f t="shared" si="2"/>
        <v>2021.11</v>
      </c>
      <c r="B344" s="55">
        <v>119.13980659249199</v>
      </c>
      <c r="C344" s="56">
        <v>119.52236964518394</v>
      </c>
    </row>
    <row r="345" spans="1:6" x14ac:dyDescent="0.2">
      <c r="A345" s="26">
        <f t="shared" si="2"/>
        <v>2021.12</v>
      </c>
      <c r="B345" s="55">
        <v>119.439167323381</v>
      </c>
      <c r="C345" s="56">
        <v>119.52123949337663</v>
      </c>
    </row>
    <row r="346" spans="1:6" x14ac:dyDescent="0.2">
      <c r="A346" s="26">
        <f t="shared" si="2"/>
        <v>2022.01</v>
      </c>
      <c r="B346" s="55">
        <v>119.527174019106</v>
      </c>
      <c r="C346" s="56">
        <v>119.65051285911105</v>
      </c>
    </row>
    <row r="347" spans="1:6" x14ac:dyDescent="0.2">
      <c r="A347" s="26">
        <f t="shared" si="2"/>
        <v>2022.02</v>
      </c>
      <c r="B347" s="55">
        <v>119.782868885113</v>
      </c>
      <c r="C347" s="56">
        <v>119.96617689149244</v>
      </c>
    </row>
    <row r="348" spans="1:6" x14ac:dyDescent="0.2">
      <c r="A348" s="26">
        <f t="shared" si="2"/>
        <v>2022.03</v>
      </c>
      <c r="B348" s="55">
        <v>120.63405393271201</v>
      </c>
      <c r="C348" s="56">
        <v>120.65922399380983</v>
      </c>
    </row>
    <row r="349" spans="1:6" x14ac:dyDescent="0.2">
      <c r="A349" s="26">
        <f t="shared" si="2"/>
        <v>2022.04</v>
      </c>
      <c r="B349" s="55">
        <v>121.88334646413099</v>
      </c>
      <c r="C349" s="56">
        <v>121.2245924663595</v>
      </c>
    </row>
    <row r="350" spans="1:6" x14ac:dyDescent="0.2">
      <c r="A350" s="26">
        <f t="shared" si="2"/>
        <v>2022.05</v>
      </c>
      <c r="B350" s="55">
        <v>122.814739184895</v>
      </c>
      <c r="C350" s="56">
        <v>121.10504856684054</v>
      </c>
    </row>
    <row r="351" spans="1:6" x14ac:dyDescent="0.2">
      <c r="A351" s="26">
        <f t="shared" si="2"/>
        <v>2022.06</v>
      </c>
      <c r="B351" s="55">
        <v>122.06284848646</v>
      </c>
      <c r="C351" s="56">
        <v>120.47401616249749</v>
      </c>
    </row>
    <row r="352" spans="1:6" x14ac:dyDescent="0.2">
      <c r="A352" s="26">
        <f t="shared" si="2"/>
        <v>2022.07</v>
      </c>
      <c r="B352" s="55">
        <v>120.045894939573</v>
      </c>
      <c r="C352" s="56">
        <v>119.55350753224232</v>
      </c>
    </row>
    <row r="353" spans="1:3" x14ac:dyDescent="0.2">
      <c r="A353" s="26">
        <f t="shared" si="2"/>
        <v>2022.08</v>
      </c>
      <c r="B353" s="55">
        <v>118.417984710585</v>
      </c>
      <c r="C353" s="56">
        <v>118.54563321168632</v>
      </c>
    </row>
    <row r="354" spans="1:3" x14ac:dyDescent="0.2">
      <c r="A354" s="26">
        <f t="shared" si="2"/>
        <v>2022.09</v>
      </c>
      <c r="B354" s="55">
        <v>117.608033920042</v>
      </c>
      <c r="C354" s="56">
        <v>117.83581573223927</v>
      </c>
    </row>
    <row r="355" spans="1:3" x14ac:dyDescent="0.2">
      <c r="A355" s="26">
        <f t="shared" si="2"/>
        <v>2022.1</v>
      </c>
      <c r="B355" s="55">
        <v>117.166022757297</v>
      </c>
      <c r="C355" s="56">
        <v>117.62629370133342</v>
      </c>
    </row>
    <row r="356" spans="1:3" x14ac:dyDescent="0.2">
      <c r="A356" s="26">
        <f t="shared" si="2"/>
        <v>2022.11</v>
      </c>
      <c r="B356" s="55">
        <v>117.657627607544</v>
      </c>
      <c r="C356" s="56">
        <v>117.55524468432148</v>
      </c>
    </row>
    <row r="357" spans="1:3" x14ac:dyDescent="0.2">
      <c r="A357" s="26">
        <f t="shared" si="2"/>
        <v>2022.12</v>
      </c>
      <c r="B357" s="55">
        <v>117.678931902104</v>
      </c>
      <c r="C357" s="56">
        <v>116.91174751428592</v>
      </c>
    </row>
    <row r="358" spans="1:3" x14ac:dyDescent="0.2">
      <c r="A358" s="26">
        <f t="shared" si="2"/>
        <v>2023.01</v>
      </c>
      <c r="B358" s="55">
        <v>115.646786450639</v>
      </c>
      <c r="C358" s="56">
        <v>115.654643303082</v>
      </c>
    </row>
    <row r="359" spans="1:3" x14ac:dyDescent="0.2">
      <c r="A359" s="26">
        <f t="shared" si="2"/>
        <v>2023.02</v>
      </c>
      <c r="B359" s="55">
        <v>113.895701389168</v>
      </c>
      <c r="C359" s="56">
        <v>114.41415752202863</v>
      </c>
    </row>
    <row r="360" spans="1:3" x14ac:dyDescent="0.2">
      <c r="A360" s="26">
        <f t="shared" si="2"/>
        <v>2023.03</v>
      </c>
      <c r="B360" s="55">
        <v>113.654400359116</v>
      </c>
      <c r="C360" s="56">
        <v>113.6425192901085</v>
      </c>
    </row>
    <row r="361" spans="1:3" x14ac:dyDescent="0.2">
      <c r="A361" s="26">
        <f t="shared" si="2"/>
        <v>2023.04</v>
      </c>
      <c r="B361" s="55">
        <v>113.27621924963999</v>
      </c>
      <c r="C361" s="56">
        <v>113.08736941915058</v>
      </c>
    </row>
    <row r="362" spans="1:3" x14ac:dyDescent="0.2">
      <c r="A362" s="26">
        <f t="shared" si="2"/>
        <v>2023.05</v>
      </c>
      <c r="B362" s="55">
        <v>112.509006092398</v>
      </c>
      <c r="C362" s="56">
        <v>112.39521847394461</v>
      </c>
    </row>
    <row r="363" spans="1:3" x14ac:dyDescent="0.2">
      <c r="A363" s="26">
        <f t="shared" si="2"/>
        <v>2023.06</v>
      </c>
      <c r="B363" s="55">
        <v>111.900671757045</v>
      </c>
      <c r="C363" s="56">
        <v>111.54876002509229</v>
      </c>
    </row>
    <row r="364" spans="1:3" x14ac:dyDescent="0.2">
      <c r="A364" s="26">
        <f t="shared" si="2"/>
        <v>2023.07</v>
      </c>
      <c r="B364" s="55">
        <v>111.035071604186</v>
      </c>
      <c r="C364" s="56">
        <v>110.5321230531043</v>
      </c>
    </row>
    <row r="365" spans="1:3" x14ac:dyDescent="0.2">
      <c r="A365" s="26">
        <f t="shared" si="2"/>
        <v>2023.08</v>
      </c>
      <c r="B365" s="55">
        <v>109.36289445189399</v>
      </c>
      <c r="C365" s="56">
        <v>109.22205206217791</v>
      </c>
    </row>
    <row r="366" spans="1:3" x14ac:dyDescent="0.2">
      <c r="A366" s="26">
        <f t="shared" si="2"/>
        <v>2023.09</v>
      </c>
      <c r="B366" s="55">
        <v>107.2234168895</v>
      </c>
      <c r="C366" s="56">
        <v>107.67457165515933</v>
      </c>
    </row>
    <row r="367" spans="1:3" x14ac:dyDescent="0.2">
      <c r="A367" s="26">
        <f t="shared" si="2"/>
        <v>2023.1</v>
      </c>
      <c r="B367" s="55">
        <v>106.07625482182701</v>
      </c>
      <c r="C367" s="56">
        <v>106.36278811698202</v>
      </c>
    </row>
    <row r="368" spans="1:3" x14ac:dyDescent="0.2">
      <c r="A368" s="26">
        <f t="shared" si="2"/>
        <v>2023.11</v>
      </c>
      <c r="B368" s="55">
        <v>105.339600165204</v>
      </c>
      <c r="C368" s="56">
        <v>105.55353552441457</v>
      </c>
    </row>
    <row r="369" spans="1:3" x14ac:dyDescent="0.2">
      <c r="A369" s="26">
        <f t="shared" si="2"/>
        <v>2023.12</v>
      </c>
      <c r="B369" s="55">
        <v>104.952395567727</v>
      </c>
      <c r="C369" s="56">
        <v>105.42326522375896</v>
      </c>
    </row>
    <row r="370" spans="1:3" x14ac:dyDescent="0.2">
      <c r="A370" s="26">
        <f t="shared" ref="A370:A433" si="3">A358+1</f>
        <v>2024.01</v>
      </c>
      <c r="B370" s="55">
        <v>106.043881748676</v>
      </c>
      <c r="C370" s="56">
        <v>106.07912766003811</v>
      </c>
    </row>
    <row r="371" spans="1:3" x14ac:dyDescent="0.2">
      <c r="A371" s="26">
        <f t="shared" si="3"/>
        <v>2024.02</v>
      </c>
      <c r="B371" s="55">
        <v>106.91999156939001</v>
      </c>
      <c r="C371" s="56">
        <v>106.8783050632421</v>
      </c>
    </row>
    <row r="372" spans="1:3" x14ac:dyDescent="0.2">
      <c r="A372" s="26">
        <f t="shared" si="3"/>
        <v>2024.03</v>
      </c>
      <c r="B372" s="55">
        <v>107.332522703715</v>
      </c>
      <c r="C372" s="56">
        <v>107.52768013595899</v>
      </c>
    </row>
    <row r="373" spans="1:3" x14ac:dyDescent="0.2">
      <c r="A373" s="26">
        <f t="shared" si="3"/>
        <v>2024.04</v>
      </c>
      <c r="B373" s="55">
        <v>108.41626658992899</v>
      </c>
      <c r="C373" s="56">
        <v>108.40852611024935</v>
      </c>
    </row>
    <row r="374" spans="1:3" x14ac:dyDescent="0.2">
      <c r="A374" s="26">
        <f t="shared" si="3"/>
        <v>2024.05</v>
      </c>
      <c r="B374" s="55">
        <v>109.511674471815</v>
      </c>
      <c r="C374" s="56">
        <v>109.44888042561487</v>
      </c>
    </row>
    <row r="375" spans="1:3" x14ac:dyDescent="0.2">
      <c r="A375" s="26">
        <f t="shared" si="3"/>
        <v>2024.06</v>
      </c>
      <c r="B375" s="55">
        <v>110.658143164956</v>
      </c>
      <c r="C375" s="56">
        <v>110.28834617561012</v>
      </c>
    </row>
    <row r="376" spans="1:3" x14ac:dyDescent="0.2">
      <c r="A376" s="26">
        <f t="shared" si="3"/>
        <v>2024.07</v>
      </c>
      <c r="B376" s="55">
        <v>111.29796423809</v>
      </c>
      <c r="C376" s="56">
        <v>110.78904539252657</v>
      </c>
    </row>
    <row r="377" spans="1:3" x14ac:dyDescent="0.2">
      <c r="A377" s="26">
        <f t="shared" si="3"/>
        <v>2024.08</v>
      </c>
      <c r="B377" s="55">
        <v>111.133353505443</v>
      </c>
      <c r="C377" s="56">
        <v>111.38030672313783</v>
      </c>
    </row>
    <row r="378" spans="1:3" x14ac:dyDescent="0.2">
      <c r="A378" s="26">
        <f t="shared" si="3"/>
        <v>2024.09</v>
      </c>
      <c r="B378" s="55">
        <v>112.12870240293</v>
      </c>
      <c r="C378" s="56">
        <v>112.41540033749962</v>
      </c>
    </row>
    <row r="379" spans="1:3" x14ac:dyDescent="0.2">
      <c r="A379" s="26">
        <f>A367+1</f>
        <v>2024.1</v>
      </c>
      <c r="B379" s="55">
        <v>113.555881341106</v>
      </c>
      <c r="C379" s="56">
        <v>113.50817313588165</v>
      </c>
    </row>
    <row r="380" spans="1:3" x14ac:dyDescent="0.2">
      <c r="A380" s="26">
        <f t="shared" si="3"/>
        <v>2024.11</v>
      </c>
      <c r="B380" s="55">
        <v>114.41927815144</v>
      </c>
      <c r="C380" s="56">
        <v>114.44725726637674</v>
      </c>
    </row>
    <row r="381" spans="1:3" x14ac:dyDescent="0.2">
      <c r="A381" s="26">
        <f t="shared" si="3"/>
        <v>2024.12</v>
      </c>
      <c r="B381" s="55">
        <v>115.317691106137</v>
      </c>
      <c r="C381" s="56">
        <v>115.17602292823298</v>
      </c>
    </row>
    <row r="382" spans="1:3" x14ac:dyDescent="0.2">
      <c r="A382" s="26">
        <f t="shared" si="3"/>
        <v>2025.01</v>
      </c>
      <c r="B382" s="55">
        <v>115.565277858249</v>
      </c>
      <c r="C382" s="56">
        <v>115.21553420766494</v>
      </c>
    </row>
    <row r="383" spans="1:3" x14ac:dyDescent="0.2">
      <c r="A383" s="26">
        <f t="shared" si="3"/>
        <v>2025.02</v>
      </c>
      <c r="B383" s="55">
        <v>114.374028059038</v>
      </c>
      <c r="C383" s="56">
        <v>114.53165736135473</v>
      </c>
    </row>
    <row r="384" spans="1:3" x14ac:dyDescent="0.2">
      <c r="A384" s="26">
        <f t="shared" si="3"/>
        <v>2025.03</v>
      </c>
      <c r="B384" s="55">
        <v>112.580510877601</v>
      </c>
      <c r="C384" s="56">
        <v>113.59618671971849</v>
      </c>
    </row>
    <row r="385" spans="1:3" x14ac:dyDescent="0.2">
      <c r="A385" s="26">
        <f t="shared" si="3"/>
        <v>2025.04</v>
      </c>
      <c r="B385" s="55">
        <v>112.323365693818</v>
      </c>
      <c r="C385" s="56">
        <v>112.95532908029116</v>
      </c>
    </row>
    <row r="386" spans="1:3" x14ac:dyDescent="0.2">
      <c r="A386" s="26">
        <f t="shared" si="3"/>
        <v>2025.05</v>
      </c>
      <c r="B386" s="55">
        <v>113.03677836532</v>
      </c>
      <c r="C386" s="56">
        <v>112.8011489291021</v>
      </c>
    </row>
    <row r="387" spans="1:3" x14ac:dyDescent="0.2">
      <c r="A387" s="26">
        <f t="shared" si="3"/>
        <v>2025.06</v>
      </c>
      <c r="B387" s="55">
        <v>112.71049118834701</v>
      </c>
      <c r="C387" s="56">
        <v>112.97469623899508</v>
      </c>
    </row>
    <row r="388" spans="1:3" x14ac:dyDescent="0.2">
      <c r="A388" s="26">
        <f t="shared" si="3"/>
        <v>2025.07</v>
      </c>
      <c r="B388" s="55">
        <v>113.00127913377599</v>
      </c>
      <c r="C388" s="56">
        <v>113.74929424601993</v>
      </c>
    </row>
    <row r="389" spans="1:3" x14ac:dyDescent="0.2">
      <c r="A389" s="26">
        <f t="shared" si="3"/>
        <v>2025.08</v>
      </c>
      <c r="B389" s="55">
        <v>114.97677173040999</v>
      </c>
      <c r="C389" s="56">
        <v>114.79364693046799</v>
      </c>
    </row>
    <row r="390" spans="1:3" x14ac:dyDescent="0.2">
      <c r="A390" s="26">
        <f t="shared" si="3"/>
        <v>2025.09</v>
      </c>
      <c r="B390" s="55">
        <v>116.329246767307</v>
      </c>
      <c r="C390" s="56">
        <v>115.56724590387047</v>
      </c>
    </row>
    <row r="391" spans="1:3" x14ac:dyDescent="0.2">
      <c r="A391" s="26">
        <f t="shared" si="3"/>
        <v>2025.1</v>
      </c>
      <c r="B391" s="55">
        <v>116.40471714478601</v>
      </c>
      <c r="C391" s="56">
        <v>115.96636222980688</v>
      </c>
    </row>
    <row r="392" spans="1:3" x14ac:dyDescent="0.2">
      <c r="A392" s="26">
        <f t="shared" si="3"/>
        <v>2025.11</v>
      </c>
      <c r="B392" s="55">
        <v>115.877004616592</v>
      </c>
      <c r="C392" s="56">
        <v>115.73326933431358</v>
      </c>
    </row>
    <row r="393" spans="1:3" x14ac:dyDescent="0.2">
      <c r="A393" s="26">
        <f t="shared" si="3"/>
        <v>2025.12</v>
      </c>
      <c r="B393" s="55">
        <v>115.061574118932</v>
      </c>
      <c r="C393" s="56">
        <v>115.16106278423061</v>
      </c>
    </row>
    <row r="394" spans="1:3" x14ac:dyDescent="0.2">
      <c r="A394" s="26">
        <f t="shared" si="3"/>
        <v>2026.01</v>
      </c>
      <c r="B394" s="55">
        <v>114.67299673961401</v>
      </c>
      <c r="C394" s="56">
        <v>114.98842953529385</v>
      </c>
    </row>
    <row r="395" spans="1:3" x14ac:dyDescent="0.2">
      <c r="A395" s="26">
        <f t="shared" si="3"/>
        <v>2026.02</v>
      </c>
      <c r="B395" s="55">
        <v>115.43248467401</v>
      </c>
      <c r="C395" s="56">
        <v>115.44633903086417</v>
      </c>
    </row>
    <row r="396" spans="1:3" x14ac:dyDescent="0.2">
      <c r="A396" s="26">
        <f t="shared" si="3"/>
        <v>2026.03</v>
      </c>
      <c r="B396" s="55">
        <v>116.08043415467399</v>
      </c>
      <c r="C396" s="56">
        <v>115.96522208664884</v>
      </c>
    </row>
    <row r="397" spans="1:3" x14ac:dyDescent="0.2">
      <c r="A397" s="26">
        <f t="shared" si="3"/>
        <v>2026.04</v>
      </c>
      <c r="B397" s="55">
        <v>115.774520487685</v>
      </c>
      <c r="C397" s="56">
        <v>116.11199892731265</v>
      </c>
    </row>
    <row r="398" spans="1:3" x14ac:dyDescent="0.2">
      <c r="A398" s="26">
        <f t="shared" si="3"/>
        <v>2026.05</v>
      </c>
      <c r="B398" s="55">
        <v>115.901471153044</v>
      </c>
      <c r="C398" s="56">
        <v>116.17948582123395</v>
      </c>
    </row>
    <row r="399" spans="1:3" x14ac:dyDescent="0.2">
      <c r="A399" s="26">
        <f t="shared" si="3"/>
        <v>2026.06</v>
      </c>
      <c r="B399" s="55">
        <v>116.51464281605</v>
      </c>
      <c r="C399" s="56">
        <v>116.1925106578982</v>
      </c>
    </row>
    <row r="400" spans="1:3" x14ac:dyDescent="0.2">
      <c r="A400" s="26">
        <f t="shared" si="3"/>
        <v>2026.07</v>
      </c>
      <c r="B400" s="55">
        <v>116.303075322672</v>
      </c>
      <c r="C400" s="56">
        <v>116.00932004578901</v>
      </c>
    </row>
    <row r="401" spans="1:3" x14ac:dyDescent="0.2">
      <c r="A401" s="26">
        <f t="shared" si="3"/>
        <v>2026.08</v>
      </c>
      <c r="B401" s="55" t="e">
        <v>#N/A</v>
      </c>
      <c r="C401" s="56" t="e">
        <v>#N/A</v>
      </c>
    </row>
    <row r="402" spans="1:3" x14ac:dyDescent="0.2">
      <c r="A402" s="26">
        <f t="shared" si="3"/>
        <v>2026.09</v>
      </c>
      <c r="B402" s="55" t="e">
        <v>#N/A</v>
      </c>
      <c r="C402" s="56" t="e">
        <v>#N/A</v>
      </c>
    </row>
    <row r="403" spans="1:3" x14ac:dyDescent="0.2">
      <c r="A403" s="26">
        <f t="shared" si="3"/>
        <v>2026.1</v>
      </c>
      <c r="B403" s="55" t="e">
        <v>#N/A</v>
      </c>
      <c r="C403" s="56" t="e">
        <v>#N/A</v>
      </c>
    </row>
    <row r="404" spans="1:3" x14ac:dyDescent="0.2">
      <c r="A404" s="26">
        <f t="shared" si="3"/>
        <v>2026.11</v>
      </c>
      <c r="B404" s="55" t="e">
        <v>#N/A</v>
      </c>
      <c r="C404" s="56" t="e">
        <v>#N/A</v>
      </c>
    </row>
    <row r="405" spans="1:3" x14ac:dyDescent="0.2">
      <c r="A405" s="26">
        <f t="shared" si="3"/>
        <v>2026.12</v>
      </c>
      <c r="B405" s="55" t="e">
        <v>#N/A</v>
      </c>
      <c r="C405" s="56" t="e">
        <v>#N/A</v>
      </c>
    </row>
    <row r="406" spans="1:3" x14ac:dyDescent="0.2">
      <c r="A406" s="26">
        <f t="shared" si="3"/>
        <v>2027.01</v>
      </c>
      <c r="B406" s="55" t="e">
        <v>#N/A</v>
      </c>
      <c r="C406" s="56" t="e">
        <v>#N/A</v>
      </c>
    </row>
    <row r="407" spans="1:3" x14ac:dyDescent="0.2">
      <c r="A407" s="26">
        <f t="shared" si="3"/>
        <v>2027.02</v>
      </c>
      <c r="B407" s="55" t="e">
        <v>#N/A</v>
      </c>
      <c r="C407" s="56" t="e">
        <v>#N/A</v>
      </c>
    </row>
    <row r="408" spans="1:3" x14ac:dyDescent="0.2">
      <c r="A408" s="26">
        <f t="shared" si="3"/>
        <v>2027.03</v>
      </c>
      <c r="B408" s="55" t="e">
        <v>#N/A</v>
      </c>
      <c r="C408" s="56" t="e">
        <v>#N/A</v>
      </c>
    </row>
    <row r="409" spans="1:3" x14ac:dyDescent="0.2">
      <c r="A409" s="26">
        <f t="shared" si="3"/>
        <v>2027.04</v>
      </c>
      <c r="B409" s="55" t="e">
        <v>#N/A</v>
      </c>
      <c r="C409" s="56" t="e">
        <v>#N/A</v>
      </c>
    </row>
    <row r="410" spans="1:3" x14ac:dyDescent="0.2">
      <c r="A410" s="26">
        <f t="shared" si="3"/>
        <v>2027.05</v>
      </c>
      <c r="B410" s="55" t="e">
        <v>#N/A</v>
      </c>
      <c r="C410" s="56" t="e">
        <v>#N/A</v>
      </c>
    </row>
    <row r="411" spans="1:3" x14ac:dyDescent="0.2">
      <c r="A411" s="26">
        <f t="shared" si="3"/>
        <v>2027.06</v>
      </c>
      <c r="B411" s="55" t="e">
        <v>#N/A</v>
      </c>
      <c r="C411" s="56" t="e">
        <v>#N/A</v>
      </c>
    </row>
    <row r="412" spans="1:3" x14ac:dyDescent="0.2">
      <c r="A412" s="26">
        <f t="shared" si="3"/>
        <v>2027.07</v>
      </c>
      <c r="B412" s="55" t="e">
        <v>#N/A</v>
      </c>
      <c r="C412" s="56" t="e">
        <v>#N/A</v>
      </c>
    </row>
    <row r="413" spans="1:3" x14ac:dyDescent="0.2">
      <c r="A413" s="26">
        <f t="shared" si="3"/>
        <v>2027.08</v>
      </c>
      <c r="B413" s="55" t="e">
        <v>#N/A</v>
      </c>
      <c r="C413" s="56" t="e">
        <v>#N/A</v>
      </c>
    </row>
    <row r="414" spans="1:3" x14ac:dyDescent="0.2">
      <c r="A414" s="26">
        <f t="shared" si="3"/>
        <v>2027.09</v>
      </c>
      <c r="B414" s="55" t="e">
        <v>#N/A</v>
      </c>
      <c r="C414" s="56" t="e">
        <v>#N/A</v>
      </c>
    </row>
    <row r="415" spans="1:3" x14ac:dyDescent="0.2">
      <c r="A415" s="26">
        <f t="shared" si="3"/>
        <v>2027.1</v>
      </c>
      <c r="B415" s="55" t="e">
        <v>#N/A</v>
      </c>
      <c r="C415" s="56" t="e">
        <v>#N/A</v>
      </c>
    </row>
    <row r="416" spans="1:3" x14ac:dyDescent="0.2">
      <c r="A416" s="26">
        <f t="shared" si="3"/>
        <v>2027.11</v>
      </c>
      <c r="B416" s="55" t="e">
        <v>#N/A</v>
      </c>
      <c r="C416" s="56" t="e">
        <v>#N/A</v>
      </c>
    </row>
    <row r="417" spans="1:3" x14ac:dyDescent="0.2">
      <c r="A417" s="26">
        <f t="shared" si="3"/>
        <v>2027.12</v>
      </c>
      <c r="B417" s="55" t="e">
        <v>#N/A</v>
      </c>
      <c r="C417" s="56" t="e">
        <v>#N/A</v>
      </c>
    </row>
    <row r="418" spans="1:3" x14ac:dyDescent="0.2">
      <c r="A418" s="26">
        <f t="shared" si="3"/>
        <v>2028.01</v>
      </c>
      <c r="B418" s="55" t="e">
        <v>#N/A</v>
      </c>
      <c r="C418" s="56" t="e">
        <v>#N/A</v>
      </c>
    </row>
    <row r="419" spans="1:3" x14ac:dyDescent="0.2">
      <c r="A419" s="26">
        <f t="shared" si="3"/>
        <v>2028.02</v>
      </c>
      <c r="B419" s="55" t="e">
        <v>#N/A</v>
      </c>
      <c r="C419" s="56" t="e">
        <v>#N/A</v>
      </c>
    </row>
    <row r="420" spans="1:3" x14ac:dyDescent="0.2">
      <c r="A420" s="26">
        <f t="shared" si="3"/>
        <v>2028.03</v>
      </c>
      <c r="B420" s="55" t="e">
        <v>#N/A</v>
      </c>
      <c r="C420" s="56" t="e">
        <v>#N/A</v>
      </c>
    </row>
    <row r="421" spans="1:3" x14ac:dyDescent="0.2">
      <c r="A421" s="26">
        <f t="shared" si="3"/>
        <v>2028.04</v>
      </c>
      <c r="B421" s="55" t="e">
        <v>#N/A</v>
      </c>
      <c r="C421" s="56" t="e">
        <v>#N/A</v>
      </c>
    </row>
    <row r="422" spans="1:3" x14ac:dyDescent="0.2">
      <c r="A422" s="26">
        <f t="shared" si="3"/>
        <v>2028.05</v>
      </c>
      <c r="B422" s="55" t="e">
        <v>#N/A</v>
      </c>
      <c r="C422" s="56" t="e">
        <v>#N/A</v>
      </c>
    </row>
    <row r="423" spans="1:3" x14ac:dyDescent="0.2">
      <c r="A423" s="26">
        <f t="shared" si="3"/>
        <v>2028.06</v>
      </c>
      <c r="B423" s="55" t="e">
        <v>#N/A</v>
      </c>
      <c r="C423" s="56" t="e">
        <v>#N/A</v>
      </c>
    </row>
    <row r="424" spans="1:3" x14ac:dyDescent="0.2">
      <c r="A424" s="26">
        <f t="shared" si="3"/>
        <v>2028.07</v>
      </c>
      <c r="B424" s="55" t="e">
        <v>#N/A</v>
      </c>
      <c r="C424" s="56" t="e">
        <v>#N/A</v>
      </c>
    </row>
    <row r="425" spans="1:3" x14ac:dyDescent="0.2">
      <c r="A425" s="26">
        <f t="shared" si="3"/>
        <v>2028.08</v>
      </c>
      <c r="B425" s="55" t="e">
        <v>#N/A</v>
      </c>
      <c r="C425" s="56" t="e">
        <v>#N/A</v>
      </c>
    </row>
    <row r="426" spans="1:3" x14ac:dyDescent="0.2">
      <c r="A426" s="26">
        <f t="shared" si="3"/>
        <v>2028.09</v>
      </c>
      <c r="B426" s="55" t="e">
        <v>#N/A</v>
      </c>
      <c r="C426" s="56" t="e">
        <v>#N/A</v>
      </c>
    </row>
    <row r="427" spans="1:3" x14ac:dyDescent="0.2">
      <c r="A427" s="26">
        <f t="shared" si="3"/>
        <v>2028.1</v>
      </c>
      <c r="B427" s="55" t="e">
        <v>#N/A</v>
      </c>
      <c r="C427" s="56" t="e">
        <v>#N/A</v>
      </c>
    </row>
    <row r="428" spans="1:3" x14ac:dyDescent="0.2">
      <c r="A428" s="26">
        <f t="shared" si="3"/>
        <v>2028.11</v>
      </c>
      <c r="B428" s="55" t="e">
        <v>#N/A</v>
      </c>
      <c r="C428" s="56" t="e">
        <v>#N/A</v>
      </c>
    </row>
    <row r="429" spans="1:3" x14ac:dyDescent="0.2">
      <c r="A429" s="26">
        <f t="shared" si="3"/>
        <v>2028.12</v>
      </c>
      <c r="B429" s="55" t="e">
        <v>#N/A</v>
      </c>
      <c r="C429" s="56" t="e">
        <v>#N/A</v>
      </c>
    </row>
    <row r="430" spans="1:3" x14ac:dyDescent="0.2">
      <c r="A430" s="26">
        <f t="shared" si="3"/>
        <v>2029.01</v>
      </c>
      <c r="B430" s="55" t="e">
        <v>#N/A</v>
      </c>
      <c r="C430" s="56" t="e">
        <v>#N/A</v>
      </c>
    </row>
    <row r="431" spans="1:3" x14ac:dyDescent="0.2">
      <c r="A431" s="26">
        <f t="shared" si="3"/>
        <v>2029.02</v>
      </c>
      <c r="B431" s="55" t="e">
        <v>#N/A</v>
      </c>
      <c r="C431" s="56" t="e">
        <v>#N/A</v>
      </c>
    </row>
    <row r="432" spans="1:3" x14ac:dyDescent="0.2">
      <c r="A432" s="26">
        <f t="shared" si="3"/>
        <v>2029.03</v>
      </c>
      <c r="B432" s="55" t="e">
        <v>#N/A</v>
      </c>
      <c r="C432" s="56" t="e">
        <v>#N/A</v>
      </c>
    </row>
    <row r="433" spans="1:3" x14ac:dyDescent="0.2">
      <c r="A433" s="26">
        <f t="shared" si="3"/>
        <v>2029.04</v>
      </c>
      <c r="B433" s="55" t="e">
        <v>#N/A</v>
      </c>
      <c r="C433" s="56" t="e">
        <v>#N/A</v>
      </c>
    </row>
    <row r="434" spans="1:3" x14ac:dyDescent="0.2">
      <c r="A434" s="26">
        <f t="shared" ref="A434:A453" si="4">A422+1</f>
        <v>2029.05</v>
      </c>
      <c r="B434" s="55" t="e">
        <v>#N/A</v>
      </c>
      <c r="C434" s="56" t="e">
        <v>#N/A</v>
      </c>
    </row>
    <row r="435" spans="1:3" x14ac:dyDescent="0.2">
      <c r="A435" s="26">
        <f t="shared" si="4"/>
        <v>2029.06</v>
      </c>
      <c r="B435" s="55" t="e">
        <v>#N/A</v>
      </c>
      <c r="C435" s="56" t="e">
        <v>#N/A</v>
      </c>
    </row>
    <row r="436" spans="1:3" x14ac:dyDescent="0.2">
      <c r="A436" s="26">
        <f t="shared" si="4"/>
        <v>2029.07</v>
      </c>
      <c r="B436" s="55" t="e">
        <v>#N/A</v>
      </c>
      <c r="C436" s="56" t="e">
        <v>#N/A</v>
      </c>
    </row>
    <row r="437" spans="1:3" x14ac:dyDescent="0.2">
      <c r="A437" s="26">
        <f t="shared" si="4"/>
        <v>2029.08</v>
      </c>
      <c r="B437" s="55" t="e">
        <v>#N/A</v>
      </c>
      <c r="C437" s="56" t="e">
        <v>#N/A</v>
      </c>
    </row>
    <row r="438" spans="1:3" x14ac:dyDescent="0.2">
      <c r="A438" s="26">
        <f t="shared" si="4"/>
        <v>2029.09</v>
      </c>
      <c r="B438" s="55" t="e">
        <v>#N/A</v>
      </c>
      <c r="C438" s="56" t="e">
        <v>#N/A</v>
      </c>
    </row>
    <row r="439" spans="1:3" x14ac:dyDescent="0.2">
      <c r="A439" s="26">
        <f t="shared" si="4"/>
        <v>2029.1</v>
      </c>
      <c r="B439" s="55" t="e">
        <v>#N/A</v>
      </c>
      <c r="C439" s="56" t="e">
        <v>#N/A</v>
      </c>
    </row>
    <row r="440" spans="1:3" x14ac:dyDescent="0.2">
      <c r="A440" s="26">
        <f t="shared" si="4"/>
        <v>2029.11</v>
      </c>
      <c r="B440" s="55" t="e">
        <v>#N/A</v>
      </c>
      <c r="C440" s="56" t="e">
        <v>#N/A</v>
      </c>
    </row>
    <row r="441" spans="1:3" x14ac:dyDescent="0.2">
      <c r="A441" s="26">
        <f t="shared" si="4"/>
        <v>2029.12</v>
      </c>
      <c r="B441" s="55" t="e">
        <v>#N/A</v>
      </c>
      <c r="C441" s="56" t="e">
        <v>#N/A</v>
      </c>
    </row>
    <row r="442" spans="1:3" x14ac:dyDescent="0.2">
      <c r="A442" s="26">
        <f t="shared" si="4"/>
        <v>2030.01</v>
      </c>
      <c r="B442" s="55" t="e">
        <v>#N/A</v>
      </c>
      <c r="C442" s="56" t="e">
        <v>#N/A</v>
      </c>
    </row>
    <row r="443" spans="1:3" x14ac:dyDescent="0.2">
      <c r="A443" s="26">
        <f t="shared" si="4"/>
        <v>2030.02</v>
      </c>
      <c r="B443" s="55" t="e">
        <v>#N/A</v>
      </c>
      <c r="C443" s="56" t="e">
        <v>#N/A</v>
      </c>
    </row>
    <row r="444" spans="1:3" x14ac:dyDescent="0.2">
      <c r="A444" s="26">
        <f t="shared" si="4"/>
        <v>2030.03</v>
      </c>
      <c r="B444" s="55" t="e">
        <v>#N/A</v>
      </c>
      <c r="C444" s="56" t="e">
        <v>#N/A</v>
      </c>
    </row>
    <row r="445" spans="1:3" x14ac:dyDescent="0.2">
      <c r="A445" s="26">
        <f t="shared" si="4"/>
        <v>2030.04</v>
      </c>
      <c r="B445" s="55" t="e">
        <v>#N/A</v>
      </c>
      <c r="C445" s="56" t="e">
        <v>#N/A</v>
      </c>
    </row>
    <row r="446" spans="1:3" x14ac:dyDescent="0.2">
      <c r="A446" s="26">
        <f t="shared" si="4"/>
        <v>2030.05</v>
      </c>
      <c r="B446" s="55" t="e">
        <v>#N/A</v>
      </c>
      <c r="C446" s="56" t="e">
        <v>#N/A</v>
      </c>
    </row>
    <row r="447" spans="1:3" x14ac:dyDescent="0.2">
      <c r="A447" s="26">
        <f t="shared" si="4"/>
        <v>2030.06</v>
      </c>
      <c r="B447" s="55" t="e">
        <v>#N/A</v>
      </c>
      <c r="C447" s="56" t="e">
        <v>#N/A</v>
      </c>
    </row>
    <row r="448" spans="1:3" x14ac:dyDescent="0.2">
      <c r="A448" s="26">
        <f t="shared" si="4"/>
        <v>2030.07</v>
      </c>
      <c r="B448" s="55" t="e">
        <v>#N/A</v>
      </c>
      <c r="C448" s="56" t="e">
        <v>#N/A</v>
      </c>
    </row>
    <row r="449" spans="1:3" x14ac:dyDescent="0.2">
      <c r="A449" s="26">
        <f t="shared" si="4"/>
        <v>2030.08</v>
      </c>
      <c r="B449" s="55" t="e">
        <v>#N/A</v>
      </c>
      <c r="C449" s="56" t="e">
        <v>#N/A</v>
      </c>
    </row>
    <row r="450" spans="1:3" x14ac:dyDescent="0.2">
      <c r="A450" s="26">
        <f t="shared" si="4"/>
        <v>2030.09</v>
      </c>
      <c r="B450" s="55" t="e">
        <v>#N/A</v>
      </c>
      <c r="C450" s="56" t="e">
        <v>#N/A</v>
      </c>
    </row>
    <row r="451" spans="1:3" x14ac:dyDescent="0.2">
      <c r="A451" s="26">
        <f t="shared" si="4"/>
        <v>2030.1</v>
      </c>
      <c r="B451" s="55" t="e">
        <v>#N/A</v>
      </c>
      <c r="C451" s="56" t="e">
        <v>#N/A</v>
      </c>
    </row>
    <row r="452" spans="1:3" x14ac:dyDescent="0.2">
      <c r="A452" s="26">
        <f t="shared" si="4"/>
        <v>2030.11</v>
      </c>
      <c r="B452" s="55" t="e">
        <v>#N/A</v>
      </c>
      <c r="C452" s="56" t="e">
        <v>#N/A</v>
      </c>
    </row>
    <row r="453" spans="1:3" x14ac:dyDescent="0.2">
      <c r="A453" s="26">
        <f t="shared" si="4"/>
        <v>2030.12</v>
      </c>
      <c r="B453" s="55" t="e">
        <v>#N/A</v>
      </c>
      <c r="C453" s="56" t="e">
        <v>#N/A</v>
      </c>
    </row>
  </sheetData>
  <hyperlinks>
    <hyperlink ref="A1" location="INDICE!A13" display="VOLVER AL INDICE" xr:uid="{F3C0C09A-D7D6-47EB-B490-6B69B4C004AF}"/>
  </hyperlinks>
  <printOptions gridLines="1"/>
  <pageMargins left="0.39370078740157483" right="0.39370078740157483" top="0.59055118110236227" bottom="0.59055118110236227" header="0" footer="0"/>
  <pageSetup paperSize="9" scale="50"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fitToPage="1"/>
  </sheetPr>
  <dimension ref="A1:G453"/>
  <sheetViews>
    <sheetView zoomScale="115" zoomScaleNormal="115" workbookViewId="0">
      <pane xSplit="1" ySplit="9" topLeftCell="B10" activePane="bottomRight" state="frozen"/>
      <selection activeCell="A5" sqref="A5"/>
      <selection pane="topRight" activeCell="A5" sqref="A5"/>
      <selection pane="bottomLeft" activeCell="A5" sqref="A5"/>
      <selection pane="bottomRight" activeCell="B10" sqref="B10"/>
    </sheetView>
  </sheetViews>
  <sheetFormatPr baseColWidth="10" defaultColWidth="11.42578125" defaultRowHeight="12.75" x14ac:dyDescent="0.2"/>
  <cols>
    <col min="1" max="1" width="10.5703125" style="6" customWidth="1"/>
    <col min="2" max="2" width="15.42578125" style="6" customWidth="1"/>
    <col min="3" max="3" width="15.42578125" style="25" customWidth="1"/>
    <col min="4" max="4" width="3.42578125" style="1" customWidth="1"/>
    <col min="5" max="5" width="11.42578125" style="1"/>
    <col min="6" max="6" width="12.42578125" style="1" bestFit="1" customWidth="1"/>
    <col min="7" max="16384" width="11.42578125" style="1"/>
  </cols>
  <sheetData>
    <row r="1" spans="1:6" s="3" customFormat="1" ht="22.5" x14ac:dyDescent="0.2">
      <c r="A1" s="71" t="s">
        <v>115</v>
      </c>
      <c r="B1" s="16"/>
      <c r="C1" s="23"/>
    </row>
    <row r="2" spans="1:6" s="3" customFormat="1" ht="41.25" customHeight="1" x14ac:dyDescent="0.2">
      <c r="A2" s="70" t="s">
        <v>7</v>
      </c>
      <c r="B2" s="15" t="s">
        <v>80</v>
      </c>
      <c r="C2" s="24"/>
    </row>
    <row r="3" spans="1:6" s="3" customFormat="1" ht="22.5" x14ac:dyDescent="0.2">
      <c r="A3" s="70" t="s">
        <v>13</v>
      </c>
      <c r="B3" s="15" t="s">
        <v>41</v>
      </c>
      <c r="C3" s="24"/>
    </row>
    <row r="4" spans="1:6" s="3" customFormat="1" x14ac:dyDescent="0.2">
      <c r="A4" s="86" t="s">
        <v>105</v>
      </c>
      <c r="B4" s="16"/>
      <c r="C4" s="23"/>
    </row>
    <row r="5" spans="1:6" s="3" customFormat="1" x14ac:dyDescent="0.2">
      <c r="A5" s="86" t="s">
        <v>106</v>
      </c>
      <c r="B5" s="13" t="s">
        <v>22</v>
      </c>
      <c r="C5" s="44" t="s">
        <v>34</v>
      </c>
    </row>
    <row r="6" spans="1:6" s="3" customFormat="1" x14ac:dyDescent="0.2">
      <c r="A6" s="87" t="s">
        <v>107</v>
      </c>
      <c r="B6" s="16"/>
      <c r="C6" s="45"/>
    </row>
    <row r="7" spans="1:6" s="3" customFormat="1" ht="22.5" x14ac:dyDescent="0.2">
      <c r="A7" s="71" t="s">
        <v>114</v>
      </c>
      <c r="B7" s="13" t="s">
        <v>38</v>
      </c>
      <c r="C7" s="44" t="s">
        <v>38</v>
      </c>
    </row>
    <row r="8" spans="1:6" s="3" customFormat="1" x14ac:dyDescent="0.2">
      <c r="A8" s="86" t="s">
        <v>108</v>
      </c>
      <c r="B8" s="93" t="s">
        <v>110</v>
      </c>
      <c r="C8" s="94" t="s">
        <v>110</v>
      </c>
    </row>
    <row r="9" spans="1:6" s="4" customFormat="1" ht="13.5" thickBot="1" x14ac:dyDescent="0.25">
      <c r="A9" s="111" t="s">
        <v>19</v>
      </c>
      <c r="B9" s="91" t="s">
        <v>63</v>
      </c>
      <c r="C9" s="92" t="s">
        <v>64</v>
      </c>
    </row>
    <row r="10" spans="1:6" s="4" customFormat="1" x14ac:dyDescent="0.2">
      <c r="A10" s="26">
        <v>1994.01</v>
      </c>
      <c r="B10" s="46"/>
      <c r="C10" s="90">
        <v>33.896450460966669</v>
      </c>
      <c r="E10" s="31"/>
      <c r="F10" s="31"/>
    </row>
    <row r="11" spans="1:6" s="4" customFormat="1" x14ac:dyDescent="0.2">
      <c r="A11" s="26">
        <v>1994.02</v>
      </c>
      <c r="B11" s="47"/>
      <c r="C11" s="56">
        <v>34.038206685421734</v>
      </c>
      <c r="E11" s="31"/>
      <c r="F11" s="31"/>
    </row>
    <row r="12" spans="1:6" s="4" customFormat="1" x14ac:dyDescent="0.2">
      <c r="A12" s="26">
        <v>1994.03</v>
      </c>
      <c r="B12" s="47"/>
      <c r="C12" s="56">
        <v>34.123272086254687</v>
      </c>
      <c r="E12" s="31"/>
      <c r="F12" s="31"/>
    </row>
    <row r="13" spans="1:6" s="4" customFormat="1" x14ac:dyDescent="0.2">
      <c r="A13" s="26">
        <v>1994.04</v>
      </c>
      <c r="B13" s="47"/>
      <c r="C13" s="56">
        <v>33.328627329345267</v>
      </c>
      <c r="E13" s="31"/>
      <c r="F13" s="31"/>
    </row>
    <row r="14" spans="1:6" s="4" customFormat="1" x14ac:dyDescent="0.2">
      <c r="A14" s="26">
        <v>1994.05</v>
      </c>
      <c r="B14" s="47"/>
      <c r="C14" s="56">
        <v>33.28865072377301</v>
      </c>
      <c r="E14" s="31"/>
      <c r="F14" s="31"/>
    </row>
    <row r="15" spans="1:6" s="4" customFormat="1" x14ac:dyDescent="0.2">
      <c r="A15" s="26">
        <v>1994.06</v>
      </c>
      <c r="B15" s="47"/>
      <c r="C15" s="56">
        <v>33.361711969974898</v>
      </c>
      <c r="E15" s="31"/>
      <c r="F15" s="31"/>
    </row>
    <row r="16" spans="1:6" s="4" customFormat="1" x14ac:dyDescent="0.2">
      <c r="A16" s="26">
        <v>1994.07</v>
      </c>
      <c r="B16" s="47"/>
      <c r="C16" s="56">
        <v>33.646952116089729</v>
      </c>
      <c r="E16" s="31"/>
      <c r="F16" s="31"/>
    </row>
    <row r="17" spans="1:6" s="4" customFormat="1" x14ac:dyDescent="0.2">
      <c r="A17" s="26">
        <v>1994.08</v>
      </c>
      <c r="B17" s="47"/>
      <c r="C17" s="56">
        <v>33.755350882132923</v>
      </c>
      <c r="E17" s="31"/>
      <c r="F17" s="31"/>
    </row>
    <row r="18" spans="1:6" s="4" customFormat="1" x14ac:dyDescent="0.2">
      <c r="A18" s="26">
        <v>1994.09</v>
      </c>
      <c r="B18" s="47"/>
      <c r="C18" s="56">
        <v>33.765363983825097</v>
      </c>
      <c r="E18" s="31"/>
      <c r="F18" s="31"/>
    </row>
    <row r="19" spans="1:6" s="4" customFormat="1" x14ac:dyDescent="0.2">
      <c r="A19" s="26">
        <v>1994.1</v>
      </c>
      <c r="B19" s="47"/>
      <c r="C19" s="56">
        <v>33.645943208788786</v>
      </c>
      <c r="E19" s="31"/>
      <c r="F19" s="31"/>
    </row>
    <row r="20" spans="1:6" s="4" customFormat="1" x14ac:dyDescent="0.2">
      <c r="A20" s="26">
        <v>1994.11</v>
      </c>
      <c r="B20" s="47"/>
      <c r="C20" s="56">
        <v>33.697871492385943</v>
      </c>
      <c r="E20" s="31"/>
      <c r="F20" s="31"/>
    </row>
    <row r="21" spans="1:6" s="4" customFormat="1" x14ac:dyDescent="0.2">
      <c r="A21" s="26">
        <v>1994.12</v>
      </c>
      <c r="B21" s="47"/>
      <c r="C21" s="56">
        <v>33.483720428882748</v>
      </c>
      <c r="E21" s="31"/>
      <c r="F21" s="31"/>
    </row>
    <row r="22" spans="1:6" x14ac:dyDescent="0.2">
      <c r="A22" s="26">
        <v>1995.01</v>
      </c>
      <c r="B22" s="47"/>
      <c r="C22" s="56">
        <v>32.968123149568669</v>
      </c>
      <c r="E22" s="32"/>
      <c r="F22" s="31"/>
    </row>
    <row r="23" spans="1:6" x14ac:dyDescent="0.2">
      <c r="A23" s="26">
        <v>1995.02</v>
      </c>
      <c r="B23" s="47"/>
      <c r="C23" s="56">
        <v>33.125267751455659</v>
      </c>
      <c r="E23" s="32"/>
      <c r="F23" s="31"/>
    </row>
    <row r="24" spans="1:6" x14ac:dyDescent="0.2">
      <c r="A24" s="26">
        <v>1995.03</v>
      </c>
      <c r="B24" s="47"/>
      <c r="C24" s="56">
        <v>33.283325010265251</v>
      </c>
      <c r="E24" s="32"/>
      <c r="F24" s="31"/>
    </row>
    <row r="25" spans="1:6" x14ac:dyDescent="0.2">
      <c r="A25" s="26">
        <v>1995.04</v>
      </c>
      <c r="B25" s="47"/>
      <c r="C25" s="56">
        <v>30.1540798938303</v>
      </c>
      <c r="E25" s="32"/>
      <c r="F25" s="31"/>
    </row>
    <row r="26" spans="1:6" x14ac:dyDescent="0.2">
      <c r="A26" s="26">
        <v>1995.05</v>
      </c>
      <c r="B26" s="47"/>
      <c r="C26" s="56">
        <v>30.010856531224118</v>
      </c>
      <c r="E26" s="32"/>
      <c r="F26" s="31"/>
    </row>
    <row r="27" spans="1:6" x14ac:dyDescent="0.2">
      <c r="A27" s="26">
        <v>1995.06</v>
      </c>
      <c r="B27" s="47"/>
      <c r="C27" s="56">
        <v>30.097365006216638</v>
      </c>
      <c r="E27" s="32"/>
      <c r="F27" s="31"/>
    </row>
    <row r="28" spans="1:6" x14ac:dyDescent="0.2">
      <c r="A28" s="26">
        <v>1995.07</v>
      </c>
      <c r="B28" s="47"/>
      <c r="C28" s="56">
        <v>29.98624649353382</v>
      </c>
      <c r="E28" s="32"/>
      <c r="F28" s="31"/>
    </row>
    <row r="29" spans="1:6" x14ac:dyDescent="0.2">
      <c r="A29" s="26">
        <v>1995.08</v>
      </c>
      <c r="B29" s="47"/>
      <c r="C29" s="56">
        <v>29.838775127935342</v>
      </c>
      <c r="E29" s="32"/>
      <c r="F29" s="31"/>
    </row>
    <row r="30" spans="1:6" x14ac:dyDescent="0.2">
      <c r="A30" s="26">
        <v>1995.09</v>
      </c>
      <c r="B30" s="47"/>
      <c r="C30" s="56">
        <v>29.818511351290727</v>
      </c>
      <c r="E30" s="32"/>
      <c r="F30" s="31"/>
    </row>
    <row r="31" spans="1:6" x14ac:dyDescent="0.2">
      <c r="A31" s="26">
        <v>1995.1</v>
      </c>
      <c r="B31" s="47"/>
      <c r="C31" s="56">
        <v>31.003191127595269</v>
      </c>
      <c r="E31" s="32"/>
      <c r="F31" s="31"/>
    </row>
    <row r="32" spans="1:6" x14ac:dyDescent="0.2">
      <c r="A32" s="26">
        <v>1995.11</v>
      </c>
      <c r="B32" s="47"/>
      <c r="C32" s="56">
        <v>30.794984109799785</v>
      </c>
      <c r="E32" s="32"/>
      <c r="F32" s="31"/>
    </row>
    <row r="33" spans="1:6" x14ac:dyDescent="0.2">
      <c r="A33" s="26">
        <v>1995.12</v>
      </c>
      <c r="B33" s="47"/>
      <c r="C33" s="56">
        <v>30.64255454558463</v>
      </c>
      <c r="E33" s="32"/>
      <c r="F33" s="31"/>
    </row>
    <row r="34" spans="1:6" x14ac:dyDescent="0.2">
      <c r="A34" s="26">
        <v>1996.01</v>
      </c>
      <c r="B34" s="47"/>
      <c r="C34" s="56">
        <v>30.495896999913967</v>
      </c>
      <c r="E34" s="32"/>
      <c r="F34" s="31"/>
    </row>
    <row r="35" spans="1:6" x14ac:dyDescent="0.2">
      <c r="A35" s="26">
        <v>1996.02</v>
      </c>
      <c r="B35" s="47"/>
      <c r="C35" s="56">
        <v>30.552516586731301</v>
      </c>
      <c r="E35" s="32"/>
      <c r="F35" s="31"/>
    </row>
    <row r="36" spans="1:6" x14ac:dyDescent="0.2">
      <c r="A36" s="26">
        <v>1996.03</v>
      </c>
      <c r="B36" s="47"/>
      <c r="C36" s="56">
        <v>30.581944024316268</v>
      </c>
      <c r="E36" s="32"/>
      <c r="F36" s="31"/>
    </row>
    <row r="37" spans="1:6" x14ac:dyDescent="0.2">
      <c r="A37" s="26">
        <v>1996.04</v>
      </c>
      <c r="B37" s="47"/>
      <c r="C37" s="56">
        <v>32.994956928772247</v>
      </c>
      <c r="E37" s="32"/>
      <c r="F37" s="31"/>
    </row>
    <row r="38" spans="1:6" x14ac:dyDescent="0.2">
      <c r="A38" s="26">
        <v>1996.05</v>
      </c>
      <c r="B38" s="47"/>
      <c r="C38" s="56">
        <v>32.866039607746131</v>
      </c>
      <c r="E38" s="32"/>
      <c r="F38" s="31"/>
    </row>
    <row r="39" spans="1:6" x14ac:dyDescent="0.2">
      <c r="A39" s="26">
        <v>1996.06</v>
      </c>
      <c r="B39" s="47"/>
      <c r="C39" s="56">
        <v>32.801784637387463</v>
      </c>
      <c r="E39" s="32"/>
      <c r="F39" s="31"/>
    </row>
    <row r="40" spans="1:6" x14ac:dyDescent="0.2">
      <c r="A40" s="26">
        <v>1996.07</v>
      </c>
      <c r="B40" s="47"/>
      <c r="C40" s="56">
        <v>33.837775016817275</v>
      </c>
      <c r="E40" s="32"/>
      <c r="F40" s="31"/>
    </row>
    <row r="41" spans="1:6" x14ac:dyDescent="0.2">
      <c r="A41" s="26">
        <v>1996.08</v>
      </c>
      <c r="B41" s="47"/>
      <c r="C41" s="56">
        <v>34.151358956149508</v>
      </c>
      <c r="E41" s="32"/>
      <c r="F41" s="31"/>
    </row>
    <row r="42" spans="1:6" x14ac:dyDescent="0.2">
      <c r="A42" s="26">
        <v>1996.09</v>
      </c>
      <c r="B42" s="47"/>
      <c r="C42" s="56">
        <v>34.049328898171176</v>
      </c>
      <c r="E42" s="32"/>
      <c r="F42" s="31"/>
    </row>
    <row r="43" spans="1:6" x14ac:dyDescent="0.2">
      <c r="A43" s="26">
        <v>1996.1</v>
      </c>
      <c r="B43" s="47"/>
      <c r="C43" s="56">
        <v>34.514001134888289</v>
      </c>
      <c r="E43" s="32"/>
      <c r="F43" s="31"/>
    </row>
    <row r="44" spans="1:6" x14ac:dyDescent="0.2">
      <c r="A44" s="26">
        <v>1996.11</v>
      </c>
      <c r="B44" s="47"/>
      <c r="C44" s="56">
        <v>34.489452939464783</v>
      </c>
      <c r="E44" s="32"/>
      <c r="F44" s="31"/>
    </row>
    <row r="45" spans="1:6" x14ac:dyDescent="0.2">
      <c r="A45" s="26">
        <v>1996.12</v>
      </c>
      <c r="B45" s="47"/>
      <c r="C45" s="56">
        <v>34.776851503928036</v>
      </c>
      <c r="E45" s="32"/>
      <c r="F45" s="31"/>
    </row>
    <row r="46" spans="1:6" x14ac:dyDescent="0.2">
      <c r="A46" s="26">
        <v>1997.01</v>
      </c>
      <c r="B46" s="54">
        <v>33.479705925445373</v>
      </c>
      <c r="C46" s="56">
        <v>36.784880078712668</v>
      </c>
      <c r="E46" s="32"/>
      <c r="F46" s="31"/>
    </row>
    <row r="47" spans="1:6" x14ac:dyDescent="0.2">
      <c r="A47" s="26">
        <v>1997.02</v>
      </c>
      <c r="B47" s="55">
        <v>33.306008337881558</v>
      </c>
      <c r="C47" s="56">
        <v>36.454986182411979</v>
      </c>
      <c r="E47" s="32"/>
      <c r="F47" s="31"/>
    </row>
    <row r="48" spans="1:6" x14ac:dyDescent="0.2">
      <c r="A48" s="26">
        <v>1997.03</v>
      </c>
      <c r="B48" s="55">
        <v>37.96929879473474</v>
      </c>
      <c r="C48" s="56">
        <v>36.366331051883051</v>
      </c>
      <c r="E48" s="32"/>
      <c r="F48" s="31"/>
    </row>
    <row r="49" spans="1:6" x14ac:dyDescent="0.2">
      <c r="A49" s="26">
        <v>1997.04</v>
      </c>
      <c r="B49" s="55">
        <v>35.713541991153008</v>
      </c>
      <c r="C49" s="56">
        <v>37.055980938602644</v>
      </c>
      <c r="E49" s="32"/>
      <c r="F49" s="31"/>
    </row>
    <row r="50" spans="1:6" x14ac:dyDescent="0.2">
      <c r="A50" s="26">
        <v>1997.05</v>
      </c>
      <c r="B50" s="55">
        <v>37.598090328666544</v>
      </c>
      <c r="C50" s="56">
        <v>37.878598420150631</v>
      </c>
      <c r="E50" s="32"/>
      <c r="F50" s="31"/>
    </row>
    <row r="51" spans="1:6" x14ac:dyDescent="0.2">
      <c r="A51" s="26">
        <v>1997.06</v>
      </c>
      <c r="B51" s="55">
        <v>36.943930712372108</v>
      </c>
      <c r="C51" s="56">
        <v>38.020890648977065</v>
      </c>
      <c r="E51" s="32"/>
      <c r="F51" s="31"/>
    </row>
    <row r="52" spans="1:6" x14ac:dyDescent="0.2">
      <c r="A52" s="26">
        <v>1997.07</v>
      </c>
      <c r="B52" s="55">
        <v>37.66939050236688</v>
      </c>
      <c r="C52" s="56">
        <v>37.913091705357338</v>
      </c>
      <c r="E52" s="32"/>
      <c r="F52" s="31"/>
    </row>
    <row r="53" spans="1:6" x14ac:dyDescent="0.2">
      <c r="A53" s="26">
        <v>1997.08</v>
      </c>
      <c r="B53" s="55">
        <v>38.978862142857963</v>
      </c>
      <c r="C53" s="56">
        <v>38.133796978410984</v>
      </c>
      <c r="E53" s="32"/>
      <c r="F53" s="31"/>
    </row>
    <row r="54" spans="1:6" x14ac:dyDescent="0.2">
      <c r="A54" s="26">
        <v>1997.09</v>
      </c>
      <c r="B54" s="55">
        <v>34.313225766315256</v>
      </c>
      <c r="C54" s="56">
        <v>38.70608967589034</v>
      </c>
      <c r="E54" s="32"/>
      <c r="F54" s="31"/>
    </row>
    <row r="55" spans="1:6" x14ac:dyDescent="0.2">
      <c r="A55" s="26">
        <v>1997.1</v>
      </c>
      <c r="B55" s="55">
        <v>37.914622285436778</v>
      </c>
      <c r="C55" s="56">
        <v>39.786059043608006</v>
      </c>
      <c r="E55" s="32"/>
      <c r="F55" s="31"/>
    </row>
    <row r="56" spans="1:6" x14ac:dyDescent="0.2">
      <c r="A56" s="26">
        <v>1997.11</v>
      </c>
      <c r="B56" s="55">
        <v>40.687750518120481</v>
      </c>
      <c r="C56" s="56">
        <v>41.043703627058605</v>
      </c>
      <c r="E56" s="32"/>
      <c r="F56" s="31"/>
    </row>
    <row r="57" spans="1:6" x14ac:dyDescent="0.2">
      <c r="A57" s="26">
        <v>1997.12</v>
      </c>
      <c r="B57" s="55">
        <v>53.093407650110819</v>
      </c>
      <c r="C57" s="56">
        <v>41.696520210737347</v>
      </c>
      <c r="E57" s="32"/>
      <c r="F57" s="31"/>
    </row>
    <row r="58" spans="1:6" x14ac:dyDescent="0.2">
      <c r="A58" s="26">
        <v>1998.01</v>
      </c>
      <c r="B58" s="55">
        <v>38.000979505860194</v>
      </c>
      <c r="C58" s="56">
        <v>41.84786162689629</v>
      </c>
      <c r="E58" s="32"/>
      <c r="F58" s="31"/>
    </row>
    <row r="59" spans="1:6" x14ac:dyDescent="0.2">
      <c r="A59" s="26">
        <v>1998.02</v>
      </c>
      <c r="B59" s="55">
        <v>38.624281395513457</v>
      </c>
      <c r="C59" s="56">
        <v>42.210672160615552</v>
      </c>
      <c r="E59" s="32"/>
      <c r="F59" s="31"/>
    </row>
    <row r="60" spans="1:6" x14ac:dyDescent="0.2">
      <c r="A60" s="26">
        <v>1998.03</v>
      </c>
      <c r="B60" s="55">
        <v>44.30579620146802</v>
      </c>
      <c r="C60" s="56">
        <v>42.292856753787433</v>
      </c>
      <c r="E60" s="32"/>
      <c r="F60" s="31"/>
    </row>
    <row r="61" spans="1:6" x14ac:dyDescent="0.2">
      <c r="A61" s="26">
        <v>1998.04</v>
      </c>
      <c r="B61" s="55">
        <v>40.011911428456862</v>
      </c>
      <c r="C61" s="56">
        <v>41.830778122366183</v>
      </c>
      <c r="E61" s="32"/>
      <c r="F61" s="31"/>
    </row>
    <row r="62" spans="1:6" x14ac:dyDescent="0.2">
      <c r="A62" s="26">
        <v>1998.05</v>
      </c>
      <c r="B62" s="55">
        <v>41.819369792028894</v>
      </c>
      <c r="C62" s="56">
        <v>41.785662329212848</v>
      </c>
      <c r="E62" s="32"/>
      <c r="F62" s="31"/>
    </row>
    <row r="63" spans="1:6" x14ac:dyDescent="0.2">
      <c r="A63" s="26">
        <v>1998.06</v>
      </c>
      <c r="B63" s="55">
        <v>40.286249957121655</v>
      </c>
      <c r="C63" s="56">
        <v>42.064571732543342</v>
      </c>
      <c r="E63" s="32"/>
      <c r="F63" s="31"/>
    </row>
    <row r="64" spans="1:6" x14ac:dyDescent="0.2">
      <c r="A64" s="26">
        <v>1998.07</v>
      </c>
      <c r="B64" s="55">
        <v>42.61260703189086</v>
      </c>
      <c r="C64" s="56">
        <v>42.48774653199284</v>
      </c>
      <c r="E64" s="32"/>
      <c r="F64" s="31"/>
    </row>
    <row r="65" spans="1:6" x14ac:dyDescent="0.2">
      <c r="A65" s="26">
        <v>1998.08</v>
      </c>
      <c r="B65" s="55">
        <v>43.718335962031169</v>
      </c>
      <c r="C65" s="56">
        <v>43.130771164564109</v>
      </c>
      <c r="E65" s="32"/>
      <c r="F65" s="31"/>
    </row>
    <row r="66" spans="1:6" x14ac:dyDescent="0.2">
      <c r="A66" s="26">
        <v>1998.09</v>
      </c>
      <c r="B66" s="55">
        <v>40.07034284896973</v>
      </c>
      <c r="C66" s="56">
        <v>43.651545816614721</v>
      </c>
      <c r="E66" s="32"/>
      <c r="F66" s="31"/>
    </row>
    <row r="67" spans="1:6" x14ac:dyDescent="0.2">
      <c r="A67" s="26">
        <v>1998.1</v>
      </c>
      <c r="B67" s="55">
        <v>45.212477816288292</v>
      </c>
      <c r="C67" s="56">
        <v>44.134411802694856</v>
      </c>
      <c r="E67" s="32"/>
      <c r="F67" s="31"/>
    </row>
    <row r="68" spans="1:6" x14ac:dyDescent="0.2">
      <c r="A68" s="26">
        <v>1998.11</v>
      </c>
      <c r="B68" s="55">
        <v>42.917657277710767</v>
      </c>
      <c r="C68" s="56">
        <v>44.417463415742404</v>
      </c>
      <c r="E68" s="32"/>
      <c r="F68" s="31"/>
    </row>
    <row r="69" spans="1:6" x14ac:dyDescent="0.2">
      <c r="A69" s="26">
        <v>1998.12</v>
      </c>
      <c r="B69" s="55">
        <v>56.178632851187331</v>
      </c>
      <c r="C69" s="56">
        <v>44.242609738080439</v>
      </c>
      <c r="E69" s="32"/>
      <c r="F69" s="31"/>
    </row>
    <row r="70" spans="1:6" x14ac:dyDescent="0.2">
      <c r="A70" s="26">
        <v>1999.01</v>
      </c>
      <c r="B70" s="55">
        <v>40.656420014008908</v>
      </c>
      <c r="C70" s="56">
        <v>44.03407046493939</v>
      </c>
      <c r="E70" s="32"/>
      <c r="F70" s="31"/>
    </row>
    <row r="71" spans="1:6" x14ac:dyDescent="0.2">
      <c r="A71" s="26">
        <v>1999.02</v>
      </c>
      <c r="B71" s="55">
        <v>40.61805106882948</v>
      </c>
      <c r="C71" s="56">
        <v>44.282783379894688</v>
      </c>
      <c r="E71" s="32"/>
      <c r="F71" s="31"/>
    </row>
    <row r="72" spans="1:6" x14ac:dyDescent="0.2">
      <c r="A72" s="26">
        <v>1999.03</v>
      </c>
      <c r="B72" s="55">
        <v>45.975874794517971</v>
      </c>
      <c r="C72" s="56">
        <v>44.613541967620776</v>
      </c>
      <c r="E72" s="32"/>
      <c r="F72" s="31"/>
    </row>
    <row r="73" spans="1:6" x14ac:dyDescent="0.2">
      <c r="A73" s="26">
        <v>1999.04</v>
      </c>
      <c r="B73" s="55">
        <v>43.52021496140069</v>
      </c>
      <c r="C73" s="56">
        <v>44.701487720428034</v>
      </c>
      <c r="E73" s="32"/>
      <c r="F73" s="31"/>
    </row>
    <row r="74" spans="1:6" x14ac:dyDescent="0.2">
      <c r="A74" s="26">
        <v>1999.05</v>
      </c>
      <c r="B74" s="55">
        <v>44.078250894096676</v>
      </c>
      <c r="C74" s="56">
        <v>44.707011813019115</v>
      </c>
      <c r="E74" s="32"/>
      <c r="F74" s="31"/>
    </row>
    <row r="75" spans="1:6" x14ac:dyDescent="0.2">
      <c r="A75" s="26">
        <v>1999.06</v>
      </c>
      <c r="B75" s="55">
        <v>43.114229153535398</v>
      </c>
      <c r="C75" s="56">
        <v>45.043207677651068</v>
      </c>
      <c r="E75" s="32"/>
      <c r="F75" s="31"/>
    </row>
    <row r="76" spans="1:6" x14ac:dyDescent="0.2">
      <c r="A76" s="26">
        <v>1999.07</v>
      </c>
      <c r="B76" s="55">
        <v>47.466242878724842</v>
      </c>
      <c r="C76" s="56">
        <v>45.490314990477437</v>
      </c>
      <c r="E76" s="32"/>
      <c r="F76" s="31"/>
    </row>
    <row r="77" spans="1:6" x14ac:dyDescent="0.2">
      <c r="A77" s="26">
        <v>1999.08</v>
      </c>
      <c r="B77" s="55">
        <v>44.35328033633953</v>
      </c>
      <c r="C77" s="56">
        <v>45.320914350946936</v>
      </c>
      <c r="E77" s="32"/>
      <c r="F77" s="31"/>
    </row>
    <row r="78" spans="1:6" x14ac:dyDescent="0.2">
      <c r="A78" s="26">
        <v>1999.09</v>
      </c>
      <c r="B78" s="55">
        <v>41.810759541913647</v>
      </c>
      <c r="C78" s="56">
        <v>45.292184941959036</v>
      </c>
      <c r="E78" s="32"/>
      <c r="F78" s="31"/>
    </row>
    <row r="79" spans="1:6" x14ac:dyDescent="0.2">
      <c r="A79" s="26">
        <v>1999.1</v>
      </c>
      <c r="B79" s="55">
        <v>47.393638219539824</v>
      </c>
      <c r="C79" s="56">
        <v>45.528303048389411</v>
      </c>
      <c r="E79" s="32"/>
      <c r="F79" s="31"/>
    </row>
    <row r="80" spans="1:6" x14ac:dyDescent="0.2">
      <c r="A80" s="26">
        <v>1999.11</v>
      </c>
      <c r="B80" s="55">
        <v>42.854404777480454</v>
      </c>
      <c r="C80" s="56">
        <v>45.347179776329313</v>
      </c>
      <c r="E80" s="32"/>
      <c r="F80" s="31"/>
    </row>
    <row r="81" spans="1:6" x14ac:dyDescent="0.2">
      <c r="A81" s="26">
        <v>1999.12</v>
      </c>
      <c r="B81" s="55">
        <v>57.548716105257753</v>
      </c>
      <c r="C81" s="56">
        <v>45.508322789732077</v>
      </c>
      <c r="E81" s="32"/>
      <c r="F81" s="31"/>
    </row>
    <row r="82" spans="1:6" x14ac:dyDescent="0.2">
      <c r="A82" s="26">
        <v>2000.01</v>
      </c>
      <c r="B82" s="55">
        <v>42.846050956963559</v>
      </c>
      <c r="C82" s="56">
        <v>46.384236739754066</v>
      </c>
      <c r="E82" s="32"/>
      <c r="F82" s="31"/>
    </row>
    <row r="83" spans="1:6" x14ac:dyDescent="0.2">
      <c r="A83" s="26">
        <v>2000.02</v>
      </c>
      <c r="B83" s="55">
        <v>44.623733898116662</v>
      </c>
      <c r="C83" s="56">
        <v>47.495969357237669</v>
      </c>
      <c r="E83" s="32"/>
      <c r="F83" s="31"/>
    </row>
    <row r="84" spans="1:6" x14ac:dyDescent="0.2">
      <c r="A84" s="26">
        <v>2000.03</v>
      </c>
      <c r="B84" s="55">
        <v>47.885934058371404</v>
      </c>
      <c r="C84" s="56">
        <v>48.794181946468449</v>
      </c>
      <c r="E84" s="32"/>
      <c r="F84" s="31"/>
    </row>
    <row r="85" spans="1:6" x14ac:dyDescent="0.2">
      <c r="A85" s="26">
        <v>2000.04</v>
      </c>
      <c r="B85" s="55">
        <v>55.205570899817459</v>
      </c>
      <c r="C85" s="56">
        <v>50.220798338289086</v>
      </c>
      <c r="E85" s="32"/>
      <c r="F85" s="31"/>
    </row>
    <row r="86" spans="1:6" x14ac:dyDescent="0.2">
      <c r="A86" s="26">
        <v>2000.05</v>
      </c>
      <c r="B86" s="55">
        <v>49.510194383127505</v>
      </c>
      <c r="C86" s="56">
        <v>51.545991011500163</v>
      </c>
      <c r="E86" s="32"/>
      <c r="F86" s="31"/>
    </row>
    <row r="87" spans="1:6" x14ac:dyDescent="0.2">
      <c r="A87" s="26">
        <v>2000.06</v>
      </c>
      <c r="B87" s="55">
        <v>51.123895720171177</v>
      </c>
      <c r="C87" s="56">
        <v>52.848035438589385</v>
      </c>
      <c r="E87" s="32"/>
      <c r="F87" s="31"/>
    </row>
    <row r="88" spans="1:6" x14ac:dyDescent="0.2">
      <c r="A88" s="26">
        <v>2000.07</v>
      </c>
      <c r="B88" s="55">
        <v>55.732683674386848</v>
      </c>
      <c r="C88" s="56">
        <v>54.337613659735936</v>
      </c>
      <c r="E88" s="32"/>
      <c r="F88" s="31"/>
    </row>
    <row r="89" spans="1:6" x14ac:dyDescent="0.2">
      <c r="A89" s="26">
        <v>2000.08</v>
      </c>
      <c r="B89" s="55">
        <v>54.4617861487881</v>
      </c>
      <c r="C89" s="56">
        <v>55.677038661539569</v>
      </c>
      <c r="E89" s="32"/>
      <c r="F89" s="31"/>
    </row>
    <row r="90" spans="1:6" x14ac:dyDescent="0.2">
      <c r="A90" s="26">
        <v>2000.09</v>
      </c>
      <c r="B90" s="55">
        <v>53.732539719521448</v>
      </c>
      <c r="C90" s="56">
        <v>55.962177980915527</v>
      </c>
      <c r="E90" s="32"/>
      <c r="F90" s="31"/>
    </row>
    <row r="91" spans="1:6" x14ac:dyDescent="0.2">
      <c r="A91" s="26">
        <v>2000.1</v>
      </c>
      <c r="B91" s="55">
        <v>54.78509612705259</v>
      </c>
      <c r="C91" s="56">
        <v>55.361912309955926</v>
      </c>
      <c r="E91" s="32"/>
      <c r="F91" s="31"/>
    </row>
    <row r="92" spans="1:6" x14ac:dyDescent="0.2">
      <c r="A92" s="26">
        <v>2000.11</v>
      </c>
      <c r="B92" s="55">
        <v>52.677553857944588</v>
      </c>
      <c r="C92" s="56">
        <v>55.102462444808282</v>
      </c>
      <c r="E92" s="32"/>
      <c r="F92" s="31"/>
    </row>
    <row r="93" spans="1:6" x14ac:dyDescent="0.2">
      <c r="A93" s="26">
        <v>2000.12</v>
      </c>
      <c r="B93" s="55">
        <v>72.186897458662571</v>
      </c>
      <c r="C93" s="56">
        <v>55.226789727403805</v>
      </c>
      <c r="E93" s="32"/>
      <c r="F93" s="31"/>
    </row>
    <row r="94" spans="1:6" x14ac:dyDescent="0.2">
      <c r="A94" s="26">
        <v>2001.01</v>
      </c>
      <c r="B94" s="55">
        <v>49.863285646919294</v>
      </c>
      <c r="C94" s="56">
        <v>54.950968036654267</v>
      </c>
      <c r="E94" s="32"/>
      <c r="F94" s="31"/>
    </row>
    <row r="95" spans="1:6" x14ac:dyDescent="0.2">
      <c r="A95" s="26">
        <v>2001.02</v>
      </c>
      <c r="B95" s="55">
        <v>49.552452627184714</v>
      </c>
      <c r="C95" s="56">
        <v>54.324569792564752</v>
      </c>
      <c r="E95" s="32"/>
      <c r="F95" s="31"/>
    </row>
    <row r="96" spans="1:6" x14ac:dyDescent="0.2">
      <c r="A96" s="26">
        <v>2001.03</v>
      </c>
      <c r="B96" s="55">
        <v>56.750005726396907</v>
      </c>
      <c r="C96" s="56">
        <v>54.432631469547033</v>
      </c>
      <c r="E96" s="32"/>
      <c r="F96" s="31"/>
    </row>
    <row r="97" spans="1:6" x14ac:dyDescent="0.2">
      <c r="A97" s="26">
        <v>2001.04</v>
      </c>
      <c r="B97" s="55">
        <v>54.907788949299494</v>
      </c>
      <c r="C97" s="56">
        <v>55.008132864160238</v>
      </c>
      <c r="E97" s="32"/>
      <c r="F97" s="31"/>
    </row>
    <row r="98" spans="1:6" x14ac:dyDescent="0.2">
      <c r="A98" s="26">
        <v>2001.05</v>
      </c>
      <c r="B98" s="55">
        <v>48.905692946326397</v>
      </c>
      <c r="C98" s="56">
        <v>54.871812307284927</v>
      </c>
      <c r="E98" s="32"/>
      <c r="F98" s="31"/>
    </row>
    <row r="99" spans="1:6" x14ac:dyDescent="0.2">
      <c r="A99" s="26">
        <v>2001.06</v>
      </c>
      <c r="B99" s="55">
        <v>53.947740590449179</v>
      </c>
      <c r="C99" s="56">
        <v>54.475192104361575</v>
      </c>
      <c r="E99" s="32"/>
      <c r="F99" s="31"/>
    </row>
    <row r="100" spans="1:6" x14ac:dyDescent="0.2">
      <c r="A100" s="26">
        <v>2001.07</v>
      </c>
      <c r="B100" s="55">
        <v>54.319807738116403</v>
      </c>
      <c r="C100" s="56">
        <v>53.797048603282093</v>
      </c>
      <c r="E100" s="32"/>
      <c r="F100" s="31"/>
    </row>
    <row r="101" spans="1:6" x14ac:dyDescent="0.2">
      <c r="A101" s="26">
        <v>2001.08</v>
      </c>
      <c r="B101" s="55">
        <v>51.219280259223638</v>
      </c>
      <c r="C101" s="56">
        <v>52.6729244478136</v>
      </c>
      <c r="E101" s="32"/>
      <c r="F101" s="31"/>
    </row>
    <row r="102" spans="1:6" x14ac:dyDescent="0.2">
      <c r="A102" s="26">
        <v>2001.09</v>
      </c>
      <c r="B102" s="55">
        <v>49.847390101291602</v>
      </c>
      <c r="C102" s="56">
        <v>51.700761843295354</v>
      </c>
      <c r="E102" s="32"/>
      <c r="F102" s="31"/>
    </row>
    <row r="103" spans="1:6" x14ac:dyDescent="0.2">
      <c r="A103" s="26">
        <v>2001.1</v>
      </c>
      <c r="B103" s="55">
        <v>49.993224141939535</v>
      </c>
      <c r="C103" s="56">
        <v>50.98282699752734</v>
      </c>
      <c r="E103" s="32"/>
      <c r="F103" s="31"/>
    </row>
    <row r="104" spans="1:6" x14ac:dyDescent="0.2">
      <c r="A104" s="26">
        <v>2001.11</v>
      </c>
      <c r="B104" s="55">
        <v>48.563298029166461</v>
      </c>
      <c r="C104" s="56">
        <v>50.301789439098997</v>
      </c>
      <c r="E104" s="32"/>
      <c r="F104" s="31"/>
    </row>
    <row r="105" spans="1:6" x14ac:dyDescent="0.2">
      <c r="A105" s="26">
        <v>2001.12</v>
      </c>
      <c r="B105" s="55">
        <v>63.499557492006623</v>
      </c>
      <c r="C105" s="56">
        <v>49.867605782920421</v>
      </c>
      <c r="E105" s="32"/>
      <c r="F105" s="31"/>
    </row>
    <row r="106" spans="1:6" x14ac:dyDescent="0.2">
      <c r="A106" s="26">
        <v>2002.01</v>
      </c>
      <c r="B106" s="55">
        <v>47.840141846286699</v>
      </c>
      <c r="C106" s="56">
        <v>50.028645529594058</v>
      </c>
      <c r="E106" s="32"/>
      <c r="F106" s="31"/>
    </row>
    <row r="107" spans="1:6" x14ac:dyDescent="0.2">
      <c r="A107" s="26">
        <v>2002.02</v>
      </c>
      <c r="B107" s="55">
        <v>46.301346391549622</v>
      </c>
      <c r="C107" s="56">
        <v>49.751775571158177</v>
      </c>
      <c r="E107" s="32"/>
      <c r="F107" s="31"/>
    </row>
    <row r="108" spans="1:6" x14ac:dyDescent="0.2">
      <c r="A108" s="26">
        <v>2002.03</v>
      </c>
      <c r="B108" s="55">
        <v>51.593564253913755</v>
      </c>
      <c r="C108" s="56">
        <v>47.941317829064026</v>
      </c>
      <c r="E108" s="32"/>
      <c r="F108" s="31"/>
    </row>
    <row r="109" spans="1:6" x14ac:dyDescent="0.2">
      <c r="A109" s="26">
        <v>2002.04</v>
      </c>
      <c r="B109" s="55">
        <v>41.518924012000021</v>
      </c>
      <c r="C109" s="56">
        <v>45.233288626137671</v>
      </c>
      <c r="E109" s="32"/>
      <c r="F109" s="31"/>
    </row>
    <row r="110" spans="1:6" x14ac:dyDescent="0.2">
      <c r="A110" s="26">
        <v>2002.05</v>
      </c>
      <c r="B110" s="55">
        <v>38.383345581192501</v>
      </c>
      <c r="C110" s="56">
        <v>42.803185339484713</v>
      </c>
      <c r="E110" s="32"/>
      <c r="F110" s="31"/>
    </row>
    <row r="111" spans="1:6" x14ac:dyDescent="0.2">
      <c r="A111" s="26">
        <v>2002.06</v>
      </c>
      <c r="B111" s="55">
        <v>40.36825850136389</v>
      </c>
      <c r="C111" s="56">
        <v>40.573412649698717</v>
      </c>
      <c r="E111" s="32"/>
      <c r="F111" s="31"/>
    </row>
    <row r="112" spans="1:6" x14ac:dyDescent="0.2">
      <c r="A112" s="26">
        <v>2002.07</v>
      </c>
      <c r="B112" s="55">
        <v>37.771577348849057</v>
      </c>
      <c r="C112" s="56">
        <v>38.365077546247591</v>
      </c>
      <c r="E112" s="32"/>
      <c r="F112" s="31"/>
    </row>
    <row r="113" spans="1:6" x14ac:dyDescent="0.2">
      <c r="A113" s="26">
        <v>2002.08</v>
      </c>
      <c r="B113" s="55">
        <v>35.947534926446494</v>
      </c>
      <c r="C113" s="56">
        <v>36.776394355370932</v>
      </c>
      <c r="E113" s="32"/>
      <c r="F113" s="31"/>
    </row>
    <row r="114" spans="1:6" x14ac:dyDescent="0.2">
      <c r="A114" s="26">
        <v>2002.09</v>
      </c>
      <c r="B114" s="55">
        <v>33.791189974956509</v>
      </c>
      <c r="C114" s="56">
        <v>35.841294632479205</v>
      </c>
      <c r="E114" s="32"/>
      <c r="F114" s="31"/>
    </row>
    <row r="115" spans="1:6" x14ac:dyDescent="0.2">
      <c r="A115" s="26">
        <v>2002.1</v>
      </c>
      <c r="B115" s="55">
        <v>34.764978834496894</v>
      </c>
      <c r="C115" s="56">
        <v>35.373425496315612</v>
      </c>
      <c r="E115" s="32"/>
      <c r="F115" s="31"/>
    </row>
    <row r="116" spans="1:6" x14ac:dyDescent="0.2">
      <c r="A116" s="26">
        <v>2002.11</v>
      </c>
      <c r="B116" s="55">
        <v>34.571829450755892</v>
      </c>
      <c r="C116" s="56">
        <v>35.285030881442232</v>
      </c>
      <c r="E116" s="32"/>
      <c r="F116" s="31"/>
    </row>
    <row r="117" spans="1:6" x14ac:dyDescent="0.2">
      <c r="A117" s="26">
        <v>2002.12</v>
      </c>
      <c r="B117" s="55">
        <v>44.880578663961487</v>
      </c>
      <c r="C117" s="56">
        <v>34.840127494877933</v>
      </c>
      <c r="E117" s="32"/>
      <c r="F117" s="31"/>
    </row>
    <row r="118" spans="1:6" x14ac:dyDescent="0.2">
      <c r="A118" s="26">
        <v>2003.01</v>
      </c>
      <c r="B118" s="55">
        <v>31.109198246246031</v>
      </c>
      <c r="C118" s="56">
        <v>34.079664268518037</v>
      </c>
      <c r="E118" s="32"/>
      <c r="F118" s="31"/>
    </row>
    <row r="119" spans="1:6" x14ac:dyDescent="0.2">
      <c r="A119" s="26">
        <v>2003.02</v>
      </c>
      <c r="B119" s="55">
        <v>31.057393133430168</v>
      </c>
      <c r="C119" s="56">
        <v>33.965482433079657</v>
      </c>
      <c r="E119" s="32"/>
      <c r="F119" s="31"/>
    </row>
    <row r="120" spans="1:6" x14ac:dyDescent="0.2">
      <c r="A120" s="26">
        <v>2003.03</v>
      </c>
      <c r="B120" s="55">
        <v>35.697093382169768</v>
      </c>
      <c r="C120" s="56">
        <v>34.065627592944239</v>
      </c>
      <c r="E120" s="32"/>
      <c r="F120" s="31"/>
    </row>
    <row r="121" spans="1:6" x14ac:dyDescent="0.2">
      <c r="A121" s="26">
        <v>2003.04</v>
      </c>
      <c r="B121" s="55">
        <v>32.896626053684273</v>
      </c>
      <c r="C121" s="56">
        <v>34.243034856294358</v>
      </c>
      <c r="E121" s="32"/>
      <c r="F121" s="31"/>
    </row>
    <row r="122" spans="1:6" x14ac:dyDescent="0.2">
      <c r="A122" s="26">
        <v>2003.05</v>
      </c>
      <c r="B122" s="55">
        <v>34.917529071009682</v>
      </c>
      <c r="C122" s="56">
        <v>35.222545454395885</v>
      </c>
      <c r="E122" s="32"/>
      <c r="F122" s="31"/>
    </row>
    <row r="123" spans="1:6" x14ac:dyDescent="0.2">
      <c r="A123" s="26">
        <v>2003.06</v>
      </c>
      <c r="B123" s="55">
        <v>35.477755629359798</v>
      </c>
      <c r="C123" s="56">
        <v>36.277599283117816</v>
      </c>
      <c r="E123" s="32"/>
      <c r="F123" s="31"/>
    </row>
    <row r="124" spans="1:6" x14ac:dyDescent="0.2">
      <c r="A124" s="26">
        <v>2003.07</v>
      </c>
      <c r="B124" s="55">
        <v>36.315357870470201</v>
      </c>
      <c r="C124" s="56">
        <v>36.945328059319827</v>
      </c>
      <c r="E124" s="32"/>
      <c r="F124" s="31"/>
    </row>
    <row r="125" spans="1:6" x14ac:dyDescent="0.2">
      <c r="A125" s="26">
        <v>2003.08</v>
      </c>
      <c r="B125" s="55">
        <v>37.744308670855006</v>
      </c>
      <c r="C125" s="56">
        <v>37.793539679674652</v>
      </c>
      <c r="E125" s="32"/>
      <c r="F125" s="31"/>
    </row>
    <row r="126" spans="1:6" x14ac:dyDescent="0.2">
      <c r="A126" s="26">
        <v>2003.09</v>
      </c>
      <c r="B126" s="55">
        <v>36.001472822368797</v>
      </c>
      <c r="C126" s="56">
        <v>38.342695655608381</v>
      </c>
      <c r="E126" s="32"/>
      <c r="F126" s="31"/>
    </row>
    <row r="127" spans="1:6" x14ac:dyDescent="0.2">
      <c r="A127" s="26">
        <v>2003.1</v>
      </c>
      <c r="B127" s="55">
        <v>38.082766083234716</v>
      </c>
      <c r="C127" s="56">
        <v>38.181002018545257</v>
      </c>
      <c r="E127" s="32"/>
      <c r="F127" s="31"/>
    </row>
    <row r="128" spans="1:6" x14ac:dyDescent="0.2">
      <c r="A128" s="26">
        <v>2003.11</v>
      </c>
      <c r="B128" s="55">
        <v>37.448714669454411</v>
      </c>
      <c r="C128" s="56">
        <v>38.019032092413902</v>
      </c>
      <c r="E128" s="32"/>
      <c r="F128" s="31"/>
    </row>
    <row r="129" spans="1:6" x14ac:dyDescent="0.2">
      <c r="A129" s="26">
        <v>2003.12</v>
      </c>
      <c r="B129" s="55">
        <v>48.338057873525074</v>
      </c>
      <c r="C129" s="56">
        <v>38.129140608948134</v>
      </c>
      <c r="E129" s="32"/>
      <c r="F129" s="31"/>
    </row>
    <row r="130" spans="1:6" x14ac:dyDescent="0.2">
      <c r="A130" s="26">
        <v>2004.01</v>
      </c>
      <c r="B130" s="55">
        <v>36.094398893896802</v>
      </c>
      <c r="C130" s="56">
        <v>38.279424816073636</v>
      </c>
      <c r="E130" s="32"/>
      <c r="F130" s="31"/>
    </row>
    <row r="131" spans="1:6" x14ac:dyDescent="0.2">
      <c r="A131" s="26">
        <v>2004.02</v>
      </c>
      <c r="B131" s="55">
        <v>36.462198598488946</v>
      </c>
      <c r="C131" s="56">
        <v>38.407328972361775</v>
      </c>
      <c r="E131" s="32"/>
      <c r="F131" s="31"/>
    </row>
    <row r="132" spans="1:6" x14ac:dyDescent="0.2">
      <c r="A132" s="26">
        <v>2004.03</v>
      </c>
      <c r="B132" s="55">
        <v>38.733610427603324</v>
      </c>
      <c r="C132" s="56">
        <v>38.895111324998119</v>
      </c>
      <c r="E132" s="32"/>
      <c r="F132" s="31"/>
    </row>
    <row r="133" spans="1:6" x14ac:dyDescent="0.2">
      <c r="A133" s="26">
        <v>2004.04</v>
      </c>
      <c r="B133" s="55">
        <v>39.413851883772921</v>
      </c>
      <c r="C133" s="56">
        <v>39.769290839256399</v>
      </c>
      <c r="E133" s="32"/>
      <c r="F133" s="31"/>
    </row>
    <row r="134" spans="1:6" x14ac:dyDescent="0.2">
      <c r="A134" s="26">
        <v>2004.05</v>
      </c>
      <c r="B134" s="55">
        <v>39.967409058514285</v>
      </c>
      <c r="C134" s="56">
        <v>39.927272615967269</v>
      </c>
      <c r="E134" s="32"/>
      <c r="F134" s="31"/>
    </row>
    <row r="135" spans="1:6" x14ac:dyDescent="0.2">
      <c r="A135" s="26">
        <v>2004.06</v>
      </c>
      <c r="B135" s="55">
        <v>37.613687620248861</v>
      </c>
      <c r="C135" s="56">
        <v>39.406456443124391</v>
      </c>
      <c r="E135" s="32"/>
      <c r="F135" s="31"/>
    </row>
    <row r="136" spans="1:6" x14ac:dyDescent="0.2">
      <c r="A136" s="26">
        <v>2004.07</v>
      </c>
      <c r="B136" s="55">
        <v>39.778403727460564</v>
      </c>
      <c r="C136" s="56">
        <v>39.429236416682627</v>
      </c>
      <c r="E136" s="32"/>
      <c r="F136" s="31"/>
    </row>
    <row r="137" spans="1:6" x14ac:dyDescent="0.2">
      <c r="A137" s="26">
        <v>2004.08</v>
      </c>
      <c r="B137" s="55">
        <v>38.806054886696998</v>
      </c>
      <c r="C137" s="56">
        <v>40.070121857351445</v>
      </c>
      <c r="E137" s="32"/>
      <c r="F137" s="31"/>
    </row>
    <row r="138" spans="1:6" x14ac:dyDescent="0.2">
      <c r="A138" s="26">
        <v>2004.09</v>
      </c>
      <c r="B138" s="55">
        <v>36.275053228236132</v>
      </c>
      <c r="C138" s="56">
        <v>40.994425154432527</v>
      </c>
      <c r="E138" s="32"/>
      <c r="F138" s="31"/>
    </row>
    <row r="139" spans="1:6" x14ac:dyDescent="0.2">
      <c r="A139" s="26">
        <v>2004.1</v>
      </c>
      <c r="B139" s="55">
        <v>43.605986087192285</v>
      </c>
      <c r="C139" s="56">
        <v>41.807575753778259</v>
      </c>
      <c r="E139" s="32"/>
      <c r="F139" s="31"/>
    </row>
    <row r="140" spans="1:6" x14ac:dyDescent="0.2">
      <c r="A140" s="26">
        <v>2004.11</v>
      </c>
      <c r="B140" s="55">
        <v>40.062055261304025</v>
      </c>
      <c r="C140" s="56">
        <v>42.486155530413001</v>
      </c>
      <c r="E140" s="32"/>
      <c r="F140" s="31"/>
    </row>
    <row r="141" spans="1:6" x14ac:dyDescent="0.2">
      <c r="A141" s="26">
        <v>2004.12</v>
      </c>
      <c r="B141" s="55">
        <v>56.914453003436833</v>
      </c>
      <c r="C141" s="56">
        <v>43.23553293007356</v>
      </c>
      <c r="E141" s="32"/>
      <c r="F141" s="31"/>
    </row>
    <row r="142" spans="1:6" x14ac:dyDescent="0.2">
      <c r="A142" s="26">
        <v>2005.01</v>
      </c>
      <c r="B142" s="55">
        <v>41.274633716511104</v>
      </c>
      <c r="C142" s="56">
        <v>43.380823473124174</v>
      </c>
      <c r="E142" s="32"/>
      <c r="F142" s="31"/>
    </row>
    <row r="143" spans="1:6" x14ac:dyDescent="0.2">
      <c r="A143" s="26">
        <v>2005.02</v>
      </c>
      <c r="B143" s="55">
        <v>38.851194328651744</v>
      </c>
      <c r="C143" s="56">
        <v>43.126259189320194</v>
      </c>
      <c r="E143" s="32"/>
      <c r="F143" s="31"/>
    </row>
    <row r="144" spans="1:6" x14ac:dyDescent="0.2">
      <c r="A144" s="26">
        <v>2005.03</v>
      </c>
      <c r="B144" s="55">
        <v>43.026974250060867</v>
      </c>
      <c r="C144" s="56">
        <v>43.096955824408383</v>
      </c>
      <c r="E144" s="32"/>
      <c r="F144" s="31"/>
    </row>
    <row r="145" spans="1:6" x14ac:dyDescent="0.2">
      <c r="A145" s="26">
        <v>2005.04</v>
      </c>
      <c r="B145" s="55">
        <v>43.149250845990835</v>
      </c>
      <c r="C145" s="56">
        <v>43.334435099397396</v>
      </c>
      <c r="E145" s="32"/>
      <c r="F145" s="31"/>
    </row>
    <row r="146" spans="1:6" x14ac:dyDescent="0.2">
      <c r="A146" s="26">
        <v>2005.05</v>
      </c>
      <c r="B146" s="55">
        <v>42.825655989798967</v>
      </c>
      <c r="C146" s="56">
        <v>43.617376724085318</v>
      </c>
      <c r="E146" s="32"/>
      <c r="F146" s="31"/>
    </row>
    <row r="147" spans="1:6" x14ac:dyDescent="0.2">
      <c r="A147" s="26">
        <v>2005.06</v>
      </c>
      <c r="B147" s="55">
        <v>41.796236653836928</v>
      </c>
      <c r="C147" s="56">
        <v>43.844575120108573</v>
      </c>
      <c r="E147" s="32"/>
      <c r="F147" s="31"/>
    </row>
    <row r="148" spans="1:6" x14ac:dyDescent="0.2">
      <c r="A148" s="26">
        <v>2005.07</v>
      </c>
      <c r="B148" s="55">
        <v>45.91542676412503</v>
      </c>
      <c r="C148" s="56">
        <v>44.072334472288432</v>
      </c>
      <c r="E148" s="32"/>
      <c r="F148" s="31"/>
    </row>
    <row r="149" spans="1:6" x14ac:dyDescent="0.2">
      <c r="A149" s="26">
        <v>2005.08</v>
      </c>
      <c r="B149" s="55">
        <v>42.257877029988677</v>
      </c>
      <c r="C149" s="56">
        <v>43.833311510641792</v>
      </c>
      <c r="E149" s="32"/>
      <c r="F149" s="31"/>
    </row>
    <row r="150" spans="1:6" x14ac:dyDescent="0.2">
      <c r="A150" s="26">
        <v>2005.09</v>
      </c>
      <c r="B150" s="55">
        <v>40.840691260432955</v>
      </c>
      <c r="C150" s="56">
        <v>43.870400970163786</v>
      </c>
      <c r="E150" s="32"/>
      <c r="F150" s="31"/>
    </row>
    <row r="151" spans="1:6" x14ac:dyDescent="0.2">
      <c r="A151" s="26">
        <v>2005.1</v>
      </c>
      <c r="B151" s="55">
        <v>46.082856626756829</v>
      </c>
      <c r="C151" s="56">
        <v>44.466916308697947</v>
      </c>
      <c r="E151" s="32"/>
      <c r="F151" s="31"/>
    </row>
    <row r="152" spans="1:6" x14ac:dyDescent="0.2">
      <c r="A152" s="26">
        <v>2005.11</v>
      </c>
      <c r="B152" s="55">
        <v>42.872000432226436</v>
      </c>
      <c r="C152" s="56">
        <v>44.536765214805058</v>
      </c>
      <c r="E152" s="32"/>
      <c r="F152" s="31"/>
    </row>
    <row r="153" spans="1:6" x14ac:dyDescent="0.2">
      <c r="A153" s="26">
        <v>2005.12</v>
      </c>
      <c r="B153" s="55">
        <v>55.919691251020708</v>
      </c>
      <c r="C153" s="56">
        <v>44.633963980526254</v>
      </c>
      <c r="E153" s="32"/>
      <c r="F153" s="31"/>
    </row>
    <row r="154" spans="1:6" x14ac:dyDescent="0.2">
      <c r="A154" s="26">
        <v>2006.01</v>
      </c>
      <c r="B154" s="55">
        <v>42.769916322983434</v>
      </c>
      <c r="C154" s="56">
        <v>45.477053465028462</v>
      </c>
      <c r="E154" s="32"/>
      <c r="F154" s="31"/>
    </row>
    <row r="155" spans="1:6" x14ac:dyDescent="0.2">
      <c r="A155" s="26">
        <v>2006.02</v>
      </c>
      <c r="B155" s="55">
        <v>42.552399314696125</v>
      </c>
      <c r="C155" s="56">
        <v>46.273059255924558</v>
      </c>
      <c r="E155" s="32"/>
      <c r="F155" s="31"/>
    </row>
    <row r="156" spans="1:6" x14ac:dyDescent="0.2">
      <c r="A156" s="26">
        <v>2006.03</v>
      </c>
      <c r="B156" s="55">
        <v>46.24810771230284</v>
      </c>
      <c r="C156" s="56">
        <v>46.948250655087833</v>
      </c>
      <c r="E156" s="32"/>
      <c r="F156" s="31"/>
    </row>
    <row r="157" spans="1:6" x14ac:dyDescent="0.2">
      <c r="A157" s="26">
        <v>2006.04</v>
      </c>
      <c r="B157" s="55">
        <v>48.72786138352884</v>
      </c>
      <c r="C157" s="56">
        <v>47.830318830792621</v>
      </c>
      <c r="E157" s="32"/>
      <c r="F157" s="31"/>
    </row>
    <row r="158" spans="1:6" x14ac:dyDescent="0.2">
      <c r="A158" s="26">
        <v>2006.05</v>
      </c>
      <c r="B158" s="55">
        <v>46.190408756798071</v>
      </c>
      <c r="C158" s="56">
        <v>48.415731922853823</v>
      </c>
      <c r="E158" s="32"/>
      <c r="F158" s="31"/>
    </row>
    <row r="159" spans="1:6" x14ac:dyDescent="0.2">
      <c r="A159" s="26">
        <v>2006.06</v>
      </c>
      <c r="B159" s="55">
        <v>47.545555988753179</v>
      </c>
      <c r="C159" s="56">
        <v>48.984652691765298</v>
      </c>
      <c r="E159" s="32"/>
      <c r="F159" s="31"/>
    </row>
    <row r="160" spans="1:6" x14ac:dyDescent="0.2">
      <c r="A160" s="26">
        <v>2006.07</v>
      </c>
      <c r="B160" s="55">
        <v>50.779192587448335</v>
      </c>
      <c r="C160" s="56">
        <v>49.644454285850102</v>
      </c>
      <c r="E160" s="32"/>
      <c r="F160" s="31"/>
    </row>
    <row r="161" spans="1:6" x14ac:dyDescent="0.2">
      <c r="A161" s="26">
        <v>2006.08</v>
      </c>
      <c r="B161" s="55">
        <v>48.867055151754066</v>
      </c>
      <c r="C161" s="56">
        <v>50.106367567692644</v>
      </c>
      <c r="E161" s="32"/>
      <c r="F161" s="31"/>
    </row>
    <row r="162" spans="1:6" x14ac:dyDescent="0.2">
      <c r="A162" s="26">
        <v>2006.09</v>
      </c>
      <c r="B162" s="55">
        <v>48.570952647701191</v>
      </c>
      <c r="C162" s="56">
        <v>50.370159075775277</v>
      </c>
      <c r="E162" s="32"/>
      <c r="F162" s="31"/>
    </row>
    <row r="163" spans="1:6" x14ac:dyDescent="0.2">
      <c r="A163" s="26">
        <v>2006.1</v>
      </c>
      <c r="B163" s="55">
        <v>50.47030378088666</v>
      </c>
      <c r="C163" s="56">
        <v>50.593044229447599</v>
      </c>
      <c r="E163" s="32"/>
      <c r="F163" s="31"/>
    </row>
    <row r="164" spans="1:6" x14ac:dyDescent="0.2">
      <c r="A164" s="26">
        <v>2006.11</v>
      </c>
      <c r="B164" s="55">
        <v>49.765799446728941</v>
      </c>
      <c r="C164" s="56">
        <v>51.214169754095387</v>
      </c>
      <c r="E164" s="32"/>
      <c r="F164" s="31"/>
    </row>
    <row r="165" spans="1:6" x14ac:dyDescent="0.2">
      <c r="A165" s="26">
        <v>2006.12</v>
      </c>
      <c r="B165" s="55">
        <v>67.847192495504459</v>
      </c>
      <c r="C165" s="56">
        <v>52.038910203599556</v>
      </c>
      <c r="E165" s="32"/>
      <c r="F165" s="31"/>
    </row>
    <row r="166" spans="1:6" x14ac:dyDescent="0.2">
      <c r="A166" s="26">
        <v>2007.01</v>
      </c>
      <c r="B166" s="55">
        <v>49.491075039282514</v>
      </c>
      <c r="C166" s="56">
        <v>52.561374523890329</v>
      </c>
      <c r="E166" s="32"/>
      <c r="F166" s="31"/>
    </row>
    <row r="167" spans="1:6" x14ac:dyDescent="0.2">
      <c r="A167" s="26">
        <v>2007.02</v>
      </c>
      <c r="B167" s="55">
        <v>47.059846010624106</v>
      </c>
      <c r="C167" s="56">
        <v>53.189322142366535</v>
      </c>
      <c r="E167" s="32"/>
      <c r="F167" s="31"/>
    </row>
    <row r="168" spans="1:6" x14ac:dyDescent="0.2">
      <c r="A168" s="26">
        <v>2007.03</v>
      </c>
      <c r="B168" s="55">
        <v>54.95238303928636</v>
      </c>
      <c r="C168" s="56">
        <v>54.289318981416841</v>
      </c>
      <c r="E168" s="32"/>
      <c r="F168" s="31"/>
    </row>
    <row r="169" spans="1:6" x14ac:dyDescent="0.2">
      <c r="A169" s="26">
        <v>2007.04</v>
      </c>
      <c r="B169" s="55">
        <v>54.102816360970806</v>
      </c>
      <c r="C169" s="56">
        <v>55.083187676214905</v>
      </c>
      <c r="E169" s="32"/>
      <c r="F169" s="31"/>
    </row>
    <row r="170" spans="1:6" x14ac:dyDescent="0.2">
      <c r="A170" s="26">
        <v>2007.05</v>
      </c>
      <c r="B170" s="55">
        <v>52.962332522042026</v>
      </c>
      <c r="C170" s="56">
        <v>56.048380396268968</v>
      </c>
      <c r="E170" s="32"/>
      <c r="F170" s="31"/>
    </row>
    <row r="171" spans="1:6" x14ac:dyDescent="0.2">
      <c r="A171" s="26">
        <v>2007.06</v>
      </c>
      <c r="B171" s="55">
        <v>57.556723067928019</v>
      </c>
      <c r="C171" s="56">
        <v>57.503002409475521</v>
      </c>
      <c r="E171" s="32"/>
      <c r="F171" s="31"/>
    </row>
    <row r="172" spans="1:6" x14ac:dyDescent="0.2">
      <c r="A172" s="26">
        <v>2007.07</v>
      </c>
      <c r="B172" s="55">
        <v>58.746807659178195</v>
      </c>
      <c r="C172" s="56">
        <v>58.634585230315231</v>
      </c>
      <c r="E172" s="32"/>
      <c r="F172" s="31"/>
    </row>
    <row r="173" spans="1:6" x14ac:dyDescent="0.2">
      <c r="A173" s="26">
        <v>2007.08</v>
      </c>
      <c r="B173" s="55">
        <v>59.463401651897399</v>
      </c>
      <c r="C173" s="56">
        <v>59.783067207698458</v>
      </c>
      <c r="E173" s="32"/>
      <c r="F173" s="31"/>
    </row>
    <row r="174" spans="1:6" x14ac:dyDescent="0.2">
      <c r="A174" s="26">
        <v>2007.09</v>
      </c>
      <c r="B174" s="55">
        <v>58.914724738869268</v>
      </c>
      <c r="C174" s="56">
        <v>60.639043568555159</v>
      </c>
      <c r="E174" s="32"/>
      <c r="F174" s="31"/>
    </row>
    <row r="175" spans="1:6" x14ac:dyDescent="0.2">
      <c r="A175" s="26">
        <v>2007.1</v>
      </c>
      <c r="B175" s="55">
        <v>60.188891006310847</v>
      </c>
      <c r="C175" s="56">
        <v>61.058219179771612</v>
      </c>
      <c r="E175" s="32"/>
      <c r="F175" s="31"/>
    </row>
    <row r="176" spans="1:6" x14ac:dyDescent="0.2">
      <c r="A176" s="26">
        <v>2007.11</v>
      </c>
      <c r="B176" s="55">
        <v>60.550023533790601</v>
      </c>
      <c r="C176" s="56">
        <v>61.504877272070942</v>
      </c>
      <c r="E176" s="32"/>
      <c r="F176" s="31"/>
    </row>
    <row r="177" spans="1:6" x14ac:dyDescent="0.2">
      <c r="A177" s="26">
        <v>2007.12</v>
      </c>
      <c r="B177" s="55">
        <v>78.838801226136056</v>
      </c>
      <c r="C177" s="56">
        <v>62.139985385406881</v>
      </c>
      <c r="E177" s="33"/>
      <c r="F177" s="31"/>
    </row>
    <row r="178" spans="1:6" x14ac:dyDescent="0.2">
      <c r="A178" s="26">
        <f t="shared" ref="A178:A241" si="0">A166+1</f>
        <v>2008.01</v>
      </c>
      <c r="B178" s="55">
        <v>59.87227886885055</v>
      </c>
      <c r="C178" s="56">
        <v>63.156618117553862</v>
      </c>
      <c r="E178" s="32"/>
      <c r="F178" s="31"/>
    </row>
    <row r="179" spans="1:6" x14ac:dyDescent="0.2">
      <c r="A179" s="26">
        <f t="shared" si="0"/>
        <v>2008.02</v>
      </c>
      <c r="B179" s="55">
        <v>59.225920283722004</v>
      </c>
      <c r="C179" s="56">
        <v>63.667494840587302</v>
      </c>
      <c r="E179" s="32"/>
      <c r="F179" s="31"/>
    </row>
    <row r="180" spans="1:6" x14ac:dyDescent="0.2">
      <c r="A180" s="26">
        <f t="shared" si="0"/>
        <v>2008.03</v>
      </c>
      <c r="B180" s="55">
        <v>66.154138330782402</v>
      </c>
      <c r="C180" s="56">
        <v>63.493059287898703</v>
      </c>
      <c r="E180" s="32"/>
      <c r="F180" s="31"/>
    </row>
    <row r="181" spans="1:6" x14ac:dyDescent="0.2">
      <c r="A181" s="26">
        <f t="shared" si="0"/>
        <v>2008.04</v>
      </c>
      <c r="B181" s="55">
        <v>59.323419116256254</v>
      </c>
      <c r="C181" s="56">
        <v>63.361505016698494</v>
      </c>
      <c r="E181" s="32"/>
      <c r="F181" s="31"/>
    </row>
    <row r="182" spans="1:6" x14ac:dyDescent="0.2">
      <c r="A182" s="26">
        <f t="shared" si="0"/>
        <v>2008.05</v>
      </c>
      <c r="B182" s="55">
        <v>61.653383232914301</v>
      </c>
      <c r="C182" s="56">
        <v>63.042462120533841</v>
      </c>
      <c r="E182" s="32"/>
      <c r="F182" s="31"/>
    </row>
    <row r="183" spans="1:6" x14ac:dyDescent="0.2">
      <c r="A183" s="26">
        <f t="shared" si="0"/>
        <v>2008.06</v>
      </c>
      <c r="B183" s="55">
        <v>61.00694761574065</v>
      </c>
      <c r="C183" s="56">
        <v>62.634271516740156</v>
      </c>
      <c r="E183" s="32"/>
      <c r="F183" s="31"/>
    </row>
    <row r="184" spans="1:6" x14ac:dyDescent="0.2">
      <c r="A184" s="26">
        <f t="shared" si="0"/>
        <v>2008.07</v>
      </c>
      <c r="B184" s="55">
        <v>61.095209614745386</v>
      </c>
      <c r="C184" s="56">
        <v>62.834754433946074</v>
      </c>
      <c r="E184" s="32"/>
      <c r="F184" s="31"/>
    </row>
    <row r="185" spans="1:6" x14ac:dyDescent="0.2">
      <c r="A185" s="26">
        <f t="shared" si="0"/>
        <v>2008.08</v>
      </c>
      <c r="B185" s="55">
        <v>64.850396525212957</v>
      </c>
      <c r="C185" s="56">
        <v>63.253554645470217</v>
      </c>
      <c r="E185" s="32"/>
      <c r="F185" s="31"/>
    </row>
    <row r="186" spans="1:6" x14ac:dyDescent="0.2">
      <c r="A186" s="26">
        <f t="shared" si="0"/>
        <v>2008.09</v>
      </c>
      <c r="B186" s="55">
        <v>59.149163881696879</v>
      </c>
      <c r="C186" s="56">
        <v>63.285399041206034</v>
      </c>
      <c r="E186" s="32"/>
      <c r="F186" s="31"/>
    </row>
    <row r="187" spans="1:6" x14ac:dyDescent="0.2">
      <c r="A187" s="26">
        <f t="shared" si="0"/>
        <v>2008.1</v>
      </c>
      <c r="B187" s="55">
        <v>63.155686777656214</v>
      </c>
      <c r="C187" s="56">
        <v>63.151689574485168</v>
      </c>
      <c r="E187" s="32"/>
      <c r="F187" s="31"/>
    </row>
    <row r="188" spans="1:6" x14ac:dyDescent="0.2">
      <c r="A188" s="26">
        <f t="shared" si="0"/>
        <v>2008.11</v>
      </c>
      <c r="B188" s="55">
        <v>63.312853480464014</v>
      </c>
      <c r="C188" s="56">
        <v>63.100939768145089</v>
      </c>
      <c r="E188" s="32"/>
      <c r="F188" s="31"/>
    </row>
    <row r="189" spans="1:6" x14ac:dyDescent="0.2">
      <c r="A189" s="26">
        <f t="shared" si="0"/>
        <v>2008.12</v>
      </c>
      <c r="B189" s="55">
        <v>78.636091679522465</v>
      </c>
      <c r="C189" s="56">
        <v>62.756409273996397</v>
      </c>
      <c r="E189" s="33"/>
      <c r="F189" s="31"/>
    </row>
    <row r="190" spans="1:6" x14ac:dyDescent="0.2">
      <c r="A190" s="26">
        <f t="shared" si="0"/>
        <v>2009.01</v>
      </c>
      <c r="B190" s="55">
        <v>59.144966144519138</v>
      </c>
      <c r="C190" s="56">
        <v>61.898314264685752</v>
      </c>
      <c r="E190" s="32"/>
      <c r="F190" s="31"/>
    </row>
    <row r="191" spans="1:6" x14ac:dyDescent="0.2">
      <c r="A191" s="26">
        <f t="shared" si="0"/>
        <v>2009.02</v>
      </c>
      <c r="B191" s="55">
        <v>54.705668709930499</v>
      </c>
      <c r="C191" s="56">
        <v>61.210852083670574</v>
      </c>
      <c r="E191" s="32"/>
      <c r="F191" s="31"/>
    </row>
    <row r="192" spans="1:6" x14ac:dyDescent="0.2">
      <c r="A192" s="26">
        <f t="shared" si="0"/>
        <v>2009.03</v>
      </c>
      <c r="B192" s="55">
        <v>59.249769935893902</v>
      </c>
      <c r="C192" s="56">
        <v>61.043739953582715</v>
      </c>
      <c r="E192" s="32"/>
      <c r="F192" s="31"/>
    </row>
    <row r="193" spans="1:6" x14ac:dyDescent="0.2">
      <c r="A193" s="26">
        <f t="shared" si="0"/>
        <v>2009.04</v>
      </c>
      <c r="B193" s="55">
        <v>59.301363136591362</v>
      </c>
      <c r="C193" s="56">
        <v>61.306520185056137</v>
      </c>
      <c r="E193" s="32"/>
      <c r="F193" s="31"/>
    </row>
    <row r="194" spans="1:6" x14ac:dyDescent="0.2">
      <c r="A194" s="26">
        <f t="shared" si="0"/>
        <v>2009.05</v>
      </c>
      <c r="B194" s="55">
        <v>61.114035149842628</v>
      </c>
      <c r="C194" s="56">
        <v>61.728053632293509</v>
      </c>
      <c r="E194" s="32"/>
      <c r="F194" s="31"/>
    </row>
    <row r="195" spans="1:6" x14ac:dyDescent="0.2">
      <c r="A195" s="26">
        <f t="shared" si="0"/>
        <v>2009.06</v>
      </c>
      <c r="B195" s="55">
        <v>60.015872714558725</v>
      </c>
      <c r="C195" s="56">
        <v>61.911284615347583</v>
      </c>
      <c r="E195" s="32"/>
      <c r="F195" s="31"/>
    </row>
    <row r="196" spans="1:6" x14ac:dyDescent="0.2">
      <c r="A196" s="26">
        <f t="shared" si="0"/>
        <v>2009.07</v>
      </c>
      <c r="B196" s="55">
        <v>62.998637158414375</v>
      </c>
      <c r="C196" s="56">
        <v>61.907990643903076</v>
      </c>
      <c r="E196" s="32"/>
      <c r="F196" s="31"/>
    </row>
    <row r="197" spans="1:6" x14ac:dyDescent="0.2">
      <c r="A197" s="26">
        <f t="shared" si="0"/>
        <v>2009.08</v>
      </c>
      <c r="B197" s="55">
        <v>62.525112932185493</v>
      </c>
      <c r="C197" s="56">
        <v>61.605065517410253</v>
      </c>
      <c r="E197" s="32"/>
      <c r="F197" s="31"/>
    </row>
    <row r="198" spans="1:6" x14ac:dyDescent="0.2">
      <c r="A198" s="26">
        <f t="shared" si="0"/>
        <v>2009.09</v>
      </c>
      <c r="B198" s="55">
        <v>57.205596702498248</v>
      </c>
      <c r="C198" s="56">
        <v>61.360967243619875</v>
      </c>
      <c r="E198" s="32"/>
      <c r="F198" s="31"/>
    </row>
    <row r="199" spans="1:6" x14ac:dyDescent="0.2">
      <c r="A199" s="26">
        <f t="shared" si="0"/>
        <v>2009.1</v>
      </c>
      <c r="B199" s="55">
        <v>62.583108824219835</v>
      </c>
      <c r="C199" s="56">
        <v>61.85022832024363</v>
      </c>
      <c r="E199" s="32"/>
      <c r="F199" s="31"/>
    </row>
    <row r="200" spans="1:6" x14ac:dyDescent="0.2">
      <c r="A200" s="26">
        <f t="shared" si="0"/>
        <v>2009.11</v>
      </c>
      <c r="B200" s="55">
        <v>61.653245537108532</v>
      </c>
      <c r="C200" s="56">
        <v>62.296237510153304</v>
      </c>
      <c r="E200" s="32"/>
      <c r="F200" s="31"/>
    </row>
    <row r="201" spans="1:6" x14ac:dyDescent="0.2">
      <c r="A201" s="26">
        <f t="shared" si="0"/>
        <v>2009.12</v>
      </c>
      <c r="B201" s="55">
        <v>77.27746355240258</v>
      </c>
      <c r="C201" s="56">
        <v>62.146847648534866</v>
      </c>
      <c r="E201" s="33"/>
      <c r="F201" s="31"/>
    </row>
    <row r="202" spans="1:6" x14ac:dyDescent="0.2">
      <c r="A202" s="26">
        <f t="shared" si="0"/>
        <v>2010.01</v>
      </c>
      <c r="B202" s="55">
        <v>60.545802430174454</v>
      </c>
      <c r="C202" s="56">
        <v>62.303768182307337</v>
      </c>
      <c r="E202" s="32"/>
      <c r="F202" s="31"/>
    </row>
    <row r="203" spans="1:6" x14ac:dyDescent="0.2">
      <c r="A203" s="26">
        <f t="shared" si="0"/>
        <v>2010.02</v>
      </c>
      <c r="B203" s="55">
        <v>56.8184583031682</v>
      </c>
      <c r="C203" s="56">
        <v>63.000407493917052</v>
      </c>
      <c r="E203" s="32"/>
      <c r="F203" s="31"/>
    </row>
    <row r="204" spans="1:6" x14ac:dyDescent="0.2">
      <c r="A204" s="26">
        <f t="shared" si="0"/>
        <v>2010.03</v>
      </c>
      <c r="B204" s="55">
        <v>62.014168210578347</v>
      </c>
      <c r="C204" s="56">
        <v>63.514674954781682</v>
      </c>
      <c r="E204" s="32"/>
      <c r="F204" s="31"/>
    </row>
    <row r="205" spans="1:6" x14ac:dyDescent="0.2">
      <c r="A205" s="26">
        <f t="shared" si="0"/>
        <v>2010.04</v>
      </c>
      <c r="B205" s="55">
        <v>61.739895743071187</v>
      </c>
      <c r="C205" s="56">
        <v>63.942931326276096</v>
      </c>
      <c r="E205" s="32"/>
      <c r="F205" s="31"/>
    </row>
    <row r="206" spans="1:6" x14ac:dyDescent="0.2">
      <c r="A206" s="26">
        <f t="shared" si="0"/>
        <v>2010.05</v>
      </c>
      <c r="B206" s="55">
        <v>65.617920234073864</v>
      </c>
      <c r="C206" s="56">
        <v>64.608627477094501</v>
      </c>
      <c r="E206" s="32"/>
      <c r="F206" s="31"/>
    </row>
    <row r="207" spans="1:6" x14ac:dyDescent="0.2">
      <c r="A207" s="26">
        <f t="shared" si="0"/>
        <v>2010.06</v>
      </c>
      <c r="B207" s="55">
        <v>64.160775098843274</v>
      </c>
      <c r="C207" s="56">
        <v>65.32093830779344</v>
      </c>
      <c r="E207" s="32"/>
      <c r="F207" s="31"/>
    </row>
    <row r="208" spans="1:6" x14ac:dyDescent="0.2">
      <c r="A208" s="26">
        <f t="shared" si="0"/>
        <v>2010.07</v>
      </c>
      <c r="B208" s="55">
        <v>67.916300726942993</v>
      </c>
      <c r="C208" s="56">
        <v>65.546390752647881</v>
      </c>
      <c r="E208" s="32"/>
      <c r="F208" s="31"/>
    </row>
    <row r="209" spans="1:6" x14ac:dyDescent="0.2">
      <c r="A209" s="26">
        <f t="shared" si="0"/>
        <v>2010.08</v>
      </c>
      <c r="B209" s="55">
        <v>64.532949120172333</v>
      </c>
      <c r="C209" s="56">
        <v>65.465641415267754</v>
      </c>
      <c r="E209" s="32"/>
      <c r="F209" s="31"/>
    </row>
    <row r="210" spans="1:6" x14ac:dyDescent="0.2">
      <c r="A210" s="26">
        <f t="shared" si="0"/>
        <v>2010.09</v>
      </c>
      <c r="B210" s="55">
        <v>62.40625494804074</v>
      </c>
      <c r="C210" s="56">
        <v>65.582347689329382</v>
      </c>
      <c r="E210" s="32"/>
      <c r="F210" s="31"/>
    </row>
    <row r="211" spans="1:6" x14ac:dyDescent="0.2">
      <c r="A211" s="26">
        <f t="shared" si="0"/>
        <v>2010.1</v>
      </c>
      <c r="B211" s="55">
        <v>66.806567752020243</v>
      </c>
      <c r="C211" s="56">
        <v>65.324150468140829</v>
      </c>
      <c r="E211" s="32"/>
      <c r="F211" s="31"/>
    </row>
    <row r="212" spans="1:6" x14ac:dyDescent="0.2">
      <c r="A212" s="26">
        <f t="shared" si="0"/>
        <v>2010.11</v>
      </c>
      <c r="B212" s="55">
        <v>63.11557022796503</v>
      </c>
      <c r="C212" s="56">
        <v>65.412831122001919</v>
      </c>
      <c r="E212" s="32"/>
      <c r="F212" s="31"/>
    </row>
    <row r="213" spans="1:6" x14ac:dyDescent="0.2">
      <c r="A213" s="26">
        <f t="shared" si="0"/>
        <v>2010.12</v>
      </c>
      <c r="B213" s="55">
        <v>83.708506635576143</v>
      </c>
      <c r="C213" s="56">
        <v>66.226180185880153</v>
      </c>
      <c r="E213" s="33"/>
      <c r="F213" s="31"/>
    </row>
    <row r="214" spans="1:6" x14ac:dyDescent="0.2">
      <c r="A214" s="26">
        <f t="shared" si="0"/>
        <v>2011.01</v>
      </c>
      <c r="B214" s="55">
        <v>62.610350449131808</v>
      </c>
      <c r="C214" s="56">
        <v>66.51629303805224</v>
      </c>
      <c r="E214" s="32"/>
      <c r="F214" s="31"/>
    </row>
    <row r="215" spans="1:6" x14ac:dyDescent="0.2">
      <c r="A215" s="26">
        <f t="shared" si="0"/>
        <v>2011.02</v>
      </c>
      <c r="B215" s="55">
        <v>59.934272120183266</v>
      </c>
      <c r="C215" s="56">
        <v>66.972589136890377</v>
      </c>
      <c r="E215" s="32"/>
      <c r="F215" s="31"/>
    </row>
    <row r="216" spans="1:6" x14ac:dyDescent="0.2">
      <c r="A216" s="26">
        <f t="shared" si="0"/>
        <v>2011.03</v>
      </c>
      <c r="B216" s="55">
        <v>66.950706712756073</v>
      </c>
      <c r="C216" s="56">
        <v>68.1960610496849</v>
      </c>
      <c r="E216" s="32"/>
      <c r="F216" s="31"/>
    </row>
    <row r="217" spans="1:6" x14ac:dyDescent="0.2">
      <c r="A217" s="26">
        <f t="shared" si="0"/>
        <v>2011.04</v>
      </c>
      <c r="B217" s="55">
        <v>67.689965160471601</v>
      </c>
      <c r="C217" s="56">
        <v>68.680036530371453</v>
      </c>
      <c r="E217" s="32"/>
      <c r="F217" s="31"/>
    </row>
    <row r="218" spans="1:6" x14ac:dyDescent="0.2">
      <c r="A218" s="26">
        <f t="shared" si="0"/>
        <v>2011.05</v>
      </c>
      <c r="B218" s="55">
        <v>64.900595187824649</v>
      </c>
      <c r="C218" s="56">
        <v>68.398827878096625</v>
      </c>
      <c r="E218" s="32"/>
      <c r="F218" s="31"/>
    </row>
    <row r="219" spans="1:6" x14ac:dyDescent="0.2">
      <c r="A219" s="26">
        <f t="shared" si="0"/>
        <v>2011.06</v>
      </c>
      <c r="B219" s="55">
        <v>67.53044501963943</v>
      </c>
      <c r="C219" s="56">
        <v>68.495482257172029</v>
      </c>
      <c r="E219" s="32"/>
      <c r="F219" s="31"/>
    </row>
    <row r="220" spans="1:6" x14ac:dyDescent="0.2">
      <c r="A220" s="26">
        <f t="shared" si="0"/>
        <v>2011.07</v>
      </c>
      <c r="B220" s="55">
        <v>71.821501090622874</v>
      </c>
      <c r="C220" s="56">
        <v>68.886602626465759</v>
      </c>
      <c r="E220" s="32"/>
      <c r="F220" s="31"/>
    </row>
    <row r="221" spans="1:6" x14ac:dyDescent="0.2">
      <c r="A221" s="26">
        <f t="shared" si="0"/>
        <v>2011.08</v>
      </c>
      <c r="B221" s="55">
        <v>68.498856822348301</v>
      </c>
      <c r="C221" s="56">
        <v>69.226541730849604</v>
      </c>
      <c r="E221" s="32"/>
      <c r="F221" s="31"/>
    </row>
    <row r="222" spans="1:6" x14ac:dyDescent="0.2">
      <c r="A222" s="26">
        <f t="shared" si="0"/>
        <v>2011.09</v>
      </c>
      <c r="B222" s="55">
        <v>65.435024927890481</v>
      </c>
      <c r="C222" s="56">
        <v>69.518856699613977</v>
      </c>
      <c r="E222" s="32"/>
      <c r="F222" s="31"/>
    </row>
    <row r="223" spans="1:6" x14ac:dyDescent="0.2">
      <c r="A223" s="26">
        <f t="shared" si="0"/>
        <v>2011.1</v>
      </c>
      <c r="B223" s="55">
        <v>70.929661819699092</v>
      </c>
      <c r="C223" s="56">
        <v>69.763273677545158</v>
      </c>
      <c r="E223" s="32"/>
      <c r="F223" s="31"/>
    </row>
    <row r="224" spans="1:6" x14ac:dyDescent="0.2">
      <c r="A224" s="26">
        <f t="shared" si="0"/>
        <v>2011.11</v>
      </c>
      <c r="B224" s="55">
        <v>68.708559634351985</v>
      </c>
      <c r="C224" s="56">
        <v>69.870307988736045</v>
      </c>
      <c r="E224" s="32"/>
      <c r="F224" s="31"/>
    </row>
    <row r="225" spans="1:6" x14ac:dyDescent="0.2">
      <c r="A225" s="26">
        <f t="shared" si="0"/>
        <v>2011.12</v>
      </c>
      <c r="B225" s="55">
        <v>84.386120293959053</v>
      </c>
      <c r="C225" s="56">
        <v>70.032612678439008</v>
      </c>
      <c r="E225" s="33"/>
      <c r="F225" s="31"/>
    </row>
    <row r="226" spans="1:6" x14ac:dyDescent="0.2">
      <c r="A226" s="26">
        <f t="shared" si="0"/>
        <v>2012.01</v>
      </c>
      <c r="B226" s="55">
        <v>67.341829076116099</v>
      </c>
      <c r="C226" s="56">
        <v>70.23757937487872</v>
      </c>
      <c r="E226" s="32"/>
      <c r="F226" s="31"/>
    </row>
    <row r="227" spans="1:6" x14ac:dyDescent="0.2">
      <c r="A227" s="26">
        <f t="shared" si="0"/>
        <v>2012.02</v>
      </c>
      <c r="B227" s="55">
        <v>66.080555244040454</v>
      </c>
      <c r="C227" s="56">
        <v>70.1902514106811</v>
      </c>
      <c r="E227" s="32"/>
      <c r="F227" s="31"/>
    </row>
    <row r="228" spans="1:6" x14ac:dyDescent="0.2">
      <c r="A228" s="26">
        <f t="shared" si="0"/>
        <v>2012.03</v>
      </c>
      <c r="B228" s="55">
        <v>69.159534774882346</v>
      </c>
      <c r="C228" s="56">
        <v>69.92593079510371</v>
      </c>
      <c r="E228" s="32"/>
      <c r="F228" s="31"/>
    </row>
    <row r="229" spans="1:6" x14ac:dyDescent="0.2">
      <c r="A229" s="26">
        <f t="shared" si="0"/>
        <v>2012.04</v>
      </c>
      <c r="B229" s="55">
        <v>69.664565003026013</v>
      </c>
      <c r="C229" s="56">
        <v>69.471912285164251</v>
      </c>
      <c r="E229" s="32"/>
      <c r="F229" s="31"/>
    </row>
    <row r="230" spans="1:6" x14ac:dyDescent="0.2">
      <c r="A230" s="26">
        <f t="shared" si="0"/>
        <v>2012.05</v>
      </c>
      <c r="B230" s="55">
        <v>65.129358943495163</v>
      </c>
      <c r="C230" s="56">
        <v>69.055914315756169</v>
      </c>
      <c r="E230" s="32"/>
      <c r="F230" s="31"/>
    </row>
    <row r="231" spans="1:6" x14ac:dyDescent="0.2">
      <c r="A231" s="26">
        <f t="shared" si="0"/>
        <v>2012.06</v>
      </c>
      <c r="B231" s="55">
        <v>69.653077298389462</v>
      </c>
      <c r="C231" s="56">
        <v>69.07816799245218</v>
      </c>
      <c r="E231" s="32"/>
      <c r="F231" s="31"/>
    </row>
    <row r="232" spans="1:6" x14ac:dyDescent="0.2">
      <c r="A232" s="26">
        <f t="shared" si="0"/>
        <v>2012.07</v>
      </c>
      <c r="B232" s="55">
        <v>70.160883125103453</v>
      </c>
      <c r="C232" s="56">
        <v>69.321031877767382</v>
      </c>
      <c r="E232" s="32"/>
      <c r="F232" s="31"/>
    </row>
    <row r="233" spans="1:6" x14ac:dyDescent="0.2">
      <c r="A233" s="26">
        <f t="shared" si="0"/>
        <v>2012.08</v>
      </c>
      <c r="B233" s="55">
        <v>69.374612821192159</v>
      </c>
      <c r="C233" s="56">
        <v>69.602742801767704</v>
      </c>
      <c r="E233" s="32"/>
      <c r="F233" s="31"/>
    </row>
    <row r="234" spans="1:6" x14ac:dyDescent="0.2">
      <c r="A234" s="26">
        <f t="shared" si="0"/>
        <v>2012.09</v>
      </c>
      <c r="B234" s="55">
        <v>67.512636168452715</v>
      </c>
      <c r="C234" s="56">
        <v>69.734369415843673</v>
      </c>
      <c r="E234" s="32"/>
      <c r="F234" s="31"/>
    </row>
    <row r="235" spans="1:6" x14ac:dyDescent="0.2">
      <c r="A235" s="26">
        <f t="shared" si="0"/>
        <v>2012.1</v>
      </c>
      <c r="B235" s="55">
        <v>68.461766747436926</v>
      </c>
      <c r="C235" s="56">
        <v>69.353424208818112</v>
      </c>
      <c r="E235" s="32"/>
      <c r="F235" s="31"/>
    </row>
    <row r="236" spans="1:6" x14ac:dyDescent="0.2">
      <c r="A236" s="26">
        <f t="shared" si="0"/>
        <v>2012.11</v>
      </c>
      <c r="B236" s="55">
        <v>68.230480689831452</v>
      </c>
      <c r="C236" s="56">
        <v>68.677502249201964</v>
      </c>
      <c r="E236" s="32"/>
      <c r="F236" s="31"/>
    </row>
    <row r="237" spans="1:6" x14ac:dyDescent="0.2">
      <c r="A237" s="26">
        <f t="shared" si="0"/>
        <v>2012.12</v>
      </c>
      <c r="B237" s="55">
        <v>84.287891303542992</v>
      </c>
      <c r="C237" s="56">
        <v>68.331019041737576</v>
      </c>
      <c r="E237" s="33"/>
      <c r="F237" s="31"/>
    </row>
    <row r="238" spans="1:6" x14ac:dyDescent="0.2">
      <c r="A238" s="26">
        <f t="shared" si="0"/>
        <v>2013.01</v>
      </c>
      <c r="B238" s="55">
        <v>65.71981314563007</v>
      </c>
      <c r="C238" s="56">
        <v>68.817738287240516</v>
      </c>
      <c r="E238" s="32"/>
      <c r="F238" s="31"/>
    </row>
    <row r="239" spans="1:6" x14ac:dyDescent="0.2">
      <c r="A239" s="26">
        <f t="shared" si="0"/>
        <v>2013.02</v>
      </c>
      <c r="B239" s="55">
        <v>63.611710532687404</v>
      </c>
      <c r="C239" s="56">
        <v>69.302608443815387</v>
      </c>
      <c r="E239" s="32"/>
      <c r="F239" s="31"/>
    </row>
    <row r="240" spans="1:6" x14ac:dyDescent="0.2">
      <c r="A240" s="26">
        <f t="shared" si="0"/>
        <v>2013.03</v>
      </c>
      <c r="B240" s="55">
        <v>68.919825449248322</v>
      </c>
      <c r="C240" s="56">
        <v>68.759404544118439</v>
      </c>
      <c r="E240" s="32"/>
      <c r="F240" s="31"/>
    </row>
    <row r="241" spans="1:6" x14ac:dyDescent="0.2">
      <c r="A241" s="26">
        <f t="shared" si="0"/>
        <v>2013.04</v>
      </c>
      <c r="B241" s="55">
        <v>63.82811567423871</v>
      </c>
      <c r="C241" s="56">
        <v>68.150417880476851</v>
      </c>
      <c r="E241" s="32"/>
      <c r="F241" s="31"/>
    </row>
    <row r="242" spans="1:6" x14ac:dyDescent="0.2">
      <c r="A242" s="26">
        <f t="shared" ref="A242:A305" si="1">A230+1</f>
        <v>2013.05</v>
      </c>
      <c r="B242" s="55">
        <v>65.792558981379642</v>
      </c>
      <c r="C242" s="56">
        <v>68.664681920541952</v>
      </c>
      <c r="E242" s="32"/>
      <c r="F242" s="31"/>
    </row>
    <row r="243" spans="1:6" x14ac:dyDescent="0.2">
      <c r="A243" s="26">
        <f t="shared" si="1"/>
        <v>2013.06</v>
      </c>
      <c r="B243" s="55">
        <v>71.013197677335086</v>
      </c>
      <c r="C243" s="56">
        <v>69.574797553358223</v>
      </c>
      <c r="E243" s="32"/>
      <c r="F243" s="31"/>
    </row>
    <row r="244" spans="1:6" x14ac:dyDescent="0.2">
      <c r="A244" s="26">
        <f t="shared" si="1"/>
        <v>2013.07</v>
      </c>
      <c r="B244" s="55">
        <v>69.711881629807749</v>
      </c>
      <c r="C244" s="56">
        <v>70.05039590546231</v>
      </c>
      <c r="E244" s="32"/>
      <c r="F244" s="31"/>
    </row>
    <row r="245" spans="1:6" x14ac:dyDescent="0.2">
      <c r="A245" s="26">
        <f t="shared" si="1"/>
        <v>2013.08</v>
      </c>
      <c r="B245" s="55">
        <v>71.037834435852986</v>
      </c>
      <c r="C245" s="56">
        <v>70.163343789458793</v>
      </c>
      <c r="E245" s="32"/>
      <c r="F245" s="31"/>
    </row>
    <row r="246" spans="1:6" x14ac:dyDescent="0.2">
      <c r="A246" s="26">
        <f t="shared" si="1"/>
        <v>2013.09</v>
      </c>
      <c r="B246" s="55">
        <v>65.666800700888828</v>
      </c>
      <c r="C246" s="56">
        <v>69.822206963552276</v>
      </c>
      <c r="E246" s="32"/>
      <c r="F246" s="31"/>
    </row>
    <row r="247" spans="1:6" x14ac:dyDescent="0.2">
      <c r="A247" s="26">
        <f t="shared" si="1"/>
        <v>2013.1</v>
      </c>
      <c r="B247" s="55">
        <v>68.518314531245551</v>
      </c>
      <c r="C247" s="56">
        <v>69.477720978085244</v>
      </c>
      <c r="E247" s="32"/>
      <c r="F247" s="31"/>
    </row>
    <row r="248" spans="1:6" x14ac:dyDescent="0.2">
      <c r="A248" s="26">
        <f t="shared" si="1"/>
        <v>2013.11</v>
      </c>
      <c r="B248" s="55">
        <v>70.648602854650719</v>
      </c>
      <c r="C248" s="56">
        <v>69.705457439860879</v>
      </c>
      <c r="E248" s="32"/>
      <c r="F248" s="31"/>
    </row>
    <row r="249" spans="1:6" x14ac:dyDescent="0.2">
      <c r="A249" s="26">
        <f t="shared" si="1"/>
        <v>2013.12</v>
      </c>
      <c r="B249" s="55">
        <v>87.675530207990661</v>
      </c>
      <c r="C249" s="56">
        <v>70.258040485225507</v>
      </c>
      <c r="E249" s="33"/>
      <c r="F249" s="31"/>
    </row>
    <row r="250" spans="1:6" x14ac:dyDescent="0.2">
      <c r="A250" s="26">
        <f t="shared" si="1"/>
        <v>2014.01</v>
      </c>
      <c r="B250" s="55">
        <v>68.665528590209703</v>
      </c>
      <c r="C250" s="56">
        <v>70.291730186145358</v>
      </c>
      <c r="E250" s="32"/>
      <c r="F250" s="31"/>
    </row>
    <row r="251" spans="1:6" x14ac:dyDescent="0.2">
      <c r="A251" s="26">
        <f t="shared" si="1"/>
        <v>2014.02</v>
      </c>
      <c r="B251" s="55">
        <v>59.555563311849653</v>
      </c>
      <c r="C251" s="56">
        <v>69.255679379769276</v>
      </c>
      <c r="E251" s="32"/>
      <c r="F251" s="31"/>
    </row>
    <row r="252" spans="1:6" x14ac:dyDescent="0.2">
      <c r="A252" s="26">
        <f t="shared" si="1"/>
        <v>2014.03</v>
      </c>
      <c r="B252" s="55">
        <v>66.644098763900615</v>
      </c>
      <c r="C252" s="56">
        <v>68.319246753283238</v>
      </c>
      <c r="E252" s="32"/>
      <c r="F252" s="31"/>
    </row>
    <row r="253" spans="1:6" x14ac:dyDescent="0.2">
      <c r="A253" s="26">
        <f t="shared" si="1"/>
        <v>2014.04</v>
      </c>
      <c r="B253" s="55">
        <v>65.381189484097078</v>
      </c>
      <c r="C253" s="56">
        <v>68.639002459764981</v>
      </c>
      <c r="E253" s="32"/>
      <c r="F253" s="31"/>
    </row>
    <row r="254" spans="1:6" x14ac:dyDescent="0.2">
      <c r="A254" s="26">
        <f t="shared" si="1"/>
        <v>2014.05</v>
      </c>
      <c r="B254" s="55">
        <v>68.644773509572445</v>
      </c>
      <c r="C254" s="56">
        <v>68.901568690587737</v>
      </c>
      <c r="E254" s="32"/>
      <c r="F254" s="31"/>
    </row>
    <row r="255" spans="1:6" x14ac:dyDescent="0.2">
      <c r="A255" s="26">
        <f t="shared" si="1"/>
        <v>2014.06</v>
      </c>
      <c r="B255" s="55">
        <v>67.654485906938291</v>
      </c>
      <c r="C255" s="56">
        <v>68.263467347497254</v>
      </c>
      <c r="E255" s="32"/>
      <c r="F255" s="31"/>
    </row>
    <row r="256" spans="1:6" x14ac:dyDescent="0.2">
      <c r="A256" s="26">
        <f t="shared" si="1"/>
        <v>2014.07</v>
      </c>
      <c r="B256" s="55">
        <v>67.505151289106507</v>
      </c>
      <c r="C256" s="56">
        <v>67.796709999610698</v>
      </c>
      <c r="E256" s="32"/>
      <c r="F256" s="31"/>
    </row>
    <row r="257" spans="1:6" x14ac:dyDescent="0.2">
      <c r="A257" s="26">
        <f t="shared" si="1"/>
        <v>2014.08</v>
      </c>
      <c r="B257" s="55">
        <v>69.357713382074735</v>
      </c>
      <c r="C257" s="56">
        <v>67.724272312421064</v>
      </c>
      <c r="E257" s="32"/>
      <c r="F257" s="31"/>
    </row>
    <row r="258" spans="1:6" x14ac:dyDescent="0.2">
      <c r="A258" s="26">
        <f t="shared" si="1"/>
        <v>2014.09</v>
      </c>
      <c r="B258" s="55">
        <v>62.536604056529178</v>
      </c>
      <c r="C258" s="56">
        <v>68.233354941025539</v>
      </c>
      <c r="E258" s="32"/>
      <c r="F258" s="31"/>
    </row>
    <row r="259" spans="1:6" x14ac:dyDescent="0.2">
      <c r="A259" s="26">
        <f t="shared" si="1"/>
        <v>2014.1</v>
      </c>
      <c r="B259" s="55">
        <v>69.389527981621114</v>
      </c>
      <c r="C259" s="56">
        <v>69.327741667090777</v>
      </c>
      <c r="E259" s="32"/>
      <c r="F259" s="31"/>
    </row>
    <row r="260" spans="1:6" x14ac:dyDescent="0.2">
      <c r="A260" s="26">
        <f t="shared" si="1"/>
        <v>2014.11</v>
      </c>
      <c r="B260" s="55">
        <v>71.685602615118427</v>
      </c>
      <c r="C260" s="56">
        <v>69.524810294288585</v>
      </c>
      <c r="E260" s="32"/>
      <c r="F260" s="31"/>
    </row>
    <row r="261" spans="1:6" x14ac:dyDescent="0.2">
      <c r="A261" s="26">
        <f t="shared" si="1"/>
        <v>2014.12</v>
      </c>
      <c r="B261" s="55">
        <v>84.443954230707533</v>
      </c>
      <c r="C261" s="56">
        <v>68.922711409131665</v>
      </c>
      <c r="E261" s="33"/>
      <c r="F261" s="31"/>
    </row>
    <row r="262" spans="1:6" x14ac:dyDescent="0.2">
      <c r="A262" s="26">
        <f t="shared" si="1"/>
        <v>2015.01</v>
      </c>
      <c r="B262" s="55">
        <v>67.397034613420487</v>
      </c>
      <c r="C262" s="56">
        <v>68.880330509333092</v>
      </c>
      <c r="E262" s="32"/>
      <c r="F262" s="31"/>
    </row>
    <row r="263" spans="1:6" x14ac:dyDescent="0.2">
      <c r="A263" s="26">
        <f t="shared" si="1"/>
        <v>2015.02</v>
      </c>
      <c r="B263" s="55">
        <v>63.183930919890805</v>
      </c>
      <c r="C263" s="56">
        <v>68.912305360824817</v>
      </c>
      <c r="E263" s="32"/>
      <c r="F263" s="31"/>
    </row>
    <row r="264" spans="1:6" x14ac:dyDescent="0.2">
      <c r="A264" s="26">
        <f t="shared" si="1"/>
        <v>2015.03</v>
      </c>
      <c r="B264" s="55">
        <v>66.305226947385506</v>
      </c>
      <c r="C264" s="56">
        <v>68.476410635713464</v>
      </c>
      <c r="E264" s="32"/>
      <c r="F264" s="31"/>
    </row>
    <row r="265" spans="1:6" x14ac:dyDescent="0.2">
      <c r="A265" s="26">
        <f t="shared" si="1"/>
        <v>2015.04</v>
      </c>
      <c r="B265" s="55">
        <v>64.805986228633202</v>
      </c>
      <c r="C265" s="56">
        <v>67.996847206324119</v>
      </c>
      <c r="E265" s="32"/>
      <c r="F265" s="31"/>
    </row>
    <row r="266" spans="1:6" x14ac:dyDescent="0.2">
      <c r="A266" s="26">
        <f t="shared" si="1"/>
        <v>2015.05</v>
      </c>
      <c r="B266" s="55">
        <v>67.384361530196955</v>
      </c>
      <c r="C266" s="56">
        <v>68.157465002692874</v>
      </c>
      <c r="E266" s="32"/>
      <c r="F266" s="31"/>
    </row>
    <row r="267" spans="1:6" x14ac:dyDescent="0.2">
      <c r="A267" s="26">
        <f t="shared" si="1"/>
        <v>2015.06</v>
      </c>
      <c r="B267" s="55">
        <v>68.529076805243733</v>
      </c>
      <c r="C267" s="56">
        <v>69.359095200614462</v>
      </c>
      <c r="E267" s="32"/>
      <c r="F267" s="31"/>
    </row>
    <row r="268" spans="1:6" x14ac:dyDescent="0.2">
      <c r="A268" s="26">
        <f t="shared" si="1"/>
        <v>2015.07</v>
      </c>
      <c r="B268" s="55">
        <v>70.79795823978148</v>
      </c>
      <c r="C268" s="56">
        <v>70.138236178383835</v>
      </c>
      <c r="E268" s="32"/>
      <c r="F268" s="31"/>
    </row>
    <row r="269" spans="1:6" x14ac:dyDescent="0.2">
      <c r="A269" s="26">
        <f t="shared" si="1"/>
        <v>2015.08</v>
      </c>
      <c r="B269" s="55">
        <v>70.20101130617023</v>
      </c>
      <c r="C269" s="56">
        <v>69.967122786290844</v>
      </c>
      <c r="E269" s="32"/>
      <c r="F269" s="31"/>
    </row>
    <row r="270" spans="1:6" x14ac:dyDescent="0.2">
      <c r="A270" s="26">
        <f t="shared" si="1"/>
        <v>2015.09</v>
      </c>
      <c r="B270" s="55">
        <v>62.3637707897593</v>
      </c>
      <c r="C270" s="56">
        <v>70.138394183614793</v>
      </c>
      <c r="E270" s="32"/>
      <c r="F270" s="31"/>
    </row>
    <row r="271" spans="1:6" x14ac:dyDescent="0.2">
      <c r="A271" s="26">
        <f t="shared" si="1"/>
        <v>2015.1</v>
      </c>
      <c r="B271" s="55">
        <v>70.391961993508005</v>
      </c>
      <c r="C271" s="56">
        <v>70.220760553496561</v>
      </c>
      <c r="E271" s="32"/>
      <c r="F271" s="31"/>
    </row>
    <row r="272" spans="1:6" x14ac:dyDescent="0.2">
      <c r="A272" s="26">
        <f t="shared" si="1"/>
        <v>2015.11</v>
      </c>
      <c r="B272" s="55">
        <v>72.452822673336811</v>
      </c>
      <c r="C272" s="56">
        <v>69.85633405811592</v>
      </c>
      <c r="E272" s="32"/>
      <c r="F272" s="31"/>
    </row>
    <row r="273" spans="1:6" x14ac:dyDescent="0.2">
      <c r="A273" s="26">
        <f t="shared" si="1"/>
        <v>2015.12</v>
      </c>
      <c r="B273" s="55">
        <v>86.787886508904634</v>
      </c>
      <c r="C273" s="56">
        <v>68.913574665589067</v>
      </c>
      <c r="E273" s="32"/>
      <c r="F273" s="31"/>
    </row>
    <row r="274" spans="1:6" x14ac:dyDescent="0.2">
      <c r="A274" s="26">
        <f t="shared" si="1"/>
        <v>2016.01</v>
      </c>
      <c r="B274" s="55">
        <v>65.889260171532939</v>
      </c>
      <c r="C274" s="56">
        <v>67.135716289682335</v>
      </c>
      <c r="E274" s="32"/>
      <c r="F274" s="31"/>
    </row>
    <row r="275" spans="1:6" x14ac:dyDescent="0.2">
      <c r="A275" s="26">
        <f t="shared" si="1"/>
        <v>2016.02</v>
      </c>
      <c r="B275" s="55">
        <v>61.811762295261147</v>
      </c>
      <c r="C275" s="56">
        <v>66.04522823820912</v>
      </c>
      <c r="E275" s="32"/>
      <c r="F275" s="31"/>
    </row>
    <row r="276" spans="1:6" x14ac:dyDescent="0.2">
      <c r="A276" s="26">
        <f t="shared" si="1"/>
        <v>2016.03</v>
      </c>
      <c r="B276" s="55">
        <v>63.851436147451899</v>
      </c>
      <c r="C276" s="56">
        <v>65.627841793295715</v>
      </c>
      <c r="E276" s="32"/>
      <c r="F276" s="31"/>
    </row>
    <row r="277" spans="1:6" x14ac:dyDescent="0.2">
      <c r="A277" s="26">
        <f t="shared" si="1"/>
        <v>2016.04</v>
      </c>
      <c r="B277" s="55">
        <v>63.153525855352235</v>
      </c>
      <c r="C277" s="56">
        <v>65.214387035281746</v>
      </c>
      <c r="E277" s="32"/>
      <c r="F277" s="31"/>
    </row>
    <row r="278" spans="1:6" x14ac:dyDescent="0.2">
      <c r="A278" s="26">
        <f t="shared" si="1"/>
        <v>2016.05</v>
      </c>
      <c r="B278" s="55">
        <v>63.725652245763037</v>
      </c>
      <c r="C278" s="56">
        <v>64.667868140562831</v>
      </c>
      <c r="E278" s="33"/>
      <c r="F278" s="31"/>
    </row>
    <row r="279" spans="1:6" x14ac:dyDescent="0.2">
      <c r="A279" s="26">
        <f t="shared" si="1"/>
        <v>2016.06</v>
      </c>
      <c r="B279" s="55">
        <v>62.781023259637081</v>
      </c>
      <c r="C279" s="56">
        <v>63.170155799814339</v>
      </c>
      <c r="E279" s="32"/>
      <c r="F279" s="31"/>
    </row>
    <row r="280" spans="1:6" x14ac:dyDescent="0.2">
      <c r="A280" s="26">
        <f t="shared" si="1"/>
        <v>2016.07</v>
      </c>
      <c r="B280" s="55">
        <v>62.797777648079943</v>
      </c>
      <c r="C280" s="56">
        <v>61.822254689616983</v>
      </c>
      <c r="E280" s="33"/>
      <c r="F280" s="31"/>
    </row>
    <row r="281" spans="1:6" x14ac:dyDescent="0.2">
      <c r="A281" s="26">
        <f t="shared" si="1"/>
        <v>2016.08</v>
      </c>
      <c r="B281" s="55">
        <v>60.970753873246466</v>
      </c>
      <c r="C281" s="56">
        <v>61.68562099674719</v>
      </c>
      <c r="E281" s="32"/>
      <c r="F281" s="31"/>
    </row>
    <row r="282" spans="1:6" x14ac:dyDescent="0.2">
      <c r="A282" s="26">
        <f t="shared" si="1"/>
        <v>2016.09</v>
      </c>
      <c r="B282" s="55">
        <v>57.253773739088331</v>
      </c>
      <c r="C282" s="56">
        <v>61.44621709514562</v>
      </c>
      <c r="E282" s="32"/>
      <c r="F282" s="31"/>
    </row>
    <row r="283" spans="1:6" x14ac:dyDescent="0.2">
      <c r="A283" s="26">
        <f t="shared" si="1"/>
        <v>2016.1</v>
      </c>
      <c r="B283" s="55">
        <v>59.780507531597266</v>
      </c>
      <c r="C283" s="56">
        <v>61.055236683467285</v>
      </c>
      <c r="E283" s="32"/>
      <c r="F283" s="31"/>
    </row>
    <row r="284" spans="1:6" x14ac:dyDescent="0.2">
      <c r="A284" s="26">
        <f t="shared" si="1"/>
        <v>2016.11</v>
      </c>
      <c r="B284" s="55">
        <v>61.658112492905751</v>
      </c>
      <c r="C284" s="56">
        <v>61.497533730598562</v>
      </c>
      <c r="E284" s="32"/>
      <c r="F284" s="31"/>
    </row>
    <row r="285" spans="1:6" x14ac:dyDescent="0.2">
      <c r="A285" s="26">
        <f t="shared" si="1"/>
        <v>2016.12</v>
      </c>
      <c r="B285" s="55">
        <v>78.002507702929165</v>
      </c>
      <c r="C285" s="56">
        <v>62.031257361300582</v>
      </c>
      <c r="E285" s="32"/>
      <c r="F285" s="31"/>
    </row>
    <row r="286" spans="1:6" x14ac:dyDescent="0.2">
      <c r="A286" s="26">
        <f t="shared" si="1"/>
        <v>2017.01</v>
      </c>
      <c r="B286" s="55">
        <v>63.335438216179853</v>
      </c>
      <c r="C286" s="56">
        <v>62.394935979632869</v>
      </c>
      <c r="E286" s="32"/>
      <c r="F286" s="31"/>
    </row>
    <row r="287" spans="1:6" x14ac:dyDescent="0.2">
      <c r="A287" s="26">
        <f t="shared" si="1"/>
        <v>2017.02</v>
      </c>
      <c r="B287" s="55">
        <v>57.490026927189582</v>
      </c>
      <c r="C287" s="56">
        <v>62.581482408610938</v>
      </c>
      <c r="E287" s="32"/>
      <c r="F287" s="31"/>
    </row>
    <row r="288" spans="1:6" x14ac:dyDescent="0.2">
      <c r="A288" s="26">
        <f t="shared" si="1"/>
        <v>2017.03</v>
      </c>
      <c r="B288" s="55">
        <v>61.306694369609957</v>
      </c>
      <c r="C288" s="56">
        <v>62.830693012548537</v>
      </c>
      <c r="E288" s="32"/>
      <c r="F288" s="31"/>
    </row>
    <row r="289" spans="1:6" x14ac:dyDescent="0.2">
      <c r="A289" s="26">
        <f t="shared" si="1"/>
        <v>2017.04</v>
      </c>
      <c r="B289" s="55">
        <v>63.277694915468246</v>
      </c>
      <c r="C289" s="56">
        <v>63.551963504354774</v>
      </c>
      <c r="E289" s="32"/>
      <c r="F289" s="31"/>
    </row>
    <row r="290" spans="1:6" x14ac:dyDescent="0.2">
      <c r="A290" s="26">
        <f t="shared" si="1"/>
        <v>2017.05</v>
      </c>
      <c r="B290" s="55">
        <v>61.400656243284665</v>
      </c>
      <c r="C290" s="56">
        <v>63.709382606172632</v>
      </c>
      <c r="E290" s="32"/>
      <c r="F290" s="31"/>
    </row>
    <row r="291" spans="1:6" x14ac:dyDescent="0.2">
      <c r="A291" s="26">
        <f t="shared" si="1"/>
        <v>2017.06</v>
      </c>
      <c r="B291" s="55">
        <v>59.902650405700015</v>
      </c>
      <c r="C291" s="56">
        <v>63.129525721666937</v>
      </c>
      <c r="E291" s="32"/>
      <c r="F291" s="31"/>
    </row>
    <row r="292" spans="1:6" x14ac:dyDescent="0.2">
      <c r="A292" s="26">
        <f t="shared" si="1"/>
        <v>2017.07</v>
      </c>
      <c r="B292" s="55">
        <v>62.897542070111719</v>
      </c>
      <c r="C292" s="56">
        <v>62.97758050387084</v>
      </c>
      <c r="E292" s="32"/>
      <c r="F292" s="31"/>
    </row>
    <row r="293" spans="1:6" x14ac:dyDescent="0.2">
      <c r="A293" s="26">
        <f t="shared" si="1"/>
        <v>2017.08</v>
      </c>
      <c r="B293" s="55">
        <v>63.319064607070437</v>
      </c>
      <c r="C293" s="56">
        <v>63.673307391441632</v>
      </c>
      <c r="E293" s="32"/>
      <c r="F293" s="31"/>
    </row>
    <row r="294" spans="1:6" x14ac:dyDescent="0.2">
      <c r="A294" s="26">
        <f t="shared" si="1"/>
        <v>2017.09</v>
      </c>
      <c r="B294" s="55">
        <v>60.275164236949863</v>
      </c>
      <c r="C294" s="56">
        <v>64.083548370336317</v>
      </c>
      <c r="E294" s="32"/>
      <c r="F294" s="31"/>
    </row>
    <row r="295" spans="1:6" x14ac:dyDescent="0.2">
      <c r="A295" s="26">
        <f t="shared" si="1"/>
        <v>2017.1</v>
      </c>
      <c r="B295" s="55">
        <v>62.146623647240709</v>
      </c>
      <c r="C295" s="56">
        <v>64.060040524711326</v>
      </c>
      <c r="E295" s="32"/>
      <c r="F295" s="31"/>
    </row>
    <row r="296" spans="1:6" x14ac:dyDescent="0.2">
      <c r="A296" s="26">
        <f t="shared" si="1"/>
        <v>2017.11</v>
      </c>
      <c r="B296" s="55">
        <v>63.918204973263073</v>
      </c>
      <c r="C296" s="56">
        <v>64.151784879173562</v>
      </c>
      <c r="E296" s="32"/>
      <c r="F296" s="31"/>
    </row>
    <row r="297" spans="1:6" x14ac:dyDescent="0.2">
      <c r="A297" s="26">
        <f t="shared" si="1"/>
        <v>2017.12</v>
      </c>
      <c r="B297" s="55">
        <v>81.567981108983901</v>
      </c>
      <c r="C297" s="56">
        <v>64.411937259597764</v>
      </c>
      <c r="E297" s="32"/>
      <c r="F297" s="31"/>
    </row>
    <row r="298" spans="1:6" x14ac:dyDescent="0.2">
      <c r="A298" s="26">
        <f t="shared" si="1"/>
        <v>2018.01</v>
      </c>
      <c r="B298" s="55">
        <v>62.574375249798791</v>
      </c>
      <c r="C298" s="56">
        <v>65.081223497822634</v>
      </c>
      <c r="E298" s="32"/>
      <c r="F298" s="31"/>
    </row>
    <row r="299" spans="1:6" x14ac:dyDescent="0.2">
      <c r="A299" s="26">
        <f t="shared" si="1"/>
        <v>2018.02</v>
      </c>
      <c r="B299" s="55">
        <v>59.82707381733919</v>
      </c>
      <c r="C299" s="56">
        <v>65.959723990358469</v>
      </c>
      <c r="E299" s="32"/>
      <c r="F299" s="31"/>
    </row>
    <row r="300" spans="1:6" x14ac:dyDescent="0.2">
      <c r="A300" s="26">
        <f t="shared" si="1"/>
        <v>2018.03</v>
      </c>
      <c r="B300" s="55">
        <v>68.351596000893437</v>
      </c>
      <c r="C300" s="56">
        <v>66.434035057693762</v>
      </c>
      <c r="E300" s="32"/>
      <c r="F300" s="31"/>
    </row>
    <row r="301" spans="1:6" x14ac:dyDescent="0.2">
      <c r="A301" s="26">
        <f t="shared" si="1"/>
        <v>2018.04</v>
      </c>
      <c r="B301" s="55">
        <v>63.548758185146731</v>
      </c>
      <c r="C301" s="56">
        <v>66.174997605320755</v>
      </c>
      <c r="E301" s="32"/>
      <c r="F301" s="31"/>
    </row>
    <row r="302" spans="1:6" x14ac:dyDescent="0.2">
      <c r="A302" s="26">
        <f t="shared" si="1"/>
        <v>2018.05</v>
      </c>
      <c r="B302" s="55">
        <v>63.694142177345114</v>
      </c>
      <c r="C302" s="56">
        <v>65.897777064410207</v>
      </c>
      <c r="E302" s="32"/>
      <c r="F302" s="31"/>
    </row>
    <row r="303" spans="1:6" x14ac:dyDescent="0.2">
      <c r="A303" s="26">
        <f t="shared" si="1"/>
        <v>2018.06</v>
      </c>
      <c r="B303" s="55">
        <v>67.149732498114943</v>
      </c>
      <c r="C303" s="56">
        <v>65.751877517659693</v>
      </c>
      <c r="E303" s="32"/>
      <c r="F303" s="31"/>
    </row>
    <row r="304" spans="1:6" x14ac:dyDescent="0.2">
      <c r="A304" s="26">
        <f t="shared" si="1"/>
        <v>2018.07</v>
      </c>
      <c r="B304" s="55">
        <v>65.236523917156489</v>
      </c>
      <c r="C304" s="56">
        <v>65.17504460481581</v>
      </c>
      <c r="E304" s="32"/>
      <c r="F304" s="31"/>
    </row>
    <row r="305" spans="1:7" x14ac:dyDescent="0.2">
      <c r="A305" s="26">
        <f t="shared" si="1"/>
        <v>2018.08</v>
      </c>
      <c r="B305" s="55">
        <v>63.606336848527484</v>
      </c>
      <c r="C305" s="56">
        <v>63.53606111502684</v>
      </c>
      <c r="E305" s="32"/>
      <c r="F305" s="31"/>
    </row>
    <row r="306" spans="1:7" x14ac:dyDescent="0.2">
      <c r="A306" s="26">
        <f t="shared" ref="A306:A369" si="2">A294+1</f>
        <v>2018.09</v>
      </c>
      <c r="B306" s="55">
        <v>57.269069092056213</v>
      </c>
      <c r="C306" s="56">
        <v>61.608379975786178</v>
      </c>
      <c r="E306" s="32"/>
      <c r="F306" s="31"/>
    </row>
    <row r="307" spans="1:7" x14ac:dyDescent="0.2">
      <c r="A307" s="26">
        <f t="shared" si="2"/>
        <v>2018.1</v>
      </c>
      <c r="B307" s="55">
        <v>58.99604701345212</v>
      </c>
      <c r="C307" s="56">
        <v>60.482315807019127</v>
      </c>
      <c r="E307" s="32"/>
      <c r="F307" s="31"/>
    </row>
    <row r="308" spans="1:7" x14ac:dyDescent="0.2">
      <c r="A308" s="26">
        <f t="shared" si="2"/>
        <v>2018.11</v>
      </c>
      <c r="B308" s="55">
        <v>58.518038806592052</v>
      </c>
      <c r="C308" s="56">
        <v>60.050629185403814</v>
      </c>
      <c r="E308" s="32"/>
      <c r="F308" s="31"/>
    </row>
    <row r="309" spans="1:7" x14ac:dyDescent="0.2">
      <c r="A309" s="26">
        <f t="shared" si="2"/>
        <v>2018.12</v>
      </c>
      <c r="B309" s="55">
        <v>76.864034282355732</v>
      </c>
      <c r="C309" s="56">
        <v>60.232876881146083</v>
      </c>
      <c r="E309" s="33"/>
      <c r="F309" s="31"/>
      <c r="G309" s="28"/>
    </row>
    <row r="310" spans="1:7" ht="14.25" x14ac:dyDescent="0.2">
      <c r="A310" s="26">
        <f t="shared" si="2"/>
        <v>2019.01</v>
      </c>
      <c r="B310" s="55">
        <v>57.306105397422684</v>
      </c>
      <c r="C310" s="56">
        <v>60.00041588946641</v>
      </c>
      <c r="E310" s="35"/>
      <c r="F310" s="36"/>
    </row>
    <row r="311" spans="1:7" ht="14.25" x14ac:dyDescent="0.2">
      <c r="A311" s="26">
        <f t="shared" si="2"/>
        <v>2019.02</v>
      </c>
      <c r="B311" s="55">
        <v>54.061135018841014</v>
      </c>
      <c r="C311" s="56">
        <v>59.127197566698769</v>
      </c>
      <c r="E311" s="35"/>
      <c r="F311" s="36"/>
    </row>
    <row r="312" spans="1:7" ht="14.25" x14ac:dyDescent="0.2">
      <c r="A312" s="26">
        <f t="shared" si="2"/>
        <v>2019.03</v>
      </c>
      <c r="B312" s="55">
        <v>60.05616542367229</v>
      </c>
      <c r="C312" s="56">
        <v>58.48068026396254</v>
      </c>
      <c r="E312" s="35"/>
      <c r="F312" s="36"/>
    </row>
    <row r="313" spans="1:7" ht="14.25" x14ac:dyDescent="0.2">
      <c r="A313" s="26">
        <f t="shared" si="2"/>
        <v>2019.04</v>
      </c>
      <c r="B313" s="55">
        <v>55.801552421095302</v>
      </c>
      <c r="C313" s="56">
        <v>58.218788814908642</v>
      </c>
      <c r="E313" s="35"/>
      <c r="F313" s="36"/>
    </row>
    <row r="314" spans="1:7" ht="14.25" x14ac:dyDescent="0.2">
      <c r="A314" s="26">
        <f t="shared" si="2"/>
        <v>2019.05</v>
      </c>
      <c r="B314" s="55">
        <v>55.914347831509929</v>
      </c>
      <c r="C314" s="56">
        <v>58.44910660278412</v>
      </c>
      <c r="E314" s="35"/>
      <c r="F314" s="36"/>
    </row>
    <row r="315" spans="1:7" ht="14.25" x14ac:dyDescent="0.2">
      <c r="A315" s="26">
        <f t="shared" si="2"/>
        <v>2019.06</v>
      </c>
      <c r="B315" s="55">
        <v>61.589391439645382</v>
      </c>
      <c r="C315" s="56">
        <v>58.58424262967911</v>
      </c>
      <c r="E315" s="35"/>
      <c r="F315" s="36"/>
    </row>
    <row r="316" spans="1:7" ht="14.25" x14ac:dyDescent="0.2">
      <c r="A316" s="26">
        <f t="shared" si="2"/>
        <v>2019.07</v>
      </c>
      <c r="B316" s="55">
        <v>56.690598564719402</v>
      </c>
      <c r="C316" s="56">
        <v>58.316138961911676</v>
      </c>
      <c r="E316" s="35"/>
      <c r="F316" s="36"/>
    </row>
    <row r="317" spans="1:7" ht="14.25" x14ac:dyDescent="0.2">
      <c r="A317" s="26">
        <f t="shared" si="2"/>
        <v>2019.08</v>
      </c>
      <c r="B317" s="55">
        <v>59.140937486680059</v>
      </c>
      <c r="C317" s="56">
        <v>58.30065479996199</v>
      </c>
      <c r="E317" s="35"/>
      <c r="F317" s="36"/>
    </row>
    <row r="318" spans="1:7" ht="14.25" x14ac:dyDescent="0.2">
      <c r="A318" s="26">
        <f t="shared" si="2"/>
        <v>2019.09</v>
      </c>
      <c r="B318" s="55">
        <v>53.492077539678164</v>
      </c>
      <c r="C318" s="56">
        <v>58.136953782857397</v>
      </c>
      <c r="E318" s="35"/>
      <c r="F318" s="36"/>
    </row>
    <row r="319" spans="1:7" ht="14.25" x14ac:dyDescent="0.2">
      <c r="A319" s="26">
        <f t="shared" si="2"/>
        <v>2019.1</v>
      </c>
      <c r="B319" s="55">
        <v>59.424198132881919</v>
      </c>
      <c r="C319" s="56">
        <v>57.888073102082913</v>
      </c>
      <c r="E319" s="35"/>
      <c r="F319" s="36"/>
    </row>
    <row r="320" spans="1:7" ht="14.25" x14ac:dyDescent="0.2">
      <c r="A320" s="26">
        <f t="shared" si="2"/>
        <v>2019.11</v>
      </c>
      <c r="B320" s="55">
        <v>58.306151768693042</v>
      </c>
      <c r="C320" s="56">
        <v>57.566396950466647</v>
      </c>
      <c r="E320" s="35"/>
      <c r="F320" s="36"/>
    </row>
    <row r="321" spans="1:7" ht="14.25" x14ac:dyDescent="0.2">
      <c r="A321" s="26">
        <f t="shared" si="2"/>
        <v>2019.12</v>
      </c>
      <c r="B321" s="55">
        <v>70.280652903522309</v>
      </c>
      <c r="C321" s="56">
        <v>56.900141611588424</v>
      </c>
      <c r="E321" s="38"/>
      <c r="F321" s="36"/>
      <c r="G321" s="34"/>
    </row>
    <row r="322" spans="1:7" x14ac:dyDescent="0.2">
      <c r="A322" s="26">
        <f t="shared" si="2"/>
        <v>2020.01</v>
      </c>
      <c r="B322" s="55">
        <v>54.67208652397359</v>
      </c>
      <c r="C322" s="56">
        <v>56.972707641986695</v>
      </c>
      <c r="E322" s="37"/>
      <c r="F322" s="37"/>
    </row>
    <row r="323" spans="1:7" x14ac:dyDescent="0.2">
      <c r="A323" s="26">
        <f t="shared" si="2"/>
        <v>2020.02</v>
      </c>
      <c r="B323" s="55">
        <v>55.525642028793854</v>
      </c>
      <c r="C323" s="56">
        <v>57.373293668502328</v>
      </c>
    </row>
    <row r="324" spans="1:7" x14ac:dyDescent="0.2">
      <c r="A324" s="26">
        <f t="shared" si="2"/>
        <v>2020.03</v>
      </c>
      <c r="B324" s="55">
        <v>61.282113155346408</v>
      </c>
      <c r="C324" s="56">
        <v>56.925034242701074</v>
      </c>
    </row>
    <row r="325" spans="1:7" x14ac:dyDescent="0.2">
      <c r="A325" s="26">
        <f t="shared" si="2"/>
        <v>2020.04</v>
      </c>
      <c r="B325" s="55">
        <v>50.475857611497425</v>
      </c>
      <c r="C325" s="56">
        <v>56.21267827621768</v>
      </c>
    </row>
    <row r="326" spans="1:7" x14ac:dyDescent="0.2">
      <c r="A326" s="26">
        <f t="shared" si="2"/>
        <v>2020.05</v>
      </c>
      <c r="B326" s="55">
        <v>54.451637123830423</v>
      </c>
      <c r="C326" s="56">
        <v>55.824250453252603</v>
      </c>
    </row>
    <row r="327" spans="1:7" x14ac:dyDescent="0.2">
      <c r="A327" s="26">
        <f t="shared" si="2"/>
        <v>2020.06</v>
      </c>
      <c r="B327" s="55">
        <v>55.331208449511465</v>
      </c>
      <c r="C327" s="56">
        <v>55.788929570513851</v>
      </c>
    </row>
    <row r="328" spans="1:7" x14ac:dyDescent="0.2">
      <c r="A328" s="26">
        <f t="shared" si="2"/>
        <v>2020.07</v>
      </c>
      <c r="B328" s="55">
        <v>58.099907014339536</v>
      </c>
      <c r="C328" s="56">
        <v>55.696701505416357</v>
      </c>
    </row>
    <row r="329" spans="1:7" x14ac:dyDescent="0.2">
      <c r="A329" s="26">
        <f t="shared" si="2"/>
        <v>2020.08</v>
      </c>
      <c r="B329" s="55">
        <v>55.405293986229296</v>
      </c>
      <c r="C329" s="56">
        <v>55.519228059426304</v>
      </c>
    </row>
    <row r="330" spans="1:7" x14ac:dyDescent="0.2">
      <c r="A330" s="26">
        <f t="shared" si="2"/>
        <v>2020.09</v>
      </c>
      <c r="B330" s="55">
        <v>51.828952410630237</v>
      </c>
      <c r="C330" s="56">
        <v>56.117992760920565</v>
      </c>
    </row>
    <row r="331" spans="1:7" x14ac:dyDescent="0.2">
      <c r="A331" s="26">
        <f t="shared" si="2"/>
        <v>2020.1</v>
      </c>
      <c r="B331" s="55">
        <v>57.248557173241366</v>
      </c>
      <c r="C331" s="56">
        <v>56.965920272515341</v>
      </c>
    </row>
    <row r="332" spans="1:7" x14ac:dyDescent="0.2">
      <c r="A332" s="26">
        <f t="shared" si="2"/>
        <v>2020.11</v>
      </c>
      <c r="B332" s="55">
        <v>56.834588928366614</v>
      </c>
      <c r="C332" s="56">
        <v>57.250970335834126</v>
      </c>
    </row>
    <row r="333" spans="1:7" x14ac:dyDescent="0.2">
      <c r="A333" s="26">
        <f t="shared" si="2"/>
        <v>2020.12</v>
      </c>
      <c r="B333" s="55">
        <v>71.054166050173293</v>
      </c>
      <c r="C333" s="56">
        <v>57.206730612508593</v>
      </c>
    </row>
    <row r="334" spans="1:7" x14ac:dyDescent="0.2">
      <c r="A334" s="26">
        <f t="shared" si="2"/>
        <v>2021.01</v>
      </c>
      <c r="B334" s="55">
        <v>56.187078795184107</v>
      </c>
      <c r="C334" s="56">
        <v>56.880376643721405</v>
      </c>
      <c r="E334" s="28"/>
    </row>
    <row r="335" spans="1:7" x14ac:dyDescent="0.2">
      <c r="A335" s="26">
        <f t="shared" si="2"/>
        <v>2021.02</v>
      </c>
      <c r="B335" s="55">
        <v>51.558103801099698</v>
      </c>
      <c r="C335" s="56">
        <v>57.338333494863207</v>
      </c>
      <c r="E335" s="28"/>
      <c r="F335" s="28"/>
    </row>
    <row r="336" spans="1:7" x14ac:dyDescent="0.2">
      <c r="A336" s="26">
        <f t="shared" si="2"/>
        <v>2021.03</v>
      </c>
      <c r="B336" s="55">
        <v>59.084182193914501</v>
      </c>
      <c r="C336" s="56">
        <v>58.726017106518789</v>
      </c>
      <c r="E336" s="28"/>
      <c r="F336" s="28"/>
    </row>
    <row r="337" spans="1:6" x14ac:dyDescent="0.2">
      <c r="A337" s="26">
        <f t="shared" si="2"/>
        <v>2021.04</v>
      </c>
      <c r="B337" s="55">
        <v>57.186418873589425</v>
      </c>
      <c r="C337" s="56">
        <v>58.938614758533276</v>
      </c>
      <c r="E337" s="28"/>
      <c r="F337" s="28"/>
    </row>
    <row r="338" spans="1:6" x14ac:dyDescent="0.2">
      <c r="A338" s="26">
        <f t="shared" si="2"/>
        <v>2021.05</v>
      </c>
      <c r="B338" s="55">
        <v>55.404697745924317</v>
      </c>
      <c r="C338" s="56">
        <v>58.139151527123971</v>
      </c>
    </row>
    <row r="339" spans="1:6" x14ac:dyDescent="0.2">
      <c r="A339" s="26">
        <f t="shared" si="2"/>
        <v>2021.06</v>
      </c>
      <c r="B339" s="55">
        <v>57.696987964744991</v>
      </c>
      <c r="C339" s="56">
        <v>57.810191950048385</v>
      </c>
    </row>
    <row r="340" spans="1:6" x14ac:dyDescent="0.2">
      <c r="A340" s="26">
        <f t="shared" si="2"/>
        <v>2021.07</v>
      </c>
      <c r="B340" s="55">
        <v>58.48987942340159</v>
      </c>
      <c r="C340" s="56">
        <v>57.314238250769861</v>
      </c>
    </row>
    <row r="341" spans="1:6" x14ac:dyDescent="0.2">
      <c r="A341" s="26">
        <f t="shared" si="2"/>
        <v>2021.08</v>
      </c>
      <c r="B341" s="55">
        <v>55.502283562018818</v>
      </c>
      <c r="C341" s="56">
        <v>56.796352876700944</v>
      </c>
    </row>
    <row r="342" spans="1:6" x14ac:dyDescent="0.2">
      <c r="A342" s="26">
        <f t="shared" si="2"/>
        <v>2021.09</v>
      </c>
      <c r="B342" s="55">
        <v>53.627861188539931</v>
      </c>
      <c r="C342" s="56">
        <v>56.897544735993975</v>
      </c>
    </row>
    <row r="343" spans="1:6" x14ac:dyDescent="0.2">
      <c r="A343" s="26">
        <f t="shared" si="2"/>
        <v>2021.1</v>
      </c>
      <c r="B343" s="55">
        <v>57.393759356283496</v>
      </c>
      <c r="C343" s="56">
        <v>56.530740201605369</v>
      </c>
    </row>
    <row r="344" spans="1:6" x14ac:dyDescent="0.2">
      <c r="A344" s="26">
        <f t="shared" si="2"/>
        <v>2021.11</v>
      </c>
      <c r="B344" s="55">
        <v>55.033181180191868</v>
      </c>
      <c r="C344" s="56">
        <v>56.302778304568427</v>
      </c>
    </row>
    <row r="345" spans="1:6" x14ac:dyDescent="0.2">
      <c r="A345" s="26">
        <f t="shared" si="2"/>
        <v>2021.12</v>
      </c>
      <c r="B345" s="55">
        <v>71.774755506774355</v>
      </c>
      <c r="C345" s="56">
        <v>56.708193614258704</v>
      </c>
    </row>
    <row r="346" spans="1:6" x14ac:dyDescent="0.2">
      <c r="A346" s="26">
        <f t="shared" si="2"/>
        <v>2022.01</v>
      </c>
      <c r="B346" s="55">
        <v>55.061098202552024</v>
      </c>
      <c r="C346" s="56">
        <v>56.488349950388951</v>
      </c>
    </row>
    <row r="347" spans="1:6" x14ac:dyDescent="0.2">
      <c r="A347" s="26">
        <f t="shared" si="2"/>
        <v>2022.02</v>
      </c>
      <c r="B347" s="55">
        <v>50.822870614993811</v>
      </c>
      <c r="C347" s="56">
        <v>55.942303823386624</v>
      </c>
    </row>
    <row r="348" spans="1:6" x14ac:dyDescent="0.2">
      <c r="A348" s="26">
        <f t="shared" si="2"/>
        <v>2022.03</v>
      </c>
      <c r="B348" s="55">
        <v>55.025720154851605</v>
      </c>
      <c r="C348" s="56">
        <v>55.865106130379232</v>
      </c>
    </row>
    <row r="349" spans="1:6" x14ac:dyDescent="0.2">
      <c r="A349" s="26">
        <f t="shared" si="2"/>
        <v>2022.04</v>
      </c>
      <c r="B349" s="55">
        <v>55.267331296074147</v>
      </c>
      <c r="C349" s="56">
        <v>56.295525693515785</v>
      </c>
    </row>
    <row r="350" spans="1:6" x14ac:dyDescent="0.2">
      <c r="A350" s="26">
        <f t="shared" si="2"/>
        <v>2022.05</v>
      </c>
      <c r="B350" s="55">
        <v>53.665026352679753</v>
      </c>
      <c r="C350" s="56">
        <v>56.64959610374536</v>
      </c>
    </row>
    <row r="351" spans="1:6" x14ac:dyDescent="0.2">
      <c r="A351" s="26">
        <f t="shared" si="2"/>
        <v>2022.06</v>
      </c>
      <c r="B351" s="55">
        <v>55.781358371760099</v>
      </c>
      <c r="C351" s="56">
        <v>56.732113794291337</v>
      </c>
    </row>
    <row r="352" spans="1:6" x14ac:dyDescent="0.2">
      <c r="A352" s="26">
        <f t="shared" si="2"/>
        <v>2022.07</v>
      </c>
      <c r="B352" s="55">
        <v>58.93528861876257</v>
      </c>
      <c r="C352" s="56">
        <v>56.844001730738619</v>
      </c>
    </row>
    <row r="353" spans="1:3" x14ac:dyDescent="0.2">
      <c r="A353" s="26">
        <f t="shared" si="2"/>
        <v>2022.08</v>
      </c>
      <c r="B353" s="55">
        <v>55.913600981806098</v>
      </c>
      <c r="C353" s="56">
        <v>56.759656029538192</v>
      </c>
    </row>
    <row r="354" spans="1:3" x14ac:dyDescent="0.2">
      <c r="A354" s="26">
        <f t="shared" si="2"/>
        <v>2022.09</v>
      </c>
      <c r="B354" s="55">
        <v>53.22378355066094</v>
      </c>
      <c r="C354" s="56">
        <v>56.515388988031575</v>
      </c>
    </row>
    <row r="355" spans="1:3" x14ac:dyDescent="0.2">
      <c r="A355" s="26">
        <f t="shared" si="2"/>
        <v>2022.1</v>
      </c>
      <c r="B355" s="55">
        <v>56.566685050798164</v>
      </c>
      <c r="C355" s="56">
        <v>56.658992022075061</v>
      </c>
    </row>
    <row r="356" spans="1:3" x14ac:dyDescent="0.2">
      <c r="A356" s="26">
        <f t="shared" si="2"/>
        <v>2022.11</v>
      </c>
      <c r="B356" s="55">
        <v>57.78028488196928</v>
      </c>
      <c r="C356" s="56">
        <v>57.126595058231388</v>
      </c>
    </row>
    <row r="357" spans="1:3" x14ac:dyDescent="0.2">
      <c r="A357" s="26">
        <f t="shared" si="2"/>
        <v>2022.12</v>
      </c>
      <c r="B357" s="55">
        <v>71.454437582388735</v>
      </c>
      <c r="C357" s="56">
        <v>57.780746735160008</v>
      </c>
    </row>
    <row r="358" spans="1:3" x14ac:dyDescent="0.2">
      <c r="A358" s="26">
        <f t="shared" si="2"/>
        <v>2023.01</v>
      </c>
      <c r="B358" s="55">
        <v>57.290689908596256</v>
      </c>
      <c r="C358" s="56">
        <v>58.759591750165782</v>
      </c>
    </row>
    <row r="359" spans="1:3" x14ac:dyDescent="0.2">
      <c r="A359" s="26">
        <f t="shared" si="2"/>
        <v>2023.02</v>
      </c>
      <c r="B359" s="55">
        <v>53.657162158341031</v>
      </c>
      <c r="C359" s="56">
        <v>59.115069473673572</v>
      </c>
    </row>
    <row r="360" spans="1:3" x14ac:dyDescent="0.2">
      <c r="A360" s="26">
        <f t="shared" si="2"/>
        <v>2023.03</v>
      </c>
      <c r="B360" s="55">
        <v>58.31363731697634</v>
      </c>
      <c r="C360" s="56">
        <v>58.547048548988137</v>
      </c>
    </row>
    <row r="361" spans="1:3" x14ac:dyDescent="0.2">
      <c r="A361" s="26">
        <f t="shared" si="2"/>
        <v>2023.04</v>
      </c>
      <c r="B361" s="55">
        <v>56.955119292148609</v>
      </c>
      <c r="C361" s="56">
        <v>57.986299297629841</v>
      </c>
    </row>
    <row r="362" spans="1:3" x14ac:dyDescent="0.2">
      <c r="A362" s="26">
        <f t="shared" si="2"/>
        <v>2023.05</v>
      </c>
      <c r="B362" s="55">
        <v>54.23765558280428</v>
      </c>
      <c r="C362" s="56">
        <v>58.298246196415988</v>
      </c>
    </row>
    <row r="363" spans="1:3" x14ac:dyDescent="0.2">
      <c r="A363" s="26">
        <f t="shared" si="2"/>
        <v>2023.06</v>
      </c>
      <c r="B363" s="55">
        <v>56.175608673330046</v>
      </c>
      <c r="C363" s="56">
        <v>59.337256352695327</v>
      </c>
    </row>
    <row r="364" spans="1:3" x14ac:dyDescent="0.2">
      <c r="A364" s="26">
        <f t="shared" si="2"/>
        <v>2023.07</v>
      </c>
      <c r="B364" s="55">
        <v>61.149860154228463</v>
      </c>
      <c r="C364" s="56">
        <v>60.641334671852221</v>
      </c>
    </row>
    <row r="365" spans="1:3" x14ac:dyDescent="0.2">
      <c r="A365" s="26">
        <f t="shared" si="2"/>
        <v>2023.08</v>
      </c>
      <c r="B365" s="55">
        <v>62.489265078359232</v>
      </c>
      <c r="C365" s="56">
        <v>62.091549929156116</v>
      </c>
    </row>
    <row r="366" spans="1:3" x14ac:dyDescent="0.2">
      <c r="A366" s="26">
        <f t="shared" si="2"/>
        <v>2023.09</v>
      </c>
      <c r="B366" s="55">
        <v>60.239214812475595</v>
      </c>
      <c r="C366" s="56">
        <v>62.522990528554125</v>
      </c>
    </row>
    <row r="367" spans="1:3" x14ac:dyDescent="0.2">
      <c r="A367" s="26">
        <f t="shared" si="2"/>
        <v>2023.1</v>
      </c>
      <c r="B367" s="55">
        <v>64.889241078403046</v>
      </c>
      <c r="C367" s="56">
        <v>61.958575358983175</v>
      </c>
    </row>
    <row r="368" spans="1:3" x14ac:dyDescent="0.2">
      <c r="A368" s="26">
        <f t="shared" si="2"/>
        <v>2023.11</v>
      </c>
      <c r="B368" s="55">
        <v>62.013146341466971</v>
      </c>
      <c r="C368" s="56">
        <v>60.921828964643709</v>
      </c>
    </row>
    <row r="369" spans="1:3" x14ac:dyDescent="0.2">
      <c r="A369" s="26">
        <f t="shared" si="2"/>
        <v>2023.12</v>
      </c>
      <c r="B369" s="55">
        <v>74.555843804137709</v>
      </c>
      <c r="C369" s="56">
        <v>58.922720780267284</v>
      </c>
    </row>
    <row r="370" spans="1:3" x14ac:dyDescent="0.2">
      <c r="A370" s="26">
        <f t="shared" ref="A370:A433" si="3">A358+1</f>
        <v>2024.01</v>
      </c>
      <c r="B370" s="55">
        <v>53.381473141515606</v>
      </c>
      <c r="C370" s="56">
        <v>57.005802468213133</v>
      </c>
    </row>
    <row r="371" spans="1:3" x14ac:dyDescent="0.2">
      <c r="A371" s="26">
        <f t="shared" si="3"/>
        <v>2024.02</v>
      </c>
      <c r="B371" s="55">
        <v>49.559849487587655</v>
      </c>
      <c r="C371" s="56">
        <v>55.880204510403793</v>
      </c>
    </row>
    <row r="372" spans="1:3" x14ac:dyDescent="0.2">
      <c r="A372" s="26">
        <f t="shared" si="3"/>
        <v>2024.03</v>
      </c>
      <c r="B372" s="55">
        <v>55.823270017755533</v>
      </c>
      <c r="C372" s="56">
        <v>55.06923111791216</v>
      </c>
    </row>
    <row r="373" spans="1:3" x14ac:dyDescent="0.2">
      <c r="A373" s="26">
        <f t="shared" si="3"/>
        <v>2024.04</v>
      </c>
      <c r="B373" s="55">
        <v>52.199990046480693</v>
      </c>
      <c r="C373" s="56">
        <v>54.951746510791807</v>
      </c>
    </row>
    <row r="374" spans="1:3" x14ac:dyDescent="0.2">
      <c r="A374" s="26">
        <f t="shared" si="3"/>
        <v>2024.05</v>
      </c>
      <c r="B374" s="55">
        <v>52.911583791749329</v>
      </c>
      <c r="C374" s="56">
        <v>55.125490921925596</v>
      </c>
    </row>
    <row r="375" spans="1:3" x14ac:dyDescent="0.2">
      <c r="A375" s="26">
        <f t="shared" si="3"/>
        <v>2024.06</v>
      </c>
      <c r="B375" s="55">
        <v>55.113489067404601</v>
      </c>
      <c r="C375" s="56">
        <v>55.054351280954521</v>
      </c>
    </row>
    <row r="376" spans="1:3" x14ac:dyDescent="0.2">
      <c r="A376" s="26">
        <f t="shared" si="3"/>
        <v>2024.07</v>
      </c>
      <c r="B376" s="55">
        <v>54.935757872636245</v>
      </c>
      <c r="C376" s="56">
        <v>55.366806973752418</v>
      </c>
    </row>
    <row r="377" spans="1:3" x14ac:dyDescent="0.2">
      <c r="A377" s="26">
        <f t="shared" si="3"/>
        <v>2024.08</v>
      </c>
      <c r="B377" s="55">
        <v>56.752660965317169</v>
      </c>
      <c r="C377" s="56">
        <v>55.337066678804668</v>
      </c>
    </row>
    <row r="378" spans="1:3" x14ac:dyDescent="0.2">
      <c r="A378" s="26">
        <f t="shared" si="3"/>
        <v>2024.09</v>
      </c>
      <c r="B378" s="55">
        <v>50.898686072151961</v>
      </c>
      <c r="C378" s="56">
        <v>54.868097242682047</v>
      </c>
    </row>
    <row r="379" spans="1:3" x14ac:dyDescent="0.2">
      <c r="A379" s="26">
        <f>A367+1</f>
        <v>2024.1</v>
      </c>
      <c r="B379" s="55">
        <v>54.600921929618401</v>
      </c>
      <c r="C379" s="56">
        <v>55.078001858014979</v>
      </c>
    </row>
    <row r="380" spans="1:3" x14ac:dyDescent="0.2">
      <c r="A380" s="26">
        <f t="shared" si="3"/>
        <v>2024.11</v>
      </c>
      <c r="B380" s="55">
        <v>56.567567807042494</v>
      </c>
      <c r="C380" s="56">
        <v>55.278501885426138</v>
      </c>
    </row>
    <row r="381" spans="1:3" x14ac:dyDescent="0.2">
      <c r="A381" s="26">
        <f t="shared" si="3"/>
        <v>2024.12</v>
      </c>
      <c r="B381" s="55">
        <v>67.711574379270061</v>
      </c>
      <c r="C381" s="56">
        <v>55.482515554505724</v>
      </c>
    </row>
    <row r="382" spans="1:3" x14ac:dyDescent="0.2">
      <c r="A382" s="26">
        <f t="shared" si="3"/>
        <v>2025.01</v>
      </c>
      <c r="B382" s="55">
        <v>54.644910912505452</v>
      </c>
      <c r="C382" s="56">
        <v>56.082639342733671</v>
      </c>
    </row>
    <row r="383" spans="1:3" x14ac:dyDescent="0.2">
      <c r="A383" s="26">
        <f t="shared" si="3"/>
        <v>2025.02</v>
      </c>
      <c r="B383" s="55">
        <v>50.780398325325592</v>
      </c>
      <c r="C383" s="56">
        <v>56.395540025945159</v>
      </c>
    </row>
    <row r="384" spans="1:3" x14ac:dyDescent="0.2">
      <c r="A384" s="26">
        <f t="shared" si="3"/>
        <v>2025.03</v>
      </c>
      <c r="B384" s="55">
        <v>56.999091113121281</v>
      </c>
      <c r="C384" s="56">
        <v>56.633891382320719</v>
      </c>
    </row>
    <row r="385" spans="1:3" x14ac:dyDescent="0.2">
      <c r="A385" s="26">
        <f t="shared" si="3"/>
        <v>2025.04</v>
      </c>
      <c r="B385" s="55">
        <v>55.050424747086439</v>
      </c>
      <c r="C385" s="56">
        <v>56.752830978411993</v>
      </c>
    </row>
    <row r="386" spans="1:3" x14ac:dyDescent="0.2">
      <c r="A386" s="26">
        <f t="shared" si="3"/>
        <v>2025.05</v>
      </c>
      <c r="B386" s="55">
        <v>54.393984202171758</v>
      </c>
      <c r="C386" s="56">
        <v>56.2431515012143</v>
      </c>
    </row>
    <row r="387" spans="1:3" x14ac:dyDescent="0.2">
      <c r="A387" s="26">
        <f t="shared" si="3"/>
        <v>2025.06</v>
      </c>
      <c r="B387" s="55">
        <v>54.811626073458697</v>
      </c>
      <c r="C387" s="56">
        <v>55.437120795760571</v>
      </c>
    </row>
    <row r="388" spans="1:3" x14ac:dyDescent="0.2">
      <c r="A388" s="26">
        <f t="shared" si="3"/>
        <v>2025.07</v>
      </c>
      <c r="B388" s="55">
        <v>54.239704090745498</v>
      </c>
      <c r="C388" s="56">
        <v>54.557386760754767</v>
      </c>
    </row>
    <row r="389" spans="1:3" x14ac:dyDescent="0.2">
      <c r="A389" s="26">
        <f t="shared" si="3"/>
        <v>2025.08</v>
      </c>
      <c r="B389" s="55">
        <v>55.145214121317132</v>
      </c>
      <c r="C389" s="56">
        <v>54.008074114788108</v>
      </c>
    </row>
    <row r="390" spans="1:3" x14ac:dyDescent="0.2">
      <c r="A390" s="26">
        <f t="shared" si="3"/>
        <v>2025.09</v>
      </c>
      <c r="B390" s="55">
        <v>50.582667868643682</v>
      </c>
      <c r="C390" s="56">
        <v>54.084182751432508</v>
      </c>
    </row>
    <row r="391" spans="1:3" x14ac:dyDescent="0.2">
      <c r="A391" s="26">
        <f t="shared" si="3"/>
        <v>2025.1</v>
      </c>
      <c r="B391" s="55">
        <v>51.688353937526777</v>
      </c>
      <c r="C391" s="56">
        <v>54.068536770401487</v>
      </c>
    </row>
    <row r="392" spans="1:3" x14ac:dyDescent="0.2">
      <c r="A392" s="26">
        <f t="shared" si="3"/>
        <v>2025.11</v>
      </c>
      <c r="B392" s="55">
        <v>53.614672558816849</v>
      </c>
      <c r="C392" s="56">
        <v>54.139420266910236</v>
      </c>
    </row>
    <row r="393" spans="1:3" x14ac:dyDescent="0.2">
      <c r="A393" s="26">
        <f t="shared" si="3"/>
        <v>2025.12</v>
      </c>
      <c r="B393" s="55">
        <v>67.032529056480641</v>
      </c>
      <c r="C393" s="56">
        <v>54.494407360673769</v>
      </c>
    </row>
    <row r="394" spans="1:3" x14ac:dyDescent="0.2">
      <c r="A394" s="26">
        <f t="shared" si="3"/>
        <v>2026.01</v>
      </c>
      <c r="B394" s="55">
        <v>53.129762994783256</v>
      </c>
      <c r="C394" s="56">
        <v>54.571398702114998</v>
      </c>
    </row>
    <row r="395" spans="1:3" x14ac:dyDescent="0.2">
      <c r="A395" s="26">
        <f t="shared" si="3"/>
        <v>2026.02</v>
      </c>
      <c r="B395" s="55">
        <v>49.255127004708598</v>
      </c>
      <c r="C395" s="56">
        <v>54.586672736874142</v>
      </c>
    </row>
    <row r="396" spans="1:3" x14ac:dyDescent="0.2">
      <c r="A396" s="26">
        <f t="shared" si="3"/>
        <v>2026.03</v>
      </c>
      <c r="B396" s="55">
        <v>54.352838467369679</v>
      </c>
      <c r="C396" s="56">
        <v>54.732161125655125</v>
      </c>
    </row>
    <row r="397" spans="1:3" x14ac:dyDescent="0.2">
      <c r="A397" s="26">
        <f t="shared" si="3"/>
        <v>2026.04</v>
      </c>
      <c r="B397" s="55">
        <v>53.016789460146903</v>
      </c>
      <c r="C397" s="56">
        <v>54.685797860523664</v>
      </c>
    </row>
    <row r="398" spans="1:3" x14ac:dyDescent="0.2">
      <c r="A398" s="26">
        <f t="shared" si="3"/>
        <v>2026.05</v>
      </c>
      <c r="B398" s="55">
        <v>53.554465948954189</v>
      </c>
      <c r="C398" s="56">
        <v>54.428536867287065</v>
      </c>
    </row>
    <row r="399" spans="1:3" x14ac:dyDescent="0.2">
      <c r="A399" s="26">
        <f t="shared" si="3"/>
        <v>2026.06</v>
      </c>
      <c r="B399" s="55">
        <v>52.949670182957696</v>
      </c>
      <c r="C399" s="56">
        <v>53.993987474123841</v>
      </c>
    </row>
    <row r="400" spans="1:3" x14ac:dyDescent="0.2">
      <c r="A400" s="26">
        <f t="shared" si="3"/>
        <v>2026.07</v>
      </c>
      <c r="B400" s="55">
        <v>53.055035047475783</v>
      </c>
      <c r="C400" s="56">
        <v>53.503037021485035</v>
      </c>
    </row>
    <row r="401" spans="1:3" x14ac:dyDescent="0.2">
      <c r="A401" s="26">
        <f t="shared" si="3"/>
        <v>2026.08</v>
      </c>
      <c r="B401" s="55" t="e">
        <v>#N/A</v>
      </c>
      <c r="C401" s="56" t="e">
        <v>#N/A</v>
      </c>
    </row>
    <row r="402" spans="1:3" x14ac:dyDescent="0.2">
      <c r="A402" s="26">
        <f t="shared" si="3"/>
        <v>2026.09</v>
      </c>
      <c r="B402" s="55" t="e">
        <v>#N/A</v>
      </c>
      <c r="C402" s="56" t="e">
        <v>#N/A</v>
      </c>
    </row>
    <row r="403" spans="1:3" x14ac:dyDescent="0.2">
      <c r="A403" s="26">
        <f t="shared" si="3"/>
        <v>2026.1</v>
      </c>
      <c r="B403" s="55" t="e">
        <v>#N/A</v>
      </c>
      <c r="C403" s="56" t="e">
        <v>#N/A</v>
      </c>
    </row>
    <row r="404" spans="1:3" x14ac:dyDescent="0.2">
      <c r="A404" s="26">
        <f t="shared" si="3"/>
        <v>2026.11</v>
      </c>
      <c r="B404" s="55" t="e">
        <v>#N/A</v>
      </c>
      <c r="C404" s="56" t="e">
        <v>#N/A</v>
      </c>
    </row>
    <row r="405" spans="1:3" x14ac:dyDescent="0.2">
      <c r="A405" s="26">
        <f t="shared" si="3"/>
        <v>2026.12</v>
      </c>
      <c r="B405" s="55" t="e">
        <v>#N/A</v>
      </c>
      <c r="C405" s="56" t="e">
        <v>#N/A</v>
      </c>
    </row>
    <row r="406" spans="1:3" x14ac:dyDescent="0.2">
      <c r="A406" s="26">
        <f t="shared" si="3"/>
        <v>2027.01</v>
      </c>
      <c r="B406" s="55" t="e">
        <v>#N/A</v>
      </c>
      <c r="C406" s="56" t="e">
        <v>#N/A</v>
      </c>
    </row>
    <row r="407" spans="1:3" x14ac:dyDescent="0.2">
      <c r="A407" s="26">
        <f t="shared" si="3"/>
        <v>2027.02</v>
      </c>
      <c r="B407" s="55" t="e">
        <v>#N/A</v>
      </c>
      <c r="C407" s="56" t="e">
        <v>#N/A</v>
      </c>
    </row>
    <row r="408" spans="1:3" x14ac:dyDescent="0.2">
      <c r="A408" s="26">
        <f t="shared" si="3"/>
        <v>2027.03</v>
      </c>
      <c r="B408" s="55" t="e">
        <v>#N/A</v>
      </c>
      <c r="C408" s="56" t="e">
        <v>#N/A</v>
      </c>
    </row>
    <row r="409" spans="1:3" x14ac:dyDescent="0.2">
      <c r="A409" s="26">
        <f t="shared" si="3"/>
        <v>2027.04</v>
      </c>
      <c r="B409" s="55" t="e">
        <v>#N/A</v>
      </c>
      <c r="C409" s="56" t="e">
        <v>#N/A</v>
      </c>
    </row>
    <row r="410" spans="1:3" x14ac:dyDescent="0.2">
      <c r="A410" s="26">
        <f t="shared" si="3"/>
        <v>2027.05</v>
      </c>
      <c r="B410" s="55" t="e">
        <v>#N/A</v>
      </c>
      <c r="C410" s="56" t="e">
        <v>#N/A</v>
      </c>
    </row>
    <row r="411" spans="1:3" x14ac:dyDescent="0.2">
      <c r="A411" s="26">
        <f t="shared" si="3"/>
        <v>2027.06</v>
      </c>
      <c r="B411" s="55" t="e">
        <v>#N/A</v>
      </c>
      <c r="C411" s="56" t="e">
        <v>#N/A</v>
      </c>
    </row>
    <row r="412" spans="1:3" x14ac:dyDescent="0.2">
      <c r="A412" s="26">
        <f t="shared" si="3"/>
        <v>2027.07</v>
      </c>
      <c r="B412" s="55" t="e">
        <v>#N/A</v>
      </c>
      <c r="C412" s="56" t="e">
        <v>#N/A</v>
      </c>
    </row>
    <row r="413" spans="1:3" x14ac:dyDescent="0.2">
      <c r="A413" s="26">
        <f t="shared" si="3"/>
        <v>2027.08</v>
      </c>
      <c r="B413" s="55" t="e">
        <v>#N/A</v>
      </c>
      <c r="C413" s="56" t="e">
        <v>#N/A</v>
      </c>
    </row>
    <row r="414" spans="1:3" x14ac:dyDescent="0.2">
      <c r="A414" s="26">
        <f t="shared" si="3"/>
        <v>2027.09</v>
      </c>
      <c r="B414" s="55" t="e">
        <v>#N/A</v>
      </c>
      <c r="C414" s="56" t="e">
        <v>#N/A</v>
      </c>
    </row>
    <row r="415" spans="1:3" x14ac:dyDescent="0.2">
      <c r="A415" s="26">
        <f t="shared" si="3"/>
        <v>2027.1</v>
      </c>
      <c r="B415" s="55" t="e">
        <v>#N/A</v>
      </c>
      <c r="C415" s="56" t="e">
        <v>#N/A</v>
      </c>
    </row>
    <row r="416" spans="1:3" x14ac:dyDescent="0.2">
      <c r="A416" s="26">
        <f t="shared" si="3"/>
        <v>2027.11</v>
      </c>
      <c r="B416" s="55" t="e">
        <v>#N/A</v>
      </c>
      <c r="C416" s="56" t="e">
        <v>#N/A</v>
      </c>
    </row>
    <row r="417" spans="1:3" x14ac:dyDescent="0.2">
      <c r="A417" s="26">
        <f t="shared" si="3"/>
        <v>2027.12</v>
      </c>
      <c r="B417" s="55" t="e">
        <v>#N/A</v>
      </c>
      <c r="C417" s="56" t="e">
        <v>#N/A</v>
      </c>
    </row>
    <row r="418" spans="1:3" x14ac:dyDescent="0.2">
      <c r="A418" s="26">
        <f t="shared" si="3"/>
        <v>2028.01</v>
      </c>
      <c r="B418" s="55" t="e">
        <v>#N/A</v>
      </c>
      <c r="C418" s="56" t="e">
        <v>#N/A</v>
      </c>
    </row>
    <row r="419" spans="1:3" x14ac:dyDescent="0.2">
      <c r="A419" s="26">
        <f t="shared" si="3"/>
        <v>2028.02</v>
      </c>
      <c r="B419" s="55" t="e">
        <v>#N/A</v>
      </c>
      <c r="C419" s="56" t="e">
        <v>#N/A</v>
      </c>
    </row>
    <row r="420" spans="1:3" x14ac:dyDescent="0.2">
      <c r="A420" s="26">
        <f t="shared" si="3"/>
        <v>2028.03</v>
      </c>
      <c r="B420" s="55" t="e">
        <v>#N/A</v>
      </c>
      <c r="C420" s="56" t="e">
        <v>#N/A</v>
      </c>
    </row>
    <row r="421" spans="1:3" x14ac:dyDescent="0.2">
      <c r="A421" s="26">
        <f t="shared" si="3"/>
        <v>2028.04</v>
      </c>
      <c r="B421" s="55" t="e">
        <v>#N/A</v>
      </c>
      <c r="C421" s="56" t="e">
        <v>#N/A</v>
      </c>
    </row>
    <row r="422" spans="1:3" x14ac:dyDescent="0.2">
      <c r="A422" s="26">
        <f t="shared" si="3"/>
        <v>2028.05</v>
      </c>
      <c r="B422" s="55" t="e">
        <v>#N/A</v>
      </c>
      <c r="C422" s="56" t="e">
        <v>#N/A</v>
      </c>
    </row>
    <row r="423" spans="1:3" x14ac:dyDescent="0.2">
      <c r="A423" s="26">
        <f t="shared" si="3"/>
        <v>2028.06</v>
      </c>
      <c r="B423" s="55" t="e">
        <v>#N/A</v>
      </c>
      <c r="C423" s="56" t="e">
        <v>#N/A</v>
      </c>
    </row>
    <row r="424" spans="1:3" x14ac:dyDescent="0.2">
      <c r="A424" s="26">
        <f t="shared" si="3"/>
        <v>2028.07</v>
      </c>
      <c r="B424" s="55" t="e">
        <v>#N/A</v>
      </c>
      <c r="C424" s="56" t="e">
        <v>#N/A</v>
      </c>
    </row>
    <row r="425" spans="1:3" x14ac:dyDescent="0.2">
      <c r="A425" s="26">
        <f t="shared" si="3"/>
        <v>2028.08</v>
      </c>
      <c r="B425" s="55" t="e">
        <v>#N/A</v>
      </c>
      <c r="C425" s="56" t="e">
        <v>#N/A</v>
      </c>
    </row>
    <row r="426" spans="1:3" x14ac:dyDescent="0.2">
      <c r="A426" s="26">
        <f t="shared" si="3"/>
        <v>2028.09</v>
      </c>
      <c r="B426" s="55" t="e">
        <v>#N/A</v>
      </c>
      <c r="C426" s="56" t="e">
        <v>#N/A</v>
      </c>
    </row>
    <row r="427" spans="1:3" x14ac:dyDescent="0.2">
      <c r="A427" s="26">
        <f t="shared" si="3"/>
        <v>2028.1</v>
      </c>
      <c r="B427" s="55" t="e">
        <v>#N/A</v>
      </c>
      <c r="C427" s="56" t="e">
        <v>#N/A</v>
      </c>
    </row>
    <row r="428" spans="1:3" x14ac:dyDescent="0.2">
      <c r="A428" s="26">
        <f t="shared" si="3"/>
        <v>2028.11</v>
      </c>
      <c r="B428" s="55" t="e">
        <v>#N/A</v>
      </c>
      <c r="C428" s="56" t="e">
        <v>#N/A</v>
      </c>
    </row>
    <row r="429" spans="1:3" x14ac:dyDescent="0.2">
      <c r="A429" s="26">
        <f t="shared" si="3"/>
        <v>2028.12</v>
      </c>
      <c r="B429" s="55" t="e">
        <v>#N/A</v>
      </c>
      <c r="C429" s="56" t="e">
        <v>#N/A</v>
      </c>
    </row>
    <row r="430" spans="1:3" x14ac:dyDescent="0.2">
      <c r="A430" s="26">
        <f t="shared" si="3"/>
        <v>2029.01</v>
      </c>
      <c r="B430" s="55" t="e">
        <v>#N/A</v>
      </c>
      <c r="C430" s="56" t="e">
        <v>#N/A</v>
      </c>
    </row>
    <row r="431" spans="1:3" x14ac:dyDescent="0.2">
      <c r="A431" s="26">
        <f t="shared" si="3"/>
        <v>2029.02</v>
      </c>
      <c r="B431" s="55" t="e">
        <v>#N/A</v>
      </c>
      <c r="C431" s="56" t="e">
        <v>#N/A</v>
      </c>
    </row>
    <row r="432" spans="1:3" x14ac:dyDescent="0.2">
      <c r="A432" s="26">
        <f t="shared" si="3"/>
        <v>2029.03</v>
      </c>
      <c r="B432" s="55" t="e">
        <v>#N/A</v>
      </c>
      <c r="C432" s="56" t="e">
        <v>#N/A</v>
      </c>
    </row>
    <row r="433" spans="1:3" x14ac:dyDescent="0.2">
      <c r="A433" s="26">
        <f t="shared" si="3"/>
        <v>2029.04</v>
      </c>
      <c r="B433" s="55" t="e">
        <v>#N/A</v>
      </c>
      <c r="C433" s="56" t="e">
        <v>#N/A</v>
      </c>
    </row>
    <row r="434" spans="1:3" x14ac:dyDescent="0.2">
      <c r="A434" s="26">
        <f t="shared" ref="A434:A453" si="4">A422+1</f>
        <v>2029.05</v>
      </c>
      <c r="B434" s="55" t="e">
        <v>#N/A</v>
      </c>
      <c r="C434" s="56" t="e">
        <v>#N/A</v>
      </c>
    </row>
    <row r="435" spans="1:3" x14ac:dyDescent="0.2">
      <c r="A435" s="26">
        <f t="shared" si="4"/>
        <v>2029.06</v>
      </c>
      <c r="B435" s="55" t="e">
        <v>#N/A</v>
      </c>
      <c r="C435" s="56" t="e">
        <v>#N/A</v>
      </c>
    </row>
    <row r="436" spans="1:3" x14ac:dyDescent="0.2">
      <c r="A436" s="26">
        <f t="shared" si="4"/>
        <v>2029.07</v>
      </c>
      <c r="B436" s="55" t="e">
        <v>#N/A</v>
      </c>
      <c r="C436" s="56" t="e">
        <v>#N/A</v>
      </c>
    </row>
    <row r="437" spans="1:3" x14ac:dyDescent="0.2">
      <c r="A437" s="26">
        <f t="shared" si="4"/>
        <v>2029.08</v>
      </c>
      <c r="B437" s="55" t="e">
        <v>#N/A</v>
      </c>
      <c r="C437" s="56" t="e">
        <v>#N/A</v>
      </c>
    </row>
    <row r="438" spans="1:3" x14ac:dyDescent="0.2">
      <c r="A438" s="26">
        <f t="shared" si="4"/>
        <v>2029.09</v>
      </c>
      <c r="B438" s="55" t="e">
        <v>#N/A</v>
      </c>
      <c r="C438" s="56" t="e">
        <v>#N/A</v>
      </c>
    </row>
    <row r="439" spans="1:3" x14ac:dyDescent="0.2">
      <c r="A439" s="26">
        <f t="shared" si="4"/>
        <v>2029.1</v>
      </c>
      <c r="B439" s="55" t="e">
        <v>#N/A</v>
      </c>
      <c r="C439" s="56" t="e">
        <v>#N/A</v>
      </c>
    </row>
    <row r="440" spans="1:3" x14ac:dyDescent="0.2">
      <c r="A440" s="26">
        <f t="shared" si="4"/>
        <v>2029.11</v>
      </c>
      <c r="B440" s="55" t="e">
        <v>#N/A</v>
      </c>
      <c r="C440" s="56" t="e">
        <v>#N/A</v>
      </c>
    </row>
    <row r="441" spans="1:3" x14ac:dyDescent="0.2">
      <c r="A441" s="26">
        <f t="shared" si="4"/>
        <v>2029.12</v>
      </c>
      <c r="B441" s="55" t="e">
        <v>#N/A</v>
      </c>
      <c r="C441" s="56" t="e">
        <v>#N/A</v>
      </c>
    </row>
    <row r="442" spans="1:3" x14ac:dyDescent="0.2">
      <c r="A442" s="26">
        <f t="shared" si="4"/>
        <v>2030.01</v>
      </c>
      <c r="B442" s="55" t="e">
        <v>#N/A</v>
      </c>
      <c r="C442" s="56" t="e">
        <v>#N/A</v>
      </c>
    </row>
    <row r="443" spans="1:3" x14ac:dyDescent="0.2">
      <c r="A443" s="26">
        <f t="shared" si="4"/>
        <v>2030.02</v>
      </c>
      <c r="B443" s="55" t="e">
        <v>#N/A</v>
      </c>
      <c r="C443" s="56" t="e">
        <v>#N/A</v>
      </c>
    </row>
    <row r="444" spans="1:3" x14ac:dyDescent="0.2">
      <c r="A444" s="26">
        <f t="shared" si="4"/>
        <v>2030.03</v>
      </c>
      <c r="B444" s="55" t="e">
        <v>#N/A</v>
      </c>
      <c r="C444" s="56" t="e">
        <v>#N/A</v>
      </c>
    </row>
    <row r="445" spans="1:3" x14ac:dyDescent="0.2">
      <c r="A445" s="26">
        <f t="shared" si="4"/>
        <v>2030.04</v>
      </c>
      <c r="B445" s="55" t="e">
        <v>#N/A</v>
      </c>
      <c r="C445" s="56" t="e">
        <v>#N/A</v>
      </c>
    </row>
    <row r="446" spans="1:3" x14ac:dyDescent="0.2">
      <c r="A446" s="26">
        <f t="shared" si="4"/>
        <v>2030.05</v>
      </c>
      <c r="B446" s="55" t="e">
        <v>#N/A</v>
      </c>
      <c r="C446" s="56" t="e">
        <v>#N/A</v>
      </c>
    </row>
    <row r="447" spans="1:3" x14ac:dyDescent="0.2">
      <c r="A447" s="26">
        <f t="shared" si="4"/>
        <v>2030.06</v>
      </c>
      <c r="B447" s="55" t="e">
        <v>#N/A</v>
      </c>
      <c r="C447" s="56" t="e">
        <v>#N/A</v>
      </c>
    </row>
    <row r="448" spans="1:3" x14ac:dyDescent="0.2">
      <c r="A448" s="26">
        <f t="shared" si="4"/>
        <v>2030.07</v>
      </c>
      <c r="B448" s="55" t="e">
        <v>#N/A</v>
      </c>
      <c r="C448" s="56" t="e">
        <v>#N/A</v>
      </c>
    </row>
    <row r="449" spans="1:3" x14ac:dyDescent="0.2">
      <c r="A449" s="26">
        <f t="shared" si="4"/>
        <v>2030.08</v>
      </c>
      <c r="B449" s="55" t="e">
        <v>#N/A</v>
      </c>
      <c r="C449" s="56" t="e">
        <v>#N/A</v>
      </c>
    </row>
    <row r="450" spans="1:3" x14ac:dyDescent="0.2">
      <c r="A450" s="26">
        <f t="shared" si="4"/>
        <v>2030.09</v>
      </c>
      <c r="B450" s="55" t="e">
        <v>#N/A</v>
      </c>
      <c r="C450" s="56" t="e">
        <v>#N/A</v>
      </c>
    </row>
    <row r="451" spans="1:3" x14ac:dyDescent="0.2">
      <c r="A451" s="26">
        <f t="shared" si="4"/>
        <v>2030.1</v>
      </c>
      <c r="B451" s="55" t="e">
        <v>#N/A</v>
      </c>
      <c r="C451" s="56" t="e">
        <v>#N/A</v>
      </c>
    </row>
    <row r="452" spans="1:3" x14ac:dyDescent="0.2">
      <c r="A452" s="26">
        <f t="shared" si="4"/>
        <v>2030.11</v>
      </c>
      <c r="B452" s="55" t="e">
        <v>#N/A</v>
      </c>
      <c r="C452" s="56" t="e">
        <v>#N/A</v>
      </c>
    </row>
    <row r="453" spans="1:3" x14ac:dyDescent="0.2">
      <c r="A453" s="26">
        <f t="shared" si="4"/>
        <v>2030.12</v>
      </c>
      <c r="B453" s="55" t="e">
        <v>#N/A</v>
      </c>
      <c r="C453" s="56" t="e">
        <v>#N/A</v>
      </c>
    </row>
  </sheetData>
  <hyperlinks>
    <hyperlink ref="A1" location="INDICE!A13" display="VOLVER AL INDICE" xr:uid="{723D89ED-28C5-44DC-92A6-84CBC4093F21}"/>
  </hyperlinks>
  <printOptions gridLines="1"/>
  <pageMargins left="0.39370078740157483" right="0.39370078740157483" top="0.59055118110236227" bottom="0.59055118110236227" header="0" footer="0"/>
  <pageSetup paperSize="9" scale="50"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fitToPage="1"/>
  </sheetPr>
  <dimension ref="A1:G453"/>
  <sheetViews>
    <sheetView zoomScale="115" zoomScaleNormal="115" workbookViewId="0">
      <pane xSplit="1" ySplit="9" topLeftCell="B10" activePane="bottomRight" state="frozen"/>
      <selection activeCell="A5" sqref="A5"/>
      <selection pane="topRight" activeCell="A5" sqref="A5"/>
      <selection pane="bottomLeft" activeCell="A5" sqref="A5"/>
      <selection pane="bottomRight" activeCell="B10" sqref="B10"/>
    </sheetView>
  </sheetViews>
  <sheetFormatPr baseColWidth="10" defaultColWidth="11.42578125" defaultRowHeight="12.75" x14ac:dyDescent="0.2"/>
  <cols>
    <col min="1" max="1" width="10.5703125" style="6" customWidth="1"/>
    <col min="2" max="2" width="15.42578125" style="6" customWidth="1"/>
    <col min="3" max="3" width="15.42578125" style="25" customWidth="1"/>
    <col min="4" max="4" width="3.42578125" style="1" customWidth="1"/>
    <col min="5" max="5" width="11.42578125" style="1"/>
    <col min="6" max="6" width="12.42578125" style="1" bestFit="1" customWidth="1"/>
    <col min="7" max="16384" width="11.42578125" style="1"/>
  </cols>
  <sheetData>
    <row r="1" spans="1:6" s="3" customFormat="1" ht="22.5" x14ac:dyDescent="0.2">
      <c r="A1" s="71" t="s">
        <v>115</v>
      </c>
      <c r="B1" s="16"/>
      <c r="C1" s="23"/>
    </row>
    <row r="2" spans="1:6" s="3" customFormat="1" ht="41.25" customHeight="1" x14ac:dyDescent="0.2">
      <c r="A2" s="70" t="s">
        <v>7</v>
      </c>
      <c r="B2" s="15" t="s">
        <v>78</v>
      </c>
      <c r="C2" s="24"/>
    </row>
    <row r="3" spans="1:6" s="3" customFormat="1" ht="22.5" x14ac:dyDescent="0.2">
      <c r="A3" s="70" t="s">
        <v>13</v>
      </c>
      <c r="B3" s="15" t="s">
        <v>42</v>
      </c>
      <c r="C3" s="24"/>
    </row>
    <row r="4" spans="1:6" s="3" customFormat="1" x14ac:dyDescent="0.2">
      <c r="A4" s="86" t="s">
        <v>105</v>
      </c>
      <c r="B4" s="16"/>
      <c r="C4" s="23"/>
    </row>
    <row r="5" spans="1:6" s="3" customFormat="1" x14ac:dyDescent="0.2">
      <c r="A5" s="86" t="s">
        <v>106</v>
      </c>
      <c r="B5" s="13" t="s">
        <v>22</v>
      </c>
      <c r="C5" s="44" t="s">
        <v>34</v>
      </c>
    </row>
    <row r="6" spans="1:6" s="3" customFormat="1" x14ac:dyDescent="0.2">
      <c r="A6" s="87" t="s">
        <v>107</v>
      </c>
      <c r="B6" s="16"/>
      <c r="C6" s="45"/>
    </row>
    <row r="7" spans="1:6" s="3" customFormat="1" ht="22.5" x14ac:dyDescent="0.2">
      <c r="A7" s="71" t="s">
        <v>114</v>
      </c>
      <c r="B7" s="13" t="s">
        <v>43</v>
      </c>
      <c r="C7" s="44" t="s">
        <v>43</v>
      </c>
    </row>
    <row r="8" spans="1:6" s="3" customFormat="1" x14ac:dyDescent="0.2">
      <c r="A8" s="86" t="s">
        <v>108</v>
      </c>
      <c r="B8" s="93" t="s">
        <v>110</v>
      </c>
      <c r="C8" s="94" t="s">
        <v>110</v>
      </c>
    </row>
    <row r="9" spans="1:6" s="4" customFormat="1" ht="13.5" thickBot="1" x14ac:dyDescent="0.25">
      <c r="A9" s="111" t="s">
        <v>19</v>
      </c>
      <c r="B9" s="91" t="s">
        <v>65</v>
      </c>
      <c r="C9" s="92" t="s">
        <v>66</v>
      </c>
    </row>
    <row r="10" spans="1:6" s="4" customFormat="1" x14ac:dyDescent="0.2">
      <c r="A10" s="26">
        <v>1994.01</v>
      </c>
      <c r="B10" s="46"/>
      <c r="C10" s="90">
        <v>35.889570163786928</v>
      </c>
      <c r="E10" s="31"/>
      <c r="F10" s="31"/>
    </row>
    <row r="11" spans="1:6" s="4" customFormat="1" x14ac:dyDescent="0.2">
      <c r="A11" s="26">
        <v>1994.02</v>
      </c>
      <c r="B11" s="47"/>
      <c r="C11" s="56">
        <v>37.319696562511453</v>
      </c>
      <c r="E11" s="31"/>
      <c r="F11" s="31"/>
    </row>
    <row r="12" spans="1:6" s="4" customFormat="1" x14ac:dyDescent="0.2">
      <c r="A12" s="26">
        <v>1994.03</v>
      </c>
      <c r="B12" s="47"/>
      <c r="C12" s="56">
        <v>36.976778853806998</v>
      </c>
      <c r="E12" s="31"/>
      <c r="F12" s="31"/>
    </row>
    <row r="13" spans="1:6" s="4" customFormat="1" x14ac:dyDescent="0.2">
      <c r="A13" s="26">
        <v>1994.04</v>
      </c>
      <c r="B13" s="47"/>
      <c r="C13" s="56">
        <v>37.880883364556695</v>
      </c>
      <c r="E13" s="31"/>
      <c r="F13" s="31"/>
    </row>
    <row r="14" spans="1:6" s="4" customFormat="1" x14ac:dyDescent="0.2">
      <c r="A14" s="26">
        <v>1994.05</v>
      </c>
      <c r="B14" s="47"/>
      <c r="C14" s="56">
        <v>38.975588982803806</v>
      </c>
      <c r="E14" s="31"/>
      <c r="F14" s="31"/>
    </row>
    <row r="15" spans="1:6" s="4" customFormat="1" x14ac:dyDescent="0.2">
      <c r="A15" s="26">
        <v>1994.06</v>
      </c>
      <c r="B15" s="47"/>
      <c r="C15" s="56">
        <v>39.531145312000675</v>
      </c>
      <c r="E15" s="31"/>
      <c r="F15" s="31"/>
    </row>
    <row r="16" spans="1:6" s="4" customFormat="1" x14ac:dyDescent="0.2">
      <c r="A16" s="26">
        <v>1994.07</v>
      </c>
      <c r="B16" s="47"/>
      <c r="C16" s="56">
        <v>40.401013951302012</v>
      </c>
      <c r="E16" s="31"/>
      <c r="F16" s="31"/>
    </row>
    <row r="17" spans="1:6" s="4" customFormat="1" x14ac:dyDescent="0.2">
      <c r="A17" s="26">
        <v>1994.08</v>
      </c>
      <c r="B17" s="47"/>
      <c r="C17" s="56">
        <v>39.825331995922831</v>
      </c>
      <c r="E17" s="31"/>
      <c r="F17" s="31"/>
    </row>
    <row r="18" spans="1:6" s="4" customFormat="1" x14ac:dyDescent="0.2">
      <c r="A18" s="26">
        <v>1994.09</v>
      </c>
      <c r="B18" s="47"/>
      <c r="C18" s="56">
        <v>39.506527697944861</v>
      </c>
      <c r="E18" s="31"/>
      <c r="F18" s="31"/>
    </row>
    <row r="19" spans="1:6" s="4" customFormat="1" x14ac:dyDescent="0.2">
      <c r="A19" s="26">
        <v>1994.1</v>
      </c>
      <c r="B19" s="47"/>
      <c r="C19" s="56">
        <v>40.456295898895206</v>
      </c>
      <c r="E19" s="31"/>
      <c r="F19" s="31"/>
    </row>
    <row r="20" spans="1:6" s="4" customFormat="1" x14ac:dyDescent="0.2">
      <c r="A20" s="26">
        <v>1994.11</v>
      </c>
      <c r="B20" s="47"/>
      <c r="C20" s="56">
        <v>41.352249834948971</v>
      </c>
      <c r="E20" s="31"/>
      <c r="F20" s="31"/>
    </row>
    <row r="21" spans="1:6" s="4" customFormat="1" x14ac:dyDescent="0.2">
      <c r="A21" s="26">
        <v>1994.12</v>
      </c>
      <c r="B21" s="47"/>
      <c r="C21" s="56">
        <v>40.482123454432873</v>
      </c>
      <c r="E21" s="31"/>
      <c r="F21" s="31"/>
    </row>
    <row r="22" spans="1:6" x14ac:dyDescent="0.2">
      <c r="A22" s="26">
        <v>1995.01</v>
      </c>
      <c r="B22" s="47"/>
      <c r="C22" s="56">
        <v>37.867261877152906</v>
      </c>
      <c r="E22" s="32"/>
      <c r="F22" s="31"/>
    </row>
    <row r="23" spans="1:6" x14ac:dyDescent="0.2">
      <c r="A23" s="26">
        <v>1995.02</v>
      </c>
      <c r="B23" s="47"/>
      <c r="C23" s="56">
        <v>36.067430491800401</v>
      </c>
      <c r="E23" s="32"/>
      <c r="F23" s="31"/>
    </row>
    <row r="24" spans="1:6" x14ac:dyDescent="0.2">
      <c r="A24" s="26">
        <v>1995.03</v>
      </c>
      <c r="B24" s="47"/>
      <c r="C24" s="56">
        <v>33.767917952112988</v>
      </c>
      <c r="E24" s="32"/>
      <c r="F24" s="31"/>
    </row>
    <row r="25" spans="1:6" x14ac:dyDescent="0.2">
      <c r="A25" s="26">
        <v>1995.04</v>
      </c>
      <c r="B25" s="47"/>
      <c r="C25" s="56">
        <v>31.7009759184192</v>
      </c>
      <c r="E25" s="32"/>
      <c r="F25" s="31"/>
    </row>
    <row r="26" spans="1:6" x14ac:dyDescent="0.2">
      <c r="A26" s="26">
        <v>1995.05</v>
      </c>
      <c r="B26" s="47"/>
      <c r="C26" s="56">
        <v>31.780983353048338</v>
      </c>
      <c r="E26" s="32"/>
      <c r="F26" s="31"/>
    </row>
    <row r="27" spans="1:6" x14ac:dyDescent="0.2">
      <c r="A27" s="26">
        <v>1995.06</v>
      </c>
      <c r="B27" s="47"/>
      <c r="C27" s="56">
        <v>30.489452443809522</v>
      </c>
      <c r="E27" s="32"/>
      <c r="F27" s="31"/>
    </row>
    <row r="28" spans="1:6" x14ac:dyDescent="0.2">
      <c r="A28" s="26">
        <v>1995.07</v>
      </c>
      <c r="B28" s="47"/>
      <c r="C28" s="56">
        <v>28.268953038356866</v>
      </c>
      <c r="E28" s="32"/>
      <c r="F28" s="31"/>
    </row>
    <row r="29" spans="1:6" x14ac:dyDescent="0.2">
      <c r="A29" s="26">
        <v>1995.08</v>
      </c>
      <c r="B29" s="47"/>
      <c r="C29" s="56">
        <v>27.881957681240102</v>
      </c>
      <c r="E29" s="32"/>
      <c r="F29" s="31"/>
    </row>
    <row r="30" spans="1:6" x14ac:dyDescent="0.2">
      <c r="A30" s="26">
        <v>1995.09</v>
      </c>
      <c r="B30" s="47"/>
      <c r="C30" s="56">
        <v>27.846729398292819</v>
      </c>
      <c r="E30" s="32"/>
      <c r="F30" s="31"/>
    </row>
    <row r="31" spans="1:6" x14ac:dyDescent="0.2">
      <c r="A31" s="26">
        <v>1995.1</v>
      </c>
      <c r="B31" s="47"/>
      <c r="C31" s="56">
        <v>27.182373694576455</v>
      </c>
      <c r="E31" s="32"/>
      <c r="F31" s="31"/>
    </row>
    <row r="32" spans="1:6" x14ac:dyDescent="0.2">
      <c r="A32" s="26">
        <v>1995.11</v>
      </c>
      <c r="B32" s="47"/>
      <c r="C32" s="56">
        <v>26.43725465383293</v>
      </c>
      <c r="E32" s="32"/>
      <c r="F32" s="31"/>
    </row>
    <row r="33" spans="1:6" x14ac:dyDescent="0.2">
      <c r="A33" s="26">
        <v>1995.12</v>
      </c>
      <c r="B33" s="47"/>
      <c r="C33" s="56">
        <v>26.960840072354248</v>
      </c>
      <c r="E33" s="32"/>
      <c r="F33" s="31"/>
    </row>
    <row r="34" spans="1:6" x14ac:dyDescent="0.2">
      <c r="A34" s="26">
        <v>1996.01</v>
      </c>
      <c r="B34" s="47"/>
      <c r="C34" s="56">
        <v>28.393620334507251</v>
      </c>
      <c r="E34" s="32"/>
      <c r="F34" s="31"/>
    </row>
    <row r="35" spans="1:6" x14ac:dyDescent="0.2">
      <c r="A35" s="26">
        <v>1996.02</v>
      </c>
      <c r="B35" s="47"/>
      <c r="C35" s="56">
        <v>29.405490416389938</v>
      </c>
      <c r="E35" s="32"/>
      <c r="F35" s="31"/>
    </row>
    <row r="36" spans="1:6" x14ac:dyDescent="0.2">
      <c r="A36" s="26">
        <v>1996.03</v>
      </c>
      <c r="B36" s="47"/>
      <c r="C36" s="56">
        <v>29.877558861179896</v>
      </c>
      <c r="E36" s="32"/>
      <c r="F36" s="31"/>
    </row>
    <row r="37" spans="1:6" x14ac:dyDescent="0.2">
      <c r="A37" s="26">
        <v>1996.04</v>
      </c>
      <c r="B37" s="47"/>
      <c r="C37" s="56">
        <v>29.381320164740863</v>
      </c>
      <c r="E37" s="32"/>
      <c r="F37" s="31"/>
    </row>
    <row r="38" spans="1:6" x14ac:dyDescent="0.2">
      <c r="A38" s="26">
        <v>1996.05</v>
      </c>
      <c r="B38" s="47"/>
      <c r="C38" s="56">
        <v>30.72816110041294</v>
      </c>
      <c r="E38" s="32"/>
      <c r="F38" s="31"/>
    </row>
    <row r="39" spans="1:6" x14ac:dyDescent="0.2">
      <c r="A39" s="26">
        <v>1996.06</v>
      </c>
      <c r="B39" s="47"/>
      <c r="C39" s="56">
        <v>33.391572489811089</v>
      </c>
      <c r="E39" s="32"/>
      <c r="F39" s="31"/>
    </row>
    <row r="40" spans="1:6" x14ac:dyDescent="0.2">
      <c r="A40" s="26">
        <v>1996.07</v>
      </c>
      <c r="B40" s="47"/>
      <c r="C40" s="56">
        <v>32.744953483871932</v>
      </c>
      <c r="E40" s="32"/>
      <c r="F40" s="31"/>
    </row>
    <row r="41" spans="1:6" x14ac:dyDescent="0.2">
      <c r="A41" s="26">
        <v>1996.08</v>
      </c>
      <c r="B41" s="47"/>
      <c r="C41" s="56">
        <v>31.3403424305729</v>
      </c>
      <c r="E41" s="32"/>
      <c r="F41" s="31"/>
    </row>
    <row r="42" spans="1:6" x14ac:dyDescent="0.2">
      <c r="A42" s="26">
        <v>1996.09</v>
      </c>
      <c r="B42" s="47"/>
      <c r="C42" s="56">
        <v>32.505694502139882</v>
      </c>
      <c r="E42" s="32"/>
      <c r="F42" s="31"/>
    </row>
    <row r="43" spans="1:6" x14ac:dyDescent="0.2">
      <c r="A43" s="26">
        <v>1996.1</v>
      </c>
      <c r="B43" s="47"/>
      <c r="C43" s="56">
        <v>34.273369798634796</v>
      </c>
      <c r="E43" s="32"/>
      <c r="F43" s="31"/>
    </row>
    <row r="44" spans="1:6" x14ac:dyDescent="0.2">
      <c r="A44" s="26">
        <v>1996.11</v>
      </c>
      <c r="B44" s="47"/>
      <c r="C44" s="56">
        <v>34.751493392543388</v>
      </c>
      <c r="E44" s="32"/>
      <c r="F44" s="31"/>
    </row>
    <row r="45" spans="1:6" x14ac:dyDescent="0.2">
      <c r="A45" s="26">
        <v>1996.12</v>
      </c>
      <c r="B45" s="47"/>
      <c r="C45" s="56">
        <v>34.895877545661541</v>
      </c>
      <c r="E45" s="32"/>
      <c r="F45" s="31"/>
    </row>
    <row r="46" spans="1:6" x14ac:dyDescent="0.2">
      <c r="A46" s="26">
        <v>1997.01</v>
      </c>
      <c r="B46" s="47"/>
      <c r="C46" s="56">
        <v>35.494444117686136</v>
      </c>
      <c r="E46" s="32"/>
      <c r="F46" s="31"/>
    </row>
    <row r="47" spans="1:6" x14ac:dyDescent="0.2">
      <c r="A47" s="26">
        <v>1997.02</v>
      </c>
      <c r="B47" s="47"/>
      <c r="C47" s="56">
        <v>36.860111116616338</v>
      </c>
      <c r="E47" s="32"/>
      <c r="F47" s="31"/>
    </row>
    <row r="48" spans="1:6" x14ac:dyDescent="0.2">
      <c r="A48" s="26">
        <v>1997.03</v>
      </c>
      <c r="B48" s="47"/>
      <c r="C48" s="56">
        <v>38.544542217574978</v>
      </c>
      <c r="E48" s="32"/>
      <c r="F48" s="31"/>
    </row>
    <row r="49" spans="1:6" x14ac:dyDescent="0.2">
      <c r="A49" s="26">
        <v>1997.04</v>
      </c>
      <c r="B49" s="47"/>
      <c r="C49" s="56">
        <v>39.561899244270137</v>
      </c>
      <c r="E49" s="32"/>
      <c r="F49" s="31"/>
    </row>
    <row r="50" spans="1:6" x14ac:dyDescent="0.2">
      <c r="A50" s="26">
        <v>1997.05</v>
      </c>
      <c r="B50" s="47"/>
      <c r="C50" s="56">
        <v>40.552639407901019</v>
      </c>
      <c r="E50" s="32"/>
      <c r="F50" s="31"/>
    </row>
    <row r="51" spans="1:6" x14ac:dyDescent="0.2">
      <c r="A51" s="26">
        <v>1997.06</v>
      </c>
      <c r="B51" s="47"/>
      <c r="C51" s="56">
        <v>42.103390775443323</v>
      </c>
      <c r="E51" s="32"/>
      <c r="F51" s="31"/>
    </row>
    <row r="52" spans="1:6" x14ac:dyDescent="0.2">
      <c r="A52" s="26">
        <v>1997.07</v>
      </c>
      <c r="B52" s="47"/>
      <c r="C52" s="56">
        <v>43.608305816856102</v>
      </c>
      <c r="E52" s="32"/>
      <c r="F52" s="31"/>
    </row>
    <row r="53" spans="1:6" x14ac:dyDescent="0.2">
      <c r="A53" s="26">
        <v>1997.08</v>
      </c>
      <c r="B53" s="47"/>
      <c r="C53" s="56">
        <v>45.045301144255411</v>
      </c>
      <c r="E53" s="32"/>
      <c r="F53" s="31"/>
    </row>
    <row r="54" spans="1:6" x14ac:dyDescent="0.2">
      <c r="A54" s="26">
        <v>1997.09</v>
      </c>
      <c r="B54" s="47"/>
      <c r="C54" s="56">
        <v>46.919333924160384</v>
      </c>
      <c r="E54" s="32"/>
      <c r="F54" s="31"/>
    </row>
    <row r="55" spans="1:6" x14ac:dyDescent="0.2">
      <c r="A55" s="26">
        <v>1997.1</v>
      </c>
      <c r="B55" s="47"/>
      <c r="C55" s="56">
        <v>47.861812692257146</v>
      </c>
      <c r="E55" s="32"/>
      <c r="F55" s="31"/>
    </row>
    <row r="56" spans="1:6" x14ac:dyDescent="0.2">
      <c r="A56" s="26">
        <v>1997.11</v>
      </c>
      <c r="B56" s="47"/>
      <c r="C56" s="56">
        <v>47.437216938630215</v>
      </c>
      <c r="E56" s="32"/>
      <c r="F56" s="31"/>
    </row>
    <row r="57" spans="1:6" x14ac:dyDescent="0.2">
      <c r="A57" s="26">
        <v>1997.12</v>
      </c>
      <c r="B57" s="47"/>
      <c r="C57" s="56">
        <v>47.624309406810895</v>
      </c>
      <c r="E57" s="32"/>
      <c r="F57" s="31"/>
    </row>
    <row r="58" spans="1:6" x14ac:dyDescent="0.2">
      <c r="A58" s="26">
        <v>1998.01</v>
      </c>
      <c r="B58" s="47"/>
      <c r="C58" s="56">
        <v>48.710323962171827</v>
      </c>
      <c r="E58" s="32"/>
      <c r="F58" s="31"/>
    </row>
    <row r="59" spans="1:6" x14ac:dyDescent="0.2">
      <c r="A59" s="26">
        <v>1998.02</v>
      </c>
      <c r="B59" s="47"/>
      <c r="C59" s="56">
        <v>48.633654013045756</v>
      </c>
      <c r="E59" s="32"/>
      <c r="F59" s="31"/>
    </row>
    <row r="60" spans="1:6" x14ac:dyDescent="0.2">
      <c r="A60" s="26">
        <v>1998.03</v>
      </c>
      <c r="B60" s="47"/>
      <c r="C60" s="56">
        <v>47.50719745309916</v>
      </c>
      <c r="E60" s="32"/>
      <c r="F60" s="31"/>
    </row>
    <row r="61" spans="1:6" x14ac:dyDescent="0.2">
      <c r="A61" s="26">
        <v>1998.04</v>
      </c>
      <c r="B61" s="47"/>
      <c r="C61" s="56">
        <v>48.185682782838477</v>
      </c>
      <c r="E61" s="32"/>
      <c r="F61" s="31"/>
    </row>
    <row r="62" spans="1:6" x14ac:dyDescent="0.2">
      <c r="A62" s="26">
        <v>1998.05</v>
      </c>
      <c r="B62" s="47"/>
      <c r="C62" s="56">
        <v>48.485146519726882</v>
      </c>
      <c r="E62" s="32"/>
      <c r="F62" s="31"/>
    </row>
    <row r="63" spans="1:6" x14ac:dyDescent="0.2">
      <c r="A63" s="26">
        <v>1998.06</v>
      </c>
      <c r="B63" s="47"/>
      <c r="C63" s="56">
        <v>47.156370838394146</v>
      </c>
      <c r="E63" s="32"/>
      <c r="F63" s="31"/>
    </row>
    <row r="64" spans="1:6" x14ac:dyDescent="0.2">
      <c r="A64" s="26">
        <v>1998.07</v>
      </c>
      <c r="B64" s="47"/>
      <c r="C64" s="56">
        <v>46.988036667611404</v>
      </c>
      <c r="E64" s="32"/>
      <c r="F64" s="31"/>
    </row>
    <row r="65" spans="1:6" x14ac:dyDescent="0.2">
      <c r="A65" s="26">
        <v>1998.08</v>
      </c>
      <c r="B65" s="47"/>
      <c r="C65" s="56">
        <v>47.528831716021237</v>
      </c>
      <c r="E65" s="32"/>
      <c r="F65" s="31"/>
    </row>
    <row r="66" spans="1:6" x14ac:dyDescent="0.2">
      <c r="A66" s="26">
        <v>1998.09</v>
      </c>
      <c r="B66" s="47"/>
      <c r="C66" s="56">
        <v>47.60753887380146</v>
      </c>
      <c r="E66" s="32"/>
      <c r="F66" s="31"/>
    </row>
    <row r="67" spans="1:6" x14ac:dyDescent="0.2">
      <c r="A67" s="26">
        <v>1998.1</v>
      </c>
      <c r="B67" s="47"/>
      <c r="C67" s="56">
        <v>46.482303819864754</v>
      </c>
      <c r="E67" s="32"/>
      <c r="F67" s="31"/>
    </row>
    <row r="68" spans="1:6" x14ac:dyDescent="0.2">
      <c r="A68" s="26">
        <v>1998.11</v>
      </c>
      <c r="B68" s="47"/>
      <c r="C68" s="56">
        <v>45.445077807137025</v>
      </c>
      <c r="E68" s="32"/>
      <c r="F68" s="31"/>
    </row>
    <row r="69" spans="1:6" x14ac:dyDescent="0.2">
      <c r="A69" s="26">
        <v>1998.12</v>
      </c>
      <c r="B69" s="47"/>
      <c r="C69" s="56">
        <v>45.094375826243841</v>
      </c>
      <c r="E69" s="32"/>
      <c r="F69" s="31"/>
    </row>
    <row r="70" spans="1:6" x14ac:dyDescent="0.2">
      <c r="A70" s="26">
        <v>1999.01</v>
      </c>
      <c r="B70" s="47"/>
      <c r="C70" s="56">
        <v>43.637240095961864</v>
      </c>
      <c r="E70" s="32"/>
      <c r="F70" s="31"/>
    </row>
    <row r="71" spans="1:6" x14ac:dyDescent="0.2">
      <c r="A71" s="26">
        <v>1999.02</v>
      </c>
      <c r="B71" s="47"/>
      <c r="C71" s="56">
        <v>42.991930140602399</v>
      </c>
      <c r="E71" s="32"/>
      <c r="F71" s="31"/>
    </row>
    <row r="72" spans="1:6" x14ac:dyDescent="0.2">
      <c r="A72" s="26">
        <v>1999.03</v>
      </c>
      <c r="B72" s="47"/>
      <c r="C72" s="56">
        <v>44.436130991897485</v>
      </c>
      <c r="E72" s="32"/>
      <c r="F72" s="31"/>
    </row>
    <row r="73" spans="1:6" x14ac:dyDescent="0.2">
      <c r="A73" s="26">
        <v>1999.04</v>
      </c>
      <c r="B73" s="47"/>
      <c r="C73" s="56">
        <v>46.191621709603062</v>
      </c>
      <c r="E73" s="32"/>
      <c r="F73" s="31"/>
    </row>
    <row r="74" spans="1:6" x14ac:dyDescent="0.2">
      <c r="A74" s="26">
        <v>1999.05</v>
      </c>
      <c r="B74" s="47"/>
      <c r="C74" s="56">
        <v>45.205225031773658</v>
      </c>
      <c r="E74" s="32"/>
      <c r="F74" s="31"/>
    </row>
    <row r="75" spans="1:6" x14ac:dyDescent="0.2">
      <c r="A75" s="26">
        <v>1999.06</v>
      </c>
      <c r="B75" s="47"/>
      <c r="C75" s="56">
        <v>43.550806261687228</v>
      </c>
      <c r="E75" s="32"/>
      <c r="F75" s="31"/>
    </row>
    <row r="76" spans="1:6" x14ac:dyDescent="0.2">
      <c r="A76" s="26">
        <v>1999.07</v>
      </c>
      <c r="B76" s="47"/>
      <c r="C76" s="56">
        <v>44.327079828626736</v>
      </c>
      <c r="E76" s="32"/>
      <c r="F76" s="31"/>
    </row>
    <row r="77" spans="1:6" x14ac:dyDescent="0.2">
      <c r="A77" s="26">
        <v>1999.08</v>
      </c>
      <c r="B77" s="47"/>
      <c r="C77" s="56">
        <v>44.359670893815519</v>
      </c>
      <c r="E77" s="32"/>
      <c r="F77" s="31"/>
    </row>
    <row r="78" spans="1:6" x14ac:dyDescent="0.2">
      <c r="A78" s="26">
        <v>1999.09</v>
      </c>
      <c r="B78" s="47"/>
      <c r="C78" s="56">
        <v>42.912461655976834</v>
      </c>
      <c r="E78" s="32"/>
      <c r="F78" s="31"/>
    </row>
    <row r="79" spans="1:6" x14ac:dyDescent="0.2">
      <c r="A79" s="26">
        <v>1999.1</v>
      </c>
      <c r="B79" s="47"/>
      <c r="C79" s="56">
        <v>42.386942151491269</v>
      </c>
      <c r="E79" s="32"/>
      <c r="F79" s="31"/>
    </row>
    <row r="80" spans="1:6" x14ac:dyDescent="0.2">
      <c r="A80" s="26">
        <v>1999.11</v>
      </c>
      <c r="B80" s="47"/>
      <c r="C80" s="56">
        <v>42.194130459619466</v>
      </c>
      <c r="E80" s="32"/>
      <c r="F80" s="31"/>
    </row>
    <row r="81" spans="1:6" x14ac:dyDescent="0.2">
      <c r="A81" s="26">
        <v>1999.12</v>
      </c>
      <c r="B81" s="47"/>
      <c r="C81" s="56">
        <v>41.42011427525695</v>
      </c>
      <c r="E81" s="32"/>
      <c r="F81" s="31"/>
    </row>
    <row r="82" spans="1:6" x14ac:dyDescent="0.2">
      <c r="A82" s="26">
        <v>2000.01</v>
      </c>
      <c r="B82" s="54">
        <v>40.585000000000001</v>
      </c>
      <c r="C82" s="56">
        <v>40.83814319840144</v>
      </c>
      <c r="E82" s="32"/>
      <c r="F82" s="31"/>
    </row>
    <row r="83" spans="1:6" x14ac:dyDescent="0.2">
      <c r="A83" s="26">
        <v>2000.02</v>
      </c>
      <c r="B83" s="55">
        <v>34.963999999999999</v>
      </c>
      <c r="C83" s="56">
        <v>39.000185574318479</v>
      </c>
      <c r="E83" s="32"/>
      <c r="F83" s="31"/>
    </row>
    <row r="84" spans="1:6" x14ac:dyDescent="0.2">
      <c r="A84" s="26">
        <v>2000.03</v>
      </c>
      <c r="B84" s="55">
        <v>43.151000000000003</v>
      </c>
      <c r="C84" s="56">
        <v>38.723768674840848</v>
      </c>
      <c r="E84" s="32"/>
      <c r="F84" s="31"/>
    </row>
    <row r="85" spans="1:6" x14ac:dyDescent="0.2">
      <c r="A85" s="26">
        <v>2000.04</v>
      </c>
      <c r="B85" s="55">
        <v>34.179000000000002</v>
      </c>
      <c r="C85" s="56">
        <v>37.746015059015129</v>
      </c>
      <c r="E85" s="32"/>
      <c r="F85" s="31"/>
    </row>
    <row r="86" spans="1:6" x14ac:dyDescent="0.2">
      <c r="A86" s="26">
        <v>2000.05</v>
      </c>
      <c r="B86" s="55">
        <v>31.178000000000001</v>
      </c>
      <c r="C86" s="56">
        <v>34.510283602896742</v>
      </c>
      <c r="E86" s="32"/>
      <c r="F86" s="31"/>
    </row>
    <row r="87" spans="1:6" x14ac:dyDescent="0.2">
      <c r="A87" s="26">
        <v>2000.06</v>
      </c>
      <c r="B87" s="55">
        <v>32.951999999999998</v>
      </c>
      <c r="C87" s="56">
        <v>33.093270524411537</v>
      </c>
      <c r="E87" s="32"/>
      <c r="F87" s="31"/>
    </row>
    <row r="88" spans="1:6" x14ac:dyDescent="0.2">
      <c r="A88" s="26">
        <v>2000.07</v>
      </c>
      <c r="B88" s="55">
        <v>34.814</v>
      </c>
      <c r="C88" s="56">
        <v>34.406017062267111</v>
      </c>
      <c r="E88" s="32"/>
      <c r="F88" s="31"/>
    </row>
    <row r="89" spans="1:6" x14ac:dyDescent="0.2">
      <c r="A89" s="26">
        <v>2000.08</v>
      </c>
      <c r="B89" s="55">
        <v>41.097999999999999</v>
      </c>
      <c r="C89" s="56">
        <v>35.973665230741112</v>
      </c>
      <c r="E89" s="32"/>
      <c r="F89" s="31"/>
    </row>
    <row r="90" spans="1:6" x14ac:dyDescent="0.2">
      <c r="A90" s="26">
        <v>2000.09</v>
      </c>
      <c r="B90" s="55">
        <v>44.591999999999999</v>
      </c>
      <c r="C90" s="56">
        <v>35.171203777891918</v>
      </c>
      <c r="E90" s="32"/>
      <c r="F90" s="31"/>
    </row>
    <row r="91" spans="1:6" x14ac:dyDescent="0.2">
      <c r="A91" s="26">
        <v>2000.1</v>
      </c>
      <c r="B91" s="55">
        <v>32.796999999999997</v>
      </c>
      <c r="C91" s="56">
        <v>33.429328808268863</v>
      </c>
      <c r="E91" s="32"/>
      <c r="F91" s="31"/>
    </row>
    <row r="92" spans="1:6" x14ac:dyDescent="0.2">
      <c r="A92" s="26">
        <v>2000.11</v>
      </c>
      <c r="B92" s="55">
        <v>35.82</v>
      </c>
      <c r="C92" s="56">
        <v>34.422260466836484</v>
      </c>
      <c r="E92" s="32"/>
      <c r="F92" s="31"/>
    </row>
    <row r="93" spans="1:6" x14ac:dyDescent="0.2">
      <c r="A93" s="26">
        <v>2000.12</v>
      </c>
      <c r="B93" s="55">
        <v>33.640999999999998</v>
      </c>
      <c r="C93" s="56">
        <v>36.917703011964463</v>
      </c>
      <c r="E93" s="32"/>
      <c r="F93" s="31"/>
    </row>
    <row r="94" spans="1:6" x14ac:dyDescent="0.2">
      <c r="A94" s="26">
        <v>2001.01</v>
      </c>
      <c r="B94" s="55">
        <v>40.055999999999997</v>
      </c>
      <c r="C94" s="56">
        <v>39.780841425419936</v>
      </c>
      <c r="E94" s="32"/>
      <c r="F94" s="31"/>
    </row>
    <row r="95" spans="1:6" x14ac:dyDescent="0.2">
      <c r="A95" s="26">
        <v>2001.02</v>
      </c>
      <c r="B95" s="55">
        <v>39.308</v>
      </c>
      <c r="C95" s="56">
        <v>41.102379239574901</v>
      </c>
      <c r="E95" s="32"/>
      <c r="F95" s="31"/>
    </row>
    <row r="96" spans="1:6" x14ac:dyDescent="0.2">
      <c r="A96" s="26">
        <v>2001.03</v>
      </c>
      <c r="B96" s="55">
        <v>35.442</v>
      </c>
      <c r="C96" s="56">
        <v>39.668319732802011</v>
      </c>
      <c r="E96" s="32"/>
      <c r="F96" s="31"/>
    </row>
    <row r="97" spans="1:6" x14ac:dyDescent="0.2">
      <c r="A97" s="26">
        <v>2001.04</v>
      </c>
      <c r="B97" s="55">
        <v>32.878999999999998</v>
      </c>
      <c r="C97" s="56">
        <v>38.877304857571744</v>
      </c>
      <c r="E97" s="32"/>
      <c r="F97" s="31"/>
    </row>
    <row r="98" spans="1:6" x14ac:dyDescent="0.2">
      <c r="A98" s="26">
        <v>2001.05</v>
      </c>
      <c r="B98" s="55">
        <v>36.328000000000003</v>
      </c>
      <c r="C98" s="56">
        <v>37.842305024593593</v>
      </c>
      <c r="E98" s="32"/>
      <c r="F98" s="31"/>
    </row>
    <row r="99" spans="1:6" x14ac:dyDescent="0.2">
      <c r="A99" s="26">
        <v>2001.06</v>
      </c>
      <c r="B99" s="55">
        <v>34.213999999999999</v>
      </c>
      <c r="C99" s="56">
        <v>36.28202304838819</v>
      </c>
      <c r="E99" s="32"/>
      <c r="F99" s="31"/>
    </row>
    <row r="100" spans="1:6" x14ac:dyDescent="0.2">
      <c r="A100" s="26">
        <v>2001.07</v>
      </c>
      <c r="B100" s="55">
        <v>40.424999999999997</v>
      </c>
      <c r="C100" s="56">
        <v>35.202534303096812</v>
      </c>
      <c r="E100" s="32"/>
      <c r="F100" s="31"/>
    </row>
    <row r="101" spans="1:6" x14ac:dyDescent="0.2">
      <c r="A101" s="26">
        <v>2001.08</v>
      </c>
      <c r="B101" s="55">
        <v>35.892000000000003</v>
      </c>
      <c r="C101" s="56">
        <v>33.035924805891213</v>
      </c>
      <c r="E101" s="32"/>
      <c r="F101" s="31"/>
    </row>
    <row r="102" spans="1:6" x14ac:dyDescent="0.2">
      <c r="A102" s="26">
        <v>2001.09</v>
      </c>
      <c r="B102" s="55">
        <v>35.47</v>
      </c>
      <c r="C102" s="56">
        <v>31.065552303644075</v>
      </c>
      <c r="E102" s="32"/>
      <c r="F102" s="31"/>
    </row>
    <row r="103" spans="1:6" x14ac:dyDescent="0.2">
      <c r="A103" s="26">
        <v>2001.1</v>
      </c>
      <c r="B103" s="55">
        <v>31.462</v>
      </c>
      <c r="C103" s="56">
        <v>29.93067103693479</v>
      </c>
      <c r="E103" s="32"/>
      <c r="F103" s="31"/>
    </row>
    <row r="104" spans="1:6" x14ac:dyDescent="0.2">
      <c r="A104" s="26">
        <v>2001.11</v>
      </c>
      <c r="B104" s="55">
        <v>35.718000000000004</v>
      </c>
      <c r="C104" s="56">
        <v>28.661634739081357</v>
      </c>
      <c r="E104" s="32"/>
      <c r="F104" s="31"/>
    </row>
    <row r="105" spans="1:6" x14ac:dyDescent="0.2">
      <c r="A105" s="26">
        <v>2001.12</v>
      </c>
      <c r="B105" s="55">
        <v>23.364000000000001</v>
      </c>
      <c r="C105" s="56">
        <v>26.274400198566525</v>
      </c>
      <c r="E105" s="32"/>
      <c r="F105" s="31"/>
    </row>
    <row r="106" spans="1:6" x14ac:dyDescent="0.2">
      <c r="A106" s="26">
        <v>2002.01</v>
      </c>
      <c r="B106" s="55">
        <v>21.364000000000001</v>
      </c>
      <c r="C106" s="56">
        <v>23.458111753634071</v>
      </c>
      <c r="E106" s="32"/>
      <c r="F106" s="31"/>
    </row>
    <row r="107" spans="1:6" x14ac:dyDescent="0.2">
      <c r="A107" s="26">
        <v>2002.02</v>
      </c>
      <c r="B107" s="55">
        <v>20.009</v>
      </c>
      <c r="C107" s="56">
        <v>22.10595083299998</v>
      </c>
      <c r="E107" s="32"/>
      <c r="F107" s="31"/>
    </row>
    <row r="108" spans="1:6" x14ac:dyDescent="0.2">
      <c r="A108" s="26">
        <v>2002.03</v>
      </c>
      <c r="B108" s="55">
        <v>19.719000000000001</v>
      </c>
      <c r="C108" s="56">
        <v>21.418188668989579</v>
      </c>
      <c r="E108" s="32"/>
      <c r="F108" s="31"/>
    </row>
    <row r="109" spans="1:6" x14ac:dyDescent="0.2">
      <c r="A109" s="26">
        <v>2002.04</v>
      </c>
      <c r="B109" s="55">
        <v>18.276</v>
      </c>
      <c r="C109" s="56">
        <v>21.732159230216386</v>
      </c>
      <c r="E109" s="32"/>
      <c r="F109" s="31"/>
    </row>
    <row r="110" spans="1:6" x14ac:dyDescent="0.2">
      <c r="A110" s="26">
        <v>2002.05</v>
      </c>
      <c r="B110" s="55">
        <v>23.641999999999999</v>
      </c>
      <c r="C110" s="56">
        <v>24.100813889435781</v>
      </c>
      <c r="E110" s="32"/>
      <c r="F110" s="31"/>
    </row>
    <row r="111" spans="1:6" x14ac:dyDescent="0.2">
      <c r="A111" s="26">
        <v>2002.06</v>
      </c>
      <c r="B111" s="55">
        <v>24.402999999999999</v>
      </c>
      <c r="C111" s="56">
        <v>25.524923648880055</v>
      </c>
      <c r="E111" s="32"/>
      <c r="F111" s="31"/>
    </row>
    <row r="112" spans="1:6" x14ac:dyDescent="0.2">
      <c r="A112" s="26">
        <v>2002.07</v>
      </c>
      <c r="B112" s="55">
        <v>26.058</v>
      </c>
      <c r="C112" s="56">
        <v>25.545478883233997</v>
      </c>
      <c r="E112" s="32"/>
      <c r="F112" s="31"/>
    </row>
    <row r="113" spans="1:6" x14ac:dyDescent="0.2">
      <c r="A113" s="26">
        <v>2002.08</v>
      </c>
      <c r="B113" s="55">
        <v>30.805</v>
      </c>
      <c r="C113" s="56">
        <v>26.623030841624015</v>
      </c>
      <c r="E113" s="32"/>
      <c r="F113" s="31"/>
    </row>
    <row r="114" spans="1:6" x14ac:dyDescent="0.2">
      <c r="A114" s="26">
        <v>2002.09</v>
      </c>
      <c r="B114" s="55">
        <v>31.593</v>
      </c>
      <c r="C114" s="56">
        <v>27.766853183664288</v>
      </c>
      <c r="E114" s="32"/>
      <c r="F114" s="31"/>
    </row>
    <row r="115" spans="1:6" x14ac:dyDescent="0.2">
      <c r="A115" s="26">
        <v>2002.1</v>
      </c>
      <c r="B115" s="55">
        <v>30.652999999999999</v>
      </c>
      <c r="C115" s="56">
        <v>28.283670388961351</v>
      </c>
      <c r="E115" s="32"/>
      <c r="F115" s="31"/>
    </row>
    <row r="116" spans="1:6" x14ac:dyDescent="0.2">
      <c r="A116" s="26">
        <v>2002.11</v>
      </c>
      <c r="B116" s="55">
        <v>30.366</v>
      </c>
      <c r="C116" s="56">
        <v>28.753384160419365</v>
      </c>
      <c r="E116" s="32"/>
      <c r="F116" s="31"/>
    </row>
    <row r="117" spans="1:6" x14ac:dyDescent="0.2">
      <c r="A117" s="26">
        <v>2002.12</v>
      </c>
      <c r="B117" s="55">
        <v>27.794</v>
      </c>
      <c r="C117" s="56">
        <v>30.283789246990775</v>
      </c>
      <c r="E117" s="32"/>
      <c r="F117" s="31"/>
    </row>
    <row r="118" spans="1:6" x14ac:dyDescent="0.2">
      <c r="A118" s="26">
        <v>2003.01</v>
      </c>
      <c r="B118" s="55">
        <v>34.027999999999999</v>
      </c>
      <c r="C118" s="56">
        <v>32.198204529591564</v>
      </c>
      <c r="E118" s="32"/>
      <c r="F118" s="31"/>
    </row>
    <row r="119" spans="1:6" x14ac:dyDescent="0.2">
      <c r="A119" s="26">
        <v>2003.02</v>
      </c>
      <c r="B119" s="55">
        <v>28.57</v>
      </c>
      <c r="C119" s="56">
        <v>32.951772485101714</v>
      </c>
      <c r="E119" s="32"/>
      <c r="F119" s="31"/>
    </row>
    <row r="120" spans="1:6" x14ac:dyDescent="0.2">
      <c r="A120" s="26">
        <v>2003.03</v>
      </c>
      <c r="B120" s="55">
        <v>29.928000000000001</v>
      </c>
      <c r="C120" s="56">
        <v>32.662003418409739</v>
      </c>
      <c r="E120" s="32"/>
      <c r="F120" s="31"/>
    </row>
    <row r="121" spans="1:6" x14ac:dyDescent="0.2">
      <c r="A121" s="26">
        <v>2003.04</v>
      </c>
      <c r="B121" s="55">
        <v>26.681000000000001</v>
      </c>
      <c r="C121" s="56">
        <v>31.180879831316133</v>
      </c>
      <c r="E121" s="32"/>
      <c r="F121" s="31"/>
    </row>
    <row r="122" spans="1:6" x14ac:dyDescent="0.2">
      <c r="A122" s="26">
        <v>2003.05</v>
      </c>
      <c r="B122" s="55">
        <v>29.065999999999999</v>
      </c>
      <c r="C122" s="56">
        <v>31.998943677100605</v>
      </c>
      <c r="E122" s="32"/>
      <c r="F122" s="31"/>
    </row>
    <row r="123" spans="1:6" x14ac:dyDescent="0.2">
      <c r="A123" s="26">
        <v>2003.06</v>
      </c>
      <c r="B123" s="55">
        <v>35.125</v>
      </c>
      <c r="C123" s="56">
        <v>34.886782174504376</v>
      </c>
      <c r="E123" s="32"/>
      <c r="F123" s="31"/>
    </row>
    <row r="124" spans="1:6" x14ac:dyDescent="0.2">
      <c r="A124" s="26">
        <v>2003.07</v>
      </c>
      <c r="B124" s="55">
        <v>37.512</v>
      </c>
      <c r="C124" s="56">
        <v>35.286080076147726</v>
      </c>
      <c r="E124" s="32"/>
      <c r="F124" s="31"/>
    </row>
    <row r="125" spans="1:6" x14ac:dyDescent="0.2">
      <c r="A125" s="26">
        <v>2003.08</v>
      </c>
      <c r="B125" s="55">
        <v>37.938000000000002</v>
      </c>
      <c r="C125" s="56">
        <v>35.536365245863671</v>
      </c>
      <c r="E125" s="32"/>
      <c r="F125" s="31"/>
    </row>
    <row r="126" spans="1:6" x14ac:dyDescent="0.2">
      <c r="A126" s="26">
        <v>2003.09</v>
      </c>
      <c r="B126" s="55">
        <v>46.283999999999999</v>
      </c>
      <c r="C126" s="56">
        <v>38.895264054833156</v>
      </c>
      <c r="E126" s="32"/>
      <c r="F126" s="31"/>
    </row>
    <row r="127" spans="1:6" x14ac:dyDescent="0.2">
      <c r="A127" s="26">
        <v>2003.1</v>
      </c>
      <c r="B127" s="55">
        <v>48.273000000000003</v>
      </c>
      <c r="C127" s="56">
        <v>43.05459502566147</v>
      </c>
      <c r="E127" s="32"/>
      <c r="F127" s="31"/>
    </row>
    <row r="128" spans="1:6" x14ac:dyDescent="0.2">
      <c r="A128" s="26">
        <v>2003.11</v>
      </c>
      <c r="B128" s="55">
        <v>44.555</v>
      </c>
      <c r="C128" s="56">
        <v>45.318197166638626</v>
      </c>
      <c r="E128" s="32"/>
      <c r="F128" s="31"/>
    </row>
    <row r="129" spans="1:6" x14ac:dyDescent="0.2">
      <c r="A129" s="26">
        <v>2003.12</v>
      </c>
      <c r="B129" s="55">
        <v>44.466999999999999</v>
      </c>
      <c r="C129" s="56">
        <v>46.610815436877672</v>
      </c>
      <c r="E129" s="32"/>
      <c r="F129" s="31"/>
    </row>
    <row r="130" spans="1:6" x14ac:dyDescent="0.2">
      <c r="A130" s="26">
        <v>2004.01</v>
      </c>
      <c r="B130" s="55">
        <v>47.222250000000003</v>
      </c>
      <c r="C130" s="56">
        <v>47.805138143186774</v>
      </c>
      <c r="E130" s="32"/>
      <c r="F130" s="31"/>
    </row>
    <row r="131" spans="1:6" x14ac:dyDescent="0.2">
      <c r="A131" s="26">
        <v>2004.02</v>
      </c>
      <c r="B131" s="55">
        <v>44.373160000000006</v>
      </c>
      <c r="C131" s="56">
        <v>49.26474360008163</v>
      </c>
      <c r="E131" s="32"/>
      <c r="F131" s="31"/>
    </row>
    <row r="132" spans="1:6" x14ac:dyDescent="0.2">
      <c r="A132" s="26">
        <v>2004.03</v>
      </c>
      <c r="B132" s="55">
        <v>52.50761</v>
      </c>
      <c r="C132" s="56">
        <v>50.585396774487215</v>
      </c>
      <c r="E132" s="32"/>
      <c r="F132" s="31"/>
    </row>
    <row r="133" spans="1:6" x14ac:dyDescent="0.2">
      <c r="A133" s="26">
        <v>2004.04</v>
      </c>
      <c r="B133" s="55">
        <v>37.158279999999998</v>
      </c>
      <c r="C133" s="56">
        <v>50.672554696649819</v>
      </c>
      <c r="E133" s="32"/>
      <c r="F133" s="31"/>
    </row>
    <row r="134" spans="1:6" x14ac:dyDescent="0.2">
      <c r="A134" s="26">
        <v>2004.05</v>
      </c>
      <c r="B134" s="55">
        <v>45.377870000000001</v>
      </c>
      <c r="C134" s="56">
        <v>50.486092962209419</v>
      </c>
      <c r="E134" s="32"/>
      <c r="F134" s="31"/>
    </row>
    <row r="135" spans="1:6" x14ac:dyDescent="0.2">
      <c r="A135" s="26">
        <v>2004.06</v>
      </c>
      <c r="B135" s="55">
        <v>49.862499999999997</v>
      </c>
      <c r="C135" s="56">
        <v>50.755610065424818</v>
      </c>
      <c r="E135" s="32"/>
      <c r="F135" s="31"/>
    </row>
    <row r="136" spans="1:6" x14ac:dyDescent="0.2">
      <c r="A136" s="26">
        <v>2004.07</v>
      </c>
      <c r="B136" s="55">
        <v>55.438769999999998</v>
      </c>
      <c r="C136" s="56">
        <v>50.759504512540758</v>
      </c>
      <c r="E136" s="32"/>
      <c r="F136" s="31"/>
    </row>
    <row r="137" spans="1:6" x14ac:dyDescent="0.2">
      <c r="A137" s="26">
        <v>2004.08</v>
      </c>
      <c r="B137" s="55">
        <v>55.363050000000001</v>
      </c>
      <c r="C137" s="56">
        <v>50.433747284102161</v>
      </c>
      <c r="E137" s="32"/>
      <c r="F137" s="31"/>
    </row>
    <row r="138" spans="1:6" x14ac:dyDescent="0.2">
      <c r="A138" s="26">
        <v>2004.09</v>
      </c>
      <c r="B138" s="55">
        <v>57.284109999999998</v>
      </c>
      <c r="C138" s="56">
        <v>50.736422278720163</v>
      </c>
      <c r="E138" s="32"/>
      <c r="F138" s="31"/>
    </row>
    <row r="139" spans="1:6" x14ac:dyDescent="0.2">
      <c r="A139" s="26">
        <v>2004.1</v>
      </c>
      <c r="B139" s="55">
        <v>53.979759999999999</v>
      </c>
      <c r="C139" s="56">
        <v>50.274083607296568</v>
      </c>
      <c r="E139" s="32"/>
      <c r="F139" s="31"/>
    </row>
    <row r="140" spans="1:6" x14ac:dyDescent="0.2">
      <c r="A140" s="26">
        <v>2004.11</v>
      </c>
      <c r="B140" s="55">
        <v>52.289540000000002</v>
      </c>
      <c r="C140" s="56">
        <v>48.772818196124483</v>
      </c>
      <c r="E140" s="32"/>
      <c r="F140" s="31"/>
    </row>
    <row r="141" spans="1:6" x14ac:dyDescent="0.2">
      <c r="A141" s="26">
        <v>2004.12</v>
      </c>
      <c r="B141" s="55">
        <v>23.565200000000001</v>
      </c>
      <c r="C141" s="56">
        <v>48.736461533671019</v>
      </c>
      <c r="E141" s="32"/>
      <c r="F141" s="31"/>
    </row>
    <row r="142" spans="1:6" x14ac:dyDescent="0.2">
      <c r="A142" s="26">
        <v>2005.01</v>
      </c>
      <c r="B142" s="55">
        <v>52.576459999999997</v>
      </c>
      <c r="C142" s="56">
        <v>50.482430705066761</v>
      </c>
      <c r="E142" s="32"/>
      <c r="F142" s="31"/>
    </row>
    <row r="143" spans="1:6" x14ac:dyDescent="0.2">
      <c r="A143" s="26">
        <v>2005.02</v>
      </c>
      <c r="B143" s="55">
        <v>47.851210000000002</v>
      </c>
      <c r="C143" s="56">
        <v>51.687053792191506</v>
      </c>
      <c r="E143" s="32"/>
      <c r="F143" s="31"/>
    </row>
    <row r="144" spans="1:6" x14ac:dyDescent="0.2">
      <c r="A144" s="26">
        <v>2005.03</v>
      </c>
      <c r="B144" s="55">
        <v>47.192779999999999</v>
      </c>
      <c r="C144" s="56">
        <v>52.028086621740016</v>
      </c>
      <c r="E144" s="32"/>
      <c r="F144" s="31"/>
    </row>
    <row r="145" spans="1:6" x14ac:dyDescent="0.2">
      <c r="A145" s="26">
        <v>2005.04</v>
      </c>
      <c r="B145" s="55">
        <v>49.833260000000003</v>
      </c>
      <c r="C145" s="56">
        <v>54.228638704872608</v>
      </c>
      <c r="E145" s="32"/>
      <c r="F145" s="31"/>
    </row>
    <row r="146" spans="1:6" x14ac:dyDescent="0.2">
      <c r="A146" s="26">
        <v>2005.05</v>
      </c>
      <c r="B146" s="55">
        <v>55.936109999999999</v>
      </c>
      <c r="C146" s="56">
        <v>55.866998445473698</v>
      </c>
      <c r="E146" s="32"/>
      <c r="F146" s="31"/>
    </row>
    <row r="147" spans="1:6" x14ac:dyDescent="0.2">
      <c r="A147" s="26">
        <v>2005.06</v>
      </c>
      <c r="B147" s="55">
        <v>51.137540000000001</v>
      </c>
      <c r="C147" s="56">
        <v>55.402251286563065</v>
      </c>
      <c r="E147" s="32"/>
      <c r="F147" s="31"/>
    </row>
    <row r="148" spans="1:6" x14ac:dyDescent="0.2">
      <c r="A148" s="26">
        <v>2005.07</v>
      </c>
      <c r="B148" s="55">
        <v>59.067219999999999</v>
      </c>
      <c r="C148" s="56">
        <v>56.462294257076955</v>
      </c>
      <c r="E148" s="32"/>
      <c r="F148" s="31"/>
    </row>
    <row r="149" spans="1:6" x14ac:dyDescent="0.2">
      <c r="A149" s="26">
        <v>2005.08</v>
      </c>
      <c r="B149" s="55">
        <v>65.46799</v>
      </c>
      <c r="C149" s="56">
        <v>58.754778531998255</v>
      </c>
      <c r="E149" s="32"/>
      <c r="F149" s="31"/>
    </row>
    <row r="150" spans="1:6" x14ac:dyDescent="0.2">
      <c r="A150" s="26">
        <v>2005.09</v>
      </c>
      <c r="B150" s="55">
        <v>71.963929999999991</v>
      </c>
      <c r="C150" s="56">
        <v>60.891355648505076</v>
      </c>
      <c r="E150" s="32"/>
      <c r="F150" s="31"/>
    </row>
    <row r="151" spans="1:6" x14ac:dyDescent="0.2">
      <c r="A151" s="26">
        <v>2005.1</v>
      </c>
      <c r="B151" s="55">
        <v>63.87227</v>
      </c>
      <c r="C151" s="56">
        <v>61.580348973585807</v>
      </c>
      <c r="E151" s="32"/>
      <c r="F151" s="31"/>
    </row>
    <row r="152" spans="1:6" x14ac:dyDescent="0.2">
      <c r="A152" s="26">
        <v>2005.11</v>
      </c>
      <c r="B152" s="55">
        <v>63.775580000000005</v>
      </c>
      <c r="C152" s="56">
        <v>62.475125709004502</v>
      </c>
      <c r="E152" s="32"/>
      <c r="F152" s="31"/>
    </row>
    <row r="153" spans="1:6" x14ac:dyDescent="0.2">
      <c r="A153" s="26">
        <v>2005.12</v>
      </c>
      <c r="B153" s="55">
        <v>64.359880000000004</v>
      </c>
      <c r="C153" s="56">
        <v>64.293159537697932</v>
      </c>
      <c r="E153" s="32"/>
      <c r="F153" s="31"/>
    </row>
    <row r="154" spans="1:6" x14ac:dyDescent="0.2">
      <c r="A154" s="26">
        <v>2006.01</v>
      </c>
      <c r="B154" s="55">
        <v>60.241080000000004</v>
      </c>
      <c r="C154" s="56">
        <v>64.135885959695088</v>
      </c>
      <c r="E154" s="32"/>
      <c r="F154" s="31"/>
    </row>
    <row r="155" spans="1:6" x14ac:dyDescent="0.2">
      <c r="A155" s="26">
        <v>2006.02</v>
      </c>
      <c r="B155" s="55">
        <v>58.41066</v>
      </c>
      <c r="C155" s="56">
        <v>64.638061720025306</v>
      </c>
      <c r="E155" s="32"/>
      <c r="F155" s="31"/>
    </row>
    <row r="156" spans="1:6" x14ac:dyDescent="0.2">
      <c r="A156" s="26">
        <v>2006.03</v>
      </c>
      <c r="B156" s="55">
        <v>63.146190000000004</v>
      </c>
      <c r="C156" s="56">
        <v>67.882567396587248</v>
      </c>
      <c r="E156" s="32"/>
      <c r="F156" s="31"/>
    </row>
    <row r="157" spans="1:6" x14ac:dyDescent="0.2">
      <c r="A157" s="26">
        <v>2006.04</v>
      </c>
      <c r="B157" s="55">
        <v>63.66122</v>
      </c>
      <c r="C157" s="56">
        <v>71.383163793681149</v>
      </c>
      <c r="E157" s="32"/>
      <c r="F157" s="31"/>
    </row>
    <row r="158" spans="1:6" x14ac:dyDescent="0.2">
      <c r="A158" s="26">
        <v>2006.05</v>
      </c>
      <c r="B158" s="55">
        <v>69.993309999999994</v>
      </c>
      <c r="C158" s="56">
        <v>70.359115351704133</v>
      </c>
      <c r="E158" s="32"/>
      <c r="F158" s="31"/>
    </row>
    <row r="159" spans="1:6" x14ac:dyDescent="0.2">
      <c r="A159" s="26">
        <v>2006.06</v>
      </c>
      <c r="B159" s="55">
        <v>65.946449999999999</v>
      </c>
      <c r="C159" s="56">
        <v>68.08285032438296</v>
      </c>
      <c r="E159" s="32"/>
      <c r="F159" s="31"/>
    </row>
    <row r="160" spans="1:6" x14ac:dyDescent="0.2">
      <c r="A160" s="26">
        <v>2006.07</v>
      </c>
      <c r="B160" s="55">
        <v>71.100179999999995</v>
      </c>
      <c r="C160" s="56">
        <v>69.499037246329692</v>
      </c>
      <c r="E160" s="32"/>
      <c r="F160" s="31"/>
    </row>
    <row r="161" spans="1:6" x14ac:dyDescent="0.2">
      <c r="A161" s="26">
        <v>2006.08</v>
      </c>
      <c r="B161" s="55">
        <v>77.048050000000003</v>
      </c>
      <c r="C161" s="56">
        <v>69.498025248985925</v>
      </c>
      <c r="E161" s="32"/>
      <c r="F161" s="31"/>
    </row>
    <row r="162" spans="1:6" x14ac:dyDescent="0.2">
      <c r="A162" s="26">
        <v>2006.09</v>
      </c>
      <c r="B162" s="55">
        <v>75.524439999999998</v>
      </c>
      <c r="C162" s="56">
        <v>67.387364770425464</v>
      </c>
      <c r="E162" s="32"/>
      <c r="F162" s="31"/>
    </row>
    <row r="163" spans="1:6" x14ac:dyDescent="0.2">
      <c r="A163" s="26">
        <v>2006.1</v>
      </c>
      <c r="B163" s="55">
        <v>72.589210000000008</v>
      </c>
      <c r="C163" s="56">
        <v>66.92288857643787</v>
      </c>
      <c r="E163" s="32"/>
      <c r="F163" s="31"/>
    </row>
    <row r="164" spans="1:6" x14ac:dyDescent="0.2">
      <c r="A164" s="26">
        <v>2006.11</v>
      </c>
      <c r="B164" s="55">
        <v>71.150059999999996</v>
      </c>
      <c r="C164" s="56">
        <v>67.019882029426071</v>
      </c>
      <c r="E164" s="32"/>
      <c r="F164" s="31"/>
    </row>
    <row r="165" spans="1:6" x14ac:dyDescent="0.2">
      <c r="A165" s="26">
        <v>2006.12</v>
      </c>
      <c r="B165" s="55">
        <v>59.411209999999997</v>
      </c>
      <c r="C165" s="56">
        <v>66.321857043835465</v>
      </c>
      <c r="E165" s="32"/>
      <c r="F165" s="31"/>
    </row>
    <row r="166" spans="1:6" x14ac:dyDescent="0.2">
      <c r="A166" s="26">
        <v>2007.01</v>
      </c>
      <c r="B166" s="55">
        <v>66.040800000000004</v>
      </c>
      <c r="C166" s="56">
        <v>67.587762820015371</v>
      </c>
      <c r="E166" s="32"/>
      <c r="F166" s="31"/>
    </row>
    <row r="167" spans="1:6" x14ac:dyDescent="0.2">
      <c r="A167" s="26">
        <v>2007.02</v>
      </c>
      <c r="B167" s="55">
        <v>63.672249999999998</v>
      </c>
      <c r="C167" s="56">
        <v>69.651546887559505</v>
      </c>
      <c r="E167" s="32"/>
      <c r="F167" s="31"/>
    </row>
    <row r="168" spans="1:6" x14ac:dyDescent="0.2">
      <c r="A168" s="26">
        <v>2007.03</v>
      </c>
      <c r="B168" s="55">
        <v>48.421639999999996</v>
      </c>
      <c r="C168" s="56">
        <v>68.72482024895092</v>
      </c>
      <c r="E168" s="32"/>
      <c r="F168" s="31"/>
    </row>
    <row r="169" spans="1:6" x14ac:dyDescent="0.2">
      <c r="A169" s="26">
        <v>2007.04</v>
      </c>
      <c r="B169" s="55">
        <v>59.688879999999997</v>
      </c>
      <c r="C169" s="56">
        <v>68.623993404374801</v>
      </c>
      <c r="E169" s="32"/>
      <c r="F169" s="31"/>
    </row>
    <row r="170" spans="1:6" x14ac:dyDescent="0.2">
      <c r="A170" s="26">
        <v>2007.05</v>
      </c>
      <c r="B170" s="55">
        <v>72.692800000000005</v>
      </c>
      <c r="C170" s="56">
        <v>71.931198083249399</v>
      </c>
      <c r="E170" s="32"/>
      <c r="F170" s="31"/>
    </row>
    <row r="171" spans="1:6" x14ac:dyDescent="0.2">
      <c r="A171" s="26">
        <v>2007.06</v>
      </c>
      <c r="B171" s="55">
        <v>73.820539999999994</v>
      </c>
      <c r="C171" s="56">
        <v>74.313109219616024</v>
      </c>
      <c r="E171" s="32"/>
      <c r="F171" s="31"/>
    </row>
    <row r="172" spans="1:6" x14ac:dyDescent="0.2">
      <c r="A172" s="26">
        <v>2007.07</v>
      </c>
      <c r="B172" s="55">
        <v>79.217799999999997</v>
      </c>
      <c r="C172" s="56">
        <v>75.880996164177006</v>
      </c>
      <c r="E172" s="32"/>
      <c r="F172" s="31"/>
    </row>
    <row r="173" spans="1:6" x14ac:dyDescent="0.2">
      <c r="A173" s="26">
        <v>2007.08</v>
      </c>
      <c r="B173" s="55">
        <v>88.368600000000001</v>
      </c>
      <c r="C173" s="56">
        <v>79.200371966506211</v>
      </c>
      <c r="E173" s="32"/>
      <c r="F173" s="31"/>
    </row>
    <row r="174" spans="1:6" x14ac:dyDescent="0.2">
      <c r="A174" s="26">
        <v>2007.09</v>
      </c>
      <c r="B174" s="55">
        <v>68.63042999999999</v>
      </c>
      <c r="C174" s="56">
        <v>81.318581538310852</v>
      </c>
      <c r="E174" s="32"/>
      <c r="F174" s="31"/>
    </row>
    <row r="175" spans="1:6" x14ac:dyDescent="0.2">
      <c r="A175" s="26">
        <v>2007.1</v>
      </c>
      <c r="B175" s="55">
        <v>87.904730000000001</v>
      </c>
      <c r="C175" s="56">
        <v>84.227025529296128</v>
      </c>
      <c r="E175" s="32"/>
      <c r="F175" s="31"/>
    </row>
    <row r="176" spans="1:6" x14ac:dyDescent="0.2">
      <c r="A176" s="26">
        <v>2007.11</v>
      </c>
      <c r="B176" s="55">
        <v>106.54454</v>
      </c>
      <c r="C176" s="56">
        <v>89.977101052772369</v>
      </c>
      <c r="E176" s="32"/>
      <c r="F176" s="31"/>
    </row>
    <row r="177" spans="1:6" x14ac:dyDescent="0.2">
      <c r="A177" s="26">
        <v>2007.12</v>
      </c>
      <c r="B177" s="55">
        <v>83.3767</v>
      </c>
      <c r="C177" s="56">
        <v>90.605505960107294</v>
      </c>
      <c r="E177" s="33"/>
      <c r="F177" s="31"/>
    </row>
    <row r="178" spans="1:6" x14ac:dyDescent="0.2">
      <c r="A178" s="26">
        <f t="shared" ref="A178:A241" si="0">A166+1</f>
        <v>2008.01</v>
      </c>
      <c r="B178" s="55">
        <v>84.058410000000009</v>
      </c>
      <c r="C178" s="56">
        <v>85.976222832354097</v>
      </c>
      <c r="E178" s="32"/>
      <c r="F178" s="31"/>
    </row>
    <row r="179" spans="1:6" x14ac:dyDescent="0.2">
      <c r="A179" s="26">
        <f t="shared" si="0"/>
        <v>2008.02</v>
      </c>
      <c r="B179" s="55">
        <v>77.351300000000009</v>
      </c>
      <c r="C179" s="56">
        <v>83.026448933227059</v>
      </c>
      <c r="E179" s="32"/>
      <c r="F179" s="31"/>
    </row>
    <row r="180" spans="1:6" x14ac:dyDescent="0.2">
      <c r="A180" s="26">
        <f t="shared" si="0"/>
        <v>2008.03</v>
      </c>
      <c r="B180" s="55">
        <v>73.807929999999999</v>
      </c>
      <c r="C180" s="56">
        <v>84.433060131453871</v>
      </c>
      <c r="E180" s="32"/>
      <c r="F180" s="31"/>
    </row>
    <row r="181" spans="1:6" x14ac:dyDescent="0.2">
      <c r="A181" s="26">
        <f t="shared" si="0"/>
        <v>2008.04</v>
      </c>
      <c r="B181" s="55">
        <v>86.686360000000008</v>
      </c>
      <c r="C181" s="56">
        <v>87.274804180068671</v>
      </c>
      <c r="E181" s="32"/>
      <c r="F181" s="31"/>
    </row>
    <row r="182" spans="1:6" x14ac:dyDescent="0.2">
      <c r="A182" s="26">
        <f t="shared" si="0"/>
        <v>2008.05</v>
      </c>
      <c r="B182" s="55">
        <v>85.149299999999997</v>
      </c>
      <c r="C182" s="56">
        <v>86.661472051121791</v>
      </c>
      <c r="E182" s="32"/>
      <c r="F182" s="31"/>
    </row>
    <row r="183" spans="1:6" x14ac:dyDescent="0.2">
      <c r="A183" s="26">
        <f t="shared" si="0"/>
        <v>2008.06</v>
      </c>
      <c r="B183" s="55">
        <v>59.598440000000004</v>
      </c>
      <c r="C183" s="56">
        <v>85.302197777641311</v>
      </c>
      <c r="E183" s="32"/>
      <c r="F183" s="31"/>
    </row>
    <row r="184" spans="1:6" x14ac:dyDescent="0.2">
      <c r="A184" s="26">
        <f t="shared" si="0"/>
        <v>2008.07</v>
      </c>
      <c r="B184" s="55">
        <v>96.380719999999997</v>
      </c>
      <c r="C184" s="56">
        <v>84.291647847119719</v>
      </c>
      <c r="E184" s="32"/>
      <c r="F184" s="31"/>
    </row>
    <row r="185" spans="1:6" x14ac:dyDescent="0.2">
      <c r="A185" s="26">
        <f t="shared" si="0"/>
        <v>2008.08</v>
      </c>
      <c r="B185" s="55">
        <v>85.578440000000001</v>
      </c>
      <c r="C185" s="56">
        <v>81.764276776560891</v>
      </c>
      <c r="E185" s="32"/>
      <c r="F185" s="31"/>
    </row>
    <row r="186" spans="1:6" x14ac:dyDescent="0.2">
      <c r="A186" s="26">
        <f t="shared" si="0"/>
        <v>2008.09</v>
      </c>
      <c r="B186" s="55">
        <v>91.714479999999995</v>
      </c>
      <c r="C186" s="56">
        <v>78.383754069090728</v>
      </c>
      <c r="E186" s="32"/>
      <c r="F186" s="31"/>
    </row>
    <row r="187" spans="1:6" x14ac:dyDescent="0.2">
      <c r="A187" s="26">
        <f t="shared" si="0"/>
        <v>2008.1</v>
      </c>
      <c r="B187" s="55">
        <v>80.00179</v>
      </c>
      <c r="C187" s="56">
        <v>74.61900395821138</v>
      </c>
      <c r="E187" s="32"/>
      <c r="F187" s="31"/>
    </row>
    <row r="188" spans="1:6" x14ac:dyDescent="0.2">
      <c r="A188" s="26">
        <f t="shared" si="0"/>
        <v>2008.11</v>
      </c>
      <c r="B188" s="55">
        <v>73.681669999999997</v>
      </c>
      <c r="C188" s="56">
        <v>71.610848819478463</v>
      </c>
      <c r="E188" s="32"/>
      <c r="F188" s="31"/>
    </row>
    <row r="189" spans="1:6" x14ac:dyDescent="0.2">
      <c r="A189" s="26">
        <f t="shared" si="0"/>
        <v>2008.12</v>
      </c>
      <c r="B189" s="55">
        <v>63.530720000000002</v>
      </c>
      <c r="C189" s="56">
        <v>70.566425345924401</v>
      </c>
      <c r="E189" s="33"/>
      <c r="F189" s="31"/>
    </row>
    <row r="190" spans="1:6" x14ac:dyDescent="0.2">
      <c r="A190" s="26">
        <f t="shared" si="0"/>
        <v>2009.01</v>
      </c>
      <c r="B190" s="55">
        <v>72.353359999999995</v>
      </c>
      <c r="C190" s="56">
        <v>71.501817104342024</v>
      </c>
      <c r="E190" s="32"/>
      <c r="F190" s="31"/>
    </row>
    <row r="191" spans="1:6" x14ac:dyDescent="0.2">
      <c r="A191" s="26">
        <f t="shared" si="0"/>
        <v>2009.02</v>
      </c>
      <c r="B191" s="55">
        <v>60.706540000000004</v>
      </c>
      <c r="C191" s="56">
        <v>71.696271317089369</v>
      </c>
      <c r="E191" s="32"/>
      <c r="F191" s="31"/>
    </row>
    <row r="192" spans="1:6" x14ac:dyDescent="0.2">
      <c r="A192" s="26">
        <f t="shared" si="0"/>
        <v>2009.03</v>
      </c>
      <c r="B192" s="55">
        <v>69.090670000000003</v>
      </c>
      <c r="C192" s="56">
        <v>69.955724978768913</v>
      </c>
      <c r="E192" s="32"/>
      <c r="F192" s="31"/>
    </row>
    <row r="193" spans="1:6" x14ac:dyDescent="0.2">
      <c r="A193" s="26">
        <f t="shared" si="0"/>
        <v>2009.04</v>
      </c>
      <c r="B193" s="55">
        <v>61.661809999999996</v>
      </c>
      <c r="C193" s="56">
        <v>66.13032427928168</v>
      </c>
      <c r="E193" s="32"/>
      <c r="F193" s="31"/>
    </row>
    <row r="194" spans="1:6" x14ac:dyDescent="0.2">
      <c r="A194" s="26">
        <f t="shared" si="0"/>
        <v>2009.05</v>
      </c>
      <c r="B194" s="55">
        <v>56.141269999999999</v>
      </c>
      <c r="C194" s="56">
        <v>61.980078445305089</v>
      </c>
      <c r="E194" s="32"/>
      <c r="F194" s="31"/>
    </row>
    <row r="195" spans="1:6" x14ac:dyDescent="0.2">
      <c r="A195" s="26">
        <f t="shared" si="0"/>
        <v>2009.06</v>
      </c>
      <c r="B195" s="55">
        <v>61.628769999999996</v>
      </c>
      <c r="C195" s="56">
        <v>59.975744594804823</v>
      </c>
      <c r="E195" s="32"/>
      <c r="F195" s="31"/>
    </row>
    <row r="196" spans="1:6" x14ac:dyDescent="0.2">
      <c r="A196" s="26">
        <f t="shared" si="0"/>
        <v>2009.07</v>
      </c>
      <c r="B196" s="55">
        <v>62.283940000000001</v>
      </c>
      <c r="C196" s="56">
        <v>59.88940455044785</v>
      </c>
      <c r="E196" s="32"/>
      <c r="F196" s="31"/>
    </row>
    <row r="197" spans="1:6" x14ac:dyDescent="0.2">
      <c r="A197" s="26">
        <f t="shared" si="0"/>
        <v>2009.08</v>
      </c>
      <c r="B197" s="55">
        <v>63.159570000000002</v>
      </c>
      <c r="C197" s="56">
        <v>59.444130075292826</v>
      </c>
      <c r="E197" s="32"/>
      <c r="F197" s="31"/>
    </row>
    <row r="198" spans="1:6" x14ac:dyDescent="0.2">
      <c r="A198" s="26">
        <f t="shared" si="0"/>
        <v>2009.09</v>
      </c>
      <c r="B198" s="55">
        <v>60.863279999999996</v>
      </c>
      <c r="C198" s="56">
        <v>58.405293845116795</v>
      </c>
      <c r="E198" s="32"/>
      <c r="F198" s="31"/>
    </row>
    <row r="199" spans="1:6" x14ac:dyDescent="0.2">
      <c r="A199" s="26">
        <f t="shared" si="0"/>
        <v>2009.1</v>
      </c>
      <c r="B199" s="55">
        <v>68.202160000000006</v>
      </c>
      <c r="C199" s="56">
        <v>59.099564102585603</v>
      </c>
      <c r="E199" s="32"/>
      <c r="F199" s="31"/>
    </row>
    <row r="200" spans="1:6" x14ac:dyDescent="0.2">
      <c r="A200" s="26">
        <f t="shared" si="0"/>
        <v>2009.11</v>
      </c>
      <c r="B200" s="55">
        <v>60.680769999999995</v>
      </c>
      <c r="C200" s="56">
        <v>58.477445345847705</v>
      </c>
      <c r="E200" s="32"/>
      <c r="F200" s="31"/>
    </row>
    <row r="201" spans="1:6" x14ac:dyDescent="0.2">
      <c r="A201" s="26">
        <f t="shared" si="0"/>
        <v>2009.12</v>
      </c>
      <c r="B201" s="55">
        <v>52.171769999999995</v>
      </c>
      <c r="C201" s="56">
        <v>58.103586088176002</v>
      </c>
      <c r="E201" s="33"/>
      <c r="F201" s="31"/>
    </row>
    <row r="202" spans="1:6" x14ac:dyDescent="0.2">
      <c r="A202" s="26">
        <f t="shared" si="0"/>
        <v>2010.01</v>
      </c>
      <c r="B202" s="55">
        <v>59.927210000000002</v>
      </c>
      <c r="C202" s="56">
        <v>60.037557980558532</v>
      </c>
      <c r="E202" s="32"/>
      <c r="F202" s="31"/>
    </row>
    <row r="203" spans="1:6" x14ac:dyDescent="0.2">
      <c r="A203" s="26">
        <f t="shared" si="0"/>
        <v>2010.02</v>
      </c>
      <c r="B203" s="55">
        <v>50.312290000000004</v>
      </c>
      <c r="C203" s="56">
        <v>62.251330417999682</v>
      </c>
      <c r="E203" s="32"/>
      <c r="F203" s="31"/>
    </row>
    <row r="204" spans="1:6" x14ac:dyDescent="0.2">
      <c r="A204" s="26">
        <f t="shared" si="0"/>
        <v>2010.03</v>
      </c>
      <c r="B204" s="55">
        <v>67.621649999999988</v>
      </c>
      <c r="C204" s="56">
        <v>65.089720534981851</v>
      </c>
      <c r="E204" s="32"/>
      <c r="F204" s="31"/>
    </row>
    <row r="205" spans="1:6" x14ac:dyDescent="0.2">
      <c r="A205" s="26">
        <f t="shared" si="0"/>
        <v>2010.04</v>
      </c>
      <c r="B205" s="55">
        <v>65.126660000000001</v>
      </c>
      <c r="C205" s="56">
        <v>66.395765825229432</v>
      </c>
      <c r="E205" s="32"/>
      <c r="F205" s="31"/>
    </row>
    <row r="206" spans="1:6" x14ac:dyDescent="0.2">
      <c r="A206" s="26">
        <f t="shared" si="0"/>
        <v>2010.05</v>
      </c>
      <c r="B206" s="55">
        <v>62.254160000000006</v>
      </c>
      <c r="C206" s="56">
        <v>66.647299653649497</v>
      </c>
      <c r="E206" s="32"/>
      <c r="F206" s="31"/>
    </row>
    <row r="207" spans="1:6" x14ac:dyDescent="0.2">
      <c r="A207" s="26">
        <f t="shared" si="0"/>
        <v>2010.06</v>
      </c>
      <c r="B207" s="55">
        <v>67.270179999999996</v>
      </c>
      <c r="C207" s="56">
        <v>67.549616806128611</v>
      </c>
      <c r="E207" s="32"/>
      <c r="F207" s="31"/>
    </row>
    <row r="208" spans="1:6" x14ac:dyDescent="0.2">
      <c r="A208" s="26">
        <f t="shared" si="0"/>
        <v>2010.07</v>
      </c>
      <c r="B208" s="55">
        <v>72.678509999999989</v>
      </c>
      <c r="C208" s="56">
        <v>67.89261396693108</v>
      </c>
      <c r="E208" s="32"/>
      <c r="F208" s="31"/>
    </row>
    <row r="209" spans="1:6" x14ac:dyDescent="0.2">
      <c r="A209" s="26">
        <f t="shared" si="0"/>
        <v>2010.08</v>
      </c>
      <c r="B209" s="55">
        <v>72.345590000000001</v>
      </c>
      <c r="C209" s="56">
        <v>67.379951465352846</v>
      </c>
      <c r="E209" s="32"/>
      <c r="F209" s="31"/>
    </row>
    <row r="210" spans="1:6" x14ac:dyDescent="0.2">
      <c r="A210" s="26">
        <f t="shared" si="0"/>
        <v>2010.09</v>
      </c>
      <c r="B210" s="55">
        <v>71.787279999999996</v>
      </c>
      <c r="C210" s="56">
        <v>69.04221891308552</v>
      </c>
      <c r="E210" s="32"/>
      <c r="F210" s="31"/>
    </row>
    <row r="211" spans="1:6" x14ac:dyDescent="0.2">
      <c r="A211" s="26">
        <f t="shared" si="0"/>
        <v>2010.1</v>
      </c>
      <c r="B211" s="55">
        <v>79.38382</v>
      </c>
      <c r="C211" s="56">
        <v>73.519716245599255</v>
      </c>
      <c r="E211" s="32"/>
      <c r="F211" s="31"/>
    </row>
    <row r="212" spans="1:6" x14ac:dyDescent="0.2">
      <c r="A212" s="26">
        <f t="shared" si="0"/>
        <v>2010.11</v>
      </c>
      <c r="B212" s="55">
        <v>86.81674000000001</v>
      </c>
      <c r="C212" s="56">
        <v>78.023945648730688</v>
      </c>
      <c r="E212" s="32"/>
      <c r="F212" s="31"/>
    </row>
    <row r="213" spans="1:6" x14ac:dyDescent="0.2">
      <c r="A213" s="26">
        <f t="shared" si="0"/>
        <v>2010.12</v>
      </c>
      <c r="B213" s="55">
        <v>78.678710000000009</v>
      </c>
      <c r="C213" s="56">
        <v>81.295483106080553</v>
      </c>
      <c r="E213" s="33"/>
      <c r="F213" s="31"/>
    </row>
    <row r="214" spans="1:6" x14ac:dyDescent="0.2">
      <c r="A214" s="26">
        <f t="shared" si="0"/>
        <v>2011.01</v>
      </c>
      <c r="B214" s="55">
        <v>75.138890000000004</v>
      </c>
      <c r="C214" s="56">
        <v>80.638774320283602</v>
      </c>
      <c r="E214" s="32"/>
      <c r="F214" s="31"/>
    </row>
    <row r="215" spans="1:6" x14ac:dyDescent="0.2">
      <c r="A215" s="26">
        <f t="shared" si="0"/>
        <v>2011.02</v>
      </c>
      <c r="B215" s="55">
        <v>63.104639999999996</v>
      </c>
      <c r="C215" s="56">
        <v>77.911669907283454</v>
      </c>
      <c r="E215" s="32"/>
      <c r="F215" s="31"/>
    </row>
    <row r="216" spans="1:6" x14ac:dyDescent="0.2">
      <c r="A216" s="26">
        <f t="shared" si="0"/>
        <v>2011.03</v>
      </c>
      <c r="B216" s="55">
        <v>78.158869999999993</v>
      </c>
      <c r="C216" s="56">
        <v>77.522893943873498</v>
      </c>
      <c r="E216" s="32"/>
      <c r="F216" s="31"/>
    </row>
    <row r="217" spans="1:6" x14ac:dyDescent="0.2">
      <c r="A217" s="26">
        <f t="shared" si="0"/>
        <v>2011.04</v>
      </c>
      <c r="B217" s="55">
        <v>74.410920000000004</v>
      </c>
      <c r="C217" s="56">
        <v>78.149026439633602</v>
      </c>
      <c r="E217" s="32"/>
      <c r="F217" s="31"/>
    </row>
    <row r="218" spans="1:6" x14ac:dyDescent="0.2">
      <c r="A218" s="26">
        <f t="shared" si="0"/>
        <v>2011.05</v>
      </c>
      <c r="B218" s="55">
        <v>79.264510000000001</v>
      </c>
      <c r="C218" s="56">
        <v>78.031913195441305</v>
      </c>
      <c r="E218" s="32"/>
      <c r="F218" s="31"/>
    </row>
    <row r="219" spans="1:6" x14ac:dyDescent="0.2">
      <c r="A219" s="26">
        <f t="shared" si="0"/>
        <v>2011.06</v>
      </c>
      <c r="B219" s="55">
        <v>74.055789999999988</v>
      </c>
      <c r="C219" s="56">
        <v>77.77216421018727</v>
      </c>
      <c r="E219" s="32"/>
      <c r="F219" s="31"/>
    </row>
    <row r="220" spans="1:6" x14ac:dyDescent="0.2">
      <c r="A220" s="26">
        <f t="shared" si="0"/>
        <v>2011.07</v>
      </c>
      <c r="B220" s="55">
        <v>80.894899999999993</v>
      </c>
      <c r="C220" s="56">
        <v>78.016369504376243</v>
      </c>
      <c r="E220" s="32"/>
      <c r="F220" s="31"/>
    </row>
    <row r="221" spans="1:6" x14ac:dyDescent="0.2">
      <c r="A221" s="26">
        <f t="shared" si="0"/>
        <v>2011.08</v>
      </c>
      <c r="B221" s="55">
        <v>84.310869999999994</v>
      </c>
      <c r="C221" s="56">
        <v>78.541721673548793</v>
      </c>
      <c r="E221" s="32"/>
      <c r="F221" s="31"/>
    </row>
    <row r="222" spans="1:6" x14ac:dyDescent="0.2">
      <c r="A222" s="26">
        <f t="shared" si="0"/>
        <v>2011.09</v>
      </c>
      <c r="B222" s="55">
        <v>91.531000000000006</v>
      </c>
      <c r="C222" s="56">
        <v>78.213524238688336</v>
      </c>
      <c r="E222" s="32"/>
      <c r="F222" s="31"/>
    </row>
    <row r="223" spans="1:6" x14ac:dyDescent="0.2">
      <c r="A223" s="26">
        <f t="shared" si="0"/>
        <v>2011.1</v>
      </c>
      <c r="B223" s="55">
        <v>75.635000000000005</v>
      </c>
      <c r="C223" s="56">
        <v>76.075122821384383</v>
      </c>
      <c r="E223" s="32"/>
      <c r="F223" s="31"/>
    </row>
    <row r="224" spans="1:6" x14ac:dyDescent="0.2">
      <c r="A224" s="26">
        <f t="shared" si="0"/>
        <v>2011.11</v>
      </c>
      <c r="B224" s="55">
        <v>81.972999999999999</v>
      </c>
      <c r="C224" s="56">
        <v>73.980190501581532</v>
      </c>
      <c r="E224" s="32"/>
      <c r="F224" s="31"/>
    </row>
    <row r="225" spans="1:6" x14ac:dyDescent="0.2">
      <c r="A225" s="26">
        <f t="shared" si="0"/>
        <v>2011.12</v>
      </c>
      <c r="B225" s="55">
        <v>75.563999999999993</v>
      </c>
      <c r="C225" s="56">
        <v>71.819708587453093</v>
      </c>
      <c r="E225" s="33"/>
      <c r="F225" s="31"/>
    </row>
    <row r="226" spans="1:6" x14ac:dyDescent="0.2">
      <c r="A226" s="26">
        <f t="shared" si="0"/>
        <v>2012.01</v>
      </c>
      <c r="B226" s="55">
        <v>65.876000000000005</v>
      </c>
      <c r="C226" s="56">
        <v>69.152216072468462</v>
      </c>
      <c r="E226" s="32"/>
      <c r="F226" s="31"/>
    </row>
    <row r="227" spans="1:6" x14ac:dyDescent="0.2">
      <c r="A227" s="26">
        <f t="shared" si="0"/>
        <v>2012.02</v>
      </c>
      <c r="B227" s="55">
        <v>57.253</v>
      </c>
      <c r="C227" s="56">
        <v>67.942408492652234</v>
      </c>
      <c r="E227" s="32"/>
      <c r="F227" s="31"/>
    </row>
    <row r="228" spans="1:6" x14ac:dyDescent="0.2">
      <c r="A228" s="26">
        <f t="shared" si="0"/>
        <v>2012.03</v>
      </c>
      <c r="B228" s="55">
        <v>67.492999999999995</v>
      </c>
      <c r="C228" s="56">
        <v>68.433765771054993</v>
      </c>
      <c r="E228" s="32"/>
      <c r="F228" s="31"/>
    </row>
    <row r="229" spans="1:6" x14ac:dyDescent="0.2">
      <c r="A229" s="26">
        <f t="shared" si="0"/>
        <v>2012.04</v>
      </c>
      <c r="B229" s="55">
        <v>64.655000000000001</v>
      </c>
      <c r="C229" s="56">
        <v>68.93840434114577</v>
      </c>
      <c r="E229" s="32"/>
      <c r="F229" s="31"/>
    </row>
    <row r="230" spans="1:6" x14ac:dyDescent="0.2">
      <c r="A230" s="26">
        <f t="shared" si="0"/>
        <v>2012.05</v>
      </c>
      <c r="B230" s="55">
        <v>67.533000000000001</v>
      </c>
      <c r="C230" s="56">
        <v>68.833574401260989</v>
      </c>
      <c r="E230" s="32"/>
      <c r="F230" s="31"/>
    </row>
    <row r="231" spans="1:6" x14ac:dyDescent="0.2">
      <c r="A231" s="26">
        <f t="shared" si="0"/>
        <v>2012.06</v>
      </c>
      <c r="B231" s="55">
        <v>71.983999999999995</v>
      </c>
      <c r="C231" s="56">
        <v>68.126629474272079</v>
      </c>
      <c r="E231" s="32"/>
      <c r="F231" s="31"/>
    </row>
    <row r="232" spans="1:6" x14ac:dyDescent="0.2">
      <c r="A232" s="26">
        <f t="shared" si="0"/>
        <v>2012.07</v>
      </c>
      <c r="B232" s="55">
        <v>74.948999999999998</v>
      </c>
      <c r="C232" s="56">
        <v>64.667258773647319</v>
      </c>
      <c r="E232" s="32"/>
      <c r="F232" s="31"/>
    </row>
    <row r="233" spans="1:6" x14ac:dyDescent="0.2">
      <c r="A233" s="26">
        <f t="shared" si="0"/>
        <v>2012.08</v>
      </c>
      <c r="B233" s="55">
        <v>64.861999999999995</v>
      </c>
      <c r="C233" s="56">
        <v>61.326633840596038</v>
      </c>
      <c r="E233" s="32"/>
      <c r="F233" s="31"/>
    </row>
    <row r="234" spans="1:6" x14ac:dyDescent="0.2">
      <c r="A234" s="26">
        <f t="shared" si="0"/>
        <v>2012.09</v>
      </c>
      <c r="B234" s="55">
        <v>63.235999999999997</v>
      </c>
      <c r="C234" s="56">
        <v>61.097471105964729</v>
      </c>
      <c r="E234" s="32"/>
      <c r="F234" s="31"/>
    </row>
    <row r="235" spans="1:6" x14ac:dyDescent="0.2">
      <c r="A235" s="26">
        <f t="shared" si="0"/>
        <v>2012.1</v>
      </c>
      <c r="B235" s="55">
        <v>66.754999999999995</v>
      </c>
      <c r="C235" s="56">
        <v>62.155997699394447</v>
      </c>
      <c r="E235" s="32"/>
      <c r="F235" s="31"/>
    </row>
    <row r="236" spans="1:6" x14ac:dyDescent="0.2">
      <c r="A236" s="26">
        <f t="shared" si="0"/>
        <v>2012.11</v>
      </c>
      <c r="B236" s="55">
        <v>73.210999999999999</v>
      </c>
      <c r="C236" s="56">
        <v>63.525535865261759</v>
      </c>
      <c r="E236" s="32"/>
      <c r="F236" s="31"/>
    </row>
    <row r="237" spans="1:6" x14ac:dyDescent="0.2">
      <c r="A237" s="26">
        <f t="shared" si="0"/>
        <v>2012.12</v>
      </c>
      <c r="B237" s="55">
        <v>53.603999999999999</v>
      </c>
      <c r="C237" s="56">
        <v>66.123787135884044</v>
      </c>
      <c r="E237" s="33"/>
      <c r="F237" s="31"/>
    </row>
    <row r="238" spans="1:6" x14ac:dyDescent="0.2">
      <c r="A238" s="26">
        <f t="shared" si="0"/>
        <v>2013.01</v>
      </c>
      <c r="B238" s="55">
        <v>71.355999999999995</v>
      </c>
      <c r="C238" s="56">
        <v>69.951559737687219</v>
      </c>
      <c r="E238" s="32"/>
      <c r="F238" s="31"/>
    </row>
    <row r="239" spans="1:6" x14ac:dyDescent="0.2">
      <c r="A239" s="26">
        <f t="shared" si="0"/>
        <v>2013.02</v>
      </c>
      <c r="B239" s="55">
        <v>59.164000000000001</v>
      </c>
      <c r="C239" s="56">
        <v>71.277191914001861</v>
      </c>
      <c r="E239" s="32"/>
      <c r="F239" s="31"/>
    </row>
    <row r="240" spans="1:6" x14ac:dyDescent="0.2">
      <c r="A240" s="26">
        <f t="shared" si="0"/>
        <v>2013.03</v>
      </c>
      <c r="B240" s="55">
        <v>68.581000000000003</v>
      </c>
      <c r="C240" s="56">
        <v>71.722812696340341</v>
      </c>
      <c r="E240" s="32"/>
      <c r="F240" s="31"/>
    </row>
    <row r="241" spans="1:6" x14ac:dyDescent="0.2">
      <c r="A241" s="26">
        <f t="shared" si="0"/>
        <v>2013.04</v>
      </c>
      <c r="B241" s="55">
        <v>73.516000000000005</v>
      </c>
      <c r="C241" s="56">
        <v>73.410634089401142</v>
      </c>
      <c r="E241" s="32"/>
      <c r="F241" s="31"/>
    </row>
    <row r="242" spans="1:6" x14ac:dyDescent="0.2">
      <c r="A242" s="26">
        <f t="shared" ref="A242:A305" si="1">A230+1</f>
        <v>2013.05</v>
      </c>
      <c r="B242" s="55">
        <v>73.510999999999996</v>
      </c>
      <c r="C242" s="56">
        <v>74.280263967519403</v>
      </c>
      <c r="E242" s="32"/>
      <c r="F242" s="31"/>
    </row>
    <row r="243" spans="1:6" x14ac:dyDescent="0.2">
      <c r="A243" s="26">
        <f t="shared" si="1"/>
        <v>2013.06</v>
      </c>
      <c r="B243" s="55">
        <v>72.709000000000003</v>
      </c>
      <c r="C243" s="56">
        <v>75.430780446495802</v>
      </c>
      <c r="E243" s="32"/>
      <c r="F243" s="31"/>
    </row>
    <row r="244" spans="1:6" x14ac:dyDescent="0.2">
      <c r="A244" s="26">
        <f t="shared" si="1"/>
        <v>2013.07</v>
      </c>
      <c r="B244" s="55">
        <v>79.221999999999994</v>
      </c>
      <c r="C244" s="56">
        <v>77.155049788457092</v>
      </c>
      <c r="E244" s="32"/>
      <c r="F244" s="31"/>
    </row>
    <row r="245" spans="1:6" x14ac:dyDescent="0.2">
      <c r="A245" s="26">
        <f t="shared" si="1"/>
        <v>2013.08</v>
      </c>
      <c r="B245" s="55">
        <v>87.266000000000005</v>
      </c>
      <c r="C245" s="56">
        <v>79.642731761602775</v>
      </c>
      <c r="E245" s="32"/>
      <c r="F245" s="31"/>
    </row>
    <row r="246" spans="1:6" x14ac:dyDescent="0.2">
      <c r="A246" s="26">
        <f t="shared" si="1"/>
        <v>2013.09</v>
      </c>
      <c r="B246" s="55">
        <v>87.79</v>
      </c>
      <c r="C246" s="56">
        <v>82.662086118768812</v>
      </c>
      <c r="E246" s="32"/>
      <c r="F246" s="31"/>
    </row>
    <row r="247" spans="1:6" x14ac:dyDescent="0.2">
      <c r="A247" s="26">
        <f t="shared" si="1"/>
        <v>2013.1</v>
      </c>
      <c r="B247" s="55">
        <v>92.614000000000004</v>
      </c>
      <c r="C247" s="56">
        <v>81.525334698897581</v>
      </c>
      <c r="E247" s="32"/>
      <c r="F247" s="31"/>
    </row>
    <row r="248" spans="1:6" x14ac:dyDescent="0.2">
      <c r="A248" s="26">
        <f t="shared" si="1"/>
        <v>2013.11</v>
      </c>
      <c r="B248" s="55">
        <v>80.11</v>
      </c>
      <c r="C248" s="56">
        <v>77.262537772714808</v>
      </c>
      <c r="E248" s="32"/>
      <c r="F248" s="31"/>
    </row>
    <row r="249" spans="1:6" x14ac:dyDescent="0.2">
      <c r="A249" s="26">
        <f t="shared" si="1"/>
        <v>2013.12</v>
      </c>
      <c r="B249" s="55">
        <v>72.370999999999995</v>
      </c>
      <c r="C249" s="56">
        <v>75.270922359454417</v>
      </c>
      <c r="E249" s="33"/>
      <c r="F249" s="31"/>
    </row>
    <row r="250" spans="1:6" x14ac:dyDescent="0.2">
      <c r="A250" s="26">
        <f t="shared" si="1"/>
        <v>2014.01</v>
      </c>
      <c r="B250" s="55">
        <v>71.424000000000007</v>
      </c>
      <c r="C250" s="56">
        <v>74.474038168972726</v>
      </c>
      <c r="E250" s="32"/>
      <c r="F250" s="31"/>
    </row>
    <row r="251" spans="1:6" x14ac:dyDescent="0.2">
      <c r="A251" s="26">
        <f t="shared" si="1"/>
        <v>2014.02</v>
      </c>
      <c r="B251" s="55">
        <v>53.417000000000002</v>
      </c>
      <c r="C251" s="56">
        <v>74.513797436933004</v>
      </c>
      <c r="E251" s="32"/>
      <c r="F251" s="31"/>
    </row>
    <row r="252" spans="1:6" x14ac:dyDescent="0.2">
      <c r="A252" s="26">
        <f t="shared" si="1"/>
        <v>2014.03</v>
      </c>
      <c r="B252" s="55">
        <v>70.510999999999996</v>
      </c>
      <c r="C252" s="56">
        <v>75.422434900460132</v>
      </c>
      <c r="E252" s="32"/>
      <c r="F252" s="31"/>
    </row>
    <row r="253" spans="1:6" x14ac:dyDescent="0.2">
      <c r="A253" s="26">
        <f t="shared" si="1"/>
        <v>2014.04</v>
      </c>
      <c r="B253" s="55">
        <v>71.546000000000006</v>
      </c>
      <c r="C253" s="56">
        <v>75.267305994983332</v>
      </c>
      <c r="E253" s="32"/>
      <c r="F253" s="31"/>
    </row>
    <row r="254" spans="1:6" x14ac:dyDescent="0.2">
      <c r="A254" s="26">
        <f t="shared" si="1"/>
        <v>2014.05</v>
      </c>
      <c r="B254" s="55">
        <v>73.959999999999994</v>
      </c>
      <c r="C254" s="56">
        <v>75.016948615506408</v>
      </c>
      <c r="E254" s="32"/>
      <c r="F254" s="31"/>
    </row>
    <row r="255" spans="1:6" x14ac:dyDescent="0.2">
      <c r="A255" s="26">
        <f t="shared" si="1"/>
        <v>2014.06</v>
      </c>
      <c r="B255" s="55">
        <v>75.655000000000001</v>
      </c>
      <c r="C255" s="56">
        <v>75.411289672811336</v>
      </c>
      <c r="E255" s="32"/>
      <c r="F255" s="31"/>
    </row>
    <row r="256" spans="1:6" x14ac:dyDescent="0.2">
      <c r="A256" s="26">
        <f t="shared" si="1"/>
        <v>2014.07</v>
      </c>
      <c r="B256" s="55">
        <v>77.542000000000002</v>
      </c>
      <c r="C256" s="56">
        <v>75.912257565322307</v>
      </c>
      <c r="E256" s="32"/>
      <c r="F256" s="31"/>
    </row>
    <row r="257" spans="1:6" x14ac:dyDescent="0.2">
      <c r="A257" s="26">
        <f t="shared" si="1"/>
        <v>2014.08</v>
      </c>
      <c r="B257" s="55">
        <v>83.731999999999999</v>
      </c>
      <c r="C257" s="56">
        <v>76.235533226304725</v>
      </c>
      <c r="E257" s="32"/>
      <c r="F257" s="31"/>
    </row>
    <row r="258" spans="1:6" x14ac:dyDescent="0.2">
      <c r="A258" s="26">
        <f t="shared" si="1"/>
        <v>2014.09</v>
      </c>
      <c r="B258" s="55">
        <v>85.093000000000004</v>
      </c>
      <c r="C258" s="56">
        <v>76.923117416168878</v>
      </c>
      <c r="E258" s="32"/>
      <c r="F258" s="31"/>
    </row>
    <row r="259" spans="1:6" x14ac:dyDescent="0.2">
      <c r="A259" s="26">
        <f t="shared" si="1"/>
        <v>2014.1</v>
      </c>
      <c r="B259" s="55">
        <v>87.73</v>
      </c>
      <c r="C259" s="56">
        <v>78.460588726195283</v>
      </c>
      <c r="E259" s="32"/>
      <c r="F259" s="31"/>
    </row>
    <row r="260" spans="1:6" x14ac:dyDescent="0.2">
      <c r="A260" s="26">
        <f t="shared" si="1"/>
        <v>2014.11</v>
      </c>
      <c r="B260" s="55">
        <v>79.331999999999994</v>
      </c>
      <c r="C260" s="56">
        <v>78.365454789864131</v>
      </c>
      <c r="E260" s="32"/>
      <c r="F260" s="31"/>
    </row>
    <row r="261" spans="1:6" x14ac:dyDescent="0.2">
      <c r="A261" s="26">
        <f t="shared" si="1"/>
        <v>2014.12</v>
      </c>
      <c r="B261" s="55">
        <v>71.637</v>
      </c>
      <c r="C261" s="56">
        <v>76.525011801913024</v>
      </c>
      <c r="E261" s="33"/>
      <c r="F261" s="31"/>
    </row>
    <row r="262" spans="1:6" x14ac:dyDescent="0.2">
      <c r="A262" s="26">
        <f t="shared" si="1"/>
        <v>2015.01</v>
      </c>
      <c r="B262" s="55">
        <v>72.542000000000002</v>
      </c>
      <c r="C262" s="56">
        <v>77.54544423230152</v>
      </c>
      <c r="E262" s="32"/>
      <c r="F262" s="31"/>
    </row>
    <row r="263" spans="1:6" x14ac:dyDescent="0.2">
      <c r="A263" s="26">
        <f t="shared" si="1"/>
        <v>2015.02</v>
      </c>
      <c r="B263" s="55">
        <v>70.063999999999993</v>
      </c>
      <c r="C263" s="56">
        <v>80.463259796099052</v>
      </c>
      <c r="E263" s="32"/>
      <c r="F263" s="31"/>
    </row>
    <row r="264" spans="1:6" x14ac:dyDescent="0.2">
      <c r="A264" s="26">
        <f t="shared" si="1"/>
        <v>2015.03</v>
      </c>
      <c r="B264" s="55">
        <v>73.370999999999995</v>
      </c>
      <c r="C264" s="56">
        <v>81.116350562258901</v>
      </c>
      <c r="E264" s="32"/>
      <c r="F264" s="31"/>
    </row>
    <row r="265" spans="1:6" x14ac:dyDescent="0.2">
      <c r="A265" s="26">
        <f t="shared" si="1"/>
        <v>2015.04</v>
      </c>
      <c r="B265" s="55">
        <v>83.387</v>
      </c>
      <c r="C265" s="56">
        <v>81.424245705724829</v>
      </c>
      <c r="E265" s="32"/>
      <c r="F265" s="31"/>
    </row>
    <row r="266" spans="1:6" x14ac:dyDescent="0.2">
      <c r="A266" s="26">
        <f t="shared" si="1"/>
        <v>2015.05</v>
      </c>
      <c r="B266" s="55">
        <v>80.162000000000006</v>
      </c>
      <c r="C266" s="56">
        <v>81.578874585543929</v>
      </c>
      <c r="E266" s="32"/>
      <c r="F266" s="31"/>
    </row>
    <row r="267" spans="1:6" x14ac:dyDescent="0.2">
      <c r="A267" s="26">
        <f t="shared" si="1"/>
        <v>2015.06</v>
      </c>
      <c r="B267" s="55">
        <v>84.888999999999996</v>
      </c>
      <c r="C267" s="56">
        <v>79.481207203186685</v>
      </c>
      <c r="E267" s="32"/>
      <c r="F267" s="31"/>
    </row>
    <row r="268" spans="1:6" x14ac:dyDescent="0.2">
      <c r="A268" s="26">
        <f t="shared" si="1"/>
        <v>2015.07</v>
      </c>
      <c r="B268" s="55">
        <v>79.655000000000001</v>
      </c>
      <c r="C268" s="56">
        <v>76.65371848262437</v>
      </c>
      <c r="E268" s="32"/>
      <c r="F268" s="31"/>
    </row>
    <row r="269" spans="1:6" x14ac:dyDescent="0.2">
      <c r="A269" s="26">
        <f t="shared" si="1"/>
        <v>2015.08</v>
      </c>
      <c r="B269" s="55">
        <v>77.272000000000006</v>
      </c>
      <c r="C269" s="56">
        <v>74.844664403382652</v>
      </c>
      <c r="E269" s="32"/>
      <c r="F269" s="31"/>
    </row>
    <row r="270" spans="1:6" x14ac:dyDescent="0.2">
      <c r="A270" s="26">
        <f t="shared" si="1"/>
        <v>2015.09</v>
      </c>
      <c r="B270" s="55">
        <v>82.991</v>
      </c>
      <c r="C270" s="56">
        <v>75.8932430732916</v>
      </c>
      <c r="E270" s="32"/>
      <c r="F270" s="31"/>
    </row>
    <row r="271" spans="1:6" x14ac:dyDescent="0.2">
      <c r="A271" s="26">
        <f t="shared" si="1"/>
        <v>2015.1</v>
      </c>
      <c r="B271" s="55">
        <v>87.328000000000003</v>
      </c>
      <c r="C271" s="56">
        <v>77.565398872451269</v>
      </c>
      <c r="E271" s="32"/>
      <c r="F271" s="31"/>
    </row>
    <row r="272" spans="1:6" x14ac:dyDescent="0.2">
      <c r="A272" s="26">
        <f t="shared" si="1"/>
        <v>2015.11</v>
      </c>
      <c r="B272" s="55">
        <v>77.316999999999993</v>
      </c>
      <c r="C272" s="56">
        <v>76.358326628798793</v>
      </c>
      <c r="E272" s="32"/>
      <c r="F272" s="31"/>
    </row>
    <row r="273" spans="1:6" x14ac:dyDescent="0.2">
      <c r="A273" s="26">
        <f t="shared" si="1"/>
        <v>2015.12</v>
      </c>
      <c r="B273" s="55">
        <v>71.504000000000005</v>
      </c>
      <c r="C273" s="56">
        <v>74.870169632346915</v>
      </c>
      <c r="E273" s="32"/>
      <c r="F273" s="31"/>
    </row>
    <row r="274" spans="1:6" x14ac:dyDescent="0.2">
      <c r="A274" s="26">
        <f t="shared" si="1"/>
        <v>2016.01</v>
      </c>
      <c r="B274" s="55">
        <v>68.704999999999998</v>
      </c>
      <c r="C274" s="56">
        <v>72.750461430647462</v>
      </c>
      <c r="E274" s="32"/>
      <c r="F274" s="31"/>
    </row>
    <row r="275" spans="1:6" x14ac:dyDescent="0.2">
      <c r="A275" s="26">
        <f t="shared" si="1"/>
        <v>2016.02</v>
      </c>
      <c r="B275" s="55">
        <v>58.831000000000003</v>
      </c>
      <c r="C275" s="56">
        <v>68.931993909222868</v>
      </c>
      <c r="E275" s="32"/>
      <c r="F275" s="31"/>
    </row>
    <row r="276" spans="1:6" x14ac:dyDescent="0.2">
      <c r="A276" s="26">
        <f t="shared" si="1"/>
        <v>2016.03</v>
      </c>
      <c r="B276" s="55">
        <v>66.974000000000004</v>
      </c>
      <c r="C276" s="56">
        <v>67.65194638769016</v>
      </c>
      <c r="E276" s="32"/>
      <c r="F276" s="31"/>
    </row>
    <row r="277" spans="1:6" x14ac:dyDescent="0.2">
      <c r="A277" s="26">
        <f t="shared" si="1"/>
        <v>2016.04</v>
      </c>
      <c r="B277" s="55">
        <v>45.915999999999997</v>
      </c>
      <c r="C277" s="56">
        <v>69.147594267034435</v>
      </c>
      <c r="E277" s="32"/>
      <c r="F277" s="31"/>
    </row>
    <row r="278" spans="1:6" x14ac:dyDescent="0.2">
      <c r="A278" s="26">
        <f t="shared" si="1"/>
        <v>2016.05</v>
      </c>
      <c r="B278" s="55">
        <v>81.686000000000007</v>
      </c>
      <c r="C278" s="56">
        <v>71.62467487044853</v>
      </c>
      <c r="E278" s="33"/>
      <c r="F278" s="31"/>
    </row>
    <row r="279" spans="1:6" x14ac:dyDescent="0.2">
      <c r="A279" s="26">
        <f t="shared" si="1"/>
        <v>2016.06</v>
      </c>
      <c r="B279" s="55">
        <v>76.597999999999999</v>
      </c>
      <c r="C279" s="56">
        <v>72.765560941904823</v>
      </c>
      <c r="E279" s="32"/>
      <c r="F279" s="31"/>
    </row>
    <row r="280" spans="1:6" x14ac:dyDescent="0.2">
      <c r="A280" s="26">
        <f t="shared" si="1"/>
        <v>2016.07</v>
      </c>
      <c r="B280" s="55">
        <v>69.317999999999998</v>
      </c>
      <c r="C280" s="56">
        <v>73.745427370693733</v>
      </c>
      <c r="E280" s="33"/>
      <c r="F280" s="31"/>
    </row>
    <row r="281" spans="1:6" x14ac:dyDescent="0.2">
      <c r="A281" s="26">
        <f t="shared" si="1"/>
        <v>2016.08</v>
      </c>
      <c r="B281" s="55">
        <v>93.213999999999999</v>
      </c>
      <c r="C281" s="56">
        <v>76.674612930747017</v>
      </c>
      <c r="E281" s="32"/>
      <c r="F281" s="31"/>
    </row>
    <row r="282" spans="1:6" x14ac:dyDescent="0.2">
      <c r="A282" s="26">
        <f t="shared" si="1"/>
        <v>2016.09</v>
      </c>
      <c r="B282" s="55">
        <v>86.003</v>
      </c>
      <c r="C282" s="56">
        <v>75.581647936734612</v>
      </c>
      <c r="E282" s="32"/>
      <c r="F282" s="31"/>
    </row>
    <row r="283" spans="1:6" x14ac:dyDescent="0.2">
      <c r="A283" s="26">
        <f t="shared" si="1"/>
        <v>2016.1</v>
      </c>
      <c r="B283" s="55">
        <v>71.906999999999996</v>
      </c>
      <c r="C283" s="56">
        <v>74.355105694981603</v>
      </c>
      <c r="E283" s="32"/>
      <c r="F283" s="31"/>
    </row>
    <row r="284" spans="1:6" x14ac:dyDescent="0.2">
      <c r="A284" s="26">
        <f t="shared" si="1"/>
        <v>2016.11</v>
      </c>
      <c r="B284" s="55">
        <v>86.403000000000006</v>
      </c>
      <c r="C284" s="56">
        <v>78.549714411285663</v>
      </c>
      <c r="E284" s="32"/>
      <c r="F284" s="31"/>
    </row>
    <row r="285" spans="1:6" x14ac:dyDescent="0.2">
      <c r="A285" s="26">
        <f t="shared" si="1"/>
        <v>2016.12</v>
      </c>
      <c r="B285" s="55">
        <v>78.454999999999998</v>
      </c>
      <c r="C285" s="56">
        <v>79.601384448546099</v>
      </c>
      <c r="E285" s="32"/>
      <c r="F285" s="31"/>
    </row>
    <row r="286" spans="1:6" x14ac:dyDescent="0.2">
      <c r="A286" s="26">
        <f t="shared" si="1"/>
        <v>2017.01</v>
      </c>
      <c r="B286" s="55">
        <v>68.635000000000005</v>
      </c>
      <c r="C286" s="56">
        <v>77.556687024242024</v>
      </c>
      <c r="E286" s="32"/>
      <c r="F286" s="31"/>
    </row>
    <row r="287" spans="1:6" x14ac:dyDescent="0.2">
      <c r="A287" s="26">
        <f t="shared" si="1"/>
        <v>2017.02</v>
      </c>
      <c r="B287" s="55">
        <v>69.052999999999997</v>
      </c>
      <c r="C287" s="56">
        <v>80.006004963760432</v>
      </c>
      <c r="E287" s="32"/>
      <c r="F287" s="31"/>
    </row>
    <row r="288" spans="1:6" x14ac:dyDescent="0.2">
      <c r="A288" s="26">
        <f t="shared" si="1"/>
        <v>2017.03</v>
      </c>
      <c r="B288" s="55">
        <v>84.278000000000006</v>
      </c>
      <c r="C288" s="56">
        <v>83.441258114214435</v>
      </c>
      <c r="E288" s="32"/>
      <c r="F288" s="31"/>
    </row>
    <row r="289" spans="1:6" x14ac:dyDescent="0.2">
      <c r="A289" s="26">
        <f t="shared" si="1"/>
        <v>2017.04</v>
      </c>
      <c r="B289" s="55">
        <v>71.033000000000001</v>
      </c>
      <c r="C289" s="56">
        <v>84.582068925172933</v>
      </c>
      <c r="E289" s="32"/>
      <c r="F289" s="31"/>
    </row>
    <row r="290" spans="1:6" x14ac:dyDescent="0.2">
      <c r="A290" s="26">
        <f t="shared" si="1"/>
        <v>2017.05</v>
      </c>
      <c r="B290" s="55">
        <v>84.585999999999999</v>
      </c>
      <c r="C290" s="56">
        <v>84.074230879031475</v>
      </c>
      <c r="E290" s="32"/>
      <c r="F290" s="31"/>
    </row>
    <row r="291" spans="1:6" x14ac:dyDescent="0.2">
      <c r="A291" s="26">
        <f t="shared" si="1"/>
        <v>2017.06</v>
      </c>
      <c r="B291" s="55">
        <v>87.177999999999997</v>
      </c>
      <c r="C291" s="56">
        <v>82.714867863630559</v>
      </c>
      <c r="E291" s="32"/>
      <c r="F291" s="31"/>
    </row>
    <row r="292" spans="1:6" x14ac:dyDescent="0.2">
      <c r="A292" s="26">
        <f t="shared" si="1"/>
        <v>2017.07</v>
      </c>
      <c r="B292" s="55">
        <v>81.448999999999998</v>
      </c>
      <c r="C292" s="56">
        <v>82.703535816863877</v>
      </c>
      <c r="E292" s="32"/>
      <c r="F292" s="31"/>
    </row>
    <row r="293" spans="1:6" x14ac:dyDescent="0.2">
      <c r="A293" s="26">
        <f t="shared" si="1"/>
        <v>2017.08</v>
      </c>
      <c r="B293" s="55">
        <v>94.575000000000003</v>
      </c>
      <c r="C293" s="56">
        <v>83.039886433244206</v>
      </c>
      <c r="E293" s="32"/>
      <c r="F293" s="31"/>
    </row>
    <row r="294" spans="1:6" x14ac:dyDescent="0.2">
      <c r="A294" s="26">
        <f t="shared" si="1"/>
        <v>2017.09</v>
      </c>
      <c r="B294" s="55">
        <v>93.700999999999993</v>
      </c>
      <c r="C294" s="56">
        <v>84.16712300202137</v>
      </c>
      <c r="E294" s="32"/>
      <c r="F294" s="31"/>
    </row>
    <row r="295" spans="1:6" x14ac:dyDescent="0.2">
      <c r="A295" s="26">
        <f t="shared" si="1"/>
        <v>2017.1</v>
      </c>
      <c r="B295" s="55">
        <v>94.644000000000005</v>
      </c>
      <c r="C295" s="56">
        <v>87.62292478711521</v>
      </c>
      <c r="E295" s="32"/>
      <c r="F295" s="31"/>
    </row>
    <row r="296" spans="1:6" x14ac:dyDescent="0.2">
      <c r="A296" s="26">
        <f t="shared" si="1"/>
        <v>2017.11</v>
      </c>
      <c r="B296" s="55">
        <v>96.010999999999996</v>
      </c>
      <c r="C296" s="56">
        <v>91.629114118627584</v>
      </c>
      <c r="E296" s="32"/>
      <c r="F296" s="31"/>
    </row>
    <row r="297" spans="1:6" x14ac:dyDescent="0.2">
      <c r="A297" s="26">
        <f t="shared" si="1"/>
        <v>2017.12</v>
      </c>
      <c r="B297" s="55">
        <v>87.216999999999999</v>
      </c>
      <c r="C297" s="56">
        <v>96.043232954456855</v>
      </c>
      <c r="E297" s="32"/>
      <c r="F297" s="31"/>
    </row>
    <row r="298" spans="1:6" x14ac:dyDescent="0.2">
      <c r="A298" s="26">
        <f t="shared" si="1"/>
        <v>2018.01</v>
      </c>
      <c r="B298" s="55">
        <v>96.168000000000006</v>
      </c>
      <c r="C298" s="56">
        <v>100.08806300295734</v>
      </c>
      <c r="E298" s="32"/>
      <c r="F298" s="31"/>
    </row>
    <row r="299" spans="1:6" x14ac:dyDescent="0.2">
      <c r="A299" s="26">
        <f t="shared" si="1"/>
        <v>2018.02</v>
      </c>
      <c r="B299" s="55">
        <v>84.352999999999994</v>
      </c>
      <c r="C299" s="56">
        <v>100.03062711887466</v>
      </c>
      <c r="E299" s="32"/>
      <c r="F299" s="31"/>
    </row>
    <row r="300" spans="1:6" x14ac:dyDescent="0.2">
      <c r="A300" s="26">
        <f t="shared" si="1"/>
        <v>2018.03</v>
      </c>
      <c r="B300" s="55">
        <v>96.891999999999996</v>
      </c>
      <c r="C300" s="56">
        <v>96.065213550782843</v>
      </c>
      <c r="E300" s="32"/>
      <c r="F300" s="31"/>
    </row>
    <row r="301" spans="1:6" x14ac:dyDescent="0.2">
      <c r="A301" s="26">
        <f t="shared" si="1"/>
        <v>2018.04</v>
      </c>
      <c r="B301" s="55">
        <v>76.84</v>
      </c>
      <c r="C301" s="56">
        <v>91.070151262684405</v>
      </c>
      <c r="E301" s="32"/>
      <c r="F301" s="31"/>
    </row>
    <row r="302" spans="1:6" x14ac:dyDescent="0.2">
      <c r="A302" s="26">
        <f t="shared" si="1"/>
        <v>2018.05</v>
      </c>
      <c r="B302" s="55">
        <v>71.144000000000005</v>
      </c>
      <c r="C302" s="56">
        <v>87.971151528669139</v>
      </c>
      <c r="E302" s="32"/>
      <c r="F302" s="31"/>
    </row>
    <row r="303" spans="1:6" x14ac:dyDescent="0.2">
      <c r="A303" s="26">
        <f t="shared" si="1"/>
        <v>2018.06</v>
      </c>
      <c r="B303" s="55">
        <v>90.462999999999994</v>
      </c>
      <c r="C303" s="56">
        <v>84.788050336731587</v>
      </c>
      <c r="E303" s="32"/>
      <c r="F303" s="31"/>
    </row>
    <row r="304" spans="1:6" x14ac:dyDescent="0.2">
      <c r="A304" s="26">
        <f t="shared" si="1"/>
        <v>2018.07</v>
      </c>
      <c r="B304" s="55">
        <v>82.106999999999999</v>
      </c>
      <c r="C304" s="56">
        <v>81.403974843412342</v>
      </c>
      <c r="E304" s="32"/>
      <c r="F304" s="31"/>
    </row>
    <row r="305" spans="1:7" x14ac:dyDescent="0.2">
      <c r="A305" s="26">
        <f t="shared" si="1"/>
        <v>2018.08</v>
      </c>
      <c r="B305" s="55">
        <v>97.057000000000002</v>
      </c>
      <c r="C305" s="56">
        <v>81.134053910382619</v>
      </c>
      <c r="E305" s="32"/>
      <c r="F305" s="31"/>
    </row>
    <row r="306" spans="1:7" x14ac:dyDescent="0.2">
      <c r="A306" s="26">
        <f t="shared" ref="A306:A369" si="2">A294+1</f>
        <v>2018.09</v>
      </c>
      <c r="B306" s="55">
        <v>83.623000000000005</v>
      </c>
      <c r="C306" s="56">
        <v>79.415966379648509</v>
      </c>
      <c r="E306" s="32"/>
      <c r="F306" s="31"/>
    </row>
    <row r="307" spans="1:7" x14ac:dyDescent="0.2">
      <c r="A307" s="26">
        <f t="shared" si="2"/>
        <v>2018.1</v>
      </c>
      <c r="B307" s="55">
        <v>80.867000000000004</v>
      </c>
      <c r="C307" s="56">
        <v>74.018384408573255</v>
      </c>
      <c r="E307" s="32"/>
      <c r="F307" s="31"/>
    </row>
    <row r="308" spans="1:7" x14ac:dyDescent="0.2">
      <c r="A308" s="26">
        <f t="shared" si="2"/>
        <v>2018.11</v>
      </c>
      <c r="B308" s="55">
        <v>71.863</v>
      </c>
      <c r="C308" s="56">
        <v>70.847372131775401</v>
      </c>
      <c r="E308" s="32"/>
      <c r="F308" s="31"/>
    </row>
    <row r="309" spans="1:7" x14ac:dyDescent="0.2">
      <c r="A309" s="26">
        <f t="shared" si="2"/>
        <v>2018.12</v>
      </c>
      <c r="B309" s="55">
        <v>65.394000000000005</v>
      </c>
      <c r="C309" s="56">
        <v>71.239779008336455</v>
      </c>
      <c r="E309" s="33"/>
      <c r="F309" s="31"/>
      <c r="G309" s="28"/>
    </row>
    <row r="310" spans="1:7" ht="14.25" x14ac:dyDescent="0.2">
      <c r="A310" s="26">
        <f t="shared" si="2"/>
        <v>2019.01</v>
      </c>
      <c r="B310" s="55">
        <v>64.344999999999999</v>
      </c>
      <c r="C310" s="56">
        <v>73.030837110275755</v>
      </c>
      <c r="E310" s="35"/>
      <c r="F310" s="36"/>
    </row>
    <row r="311" spans="1:7" ht="14.25" x14ac:dyDescent="0.2">
      <c r="A311" s="26">
        <f t="shared" si="2"/>
        <v>2019.02</v>
      </c>
      <c r="B311" s="55">
        <v>75.727000000000004</v>
      </c>
      <c r="C311" s="56">
        <v>77.148132284668065</v>
      </c>
      <c r="E311" s="35"/>
      <c r="F311" s="36"/>
    </row>
    <row r="312" spans="1:7" ht="14.25" x14ac:dyDescent="0.2">
      <c r="A312" s="26">
        <f t="shared" si="2"/>
        <v>2019.03</v>
      </c>
      <c r="B312" s="55">
        <v>77.641999999999996</v>
      </c>
      <c r="C312" s="56">
        <v>79.121172671931163</v>
      </c>
      <c r="E312" s="35"/>
      <c r="F312" s="36"/>
    </row>
    <row r="313" spans="1:7" ht="14.25" x14ac:dyDescent="0.2">
      <c r="A313" s="26">
        <f t="shared" si="2"/>
        <v>2019.04</v>
      </c>
      <c r="B313" s="55">
        <v>69.248000000000005</v>
      </c>
      <c r="C313" s="56">
        <v>77.511695347577387</v>
      </c>
      <c r="E313" s="35"/>
      <c r="F313" s="36"/>
    </row>
    <row r="314" spans="1:7" ht="14.25" x14ac:dyDescent="0.2">
      <c r="A314" s="26">
        <f t="shared" si="2"/>
        <v>2019.05</v>
      </c>
      <c r="B314" s="55">
        <v>76.813000000000002</v>
      </c>
      <c r="C314" s="56">
        <v>76.64525582921695</v>
      </c>
      <c r="E314" s="35"/>
      <c r="F314" s="36"/>
    </row>
    <row r="315" spans="1:7" ht="14.25" x14ac:dyDescent="0.2">
      <c r="A315" s="26">
        <f t="shared" si="2"/>
        <v>2019.06</v>
      </c>
      <c r="B315" s="55">
        <v>73.177999999999997</v>
      </c>
      <c r="C315" s="56">
        <v>76.125016627746334</v>
      </c>
      <c r="E315" s="35"/>
      <c r="F315" s="36"/>
    </row>
    <row r="316" spans="1:7" ht="14.25" x14ac:dyDescent="0.2">
      <c r="A316" s="26">
        <f t="shared" si="2"/>
        <v>2019.07</v>
      </c>
      <c r="B316" s="55">
        <v>81.075999999999993</v>
      </c>
      <c r="C316" s="56">
        <v>74.891164829951819</v>
      </c>
      <c r="E316" s="35"/>
      <c r="F316" s="36"/>
    </row>
    <row r="317" spans="1:7" ht="14.25" x14ac:dyDescent="0.2">
      <c r="A317" s="26">
        <f t="shared" si="2"/>
        <v>2019.08</v>
      </c>
      <c r="B317" s="55">
        <v>84.088999999999999</v>
      </c>
      <c r="C317" s="56">
        <v>71.494091158192177</v>
      </c>
      <c r="E317" s="35"/>
      <c r="F317" s="36"/>
    </row>
    <row r="318" spans="1:7" ht="14.25" x14ac:dyDescent="0.2">
      <c r="A318" s="26">
        <f t="shared" si="2"/>
        <v>2019.09</v>
      </c>
      <c r="B318" s="55">
        <v>70.531999999999996</v>
      </c>
      <c r="C318" s="56">
        <v>66.635183522686759</v>
      </c>
      <c r="E318" s="35"/>
      <c r="F318" s="36"/>
    </row>
    <row r="319" spans="1:7" ht="14.25" x14ac:dyDescent="0.2">
      <c r="A319" s="26">
        <f t="shared" si="2"/>
        <v>2019.1</v>
      </c>
      <c r="B319" s="55">
        <v>69.144000000000005</v>
      </c>
      <c r="C319" s="56">
        <v>62.864170503985918</v>
      </c>
      <c r="E319" s="35"/>
      <c r="F319" s="36"/>
    </row>
    <row r="320" spans="1:7" ht="14.25" x14ac:dyDescent="0.2">
      <c r="A320" s="26">
        <f t="shared" si="2"/>
        <v>2019.11</v>
      </c>
      <c r="B320" s="55">
        <v>63.634</v>
      </c>
      <c r="C320" s="56">
        <v>60.434186151009214</v>
      </c>
      <c r="E320" s="35"/>
      <c r="F320" s="36"/>
    </row>
    <row r="321" spans="1:7" ht="14.25" x14ac:dyDescent="0.2">
      <c r="A321" s="26">
        <f t="shared" si="2"/>
        <v>2019.12</v>
      </c>
      <c r="B321" s="55">
        <v>57.265000000000001</v>
      </c>
      <c r="C321" s="56">
        <v>59.389199894075468</v>
      </c>
      <c r="E321" s="38"/>
      <c r="F321" s="36"/>
      <c r="G321" s="34"/>
    </row>
    <row r="322" spans="1:7" x14ac:dyDescent="0.2">
      <c r="A322" s="26">
        <f t="shared" si="2"/>
        <v>2020.01</v>
      </c>
      <c r="B322" s="55">
        <v>54.387999999999998</v>
      </c>
      <c r="C322" s="56">
        <v>58.107313757357929</v>
      </c>
      <c r="E322" s="37"/>
      <c r="F322" s="37"/>
    </row>
    <row r="323" spans="1:7" x14ac:dyDescent="0.2">
      <c r="A323" s="26">
        <f t="shared" si="2"/>
        <v>2020.02</v>
      </c>
      <c r="B323" s="55">
        <v>52.619</v>
      </c>
      <c r="C323" s="56">
        <v>55.653651817100979</v>
      </c>
    </row>
    <row r="324" spans="1:7" x14ac:dyDescent="0.2">
      <c r="A324" s="26">
        <f t="shared" si="2"/>
        <v>2020.03</v>
      </c>
      <c r="B324" s="55">
        <v>43.043999999999997</v>
      </c>
      <c r="C324" s="56">
        <v>54.418231704476824</v>
      </c>
    </row>
    <row r="325" spans="1:7" x14ac:dyDescent="0.2">
      <c r="A325" s="26">
        <f t="shared" si="2"/>
        <v>2020.04</v>
      </c>
      <c r="B325" s="55">
        <v>24.456</v>
      </c>
      <c r="C325" s="56">
        <v>54.772554238820682</v>
      </c>
    </row>
    <row r="326" spans="1:7" x14ac:dyDescent="0.2">
      <c r="A326" s="26">
        <f t="shared" si="2"/>
        <v>2020.05</v>
      </c>
      <c r="B326" s="55">
        <v>51.994999999999997</v>
      </c>
      <c r="C326" s="56">
        <v>57.964050711482017</v>
      </c>
    </row>
    <row r="327" spans="1:7" x14ac:dyDescent="0.2">
      <c r="A327" s="26">
        <f t="shared" si="2"/>
        <v>2020.06</v>
      </c>
      <c r="B327" s="55">
        <v>72.736999999999995</v>
      </c>
      <c r="C327" s="56">
        <v>64.151390840492212</v>
      </c>
    </row>
    <row r="328" spans="1:7" x14ac:dyDescent="0.2">
      <c r="A328" s="26">
        <f t="shared" si="2"/>
        <v>2020.07</v>
      </c>
      <c r="B328" s="55">
        <v>84.613</v>
      </c>
      <c r="C328" s="56">
        <v>69.495726350650358</v>
      </c>
    </row>
    <row r="329" spans="1:7" x14ac:dyDescent="0.2">
      <c r="A329" s="26">
        <f t="shared" si="2"/>
        <v>2020.08</v>
      </c>
      <c r="B329" s="55">
        <v>81.584000000000003</v>
      </c>
      <c r="C329" s="56">
        <v>73.485968618508622</v>
      </c>
    </row>
    <row r="330" spans="1:7" x14ac:dyDescent="0.2">
      <c r="A330" s="26">
        <f t="shared" si="2"/>
        <v>2020.09</v>
      </c>
      <c r="B330" s="55">
        <v>85.501999999999995</v>
      </c>
      <c r="C330" s="56">
        <v>76.727866787534737</v>
      </c>
    </row>
    <row r="331" spans="1:7" x14ac:dyDescent="0.2">
      <c r="A331" s="26">
        <f t="shared" si="2"/>
        <v>2020.1</v>
      </c>
      <c r="B331" s="55">
        <v>88.152000000000001</v>
      </c>
      <c r="C331" s="56">
        <v>79.894781183098672</v>
      </c>
    </row>
    <row r="332" spans="1:7" x14ac:dyDescent="0.2">
      <c r="A332" s="26">
        <f t="shared" si="2"/>
        <v>2020.11</v>
      </c>
      <c r="B332" s="55">
        <v>84.605000000000004</v>
      </c>
      <c r="C332" s="56">
        <v>82.785544343547571</v>
      </c>
    </row>
    <row r="333" spans="1:7" x14ac:dyDescent="0.2">
      <c r="A333" s="26">
        <f t="shared" si="2"/>
        <v>2020.12</v>
      </c>
      <c r="B333" s="55">
        <v>81.834000000000003</v>
      </c>
      <c r="C333" s="56">
        <v>82.833059304809666</v>
      </c>
    </row>
    <row r="334" spans="1:7" x14ac:dyDescent="0.2">
      <c r="A334" s="26">
        <f t="shared" si="2"/>
        <v>2021.01</v>
      </c>
      <c r="B334" s="55">
        <v>70.465000000000003</v>
      </c>
      <c r="C334" s="56">
        <v>80.153139101448062</v>
      </c>
      <c r="E334" s="28"/>
    </row>
    <row r="335" spans="1:7" x14ac:dyDescent="0.2">
      <c r="A335" s="26">
        <f t="shared" si="2"/>
        <v>2021.02</v>
      </c>
      <c r="B335" s="55">
        <v>66.629000000000005</v>
      </c>
      <c r="C335" s="56">
        <v>78.82734916823307</v>
      </c>
      <c r="E335" s="28"/>
      <c r="F335" s="28"/>
    </row>
    <row r="336" spans="1:7" x14ac:dyDescent="0.2">
      <c r="A336" s="26">
        <f t="shared" si="2"/>
        <v>2021.03</v>
      </c>
      <c r="B336" s="55">
        <v>78.849000000000004</v>
      </c>
      <c r="C336" s="56">
        <v>80.533019814922653</v>
      </c>
      <c r="E336" s="28"/>
      <c r="F336" s="28"/>
    </row>
    <row r="337" spans="1:6" x14ac:dyDescent="0.2">
      <c r="A337" s="26">
        <f t="shared" si="2"/>
        <v>2021.04</v>
      </c>
      <c r="B337" s="55">
        <v>75.158000000000001</v>
      </c>
      <c r="C337" s="56">
        <v>81.18773711727053</v>
      </c>
      <c r="E337" s="28"/>
      <c r="F337" s="28"/>
    </row>
    <row r="338" spans="1:6" x14ac:dyDescent="0.2">
      <c r="A338" s="26">
        <f t="shared" si="2"/>
        <v>2021.05</v>
      </c>
      <c r="B338" s="55">
        <v>69.548000000000002</v>
      </c>
      <c r="C338" s="56">
        <v>80.248660168285639</v>
      </c>
    </row>
    <row r="339" spans="1:6" x14ac:dyDescent="0.2">
      <c r="A339" s="26">
        <f t="shared" si="2"/>
        <v>2021.06</v>
      </c>
      <c r="B339" s="55">
        <v>85.028000000000006</v>
      </c>
      <c r="C339" s="56">
        <v>80.334312789062864</v>
      </c>
    </row>
    <row r="340" spans="1:6" x14ac:dyDescent="0.2">
      <c r="A340" s="26">
        <f t="shared" si="2"/>
        <v>2021.07</v>
      </c>
      <c r="B340" s="55">
        <v>86.572999999999993</v>
      </c>
      <c r="C340" s="56">
        <v>79.43499223819272</v>
      </c>
    </row>
    <row r="341" spans="1:6" x14ac:dyDescent="0.2">
      <c r="A341" s="26">
        <f t="shared" si="2"/>
        <v>2021.08</v>
      </c>
      <c r="B341" s="55">
        <v>90.561999999999998</v>
      </c>
      <c r="C341" s="56">
        <v>78.945751960139901</v>
      </c>
    </row>
    <row r="342" spans="1:6" x14ac:dyDescent="0.2">
      <c r="A342" s="26">
        <f t="shared" si="2"/>
        <v>2021.09</v>
      </c>
      <c r="B342" s="55">
        <v>89.168000000000006</v>
      </c>
      <c r="C342" s="56">
        <v>80.645531939910612</v>
      </c>
    </row>
    <row r="343" spans="1:6" x14ac:dyDescent="0.2">
      <c r="A343" s="26">
        <f t="shared" si="2"/>
        <v>2021.1</v>
      </c>
      <c r="B343" s="55">
        <v>87.385000000000005</v>
      </c>
      <c r="C343" s="56">
        <v>81.15300114124075</v>
      </c>
    </row>
    <row r="344" spans="1:6" x14ac:dyDescent="0.2">
      <c r="A344" s="26">
        <f t="shared" si="2"/>
        <v>2021.11</v>
      </c>
      <c r="B344" s="55">
        <v>87.242000000000004</v>
      </c>
      <c r="C344" s="56">
        <v>80.87374802578374</v>
      </c>
    </row>
    <row r="345" spans="1:6" x14ac:dyDescent="0.2">
      <c r="A345" s="26">
        <f t="shared" si="2"/>
        <v>2021.12</v>
      </c>
      <c r="B345" s="55">
        <v>79.649000000000001</v>
      </c>
      <c r="C345" s="56">
        <v>80.566124292305744</v>
      </c>
    </row>
    <row r="346" spans="1:6" x14ac:dyDescent="0.2">
      <c r="A346" s="26">
        <f t="shared" si="2"/>
        <v>2022.01</v>
      </c>
      <c r="B346" s="55">
        <v>66.381</v>
      </c>
      <c r="C346" s="56">
        <v>81.765542287507685</v>
      </c>
    </row>
    <row r="347" spans="1:6" x14ac:dyDescent="0.2">
      <c r="A347" s="26">
        <f t="shared" si="2"/>
        <v>2022.02</v>
      </c>
      <c r="B347" s="55">
        <v>76.073999999999998</v>
      </c>
      <c r="C347" s="56">
        <v>84.173077116236044</v>
      </c>
    </row>
    <row r="348" spans="1:6" x14ac:dyDescent="0.2">
      <c r="A348" s="26">
        <f t="shared" si="2"/>
        <v>2022.03</v>
      </c>
      <c r="B348" s="55">
        <v>79.313999999999993</v>
      </c>
      <c r="C348" s="56">
        <v>86.65036061862898</v>
      </c>
    </row>
    <row r="349" spans="1:6" x14ac:dyDescent="0.2">
      <c r="A349" s="26">
        <f t="shared" si="2"/>
        <v>2022.04</v>
      </c>
      <c r="B349" s="55">
        <v>82.991</v>
      </c>
      <c r="C349" s="56">
        <v>90.750968735685177</v>
      </c>
    </row>
    <row r="350" spans="1:6" x14ac:dyDescent="0.2">
      <c r="A350" s="26">
        <f t="shared" si="2"/>
        <v>2022.05</v>
      </c>
      <c r="B350" s="55">
        <v>86.98</v>
      </c>
      <c r="C350" s="56">
        <v>90.837323838692058</v>
      </c>
    </row>
    <row r="351" spans="1:6" x14ac:dyDescent="0.2">
      <c r="A351" s="26">
        <f t="shared" si="2"/>
        <v>2022.06</v>
      </c>
      <c r="B351" s="55">
        <v>84.745999999999995</v>
      </c>
      <c r="C351" s="56">
        <v>86.892384896215987</v>
      </c>
    </row>
    <row r="352" spans="1:6" x14ac:dyDescent="0.2">
      <c r="A352" s="26">
        <f t="shared" si="2"/>
        <v>2022.07</v>
      </c>
      <c r="B352" s="55">
        <v>90.512</v>
      </c>
      <c r="C352" s="56">
        <v>83.427236566033187</v>
      </c>
    </row>
    <row r="353" spans="1:3" x14ac:dyDescent="0.2">
      <c r="A353" s="26">
        <f t="shared" si="2"/>
        <v>2022.08</v>
      </c>
      <c r="B353" s="55">
        <v>92.775000000000006</v>
      </c>
      <c r="C353" s="56">
        <v>80.529478526786818</v>
      </c>
    </row>
    <row r="354" spans="1:3" x14ac:dyDescent="0.2">
      <c r="A354" s="26">
        <f t="shared" si="2"/>
        <v>2022.09</v>
      </c>
      <c r="B354" s="55">
        <v>92.783000000000001</v>
      </c>
      <c r="C354" s="56">
        <v>79.436446444056429</v>
      </c>
    </row>
    <row r="355" spans="1:3" x14ac:dyDescent="0.2">
      <c r="A355" s="26">
        <f t="shared" si="2"/>
        <v>2022.1</v>
      </c>
      <c r="B355" s="55">
        <v>82.445999999999998</v>
      </c>
      <c r="C355" s="56">
        <v>79.703809413457265</v>
      </c>
    </row>
    <row r="356" spans="1:3" x14ac:dyDescent="0.2">
      <c r="A356" s="26">
        <f t="shared" si="2"/>
        <v>2022.11</v>
      </c>
      <c r="B356" s="55">
        <v>85.841999999999999</v>
      </c>
      <c r="C356" s="56">
        <v>78.657038442278406</v>
      </c>
    </row>
    <row r="357" spans="1:3" x14ac:dyDescent="0.2">
      <c r="A357" s="26">
        <f t="shared" si="2"/>
        <v>2022.12</v>
      </c>
      <c r="B357" s="55">
        <v>71.614000000000004</v>
      </c>
      <c r="C357" s="56">
        <v>76.03101723205566</v>
      </c>
    </row>
    <row r="358" spans="1:3" x14ac:dyDescent="0.2">
      <c r="A358" s="26">
        <f t="shared" si="2"/>
        <v>2023.01</v>
      </c>
      <c r="B358" s="55">
        <v>68.929000000000002</v>
      </c>
      <c r="C358" s="56">
        <v>74.689975900128644</v>
      </c>
    </row>
    <row r="359" spans="1:3" x14ac:dyDescent="0.2">
      <c r="A359" s="26">
        <f t="shared" si="2"/>
        <v>2023.02</v>
      </c>
      <c r="B359" s="55">
        <v>63.616</v>
      </c>
      <c r="C359" s="56">
        <v>75.755281642251191</v>
      </c>
    </row>
    <row r="360" spans="1:3" x14ac:dyDescent="0.2">
      <c r="A360" s="26">
        <f t="shared" si="2"/>
        <v>2023.03</v>
      </c>
      <c r="B360" s="55">
        <v>77.253</v>
      </c>
      <c r="C360" s="56">
        <v>77.029758878407605</v>
      </c>
    </row>
    <row r="361" spans="1:3" x14ac:dyDescent="0.2">
      <c r="A361" s="26">
        <f t="shared" si="2"/>
        <v>2023.04</v>
      </c>
      <c r="B361" s="55">
        <v>71.716999999999999</v>
      </c>
      <c r="C361" s="56">
        <v>76.302015907272335</v>
      </c>
    </row>
    <row r="362" spans="1:3" x14ac:dyDescent="0.2">
      <c r="A362" s="26">
        <f t="shared" si="2"/>
        <v>2023.05</v>
      </c>
      <c r="B362" s="55">
        <v>72.480999999999995</v>
      </c>
      <c r="C362" s="56">
        <v>74.101511220539976</v>
      </c>
    </row>
    <row r="363" spans="1:3" x14ac:dyDescent="0.2">
      <c r="A363" s="26">
        <f t="shared" si="2"/>
        <v>2023.06</v>
      </c>
      <c r="B363" s="55">
        <v>73.143000000000001</v>
      </c>
      <c r="C363" s="56">
        <v>71.801733559819226</v>
      </c>
    </row>
    <row r="364" spans="1:3" x14ac:dyDescent="0.2">
      <c r="A364" s="26">
        <f t="shared" si="2"/>
        <v>2023.07</v>
      </c>
      <c r="B364" s="55">
        <v>73.817999999999998</v>
      </c>
      <c r="C364" s="56">
        <v>71.751274937842908</v>
      </c>
    </row>
    <row r="365" spans="1:3" x14ac:dyDescent="0.2">
      <c r="A365" s="26">
        <f t="shared" si="2"/>
        <v>2023.08</v>
      </c>
      <c r="B365" s="55">
        <v>86.19</v>
      </c>
      <c r="C365" s="56">
        <v>71.916587803956219</v>
      </c>
    </row>
    <row r="366" spans="1:3" x14ac:dyDescent="0.2">
      <c r="A366" s="26">
        <f t="shared" si="2"/>
        <v>2023.09</v>
      </c>
      <c r="B366" s="55">
        <v>77.248000000000005</v>
      </c>
      <c r="C366" s="56">
        <v>69.479640949718259</v>
      </c>
    </row>
    <row r="367" spans="1:3" x14ac:dyDescent="0.2">
      <c r="A367" s="26">
        <f t="shared" si="2"/>
        <v>2023.1</v>
      </c>
      <c r="B367" s="55">
        <v>76.02</v>
      </c>
      <c r="C367" s="56">
        <v>66.566204900172153</v>
      </c>
    </row>
    <row r="368" spans="1:3" x14ac:dyDescent="0.2">
      <c r="A368" s="26">
        <f t="shared" si="2"/>
        <v>2023.11</v>
      </c>
      <c r="B368" s="55">
        <v>64.820999999999998</v>
      </c>
      <c r="C368" s="56">
        <v>63.393090974027714</v>
      </c>
    </row>
    <row r="369" spans="1:3" x14ac:dyDescent="0.2">
      <c r="A369" s="26">
        <f t="shared" si="2"/>
        <v>2023.12</v>
      </c>
      <c r="B369" s="55">
        <v>56.420999999999999</v>
      </c>
      <c r="C369" s="56">
        <v>60.574004143293088</v>
      </c>
    </row>
    <row r="370" spans="1:3" x14ac:dyDescent="0.2">
      <c r="A370" s="26">
        <f t="shared" ref="A370:A433" si="3">A358+1</f>
        <v>2024.01</v>
      </c>
      <c r="B370" s="55">
        <v>54.646000000000001</v>
      </c>
      <c r="C370" s="56">
        <v>58.364402203166847</v>
      </c>
    </row>
    <row r="371" spans="1:3" x14ac:dyDescent="0.2">
      <c r="A371" s="26">
        <f t="shared" si="3"/>
        <v>2024.02</v>
      </c>
      <c r="B371" s="55">
        <v>48.534999999999997</v>
      </c>
      <c r="C371" s="56">
        <v>56.334375855470633</v>
      </c>
    </row>
    <row r="372" spans="1:3" x14ac:dyDescent="0.2">
      <c r="A372" s="26">
        <f t="shared" si="3"/>
        <v>2024.03</v>
      </c>
      <c r="B372" s="55">
        <v>43.331000000000003</v>
      </c>
      <c r="C372" s="56">
        <v>55.217719331330187</v>
      </c>
    </row>
    <row r="373" spans="1:3" x14ac:dyDescent="0.2">
      <c r="A373" s="26">
        <f t="shared" si="3"/>
        <v>2024.04</v>
      </c>
      <c r="B373" s="55">
        <v>47.511000000000003</v>
      </c>
      <c r="C373" s="56">
        <v>55.375986100152396</v>
      </c>
    </row>
    <row r="374" spans="1:3" x14ac:dyDescent="0.2">
      <c r="A374" s="26">
        <f t="shared" si="3"/>
        <v>2024.05</v>
      </c>
      <c r="B374" s="55">
        <v>63.231000000000002</v>
      </c>
      <c r="C374" s="56">
        <v>57.722910739282831</v>
      </c>
    </row>
    <row r="375" spans="1:3" x14ac:dyDescent="0.2">
      <c r="A375" s="26">
        <f t="shared" si="3"/>
        <v>2024.06</v>
      </c>
      <c r="B375" s="55">
        <v>56.56</v>
      </c>
      <c r="C375" s="56">
        <v>61.028491347611791</v>
      </c>
    </row>
    <row r="376" spans="1:3" x14ac:dyDescent="0.2">
      <c r="A376" s="26">
        <f t="shared" si="3"/>
        <v>2024.07</v>
      </c>
      <c r="B376" s="55">
        <v>72.019000000000005</v>
      </c>
      <c r="C376" s="56">
        <v>61.639224906670705</v>
      </c>
    </row>
    <row r="377" spans="1:3" x14ac:dyDescent="0.2">
      <c r="A377" s="26">
        <f t="shared" si="3"/>
        <v>2024.08</v>
      </c>
      <c r="B377" s="55">
        <v>66.043999999999997</v>
      </c>
      <c r="C377" s="56">
        <v>60.102880396641737</v>
      </c>
    </row>
    <row r="378" spans="1:3" x14ac:dyDescent="0.2">
      <c r="A378" s="26">
        <f t="shared" si="3"/>
        <v>2024.09</v>
      </c>
      <c r="B378" s="55">
        <v>66.900999999999996</v>
      </c>
      <c r="C378" s="56">
        <v>58.874825001403231</v>
      </c>
    </row>
    <row r="379" spans="1:3" x14ac:dyDescent="0.2">
      <c r="A379" s="26">
        <f>A367+1</f>
        <v>2024.1</v>
      </c>
      <c r="B379" s="55">
        <v>62.103000000000002</v>
      </c>
      <c r="C379" s="56">
        <v>57.265645428836805</v>
      </c>
    </row>
    <row r="380" spans="1:3" x14ac:dyDescent="0.2">
      <c r="A380" s="26">
        <f t="shared" si="3"/>
        <v>2024.11</v>
      </c>
      <c r="B380" s="55">
        <v>61.484999999999999</v>
      </c>
      <c r="C380" s="56">
        <v>57.573008418356743</v>
      </c>
    </row>
    <row r="381" spans="1:3" x14ac:dyDescent="0.2">
      <c r="A381" s="26">
        <f t="shared" si="3"/>
        <v>2024.12</v>
      </c>
      <c r="B381" s="55">
        <v>58.34</v>
      </c>
      <c r="C381" s="56">
        <v>59.338468994874333</v>
      </c>
    </row>
    <row r="382" spans="1:3" x14ac:dyDescent="0.2">
      <c r="A382" s="26">
        <f t="shared" si="3"/>
        <v>2025.01</v>
      </c>
      <c r="B382" s="55">
        <v>62.295999999999999</v>
      </c>
      <c r="C382" s="56">
        <v>59.558125370165953</v>
      </c>
    </row>
    <row r="383" spans="1:3" x14ac:dyDescent="0.2">
      <c r="A383" s="26">
        <f t="shared" si="3"/>
        <v>2025.02</v>
      </c>
      <c r="B383" s="55">
        <v>51.082000000000001</v>
      </c>
      <c r="C383" s="56">
        <v>58.927487954254431</v>
      </c>
    </row>
    <row r="384" spans="1:3" x14ac:dyDescent="0.2">
      <c r="A384" s="26">
        <f t="shared" si="3"/>
        <v>2025.03</v>
      </c>
      <c r="B384" s="55">
        <v>50.969000000000001</v>
      </c>
      <c r="C384" s="56">
        <v>56.02274753600534</v>
      </c>
    </row>
    <row r="385" spans="1:3" x14ac:dyDescent="0.2">
      <c r="A385" s="26">
        <f t="shared" si="3"/>
        <v>2025.04</v>
      </c>
      <c r="B385" s="55">
        <v>42.23</v>
      </c>
      <c r="C385" s="56">
        <v>52.473018996744585</v>
      </c>
    </row>
    <row r="386" spans="1:3" x14ac:dyDescent="0.2">
      <c r="A386" s="26">
        <f t="shared" si="3"/>
        <v>2025.05</v>
      </c>
      <c r="B386" s="55">
        <v>43.140999999999998</v>
      </c>
      <c r="C386" s="56">
        <v>51.378539686143185</v>
      </c>
    </row>
    <row r="387" spans="1:3" x14ac:dyDescent="0.2">
      <c r="A387" s="26">
        <f t="shared" si="3"/>
        <v>2025.06</v>
      </c>
      <c r="B387" s="55">
        <v>44.218000000000004</v>
      </c>
      <c r="C387" s="56">
        <v>52.482978972526318</v>
      </c>
    </row>
    <row r="388" spans="1:3" x14ac:dyDescent="0.2">
      <c r="A388" s="26">
        <f t="shared" si="3"/>
        <v>2025.07</v>
      </c>
      <c r="B388" s="55">
        <v>64.531000000000006</v>
      </c>
      <c r="C388" s="56">
        <v>55.868049388074773</v>
      </c>
    </row>
    <row r="389" spans="1:3" x14ac:dyDescent="0.2">
      <c r="A389" s="26">
        <f t="shared" si="3"/>
        <v>2025.08</v>
      </c>
      <c r="B389" s="55">
        <v>65.95</v>
      </c>
      <c r="C389" s="56">
        <v>58.501209317295505</v>
      </c>
    </row>
    <row r="390" spans="1:3" x14ac:dyDescent="0.2">
      <c r="A390" s="26">
        <f t="shared" si="3"/>
        <v>2025.09</v>
      </c>
      <c r="B390" s="55">
        <v>68.324206252024368</v>
      </c>
      <c r="C390" s="56">
        <v>59.83345954018656</v>
      </c>
    </row>
    <row r="391" spans="1:3" x14ac:dyDescent="0.2">
      <c r="A391" s="26">
        <f t="shared" si="3"/>
        <v>2025.1</v>
      </c>
      <c r="B391" s="55">
        <v>72.074825439209292</v>
      </c>
      <c r="C391" s="56">
        <v>61.582387746170753</v>
      </c>
    </row>
    <row r="392" spans="1:3" x14ac:dyDescent="0.2">
      <c r="A392" s="26">
        <f t="shared" si="3"/>
        <v>2025.11</v>
      </c>
      <c r="B392" s="55">
        <v>61.731372131893146</v>
      </c>
      <c r="C392" s="56">
        <v>61.206344198871257</v>
      </c>
    </row>
    <row r="393" spans="1:3" x14ac:dyDescent="0.2">
      <c r="A393" s="26">
        <f t="shared" si="3"/>
        <v>2025.12</v>
      </c>
      <c r="B393" s="55">
        <v>56.234130852597005</v>
      </c>
      <c r="C393" s="56">
        <v>60.369224991688768</v>
      </c>
    </row>
    <row r="394" spans="1:3" x14ac:dyDescent="0.2">
      <c r="A394" s="26">
        <f t="shared" si="3"/>
        <v>2026.01</v>
      </c>
      <c r="B394" s="55">
        <v>58.662819031217246</v>
      </c>
      <c r="C394" s="56">
        <v>61.240271284088237</v>
      </c>
    </row>
    <row r="395" spans="1:3" x14ac:dyDescent="0.2">
      <c r="A395" s="26">
        <f t="shared" si="3"/>
        <v>2026.02</v>
      </c>
      <c r="B395" s="55">
        <v>51.836576001516796</v>
      </c>
      <c r="C395" s="56">
        <v>61.962623582957001</v>
      </c>
    </row>
    <row r="396" spans="1:3" x14ac:dyDescent="0.2">
      <c r="A396" s="26">
        <f t="shared" si="3"/>
        <v>2026.03</v>
      </c>
      <c r="B396" s="55">
        <v>61.502280096289169</v>
      </c>
      <c r="C396" s="56">
        <v>63.444138498300688</v>
      </c>
    </row>
    <row r="397" spans="1:3" x14ac:dyDescent="0.2">
      <c r="A397" s="26">
        <f t="shared" si="3"/>
        <v>2026.04</v>
      </c>
      <c r="B397" s="55">
        <v>54.381001059722536</v>
      </c>
      <c r="C397" s="56">
        <v>64.855355255731283</v>
      </c>
    </row>
    <row r="398" spans="1:3" x14ac:dyDescent="0.2">
      <c r="A398" s="26">
        <f t="shared" si="3"/>
        <v>2026.05</v>
      </c>
      <c r="B398" s="55">
        <v>60.03253336884552</v>
      </c>
      <c r="C398" s="56">
        <v>63.503185684177424</v>
      </c>
    </row>
    <row r="399" spans="1:3" x14ac:dyDescent="0.2">
      <c r="A399" s="26">
        <f t="shared" si="3"/>
        <v>2026.06</v>
      </c>
      <c r="B399" s="55">
        <v>60.31342789203245</v>
      </c>
      <c r="C399" s="56">
        <v>60.764859965259596</v>
      </c>
    </row>
    <row r="400" spans="1:3" x14ac:dyDescent="0.2">
      <c r="A400" s="26">
        <f t="shared" si="3"/>
        <v>2026.07</v>
      </c>
      <c r="B400" s="55">
        <v>60.731792522354063</v>
      </c>
      <c r="C400" s="56">
        <v>58.764432462592701</v>
      </c>
    </row>
    <row r="401" spans="1:3" x14ac:dyDescent="0.2">
      <c r="A401" s="26">
        <f t="shared" si="3"/>
        <v>2026.08</v>
      </c>
      <c r="B401" s="55">
        <v>60.635481575612175</v>
      </c>
      <c r="C401" s="56">
        <v>57.842380015146745</v>
      </c>
    </row>
    <row r="402" spans="1:3" x14ac:dyDescent="0.2">
      <c r="A402" s="26">
        <f t="shared" si="3"/>
        <v>2026.09</v>
      </c>
      <c r="B402" s="55" t="e">
        <v>#N/A</v>
      </c>
      <c r="C402" s="56" t="e">
        <v>#N/A</v>
      </c>
    </row>
    <row r="403" spans="1:3" x14ac:dyDescent="0.2">
      <c r="A403" s="26">
        <f t="shared" si="3"/>
        <v>2026.1</v>
      </c>
      <c r="B403" s="55" t="e">
        <v>#N/A</v>
      </c>
      <c r="C403" s="56" t="e">
        <v>#N/A</v>
      </c>
    </row>
    <row r="404" spans="1:3" x14ac:dyDescent="0.2">
      <c r="A404" s="26">
        <f t="shared" si="3"/>
        <v>2026.11</v>
      </c>
      <c r="B404" s="55" t="e">
        <v>#N/A</v>
      </c>
      <c r="C404" s="56" t="e">
        <v>#N/A</v>
      </c>
    </row>
    <row r="405" spans="1:3" x14ac:dyDescent="0.2">
      <c r="A405" s="26">
        <f t="shared" si="3"/>
        <v>2026.12</v>
      </c>
      <c r="B405" s="55" t="e">
        <v>#N/A</v>
      </c>
      <c r="C405" s="56" t="e">
        <v>#N/A</v>
      </c>
    </row>
    <row r="406" spans="1:3" x14ac:dyDescent="0.2">
      <c r="A406" s="26">
        <f t="shared" si="3"/>
        <v>2027.01</v>
      </c>
      <c r="B406" s="55" t="e">
        <v>#N/A</v>
      </c>
      <c r="C406" s="56" t="e">
        <v>#N/A</v>
      </c>
    </row>
    <row r="407" spans="1:3" x14ac:dyDescent="0.2">
      <c r="A407" s="26">
        <f t="shared" si="3"/>
        <v>2027.02</v>
      </c>
      <c r="B407" s="55" t="e">
        <v>#N/A</v>
      </c>
      <c r="C407" s="56" t="e">
        <v>#N/A</v>
      </c>
    </row>
    <row r="408" spans="1:3" x14ac:dyDescent="0.2">
      <c r="A408" s="26">
        <f t="shared" si="3"/>
        <v>2027.03</v>
      </c>
      <c r="B408" s="55" t="e">
        <v>#N/A</v>
      </c>
      <c r="C408" s="56" t="e">
        <v>#N/A</v>
      </c>
    </row>
    <row r="409" spans="1:3" x14ac:dyDescent="0.2">
      <c r="A409" s="26">
        <f t="shared" si="3"/>
        <v>2027.04</v>
      </c>
      <c r="B409" s="55" t="e">
        <v>#N/A</v>
      </c>
      <c r="C409" s="56" t="e">
        <v>#N/A</v>
      </c>
    </row>
    <row r="410" spans="1:3" x14ac:dyDescent="0.2">
      <c r="A410" s="26">
        <f t="shared" si="3"/>
        <v>2027.05</v>
      </c>
      <c r="B410" s="55" t="e">
        <v>#N/A</v>
      </c>
      <c r="C410" s="56" t="e">
        <v>#N/A</v>
      </c>
    </row>
    <row r="411" spans="1:3" x14ac:dyDescent="0.2">
      <c r="A411" s="26">
        <f t="shared" si="3"/>
        <v>2027.06</v>
      </c>
      <c r="B411" s="55" t="e">
        <v>#N/A</v>
      </c>
      <c r="C411" s="56" t="e">
        <v>#N/A</v>
      </c>
    </row>
    <row r="412" spans="1:3" x14ac:dyDescent="0.2">
      <c r="A412" s="26">
        <f t="shared" si="3"/>
        <v>2027.07</v>
      </c>
      <c r="B412" s="55" t="e">
        <v>#N/A</v>
      </c>
      <c r="C412" s="56" t="e">
        <v>#N/A</v>
      </c>
    </row>
    <row r="413" spans="1:3" x14ac:dyDescent="0.2">
      <c r="A413" s="26">
        <f t="shared" si="3"/>
        <v>2027.08</v>
      </c>
      <c r="B413" s="55" t="e">
        <v>#N/A</v>
      </c>
      <c r="C413" s="56" t="e">
        <v>#N/A</v>
      </c>
    </row>
    <row r="414" spans="1:3" x14ac:dyDescent="0.2">
      <c r="A414" s="26">
        <f t="shared" si="3"/>
        <v>2027.09</v>
      </c>
      <c r="B414" s="55" t="e">
        <v>#N/A</v>
      </c>
      <c r="C414" s="56" t="e">
        <v>#N/A</v>
      </c>
    </row>
    <row r="415" spans="1:3" x14ac:dyDescent="0.2">
      <c r="A415" s="26">
        <f t="shared" si="3"/>
        <v>2027.1</v>
      </c>
      <c r="B415" s="55" t="e">
        <v>#N/A</v>
      </c>
      <c r="C415" s="56" t="e">
        <v>#N/A</v>
      </c>
    </row>
    <row r="416" spans="1:3" x14ac:dyDescent="0.2">
      <c r="A416" s="26">
        <f t="shared" si="3"/>
        <v>2027.11</v>
      </c>
      <c r="B416" s="55" t="e">
        <v>#N/A</v>
      </c>
      <c r="C416" s="56" t="e">
        <v>#N/A</v>
      </c>
    </row>
    <row r="417" spans="1:3" x14ac:dyDescent="0.2">
      <c r="A417" s="26">
        <f t="shared" si="3"/>
        <v>2027.12</v>
      </c>
      <c r="B417" s="55" t="e">
        <v>#N/A</v>
      </c>
      <c r="C417" s="56" t="e">
        <v>#N/A</v>
      </c>
    </row>
    <row r="418" spans="1:3" x14ac:dyDescent="0.2">
      <c r="A418" s="26">
        <f t="shared" si="3"/>
        <v>2028.01</v>
      </c>
      <c r="B418" s="55" t="e">
        <v>#N/A</v>
      </c>
      <c r="C418" s="56" t="e">
        <v>#N/A</v>
      </c>
    </row>
    <row r="419" spans="1:3" x14ac:dyDescent="0.2">
      <c r="A419" s="26">
        <f t="shared" si="3"/>
        <v>2028.02</v>
      </c>
      <c r="B419" s="55" t="e">
        <v>#N/A</v>
      </c>
      <c r="C419" s="56" t="e">
        <v>#N/A</v>
      </c>
    </row>
    <row r="420" spans="1:3" x14ac:dyDescent="0.2">
      <c r="A420" s="26">
        <f t="shared" si="3"/>
        <v>2028.03</v>
      </c>
      <c r="B420" s="55" t="e">
        <v>#N/A</v>
      </c>
      <c r="C420" s="56" t="e">
        <v>#N/A</v>
      </c>
    </row>
    <row r="421" spans="1:3" x14ac:dyDescent="0.2">
      <c r="A421" s="26">
        <f t="shared" si="3"/>
        <v>2028.04</v>
      </c>
      <c r="B421" s="55" t="e">
        <v>#N/A</v>
      </c>
      <c r="C421" s="56" t="e">
        <v>#N/A</v>
      </c>
    </row>
    <row r="422" spans="1:3" x14ac:dyDescent="0.2">
      <c r="A422" s="26">
        <f t="shared" si="3"/>
        <v>2028.05</v>
      </c>
      <c r="B422" s="55" t="e">
        <v>#N/A</v>
      </c>
      <c r="C422" s="56" t="e">
        <v>#N/A</v>
      </c>
    </row>
    <row r="423" spans="1:3" x14ac:dyDescent="0.2">
      <c r="A423" s="26">
        <f t="shared" si="3"/>
        <v>2028.06</v>
      </c>
      <c r="B423" s="55" t="e">
        <v>#N/A</v>
      </c>
      <c r="C423" s="56" t="e">
        <v>#N/A</v>
      </c>
    </row>
    <row r="424" spans="1:3" x14ac:dyDescent="0.2">
      <c r="A424" s="26">
        <f t="shared" si="3"/>
        <v>2028.07</v>
      </c>
      <c r="B424" s="55" t="e">
        <v>#N/A</v>
      </c>
      <c r="C424" s="56" t="e">
        <v>#N/A</v>
      </c>
    </row>
    <row r="425" spans="1:3" x14ac:dyDescent="0.2">
      <c r="A425" s="26">
        <f t="shared" si="3"/>
        <v>2028.08</v>
      </c>
      <c r="B425" s="55" t="e">
        <v>#N/A</v>
      </c>
      <c r="C425" s="56" t="e">
        <v>#N/A</v>
      </c>
    </row>
    <row r="426" spans="1:3" x14ac:dyDescent="0.2">
      <c r="A426" s="26">
        <f t="shared" si="3"/>
        <v>2028.09</v>
      </c>
      <c r="B426" s="55" t="e">
        <v>#N/A</v>
      </c>
      <c r="C426" s="56" t="e">
        <v>#N/A</v>
      </c>
    </row>
    <row r="427" spans="1:3" x14ac:dyDescent="0.2">
      <c r="A427" s="26">
        <f t="shared" si="3"/>
        <v>2028.1</v>
      </c>
      <c r="B427" s="55" t="e">
        <v>#N/A</v>
      </c>
      <c r="C427" s="56" t="e">
        <v>#N/A</v>
      </c>
    </row>
    <row r="428" spans="1:3" x14ac:dyDescent="0.2">
      <c r="A428" s="26">
        <f t="shared" si="3"/>
        <v>2028.11</v>
      </c>
      <c r="B428" s="55" t="e">
        <v>#N/A</v>
      </c>
      <c r="C428" s="56" t="e">
        <v>#N/A</v>
      </c>
    </row>
    <row r="429" spans="1:3" x14ac:dyDescent="0.2">
      <c r="A429" s="26">
        <f t="shared" si="3"/>
        <v>2028.12</v>
      </c>
      <c r="B429" s="55" t="e">
        <v>#N/A</v>
      </c>
      <c r="C429" s="56" t="e">
        <v>#N/A</v>
      </c>
    </row>
    <row r="430" spans="1:3" x14ac:dyDescent="0.2">
      <c r="A430" s="26">
        <f t="shared" si="3"/>
        <v>2029.01</v>
      </c>
      <c r="B430" s="55" t="e">
        <v>#N/A</v>
      </c>
      <c r="C430" s="56" t="e">
        <v>#N/A</v>
      </c>
    </row>
    <row r="431" spans="1:3" x14ac:dyDescent="0.2">
      <c r="A431" s="26">
        <f t="shared" si="3"/>
        <v>2029.02</v>
      </c>
      <c r="B431" s="55" t="e">
        <v>#N/A</v>
      </c>
      <c r="C431" s="56" t="e">
        <v>#N/A</v>
      </c>
    </row>
    <row r="432" spans="1:3" x14ac:dyDescent="0.2">
      <c r="A432" s="26">
        <f t="shared" si="3"/>
        <v>2029.03</v>
      </c>
      <c r="B432" s="55" t="e">
        <v>#N/A</v>
      </c>
      <c r="C432" s="56" t="e">
        <v>#N/A</v>
      </c>
    </row>
    <row r="433" spans="1:3" x14ac:dyDescent="0.2">
      <c r="A433" s="26">
        <f t="shared" si="3"/>
        <v>2029.04</v>
      </c>
      <c r="B433" s="55" t="e">
        <v>#N/A</v>
      </c>
      <c r="C433" s="56" t="e">
        <v>#N/A</v>
      </c>
    </row>
    <row r="434" spans="1:3" x14ac:dyDescent="0.2">
      <c r="A434" s="26">
        <f t="shared" ref="A434:A453" si="4">A422+1</f>
        <v>2029.05</v>
      </c>
      <c r="B434" s="55" t="e">
        <v>#N/A</v>
      </c>
      <c r="C434" s="56" t="e">
        <v>#N/A</v>
      </c>
    </row>
    <row r="435" spans="1:3" x14ac:dyDescent="0.2">
      <c r="A435" s="26">
        <f t="shared" si="4"/>
        <v>2029.06</v>
      </c>
      <c r="B435" s="55" t="e">
        <v>#N/A</v>
      </c>
      <c r="C435" s="56" t="e">
        <v>#N/A</v>
      </c>
    </row>
    <row r="436" spans="1:3" x14ac:dyDescent="0.2">
      <c r="A436" s="26">
        <f t="shared" si="4"/>
        <v>2029.07</v>
      </c>
      <c r="B436" s="55" t="e">
        <v>#N/A</v>
      </c>
      <c r="C436" s="56" t="e">
        <v>#N/A</v>
      </c>
    </row>
    <row r="437" spans="1:3" x14ac:dyDescent="0.2">
      <c r="A437" s="26">
        <f t="shared" si="4"/>
        <v>2029.08</v>
      </c>
      <c r="B437" s="55" t="e">
        <v>#N/A</v>
      </c>
      <c r="C437" s="56" t="e">
        <v>#N/A</v>
      </c>
    </row>
    <row r="438" spans="1:3" x14ac:dyDescent="0.2">
      <c r="A438" s="26">
        <f t="shared" si="4"/>
        <v>2029.09</v>
      </c>
      <c r="B438" s="55" t="e">
        <v>#N/A</v>
      </c>
      <c r="C438" s="56" t="e">
        <v>#N/A</v>
      </c>
    </row>
    <row r="439" spans="1:3" x14ac:dyDescent="0.2">
      <c r="A439" s="26">
        <f t="shared" si="4"/>
        <v>2029.1</v>
      </c>
      <c r="B439" s="55" t="e">
        <v>#N/A</v>
      </c>
      <c r="C439" s="56" t="e">
        <v>#N/A</v>
      </c>
    </row>
    <row r="440" spans="1:3" x14ac:dyDescent="0.2">
      <c r="A440" s="26">
        <f t="shared" si="4"/>
        <v>2029.11</v>
      </c>
      <c r="B440" s="55" t="e">
        <v>#N/A</v>
      </c>
      <c r="C440" s="56" t="e">
        <v>#N/A</v>
      </c>
    </row>
    <row r="441" spans="1:3" x14ac:dyDescent="0.2">
      <c r="A441" s="26">
        <f t="shared" si="4"/>
        <v>2029.12</v>
      </c>
      <c r="B441" s="55" t="e">
        <v>#N/A</v>
      </c>
      <c r="C441" s="56" t="e">
        <v>#N/A</v>
      </c>
    </row>
    <row r="442" spans="1:3" x14ac:dyDescent="0.2">
      <c r="A442" s="26">
        <f t="shared" si="4"/>
        <v>2030.01</v>
      </c>
      <c r="B442" s="55" t="e">
        <v>#N/A</v>
      </c>
      <c r="C442" s="56" t="e">
        <v>#N/A</v>
      </c>
    </row>
    <row r="443" spans="1:3" x14ac:dyDescent="0.2">
      <c r="A443" s="26">
        <f t="shared" si="4"/>
        <v>2030.02</v>
      </c>
      <c r="B443" s="55" t="e">
        <v>#N/A</v>
      </c>
      <c r="C443" s="56" t="e">
        <v>#N/A</v>
      </c>
    </row>
    <row r="444" spans="1:3" x14ac:dyDescent="0.2">
      <c r="A444" s="26">
        <f t="shared" si="4"/>
        <v>2030.03</v>
      </c>
      <c r="B444" s="55" t="e">
        <v>#N/A</v>
      </c>
      <c r="C444" s="56" t="e">
        <v>#N/A</v>
      </c>
    </row>
    <row r="445" spans="1:3" x14ac:dyDescent="0.2">
      <c r="A445" s="26">
        <f t="shared" si="4"/>
        <v>2030.04</v>
      </c>
      <c r="B445" s="55" t="e">
        <v>#N/A</v>
      </c>
      <c r="C445" s="56" t="e">
        <v>#N/A</v>
      </c>
    </row>
    <row r="446" spans="1:3" x14ac:dyDescent="0.2">
      <c r="A446" s="26">
        <f t="shared" si="4"/>
        <v>2030.05</v>
      </c>
      <c r="B446" s="55" t="e">
        <v>#N/A</v>
      </c>
      <c r="C446" s="56" t="e">
        <v>#N/A</v>
      </c>
    </row>
    <row r="447" spans="1:3" x14ac:dyDescent="0.2">
      <c r="A447" s="26">
        <f t="shared" si="4"/>
        <v>2030.06</v>
      </c>
      <c r="B447" s="55" t="e">
        <v>#N/A</v>
      </c>
      <c r="C447" s="56" t="e">
        <v>#N/A</v>
      </c>
    </row>
    <row r="448" spans="1:3" x14ac:dyDescent="0.2">
      <c r="A448" s="26">
        <f t="shared" si="4"/>
        <v>2030.07</v>
      </c>
      <c r="B448" s="55" t="e">
        <v>#N/A</v>
      </c>
      <c r="C448" s="56" t="e">
        <v>#N/A</v>
      </c>
    </row>
    <row r="449" spans="1:3" x14ac:dyDescent="0.2">
      <c r="A449" s="26">
        <f t="shared" si="4"/>
        <v>2030.08</v>
      </c>
      <c r="B449" s="55" t="e">
        <v>#N/A</v>
      </c>
      <c r="C449" s="56" t="e">
        <v>#N/A</v>
      </c>
    </row>
    <row r="450" spans="1:3" x14ac:dyDescent="0.2">
      <c r="A450" s="26">
        <f t="shared" si="4"/>
        <v>2030.09</v>
      </c>
      <c r="B450" s="55" t="e">
        <v>#N/A</v>
      </c>
      <c r="C450" s="56" t="e">
        <v>#N/A</v>
      </c>
    </row>
    <row r="451" spans="1:3" x14ac:dyDescent="0.2">
      <c r="A451" s="26">
        <f t="shared" si="4"/>
        <v>2030.1</v>
      </c>
      <c r="B451" s="55" t="e">
        <v>#N/A</v>
      </c>
      <c r="C451" s="56" t="e">
        <v>#N/A</v>
      </c>
    </row>
    <row r="452" spans="1:3" x14ac:dyDescent="0.2">
      <c r="A452" s="26">
        <f t="shared" si="4"/>
        <v>2030.11</v>
      </c>
      <c r="B452" s="55" t="e">
        <v>#N/A</v>
      </c>
      <c r="C452" s="56" t="e">
        <v>#N/A</v>
      </c>
    </row>
    <row r="453" spans="1:3" x14ac:dyDescent="0.2">
      <c r="A453" s="26">
        <f t="shared" si="4"/>
        <v>2030.12</v>
      </c>
      <c r="B453" s="55" t="e">
        <v>#N/A</v>
      </c>
      <c r="C453" s="56" t="e">
        <v>#N/A</v>
      </c>
    </row>
  </sheetData>
  <hyperlinks>
    <hyperlink ref="A1" location="INDICE!A13" display="VOLVER AL INDICE" xr:uid="{ED04C6B0-C1CC-4473-B1F9-756B838E239C}"/>
  </hyperlinks>
  <printOptions gridLines="1"/>
  <pageMargins left="0.39370078740157483" right="0.39370078740157483" top="0.59055118110236227" bottom="0.59055118110236227" header="0" footer="0"/>
  <pageSetup paperSize="9" scale="5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fitToPage="1"/>
  </sheetPr>
  <dimension ref="A1:G453"/>
  <sheetViews>
    <sheetView zoomScale="115" zoomScaleNormal="115" workbookViewId="0">
      <pane xSplit="1" ySplit="9" topLeftCell="B10" activePane="bottomRight" state="frozen"/>
      <selection activeCell="A5" sqref="A5"/>
      <selection pane="topRight" activeCell="A5" sqref="A5"/>
      <selection pane="bottomLeft" activeCell="A5" sqref="A5"/>
      <selection pane="bottomRight" activeCell="B10" sqref="B10"/>
    </sheetView>
  </sheetViews>
  <sheetFormatPr baseColWidth="10" defaultColWidth="11.42578125" defaultRowHeight="12.75" x14ac:dyDescent="0.2"/>
  <cols>
    <col min="1" max="1" width="10.5703125" style="6" customWidth="1"/>
    <col min="2" max="2" width="15.42578125" style="6" customWidth="1"/>
    <col min="3" max="3" width="15.42578125" style="25" customWidth="1"/>
    <col min="4" max="4" width="3.42578125" style="1" customWidth="1"/>
    <col min="5" max="5" width="11.42578125" style="1"/>
    <col min="6" max="6" width="12.42578125" style="1" bestFit="1" customWidth="1"/>
    <col min="7" max="16384" width="11.42578125" style="1"/>
  </cols>
  <sheetData>
    <row r="1" spans="1:6" s="3" customFormat="1" ht="22.5" x14ac:dyDescent="0.2">
      <c r="A1" s="71" t="s">
        <v>115</v>
      </c>
      <c r="B1" s="16"/>
      <c r="C1" s="23"/>
    </row>
    <row r="2" spans="1:6" s="3" customFormat="1" ht="41.25" customHeight="1" x14ac:dyDescent="0.2">
      <c r="A2" s="70" t="s">
        <v>7</v>
      </c>
      <c r="B2" s="15" t="s">
        <v>82</v>
      </c>
      <c r="C2" s="24"/>
    </row>
    <row r="3" spans="1:6" s="3" customFormat="1" ht="33.75" x14ac:dyDescent="0.2">
      <c r="A3" s="70" t="s">
        <v>13</v>
      </c>
      <c r="B3" s="15" t="s">
        <v>45</v>
      </c>
      <c r="C3" s="24"/>
    </row>
    <row r="4" spans="1:6" s="3" customFormat="1" x14ac:dyDescent="0.2">
      <c r="A4" s="86" t="s">
        <v>105</v>
      </c>
      <c r="B4" s="16"/>
      <c r="C4" s="23"/>
    </row>
    <row r="5" spans="1:6" s="3" customFormat="1" x14ac:dyDescent="0.2">
      <c r="A5" s="86" t="s">
        <v>106</v>
      </c>
      <c r="B5" s="13" t="s">
        <v>22</v>
      </c>
      <c r="C5" s="44" t="s">
        <v>34</v>
      </c>
    </row>
    <row r="6" spans="1:6" s="3" customFormat="1" x14ac:dyDescent="0.2">
      <c r="A6" s="87" t="s">
        <v>107</v>
      </c>
      <c r="B6" s="16"/>
      <c r="C6" s="45"/>
    </row>
    <row r="7" spans="1:6" s="3" customFormat="1" ht="22.5" x14ac:dyDescent="0.2">
      <c r="A7" s="71" t="s">
        <v>114</v>
      </c>
      <c r="B7" s="13" t="s">
        <v>44</v>
      </c>
      <c r="C7" s="44" t="s">
        <v>44</v>
      </c>
    </row>
    <row r="8" spans="1:6" s="3" customFormat="1" x14ac:dyDescent="0.2">
      <c r="A8" s="86" t="s">
        <v>108</v>
      </c>
      <c r="B8" s="93" t="s">
        <v>110</v>
      </c>
      <c r="C8" s="94" t="s">
        <v>110</v>
      </c>
    </row>
    <row r="9" spans="1:6" s="4" customFormat="1" ht="13.5" thickBot="1" x14ac:dyDescent="0.25">
      <c r="A9" s="111" t="s">
        <v>19</v>
      </c>
      <c r="B9" s="91" t="s">
        <v>67</v>
      </c>
      <c r="C9" s="92" t="s">
        <v>68</v>
      </c>
    </row>
    <row r="10" spans="1:6" s="4" customFormat="1" x14ac:dyDescent="0.2">
      <c r="A10" s="26">
        <v>1994.01</v>
      </c>
      <c r="B10" s="54">
        <v>6.2062288872512896</v>
      </c>
      <c r="C10" s="90">
        <v>3.2189796230878804</v>
      </c>
      <c r="E10" s="31"/>
      <c r="F10" s="31"/>
    </row>
    <row r="11" spans="1:6" s="4" customFormat="1" x14ac:dyDescent="0.2">
      <c r="A11" s="26">
        <v>1994.02</v>
      </c>
      <c r="B11" s="55">
        <v>3.0353093588798821</v>
      </c>
      <c r="C11" s="56">
        <v>3.1461634897227215</v>
      </c>
      <c r="E11" s="31"/>
      <c r="F11" s="31"/>
    </row>
    <row r="12" spans="1:6" s="4" customFormat="1" x14ac:dyDescent="0.2">
      <c r="A12" s="26">
        <v>1994.03</v>
      </c>
      <c r="B12" s="55">
        <v>3.0034704495210023</v>
      </c>
      <c r="C12" s="56">
        <v>3.1334257263290572</v>
      </c>
      <c r="E12" s="31"/>
      <c r="F12" s="31"/>
    </row>
    <row r="13" spans="1:6" s="4" customFormat="1" x14ac:dyDescent="0.2">
      <c r="A13" s="26">
        <v>1994.04</v>
      </c>
      <c r="B13" s="55">
        <v>3.3419062638172439</v>
      </c>
      <c r="C13" s="56">
        <v>3.288741115648472</v>
      </c>
      <c r="E13" s="31"/>
      <c r="F13" s="31"/>
    </row>
    <row r="14" spans="1:6" s="4" customFormat="1" x14ac:dyDescent="0.2">
      <c r="A14" s="26">
        <v>1994.05</v>
      </c>
      <c r="B14" s="55">
        <v>3.3666698599852616</v>
      </c>
      <c r="C14" s="56">
        <v>3.4127806414224597</v>
      </c>
      <c r="E14" s="31"/>
      <c r="F14" s="31"/>
    </row>
    <row r="15" spans="1:6" s="4" customFormat="1" x14ac:dyDescent="0.2">
      <c r="A15" s="26">
        <v>1994.06</v>
      </c>
      <c r="B15" s="55">
        <v>3.1614857774502578</v>
      </c>
      <c r="C15" s="56">
        <v>3.5204666013650794</v>
      </c>
      <c r="E15" s="31"/>
      <c r="F15" s="31"/>
    </row>
    <row r="16" spans="1:6" s="4" customFormat="1" x14ac:dyDescent="0.2">
      <c r="A16" s="26">
        <v>1994.07</v>
      </c>
      <c r="B16" s="55">
        <v>3.8713755342667651</v>
      </c>
      <c r="C16" s="56">
        <v>3.558989471065019</v>
      </c>
      <c r="E16" s="31"/>
      <c r="F16" s="31"/>
    </row>
    <row r="17" spans="1:6" s="4" customFormat="1" x14ac:dyDescent="0.2">
      <c r="A17" s="26">
        <v>1994.08</v>
      </c>
      <c r="B17" s="55">
        <v>3.4079425202652911</v>
      </c>
      <c r="C17" s="56">
        <v>3.4383875086491393</v>
      </c>
      <c r="E17" s="31"/>
      <c r="F17" s="31"/>
    </row>
    <row r="18" spans="1:6" s="4" customFormat="1" x14ac:dyDescent="0.2">
      <c r="A18" s="26">
        <v>1994.09</v>
      </c>
      <c r="B18" s="55">
        <v>3.7227939572586588</v>
      </c>
      <c r="C18" s="56">
        <v>3.4899814654680417</v>
      </c>
      <c r="E18" s="31"/>
      <c r="F18" s="31"/>
    </row>
    <row r="19" spans="1:6" s="4" customFormat="1" x14ac:dyDescent="0.2">
      <c r="A19" s="26">
        <v>1994.1</v>
      </c>
      <c r="B19" s="55">
        <v>3.5211475313190861</v>
      </c>
      <c r="C19" s="56">
        <v>3.5183060187614497</v>
      </c>
      <c r="E19" s="31"/>
      <c r="F19" s="31"/>
    </row>
    <row r="20" spans="1:6" s="4" customFormat="1" x14ac:dyDescent="0.2">
      <c r="A20" s="26">
        <v>1994.11</v>
      </c>
      <c r="B20" s="55">
        <v>2.1638666175386883</v>
      </c>
      <c r="C20" s="56">
        <v>3.2662338359318479</v>
      </c>
      <c r="E20" s="31"/>
      <c r="F20" s="31"/>
    </row>
    <row r="21" spans="1:6" s="4" customFormat="1" x14ac:dyDescent="0.2">
      <c r="A21" s="26">
        <v>1994.12</v>
      </c>
      <c r="B21" s="55">
        <v>1.2028032424465736</v>
      </c>
      <c r="C21" s="56">
        <v>3.1670021368278514</v>
      </c>
      <c r="E21" s="31"/>
      <c r="F21" s="31"/>
    </row>
    <row r="22" spans="1:6" x14ac:dyDescent="0.2">
      <c r="A22" s="26">
        <v>1995.01</v>
      </c>
      <c r="B22" s="55">
        <v>7.0519999999999996</v>
      </c>
      <c r="C22" s="56">
        <v>3.2324118559131021</v>
      </c>
      <c r="E22" s="32"/>
      <c r="F22" s="31"/>
    </row>
    <row r="23" spans="1:6" x14ac:dyDescent="0.2">
      <c r="A23" s="26">
        <v>1995.02</v>
      </c>
      <c r="B23" s="55">
        <v>2.9630000000000001</v>
      </c>
      <c r="C23" s="56">
        <v>3.148884560375937</v>
      </c>
      <c r="E23" s="32"/>
      <c r="F23" s="31"/>
    </row>
    <row r="24" spans="1:6" x14ac:dyDescent="0.2">
      <c r="A24" s="26">
        <v>1995.03</v>
      </c>
      <c r="B24" s="55">
        <v>3.2930000000000001</v>
      </c>
      <c r="C24" s="56">
        <v>2.9451382176067953</v>
      </c>
      <c r="E24" s="32"/>
      <c r="F24" s="31"/>
    </row>
    <row r="25" spans="1:6" x14ac:dyDescent="0.2">
      <c r="A25" s="26">
        <v>1995.04</v>
      </c>
      <c r="B25" s="55">
        <v>2.3039999999999998</v>
      </c>
      <c r="C25" s="56">
        <v>2.6376454636041644</v>
      </c>
      <c r="E25" s="32"/>
      <c r="F25" s="31"/>
    </row>
    <row r="26" spans="1:6" x14ac:dyDescent="0.2">
      <c r="A26" s="26">
        <v>1995.05</v>
      </c>
      <c r="B26" s="55">
        <v>2.121</v>
      </c>
      <c r="C26" s="56">
        <v>2.327380625742288</v>
      </c>
      <c r="E26" s="32"/>
      <c r="F26" s="31"/>
    </row>
    <row r="27" spans="1:6" x14ac:dyDescent="0.2">
      <c r="A27" s="26">
        <v>1995.06</v>
      </c>
      <c r="B27" s="55">
        <v>2</v>
      </c>
      <c r="C27" s="56">
        <v>2.158955603808435</v>
      </c>
      <c r="E27" s="32"/>
      <c r="F27" s="31"/>
    </row>
    <row r="28" spans="1:6" x14ac:dyDescent="0.2">
      <c r="A28" s="26">
        <v>1995.07</v>
      </c>
      <c r="B28" s="55">
        <v>2.1080000000000001</v>
      </c>
      <c r="C28" s="56">
        <v>2.0825462510852826</v>
      </c>
      <c r="E28" s="32"/>
      <c r="F28" s="31"/>
    </row>
    <row r="29" spans="1:6" x14ac:dyDescent="0.2">
      <c r="A29" s="26">
        <v>1995.08</v>
      </c>
      <c r="B29" s="55">
        <v>2.1960000000000002</v>
      </c>
      <c r="C29" s="56">
        <v>2.0603781405810722</v>
      </c>
      <c r="E29" s="32"/>
      <c r="F29" s="31"/>
    </row>
    <row r="30" spans="1:6" x14ac:dyDescent="0.2">
      <c r="A30" s="26">
        <v>1995.09</v>
      </c>
      <c r="B30" s="55">
        <v>2.1230000000000002</v>
      </c>
      <c r="C30" s="56">
        <v>2.0463767244647872</v>
      </c>
      <c r="E30" s="32"/>
      <c r="F30" s="31"/>
    </row>
    <row r="31" spans="1:6" x14ac:dyDescent="0.2">
      <c r="A31" s="26">
        <v>1995.1</v>
      </c>
      <c r="B31" s="55">
        <v>1.897</v>
      </c>
      <c r="C31" s="56">
        <v>2.0325516915552115</v>
      </c>
      <c r="E31" s="32"/>
      <c r="F31" s="31"/>
    </row>
    <row r="32" spans="1:6" x14ac:dyDescent="0.2">
      <c r="A32" s="26">
        <v>1995.11</v>
      </c>
      <c r="B32" s="55">
        <v>1.448</v>
      </c>
      <c r="C32" s="56">
        <v>2.0655090787486139</v>
      </c>
      <c r="E32" s="32"/>
      <c r="F32" s="31"/>
    </row>
    <row r="33" spans="1:6" x14ac:dyDescent="0.2">
      <c r="A33" s="26">
        <v>1995.12</v>
      </c>
      <c r="B33" s="55">
        <v>0.61399999999999999</v>
      </c>
      <c r="C33" s="56">
        <v>2.1092689979819337</v>
      </c>
      <c r="E33" s="32"/>
      <c r="F33" s="31"/>
    </row>
    <row r="34" spans="1:6" x14ac:dyDescent="0.2">
      <c r="A34" s="26">
        <v>1996.01</v>
      </c>
      <c r="B34" s="55">
        <v>4.351</v>
      </c>
      <c r="C34" s="56">
        <v>2.1726048607429016</v>
      </c>
      <c r="E34" s="32"/>
      <c r="F34" s="31"/>
    </row>
    <row r="35" spans="1:6" x14ac:dyDescent="0.2">
      <c r="A35" s="26">
        <v>1996.02</v>
      </c>
      <c r="B35" s="55">
        <v>2.3029999999999999</v>
      </c>
      <c r="C35" s="56">
        <v>2.2988360643040355</v>
      </c>
      <c r="E35" s="32"/>
      <c r="F35" s="31"/>
    </row>
    <row r="36" spans="1:6" x14ac:dyDescent="0.2">
      <c r="A36" s="26">
        <v>1996.03</v>
      </c>
      <c r="B36" s="55">
        <v>2.407</v>
      </c>
      <c r="C36" s="56">
        <v>2.4507123987521915</v>
      </c>
      <c r="E36" s="32"/>
      <c r="F36" s="31"/>
    </row>
    <row r="37" spans="1:6" x14ac:dyDescent="0.2">
      <c r="A37" s="26">
        <v>1996.04</v>
      </c>
      <c r="B37" s="55">
        <v>2.5030000000000001</v>
      </c>
      <c r="C37" s="56">
        <v>2.6272569350257862</v>
      </c>
      <c r="E37" s="32"/>
      <c r="F37" s="31"/>
    </row>
    <row r="38" spans="1:6" x14ac:dyDescent="0.2">
      <c r="A38" s="26">
        <v>1996.05</v>
      </c>
      <c r="B38" s="55">
        <v>2.8940000000000001</v>
      </c>
      <c r="C38" s="56">
        <v>2.7693618835180542</v>
      </c>
      <c r="E38" s="32"/>
      <c r="F38" s="31"/>
    </row>
    <row r="39" spans="1:6" x14ac:dyDescent="0.2">
      <c r="A39" s="26">
        <v>1996.06</v>
      </c>
      <c r="B39" s="55">
        <v>2.3660000000000001</v>
      </c>
      <c r="C39" s="56">
        <v>2.7584303766589464</v>
      </c>
      <c r="E39" s="32"/>
      <c r="F39" s="31"/>
    </row>
    <row r="40" spans="1:6" x14ac:dyDescent="0.2">
      <c r="A40" s="26">
        <v>1996.07</v>
      </c>
      <c r="B40" s="55">
        <v>2.94</v>
      </c>
      <c r="C40" s="56">
        <v>2.7555397599655329</v>
      </c>
      <c r="E40" s="32"/>
      <c r="F40" s="31"/>
    </row>
    <row r="41" spans="1:6" x14ac:dyDescent="0.2">
      <c r="A41" s="26">
        <v>1996.08</v>
      </c>
      <c r="B41" s="55">
        <v>3.085</v>
      </c>
      <c r="C41" s="56">
        <v>2.8208813556409056</v>
      </c>
      <c r="E41" s="32"/>
      <c r="F41" s="31"/>
    </row>
    <row r="42" spans="1:6" x14ac:dyDescent="0.2">
      <c r="A42" s="26">
        <v>1996.09</v>
      </c>
      <c r="B42" s="55">
        <v>2.8340000000000001</v>
      </c>
      <c r="C42" s="56">
        <v>2.7666860765625501</v>
      </c>
      <c r="E42" s="32"/>
      <c r="F42" s="31"/>
    </row>
    <row r="43" spans="1:6" x14ac:dyDescent="0.2">
      <c r="A43" s="26">
        <v>1996.1</v>
      </c>
      <c r="B43" s="55">
        <v>2.5710000000000002</v>
      </c>
      <c r="C43" s="56">
        <v>2.7518330070944295</v>
      </c>
      <c r="E43" s="32"/>
      <c r="F43" s="31"/>
    </row>
    <row r="44" spans="1:6" x14ac:dyDescent="0.2">
      <c r="A44" s="26">
        <v>1996.11</v>
      </c>
      <c r="B44" s="55">
        <v>2.044</v>
      </c>
      <c r="C44" s="56">
        <v>2.8398650337459879</v>
      </c>
      <c r="E44" s="32"/>
      <c r="F44" s="31"/>
    </row>
    <row r="45" spans="1:6" x14ac:dyDescent="0.2">
      <c r="A45" s="26">
        <v>1996.12</v>
      </c>
      <c r="B45" s="55">
        <v>1.623</v>
      </c>
      <c r="C45" s="56">
        <v>2.7934035932266497</v>
      </c>
      <c r="E45" s="32"/>
      <c r="F45" s="31"/>
    </row>
    <row r="46" spans="1:6" x14ac:dyDescent="0.2">
      <c r="A46" s="26">
        <v>1997.01</v>
      </c>
      <c r="B46" s="55">
        <v>5.2670000000000003</v>
      </c>
      <c r="C46" s="56">
        <v>2.6951305331566004</v>
      </c>
      <c r="E46" s="32"/>
      <c r="F46" s="31"/>
    </row>
    <row r="47" spans="1:6" x14ac:dyDescent="0.2">
      <c r="A47" s="26">
        <v>1997.02</v>
      </c>
      <c r="B47" s="55">
        <v>2.5750000000000002</v>
      </c>
      <c r="C47" s="56">
        <v>2.7266133305633793</v>
      </c>
      <c r="E47" s="32"/>
      <c r="F47" s="31"/>
    </row>
    <row r="48" spans="1:6" x14ac:dyDescent="0.2">
      <c r="A48" s="26">
        <v>1997.03</v>
      </c>
      <c r="B48" s="55">
        <v>2.5470000000000002</v>
      </c>
      <c r="C48" s="56">
        <v>2.7813151005698291</v>
      </c>
      <c r="E48" s="32"/>
      <c r="F48" s="31"/>
    </row>
    <row r="49" spans="1:6" x14ac:dyDescent="0.2">
      <c r="A49" s="26">
        <v>1997.04</v>
      </c>
      <c r="B49" s="55">
        <v>2.8330000000000002</v>
      </c>
      <c r="C49" s="56">
        <v>2.8132706769120555</v>
      </c>
      <c r="E49" s="32"/>
      <c r="F49" s="31"/>
    </row>
    <row r="50" spans="1:6" x14ac:dyDescent="0.2">
      <c r="A50" s="26">
        <v>1997.05</v>
      </c>
      <c r="B50" s="55">
        <v>2.8559999999999999</v>
      </c>
      <c r="C50" s="56">
        <v>2.9099979682708685</v>
      </c>
      <c r="E50" s="32"/>
      <c r="F50" s="31"/>
    </row>
    <row r="51" spans="1:6" x14ac:dyDescent="0.2">
      <c r="A51" s="26">
        <v>1997.06</v>
      </c>
      <c r="B51" s="55">
        <v>2.6819999999999999</v>
      </c>
      <c r="C51" s="56">
        <v>2.9790158931335053</v>
      </c>
      <c r="E51" s="32"/>
      <c r="F51" s="31"/>
    </row>
    <row r="52" spans="1:6" x14ac:dyDescent="0.2">
      <c r="A52" s="26">
        <v>1997.07</v>
      </c>
      <c r="B52" s="55">
        <v>3.2839999999999998</v>
      </c>
      <c r="C52" s="56">
        <v>2.9396674517880412</v>
      </c>
      <c r="E52" s="32"/>
      <c r="F52" s="31"/>
    </row>
    <row r="53" spans="1:6" x14ac:dyDescent="0.2">
      <c r="A53" s="26">
        <v>1997.08</v>
      </c>
      <c r="B53" s="55">
        <v>2.89</v>
      </c>
      <c r="C53" s="56">
        <v>2.8790850651497721</v>
      </c>
      <c r="E53" s="32"/>
      <c r="F53" s="31"/>
    </row>
    <row r="54" spans="1:6" x14ac:dyDescent="0.2">
      <c r="A54" s="26">
        <v>1997.09</v>
      </c>
      <c r="B54" s="55">
        <v>3.1579999999999999</v>
      </c>
      <c r="C54" s="56">
        <v>2.9144165155703807</v>
      </c>
      <c r="E54" s="32"/>
      <c r="F54" s="31"/>
    </row>
    <row r="55" spans="1:6" x14ac:dyDescent="0.2">
      <c r="A55" s="26">
        <v>1997.1</v>
      </c>
      <c r="B55" s="55">
        <v>2.9910000000000001</v>
      </c>
      <c r="C55" s="56">
        <v>2.8993049632431505</v>
      </c>
      <c r="E55" s="32"/>
      <c r="F55" s="31"/>
    </row>
    <row r="56" spans="1:6" x14ac:dyDescent="0.2">
      <c r="A56" s="26">
        <v>1997.11</v>
      </c>
      <c r="B56" s="55">
        <v>1.8380000000000001</v>
      </c>
      <c r="C56" s="56">
        <v>2.8237911983555959</v>
      </c>
      <c r="E56" s="32"/>
      <c r="F56" s="31"/>
    </row>
    <row r="57" spans="1:6" x14ac:dyDescent="0.2">
      <c r="A57" s="26">
        <v>1997.12</v>
      </c>
      <c r="B57" s="55">
        <v>1.0780000000000001</v>
      </c>
      <c r="C57" s="56">
        <v>2.9466333507891704</v>
      </c>
      <c r="E57" s="32"/>
      <c r="F57" s="31"/>
    </row>
    <row r="58" spans="1:6" x14ac:dyDescent="0.2">
      <c r="A58" s="26">
        <v>1998.01</v>
      </c>
      <c r="B58" s="55">
        <v>5.8739999999999997</v>
      </c>
      <c r="C58" s="56">
        <v>3.176810966967154</v>
      </c>
      <c r="E58" s="32"/>
      <c r="F58" s="31"/>
    </row>
    <row r="59" spans="1:6" x14ac:dyDescent="0.2">
      <c r="A59" s="26">
        <v>1998.02</v>
      </c>
      <c r="B59" s="55">
        <v>3.2149999999999999</v>
      </c>
      <c r="C59" s="56">
        <v>3.3062524975988561</v>
      </c>
      <c r="E59" s="32"/>
      <c r="F59" s="31"/>
    </row>
    <row r="60" spans="1:6" x14ac:dyDescent="0.2">
      <c r="A60" s="26">
        <v>1998.03</v>
      </c>
      <c r="B60" s="55">
        <v>3.3250000000000002</v>
      </c>
      <c r="C60" s="56">
        <v>3.3636273109466357</v>
      </c>
      <c r="E60" s="32"/>
      <c r="F60" s="31"/>
    </row>
    <row r="61" spans="1:6" x14ac:dyDescent="0.2">
      <c r="A61" s="26">
        <v>1998.04</v>
      </c>
      <c r="B61" s="55">
        <v>3.2890000000000001</v>
      </c>
      <c r="C61" s="56">
        <v>3.4360153987810254</v>
      </c>
      <c r="E61" s="32"/>
      <c r="F61" s="31"/>
    </row>
    <row r="62" spans="1:6" x14ac:dyDescent="0.2">
      <c r="A62" s="26">
        <v>1998.05</v>
      </c>
      <c r="B62" s="55">
        <v>3.0990000000000002</v>
      </c>
      <c r="C62" s="56">
        <v>3.4804158644528034</v>
      </c>
      <c r="E62" s="32"/>
      <c r="F62" s="31"/>
    </row>
    <row r="63" spans="1:6" x14ac:dyDescent="0.2">
      <c r="A63" s="26">
        <v>1998.06</v>
      </c>
      <c r="B63" s="55">
        <v>3.3250000000000002</v>
      </c>
      <c r="C63" s="56">
        <v>3.4610142292296908</v>
      </c>
      <c r="E63" s="32"/>
      <c r="F63" s="31"/>
    </row>
    <row r="64" spans="1:6" x14ac:dyDescent="0.2">
      <c r="A64" s="26">
        <v>1998.07</v>
      </c>
      <c r="B64" s="55">
        <v>3.6909999999999998</v>
      </c>
      <c r="C64" s="56">
        <v>3.3780588056635747</v>
      </c>
      <c r="E64" s="32"/>
      <c r="F64" s="31"/>
    </row>
    <row r="65" spans="1:6" x14ac:dyDescent="0.2">
      <c r="A65" s="26">
        <v>1998.08</v>
      </c>
      <c r="B65" s="55">
        <v>3.419</v>
      </c>
      <c r="C65" s="56">
        <v>3.214897711501465</v>
      </c>
      <c r="E65" s="32"/>
      <c r="F65" s="31"/>
    </row>
    <row r="66" spans="1:6" x14ac:dyDescent="0.2">
      <c r="A66" s="26">
        <v>1998.09</v>
      </c>
      <c r="B66" s="55">
        <v>3.22</v>
      </c>
      <c r="C66" s="56">
        <v>2.9626122808623547</v>
      </c>
      <c r="E66" s="32"/>
      <c r="F66" s="31"/>
    </row>
    <row r="67" spans="1:6" x14ac:dyDescent="0.2">
      <c r="A67" s="26">
        <v>1998.1</v>
      </c>
      <c r="B67" s="55">
        <v>2.5739999999999998</v>
      </c>
      <c r="C67" s="56">
        <v>2.7229035700582336</v>
      </c>
      <c r="E67" s="32"/>
      <c r="F67" s="31"/>
    </row>
    <row r="68" spans="1:6" x14ac:dyDescent="0.2">
      <c r="A68" s="26">
        <v>1998.11</v>
      </c>
      <c r="B68" s="55">
        <v>1.976</v>
      </c>
      <c r="C68" s="56">
        <v>2.6129499368500357</v>
      </c>
      <c r="E68" s="32"/>
      <c r="F68" s="31"/>
    </row>
    <row r="69" spans="1:6" x14ac:dyDescent="0.2">
      <c r="A69" s="26">
        <v>1998.12</v>
      </c>
      <c r="B69" s="55">
        <v>1.2470000000000001</v>
      </c>
      <c r="C69" s="56">
        <v>2.6678855387791307</v>
      </c>
      <c r="E69" s="32"/>
      <c r="F69" s="31"/>
    </row>
    <row r="70" spans="1:6" x14ac:dyDescent="0.2">
      <c r="A70" s="26">
        <v>1999.01</v>
      </c>
      <c r="B70" s="55">
        <v>5.0890000000000004</v>
      </c>
      <c r="C70" s="56">
        <v>2.7867323092958016</v>
      </c>
      <c r="E70" s="32"/>
      <c r="F70" s="31"/>
    </row>
    <row r="71" spans="1:6" x14ac:dyDescent="0.2">
      <c r="A71" s="26">
        <v>1999.02</v>
      </c>
      <c r="B71" s="55">
        <v>2.5390000000000001</v>
      </c>
      <c r="C71" s="56">
        <v>2.778056006887808</v>
      </c>
      <c r="E71" s="32"/>
      <c r="F71" s="31"/>
    </row>
    <row r="72" spans="1:6" x14ac:dyDescent="0.2">
      <c r="A72" s="26">
        <v>1999.03</v>
      </c>
      <c r="B72" s="55">
        <v>2.5880000000000001</v>
      </c>
      <c r="C72" s="56">
        <v>2.6635708806932756</v>
      </c>
      <c r="E72" s="32"/>
      <c r="F72" s="31"/>
    </row>
    <row r="73" spans="1:6" x14ac:dyDescent="0.2">
      <c r="A73" s="26">
        <v>1999.04</v>
      </c>
      <c r="B73" s="55">
        <v>2.0409999999999999</v>
      </c>
      <c r="C73" s="56">
        <v>2.5606891318849008</v>
      </c>
      <c r="E73" s="32"/>
      <c r="F73" s="31"/>
    </row>
    <row r="74" spans="1:6" x14ac:dyDescent="0.2">
      <c r="A74" s="26">
        <v>1999.05</v>
      </c>
      <c r="B74" s="55">
        <v>1.7809999999999999</v>
      </c>
      <c r="C74" s="56">
        <v>2.5206064908630226</v>
      </c>
      <c r="E74" s="32"/>
      <c r="F74" s="31"/>
    </row>
    <row r="75" spans="1:6" x14ac:dyDescent="0.2">
      <c r="A75" s="26">
        <v>1999.06</v>
      </c>
      <c r="B75" s="55">
        <v>2.379</v>
      </c>
      <c r="C75" s="56">
        <v>2.5824734344800091</v>
      </c>
      <c r="E75" s="32"/>
      <c r="F75" s="31"/>
    </row>
    <row r="76" spans="1:6" x14ac:dyDescent="0.2">
      <c r="A76" s="26">
        <v>1999.07</v>
      </c>
      <c r="B76" s="55">
        <v>2.9390000000000001</v>
      </c>
      <c r="C76" s="56">
        <v>2.7925697847370285</v>
      </c>
      <c r="E76" s="32"/>
      <c r="F76" s="31"/>
    </row>
    <row r="77" spans="1:6" x14ac:dyDescent="0.2">
      <c r="A77" s="26">
        <v>1999.08</v>
      </c>
      <c r="B77" s="55">
        <v>3.3580000000000001</v>
      </c>
      <c r="C77" s="56">
        <v>3.082680241914959</v>
      </c>
      <c r="E77" s="32"/>
      <c r="F77" s="31"/>
    </row>
    <row r="78" spans="1:6" x14ac:dyDescent="0.2">
      <c r="A78" s="26">
        <v>1999.09</v>
      </c>
      <c r="B78" s="55">
        <v>3.645</v>
      </c>
      <c r="C78" s="56">
        <v>3.2665898172914889</v>
      </c>
      <c r="E78" s="32"/>
      <c r="F78" s="31"/>
    </row>
    <row r="79" spans="1:6" x14ac:dyDescent="0.2">
      <c r="A79" s="26">
        <v>1999.1</v>
      </c>
      <c r="B79" s="55">
        <v>3.0510000000000002</v>
      </c>
      <c r="C79" s="56">
        <v>3.3680783306688089</v>
      </c>
      <c r="E79" s="32"/>
      <c r="F79" s="31"/>
    </row>
    <row r="80" spans="1:6" x14ac:dyDescent="0.2">
      <c r="A80" s="26">
        <v>1999.11</v>
      </c>
      <c r="B80" s="55">
        <v>2.95</v>
      </c>
      <c r="C80" s="56">
        <v>3.4053565074106213</v>
      </c>
      <c r="E80" s="32"/>
      <c r="F80" s="31"/>
    </row>
    <row r="81" spans="1:6" x14ac:dyDescent="0.2">
      <c r="A81" s="26">
        <v>1999.12</v>
      </c>
      <c r="B81" s="55">
        <v>2.0230000000000001</v>
      </c>
      <c r="C81" s="56">
        <v>3.1615483078540856</v>
      </c>
      <c r="E81" s="32"/>
      <c r="F81" s="31"/>
    </row>
    <row r="82" spans="1:6" x14ac:dyDescent="0.2">
      <c r="A82" s="26">
        <v>2000.01</v>
      </c>
      <c r="B82" s="55">
        <v>4.5199999999999996</v>
      </c>
      <c r="C82" s="56">
        <v>2.8772644790138533</v>
      </c>
      <c r="E82" s="32"/>
      <c r="F82" s="31"/>
    </row>
    <row r="83" spans="1:6" x14ac:dyDescent="0.2">
      <c r="A83" s="26">
        <v>2000.02</v>
      </c>
      <c r="B83" s="55">
        <v>2.7160000000000002</v>
      </c>
      <c r="C83" s="56">
        <v>2.8269500786153685</v>
      </c>
      <c r="E83" s="32"/>
      <c r="F83" s="31"/>
    </row>
    <row r="84" spans="1:6" x14ac:dyDescent="0.2">
      <c r="A84" s="26">
        <v>2000.03</v>
      </c>
      <c r="B84" s="55">
        <v>2.7789999999999999</v>
      </c>
      <c r="C84" s="56">
        <v>2.7374925728577617</v>
      </c>
      <c r="E84" s="32"/>
      <c r="F84" s="31"/>
    </row>
    <row r="85" spans="1:6" x14ac:dyDescent="0.2">
      <c r="A85" s="26">
        <v>2000.04</v>
      </c>
      <c r="B85" s="55">
        <v>2.2679999999999998</v>
      </c>
      <c r="C85" s="56">
        <v>2.5626980760950073</v>
      </c>
      <c r="E85" s="32"/>
      <c r="F85" s="31"/>
    </row>
    <row r="86" spans="1:6" x14ac:dyDescent="0.2">
      <c r="A86" s="26">
        <v>2000.05</v>
      </c>
      <c r="B86" s="55">
        <v>2.3490000000000002</v>
      </c>
      <c r="C86" s="56">
        <v>2.505524352874887</v>
      </c>
      <c r="E86" s="32"/>
      <c r="F86" s="31"/>
    </row>
    <row r="87" spans="1:6" x14ac:dyDescent="0.2">
      <c r="A87" s="26">
        <v>2000.06</v>
      </c>
      <c r="B87" s="55">
        <v>2.456</v>
      </c>
      <c r="C87" s="56">
        <v>2.4985097057996457</v>
      </c>
      <c r="E87" s="32"/>
      <c r="F87" s="31"/>
    </row>
    <row r="88" spans="1:6" x14ac:dyDescent="0.2">
      <c r="A88" s="26">
        <v>2000.07</v>
      </c>
      <c r="B88" s="55">
        <v>2.4049999999999998</v>
      </c>
      <c r="C88" s="56">
        <v>2.3613423160284377</v>
      </c>
      <c r="E88" s="32"/>
      <c r="F88" s="31"/>
    </row>
    <row r="89" spans="1:6" x14ac:dyDescent="0.2">
      <c r="A89" s="26">
        <v>2000.08</v>
      </c>
      <c r="B89" s="55">
        <v>2.375</v>
      </c>
      <c r="C89" s="56">
        <v>2.1891026832675058</v>
      </c>
      <c r="E89" s="32"/>
      <c r="F89" s="31"/>
    </row>
    <row r="90" spans="1:6" x14ac:dyDescent="0.2">
      <c r="A90" s="26">
        <v>2000.09</v>
      </c>
      <c r="B90" s="55">
        <v>2.2240000000000002</v>
      </c>
      <c r="C90" s="56">
        <v>2.1297172460145504</v>
      </c>
      <c r="E90" s="32"/>
      <c r="F90" s="31"/>
    </row>
    <row r="91" spans="1:6" x14ac:dyDescent="0.2">
      <c r="A91" s="26">
        <v>2000.1</v>
      </c>
      <c r="B91" s="55">
        <v>2.782</v>
      </c>
      <c r="C91" s="56">
        <v>2.1264544976045148</v>
      </c>
      <c r="E91" s="32"/>
      <c r="F91" s="31"/>
    </row>
    <row r="92" spans="1:6" x14ac:dyDescent="0.2">
      <c r="A92" s="26">
        <v>2000.11</v>
      </c>
      <c r="B92" s="55">
        <v>1.7969999999999999</v>
      </c>
      <c r="C92" s="56">
        <v>2.1193597312801642</v>
      </c>
      <c r="E92" s="32"/>
      <c r="F92" s="31"/>
    </row>
    <row r="93" spans="1:6" x14ac:dyDescent="0.2">
      <c r="A93" s="26">
        <v>2000.12</v>
      </c>
      <c r="B93" s="55">
        <v>0.97699999999999998</v>
      </c>
      <c r="C93" s="56">
        <v>2.011848001343906</v>
      </c>
      <c r="E93" s="32"/>
      <c r="F93" s="31"/>
    </row>
    <row r="94" spans="1:6" x14ac:dyDescent="0.2">
      <c r="A94" s="26">
        <v>2001.01</v>
      </c>
      <c r="B94" s="55">
        <v>3.2810000000000001</v>
      </c>
      <c r="C94" s="56">
        <v>1.7852140570478392</v>
      </c>
      <c r="E94" s="32"/>
      <c r="F94" s="31"/>
    </row>
    <row r="95" spans="1:6" x14ac:dyDescent="0.2">
      <c r="A95" s="26">
        <v>2001.02</v>
      </c>
      <c r="B95" s="55">
        <v>1.37</v>
      </c>
      <c r="C95" s="56">
        <v>1.6036349031087003</v>
      </c>
      <c r="E95" s="32"/>
      <c r="F95" s="31"/>
    </row>
    <row r="96" spans="1:6" x14ac:dyDescent="0.2">
      <c r="A96" s="26">
        <v>2001.03</v>
      </c>
      <c r="B96" s="55">
        <v>1.4350000000000001</v>
      </c>
      <c r="C96" s="56">
        <v>1.5246288367436258</v>
      </c>
      <c r="E96" s="32"/>
      <c r="F96" s="31"/>
    </row>
    <row r="97" spans="1:6" x14ac:dyDescent="0.2">
      <c r="A97" s="26">
        <v>2001.04</v>
      </c>
      <c r="B97" s="55">
        <v>1.444</v>
      </c>
      <c r="C97" s="56">
        <v>1.4830324222621962</v>
      </c>
      <c r="E97" s="32"/>
      <c r="F97" s="31"/>
    </row>
    <row r="98" spans="1:6" x14ac:dyDescent="0.2">
      <c r="A98" s="26">
        <v>2001.05</v>
      </c>
      <c r="B98" s="55">
        <v>1.381</v>
      </c>
      <c r="C98" s="56">
        <v>1.4206237100209382</v>
      </c>
      <c r="E98" s="32"/>
      <c r="F98" s="31"/>
    </row>
    <row r="99" spans="1:6" x14ac:dyDescent="0.2">
      <c r="A99" s="26">
        <v>2001.06</v>
      </c>
      <c r="B99" s="55">
        <v>1.24</v>
      </c>
      <c r="C99" s="56">
        <v>1.4151706056775251</v>
      </c>
      <c r="E99" s="32"/>
      <c r="F99" s="31"/>
    </row>
    <row r="100" spans="1:6" x14ac:dyDescent="0.2">
      <c r="A100" s="26">
        <v>2001.07</v>
      </c>
      <c r="B100" s="55">
        <v>1.6439999999999999</v>
      </c>
      <c r="C100" s="56">
        <v>1.4665691944521591</v>
      </c>
      <c r="E100" s="32"/>
      <c r="F100" s="31"/>
    </row>
    <row r="101" spans="1:6" x14ac:dyDescent="0.2">
      <c r="A101" s="26">
        <v>2001.08</v>
      </c>
      <c r="B101" s="55">
        <v>1.5349999999999999</v>
      </c>
      <c r="C101" s="56">
        <v>1.4272725063421832</v>
      </c>
      <c r="E101" s="32"/>
      <c r="F101" s="31"/>
    </row>
    <row r="102" spans="1:6" x14ac:dyDescent="0.2">
      <c r="A102" s="26">
        <v>2001.09</v>
      </c>
      <c r="B102" s="55">
        <v>1.333</v>
      </c>
      <c r="C102" s="56">
        <v>1.3412625865288474</v>
      </c>
      <c r="E102" s="32"/>
      <c r="F102" s="31"/>
    </row>
    <row r="103" spans="1:6" x14ac:dyDescent="0.2">
      <c r="A103" s="26">
        <v>2001.1</v>
      </c>
      <c r="B103" s="55">
        <v>1.276</v>
      </c>
      <c r="C103" s="56">
        <v>1.2691489149455264</v>
      </c>
      <c r="E103" s="32"/>
      <c r="F103" s="31"/>
    </row>
    <row r="104" spans="1:6" x14ac:dyDescent="0.2">
      <c r="A104" s="26">
        <v>2001.11</v>
      </c>
      <c r="B104" s="55">
        <v>1.0129999999999999</v>
      </c>
      <c r="C104" s="56">
        <v>1.1744276299466496</v>
      </c>
      <c r="E104" s="32"/>
      <c r="F104" s="31"/>
    </row>
    <row r="105" spans="1:6" x14ac:dyDescent="0.2">
      <c r="A105" s="26">
        <v>2001.12</v>
      </c>
      <c r="B105" s="55">
        <v>0.48699999999999999</v>
      </c>
      <c r="C105" s="56">
        <v>1.0784590890962964</v>
      </c>
      <c r="E105" s="32"/>
      <c r="F105" s="31"/>
    </row>
    <row r="106" spans="1:6" x14ac:dyDescent="0.2">
      <c r="A106" s="26">
        <v>2002.01</v>
      </c>
      <c r="B106" s="55">
        <v>1.472</v>
      </c>
      <c r="C106" s="56">
        <v>1.0030868359980725</v>
      </c>
      <c r="E106" s="32"/>
      <c r="F106" s="31"/>
    </row>
    <row r="107" spans="1:6" x14ac:dyDescent="0.2">
      <c r="A107" s="26">
        <v>2002.02</v>
      </c>
      <c r="B107" s="55">
        <v>0.75600000000000001</v>
      </c>
      <c r="C107" s="56">
        <v>0.94895808175386287</v>
      </c>
      <c r="E107" s="32"/>
      <c r="F107" s="31"/>
    </row>
    <row r="108" spans="1:6" x14ac:dyDescent="0.2">
      <c r="A108" s="26">
        <v>2002.03</v>
      </c>
      <c r="B108" s="55">
        <v>1.2729999999999999</v>
      </c>
      <c r="C108" s="56">
        <v>0.96741900037421358</v>
      </c>
      <c r="E108" s="32"/>
      <c r="F108" s="31"/>
    </row>
    <row r="109" spans="1:6" x14ac:dyDescent="0.2">
      <c r="A109" s="26">
        <v>2002.04</v>
      </c>
      <c r="B109" s="55">
        <v>1.236</v>
      </c>
      <c r="C109" s="56">
        <v>0.97766050091857071</v>
      </c>
      <c r="E109" s="32"/>
      <c r="F109" s="31"/>
    </row>
    <row r="110" spans="1:6" x14ac:dyDescent="0.2">
      <c r="A110" s="26">
        <v>2002.05</v>
      </c>
      <c r="B110" s="55">
        <v>0.85299999999999998</v>
      </c>
      <c r="C110" s="56">
        <v>0.88139059074844028</v>
      </c>
      <c r="E110" s="32"/>
      <c r="F110" s="31"/>
    </row>
    <row r="111" spans="1:6" x14ac:dyDescent="0.2">
      <c r="A111" s="26">
        <v>2002.06</v>
      </c>
      <c r="B111" s="55">
        <v>0.41</v>
      </c>
      <c r="C111" s="56">
        <v>0.7465052646361211</v>
      </c>
      <c r="E111" s="32"/>
      <c r="F111" s="31"/>
    </row>
    <row r="112" spans="1:6" x14ac:dyDescent="0.2">
      <c r="A112" s="26">
        <v>2002.07</v>
      </c>
      <c r="B112" s="55">
        <v>0.64100000000000001</v>
      </c>
      <c r="C112" s="56">
        <v>0.66432613041178024</v>
      </c>
      <c r="E112" s="32"/>
      <c r="F112" s="31"/>
    </row>
    <row r="113" spans="1:6" x14ac:dyDescent="0.2">
      <c r="A113" s="26">
        <v>2002.08</v>
      </c>
      <c r="B113" s="55">
        <v>0.73699999999999999</v>
      </c>
      <c r="C113" s="56">
        <v>0.65775199038237475</v>
      </c>
      <c r="E113" s="32"/>
      <c r="F113" s="31"/>
    </row>
    <row r="114" spans="1:6" x14ac:dyDescent="0.2">
      <c r="A114" s="26">
        <v>2002.09</v>
      </c>
      <c r="B114" s="55">
        <v>0.63200000000000001</v>
      </c>
      <c r="C114" s="56">
        <v>0.67087698406648499</v>
      </c>
      <c r="E114" s="32"/>
      <c r="F114" s="31"/>
    </row>
    <row r="115" spans="1:6" x14ac:dyDescent="0.2">
      <c r="A115" s="26">
        <v>2002.1</v>
      </c>
      <c r="B115" s="55">
        <v>0.72399999999999998</v>
      </c>
      <c r="C115" s="56">
        <v>0.69042111816399054</v>
      </c>
      <c r="E115" s="32"/>
      <c r="F115" s="31"/>
    </row>
    <row r="116" spans="1:6" x14ac:dyDescent="0.2">
      <c r="A116" s="26">
        <v>2002.11</v>
      </c>
      <c r="B116" s="55">
        <v>0.51100000000000001</v>
      </c>
      <c r="C116" s="56">
        <v>0.7256752400817198</v>
      </c>
      <c r="E116" s="32"/>
      <c r="F116" s="31"/>
    </row>
    <row r="117" spans="1:6" x14ac:dyDescent="0.2">
      <c r="A117" s="26">
        <v>2002.12</v>
      </c>
      <c r="B117" s="55">
        <v>0.623</v>
      </c>
      <c r="C117" s="56">
        <v>0.81023283480987707</v>
      </c>
      <c r="E117" s="32"/>
      <c r="F117" s="31"/>
    </row>
    <row r="118" spans="1:6" x14ac:dyDescent="0.2">
      <c r="A118" s="26">
        <v>2003.01</v>
      </c>
      <c r="B118" s="55">
        <v>1.8420000000000001</v>
      </c>
      <c r="C118" s="56">
        <v>0.89830026538446717</v>
      </c>
      <c r="E118" s="32"/>
      <c r="F118" s="31"/>
    </row>
    <row r="119" spans="1:6" x14ac:dyDescent="0.2">
      <c r="A119" s="26">
        <v>2003.02</v>
      </c>
      <c r="B119" s="55">
        <v>0.75</v>
      </c>
      <c r="C119" s="56">
        <v>0.89856390170067335</v>
      </c>
      <c r="E119" s="32"/>
      <c r="F119" s="31"/>
    </row>
    <row r="120" spans="1:6" x14ac:dyDescent="0.2">
      <c r="A120" s="26">
        <v>2003.03</v>
      </c>
      <c r="B120" s="55">
        <v>0.79</v>
      </c>
      <c r="C120" s="56">
        <v>0.90544052739128289</v>
      </c>
      <c r="E120" s="32"/>
      <c r="F120" s="31"/>
    </row>
    <row r="121" spans="1:6" x14ac:dyDescent="0.2">
      <c r="A121" s="26">
        <v>2003.04</v>
      </c>
      <c r="B121" s="55">
        <v>1.016</v>
      </c>
      <c r="C121" s="56">
        <v>1.0158089049769154</v>
      </c>
      <c r="E121" s="32"/>
      <c r="F121" s="31"/>
    </row>
    <row r="122" spans="1:6" x14ac:dyDescent="0.2">
      <c r="A122" s="26">
        <v>2003.05</v>
      </c>
      <c r="B122" s="55">
        <v>1.175</v>
      </c>
      <c r="C122" s="56">
        <v>1.2116280929543806</v>
      </c>
      <c r="E122" s="32"/>
      <c r="F122" s="31"/>
    </row>
    <row r="123" spans="1:6" x14ac:dyDescent="0.2">
      <c r="A123" s="26">
        <v>2003.06</v>
      </c>
      <c r="B123" s="55">
        <v>1.397</v>
      </c>
      <c r="C123" s="56">
        <v>1.4132502885904343</v>
      </c>
      <c r="E123" s="32"/>
      <c r="F123" s="31"/>
    </row>
    <row r="124" spans="1:6" x14ac:dyDescent="0.2">
      <c r="A124" s="26">
        <v>2003.07</v>
      </c>
      <c r="B124" s="55">
        <v>1.677</v>
      </c>
      <c r="C124" s="56">
        <v>1.5404480005822614</v>
      </c>
      <c r="E124" s="32"/>
      <c r="F124" s="31"/>
    </row>
    <row r="125" spans="1:6" x14ac:dyDescent="0.2">
      <c r="A125" s="26">
        <v>2003.08</v>
      </c>
      <c r="B125" s="55">
        <v>1.61</v>
      </c>
      <c r="C125" s="56">
        <v>1.6409466662155798</v>
      </c>
      <c r="E125" s="32"/>
      <c r="F125" s="31"/>
    </row>
    <row r="126" spans="1:6" x14ac:dyDescent="0.2">
      <c r="A126" s="26">
        <v>2003.09</v>
      </c>
      <c r="B126" s="55">
        <v>1.8420000000000001</v>
      </c>
      <c r="C126" s="56">
        <v>1.8099744132971038</v>
      </c>
      <c r="E126" s="32"/>
      <c r="F126" s="31"/>
    </row>
    <row r="127" spans="1:6" x14ac:dyDescent="0.2">
      <c r="A127" s="26">
        <v>2003.1</v>
      </c>
      <c r="B127" s="55">
        <v>2.0339999999999998</v>
      </c>
      <c r="C127" s="56">
        <v>2.0353692187815433</v>
      </c>
      <c r="E127" s="32"/>
      <c r="F127" s="31"/>
    </row>
    <row r="128" spans="1:6" x14ac:dyDescent="0.2">
      <c r="A128" s="26">
        <v>2003.11</v>
      </c>
      <c r="B128" s="55">
        <v>1.639</v>
      </c>
      <c r="C128" s="56">
        <v>2.2618237891491488</v>
      </c>
      <c r="E128" s="32"/>
      <c r="F128" s="31"/>
    </row>
    <row r="129" spans="1:6" x14ac:dyDescent="0.2">
      <c r="A129" s="26">
        <v>2003.12</v>
      </c>
      <c r="B129" s="55">
        <v>1.329</v>
      </c>
      <c r="C129" s="56">
        <v>2.3533061534901178</v>
      </c>
      <c r="E129" s="32"/>
      <c r="F129" s="31"/>
    </row>
    <row r="130" spans="1:6" x14ac:dyDescent="0.2">
      <c r="A130" s="26">
        <v>2004.01</v>
      </c>
      <c r="B130" s="55">
        <v>4.1230000000000002</v>
      </c>
      <c r="C130" s="56">
        <v>2.3882203721492634</v>
      </c>
      <c r="E130" s="32"/>
      <c r="F130" s="31"/>
    </row>
    <row r="131" spans="1:6" x14ac:dyDescent="0.2">
      <c r="A131" s="26">
        <v>2004.02</v>
      </c>
      <c r="B131" s="55">
        <v>2.3460000000000001</v>
      </c>
      <c r="C131" s="56">
        <v>2.5956904021783638</v>
      </c>
      <c r="E131" s="32"/>
      <c r="F131" s="31"/>
    </row>
    <row r="132" spans="1:6" x14ac:dyDescent="0.2">
      <c r="A132" s="26">
        <v>2004.03</v>
      </c>
      <c r="B132" s="55">
        <v>2.8180000000000001</v>
      </c>
      <c r="C132" s="56">
        <v>2.7833542721341162</v>
      </c>
      <c r="E132" s="32"/>
      <c r="F132" s="31"/>
    </row>
    <row r="133" spans="1:6" x14ac:dyDescent="0.2">
      <c r="A133" s="26">
        <v>2004.04</v>
      </c>
      <c r="B133" s="55">
        <v>2.827</v>
      </c>
      <c r="C133" s="56">
        <v>2.8836552166982816</v>
      </c>
      <c r="E133" s="32"/>
      <c r="F133" s="31"/>
    </row>
    <row r="134" spans="1:6" x14ac:dyDescent="0.2">
      <c r="A134" s="26">
        <v>2004.05</v>
      </c>
      <c r="B134" s="55">
        <v>2.944</v>
      </c>
      <c r="C134" s="56">
        <v>2.9456951183205842</v>
      </c>
      <c r="E134" s="32"/>
      <c r="F134" s="31"/>
    </row>
    <row r="135" spans="1:6" x14ac:dyDescent="0.2">
      <c r="A135" s="26">
        <v>2004.06</v>
      </c>
      <c r="B135" s="55">
        <v>2.8109999999999999</v>
      </c>
      <c r="C135" s="56">
        <v>2.942976355606183</v>
      </c>
      <c r="E135" s="32"/>
      <c r="F135" s="31"/>
    </row>
    <row r="136" spans="1:6" x14ac:dyDescent="0.2">
      <c r="A136" s="26">
        <v>2004.07</v>
      </c>
      <c r="B136" s="55">
        <v>3.2240000000000002</v>
      </c>
      <c r="C136" s="56">
        <v>2.9485886221268425</v>
      </c>
      <c r="E136" s="32"/>
      <c r="F136" s="31"/>
    </row>
    <row r="137" spans="1:6" x14ac:dyDescent="0.2">
      <c r="A137" s="26">
        <v>2004.08</v>
      </c>
      <c r="B137" s="55">
        <v>2.9239999999999999</v>
      </c>
      <c r="C137" s="56">
        <v>2.9190103459813441</v>
      </c>
      <c r="E137" s="32"/>
      <c r="F137" s="31"/>
    </row>
    <row r="138" spans="1:6" x14ac:dyDescent="0.2">
      <c r="A138" s="26">
        <v>2004.09</v>
      </c>
      <c r="B138" s="55">
        <v>3.0670000000000002</v>
      </c>
      <c r="C138" s="56">
        <v>2.8611843396514907</v>
      </c>
      <c r="E138" s="32"/>
      <c r="F138" s="31"/>
    </row>
    <row r="139" spans="1:6" x14ac:dyDescent="0.2">
      <c r="A139" s="26">
        <v>2004.1</v>
      </c>
      <c r="B139" s="55">
        <v>2.4830000000000001</v>
      </c>
      <c r="C139" s="56">
        <v>2.8222857102680443</v>
      </c>
      <c r="E139" s="32"/>
      <c r="F139" s="31"/>
    </row>
    <row r="140" spans="1:6" x14ac:dyDescent="0.2">
      <c r="A140" s="26">
        <v>2004.11</v>
      </c>
      <c r="B140" s="55">
        <v>2.198</v>
      </c>
      <c r="C140" s="56">
        <v>2.8619243213603487</v>
      </c>
      <c r="E140" s="32"/>
      <c r="F140" s="31"/>
    </row>
    <row r="141" spans="1:6" x14ac:dyDescent="0.2">
      <c r="A141" s="26">
        <v>2004.12</v>
      </c>
      <c r="B141" s="55">
        <v>0.90900000000000003</v>
      </c>
      <c r="C141" s="56">
        <v>2.9942864200948849</v>
      </c>
      <c r="E141" s="32"/>
      <c r="F141" s="31"/>
    </row>
    <row r="142" spans="1:6" x14ac:dyDescent="0.2">
      <c r="A142" s="26">
        <v>2005.01</v>
      </c>
      <c r="B142" s="55">
        <v>5.8280000000000003</v>
      </c>
      <c r="C142" s="56">
        <v>3.1228183344952711</v>
      </c>
      <c r="E142" s="32"/>
      <c r="F142" s="31"/>
    </row>
    <row r="143" spans="1:6" x14ac:dyDescent="0.2">
      <c r="A143" s="26">
        <v>2005.02</v>
      </c>
      <c r="B143" s="55">
        <v>2.7679999999999998</v>
      </c>
      <c r="C143" s="56">
        <v>3.216861929087282</v>
      </c>
      <c r="E143" s="32"/>
      <c r="F143" s="31"/>
    </row>
    <row r="144" spans="1:6" x14ac:dyDescent="0.2">
      <c r="A144" s="26">
        <v>2005.03</v>
      </c>
      <c r="B144" s="55">
        <v>3.085</v>
      </c>
      <c r="C144" s="56">
        <v>3.2228415388069163</v>
      </c>
      <c r="E144" s="32"/>
      <c r="F144" s="31"/>
    </row>
    <row r="145" spans="1:6" x14ac:dyDescent="0.2">
      <c r="A145" s="26">
        <v>2005.04</v>
      </c>
      <c r="B145" s="55">
        <v>3.1749999999999998</v>
      </c>
      <c r="C145" s="56">
        <v>3.1701980182343101</v>
      </c>
      <c r="E145" s="32"/>
      <c r="F145" s="31"/>
    </row>
    <row r="146" spans="1:6" x14ac:dyDescent="0.2">
      <c r="A146" s="26">
        <v>2005.05</v>
      </c>
      <c r="B146" s="55">
        <v>3.3340000000000001</v>
      </c>
      <c r="C146" s="56">
        <v>3.2273269170980075</v>
      </c>
      <c r="E146" s="32"/>
      <c r="F146" s="31"/>
    </row>
    <row r="147" spans="1:6" x14ac:dyDescent="0.2">
      <c r="A147" s="26">
        <v>2005.06</v>
      </c>
      <c r="B147" s="55">
        <v>3.2549999999999999</v>
      </c>
      <c r="C147" s="56">
        <v>3.3325479842083294</v>
      </c>
      <c r="E147" s="32"/>
      <c r="F147" s="31"/>
    </row>
    <row r="148" spans="1:6" x14ac:dyDescent="0.2">
      <c r="A148" s="26">
        <v>2005.07</v>
      </c>
      <c r="B148" s="55">
        <v>3.4769999999999999</v>
      </c>
      <c r="C148" s="56">
        <v>3.2984823843826061</v>
      </c>
      <c r="E148" s="32"/>
      <c r="F148" s="31"/>
    </row>
    <row r="149" spans="1:6" x14ac:dyDescent="0.2">
      <c r="A149" s="26">
        <v>2005.08</v>
      </c>
      <c r="B149" s="55">
        <v>3.2690000000000001</v>
      </c>
      <c r="C149" s="56">
        <v>3.2193188170224944</v>
      </c>
      <c r="E149" s="32"/>
      <c r="F149" s="31"/>
    </row>
    <row r="150" spans="1:6" x14ac:dyDescent="0.2">
      <c r="A150" s="26">
        <v>2005.09</v>
      </c>
      <c r="B150" s="55">
        <v>3.617</v>
      </c>
      <c r="C150" s="56">
        <v>3.2434473621113478</v>
      </c>
      <c r="E150" s="32"/>
      <c r="F150" s="31"/>
    </row>
    <row r="151" spans="1:6" x14ac:dyDescent="0.2">
      <c r="A151" s="26">
        <v>2005.1</v>
      </c>
      <c r="B151" s="55">
        <v>2.8639999999999999</v>
      </c>
      <c r="C151" s="56">
        <v>3.2490673122711278</v>
      </c>
      <c r="E151" s="32"/>
      <c r="F151" s="31"/>
    </row>
    <row r="152" spans="1:6" x14ac:dyDescent="0.2">
      <c r="A152" s="26">
        <v>2005.11</v>
      </c>
      <c r="B152" s="55">
        <v>2.4500000000000002</v>
      </c>
      <c r="C152" s="56">
        <v>3.2563795013052683</v>
      </c>
      <c r="E152" s="32"/>
      <c r="F152" s="31"/>
    </row>
    <row r="153" spans="1:6" x14ac:dyDescent="0.2">
      <c r="A153" s="26">
        <v>2005.12</v>
      </c>
      <c r="B153" s="55">
        <v>0.95199999999999996</v>
      </c>
      <c r="C153" s="56">
        <v>3.3642332853896124</v>
      </c>
      <c r="E153" s="32"/>
      <c r="F153" s="31"/>
    </row>
    <row r="154" spans="1:6" x14ac:dyDescent="0.2">
      <c r="A154" s="26">
        <v>2006.01</v>
      </c>
      <c r="B154" s="55">
        <v>6.7450000000000001</v>
      </c>
      <c r="C154" s="56">
        <v>3.4630534632826926</v>
      </c>
      <c r="E154" s="32"/>
      <c r="F154" s="31"/>
    </row>
    <row r="155" spans="1:6" x14ac:dyDescent="0.2">
      <c r="A155" s="26">
        <v>2006.02</v>
      </c>
      <c r="B155" s="55">
        <v>3.0470000000000002</v>
      </c>
      <c r="C155" s="56">
        <v>3.4629143976424825</v>
      </c>
      <c r="E155" s="32"/>
      <c r="F155" s="31"/>
    </row>
    <row r="156" spans="1:6" x14ac:dyDescent="0.2">
      <c r="A156" s="26">
        <v>2006.03</v>
      </c>
      <c r="B156" s="55">
        <v>3.5619999999999998</v>
      </c>
      <c r="C156" s="56">
        <v>3.4846175324760957</v>
      </c>
      <c r="E156" s="32"/>
      <c r="F156" s="31"/>
    </row>
    <row r="157" spans="1:6" x14ac:dyDescent="0.2">
      <c r="A157" s="26">
        <v>2006.04</v>
      </c>
      <c r="B157" s="55">
        <v>3.222</v>
      </c>
      <c r="C157" s="56">
        <v>3.5162229926900648</v>
      </c>
      <c r="E157" s="32"/>
      <c r="F157" s="31"/>
    </row>
    <row r="158" spans="1:6" x14ac:dyDescent="0.2">
      <c r="A158" s="26">
        <v>2006.05</v>
      </c>
      <c r="B158" s="55">
        <v>3.5169999999999999</v>
      </c>
      <c r="C158" s="56">
        <v>3.4246941922012351</v>
      </c>
      <c r="E158" s="32"/>
      <c r="F158" s="31"/>
    </row>
    <row r="159" spans="1:6" x14ac:dyDescent="0.2">
      <c r="A159" s="26">
        <v>2006.06</v>
      </c>
      <c r="B159" s="55">
        <v>3.2890000000000001</v>
      </c>
      <c r="C159" s="56">
        <v>3.3336667192635101</v>
      </c>
      <c r="E159" s="32"/>
      <c r="F159" s="31"/>
    </row>
    <row r="160" spans="1:6" x14ac:dyDescent="0.2">
      <c r="A160" s="26">
        <v>2006.07</v>
      </c>
      <c r="B160" s="55">
        <v>3.343</v>
      </c>
      <c r="C160" s="56">
        <v>3.3359750248133171</v>
      </c>
      <c r="E160" s="32"/>
      <c r="F160" s="31"/>
    </row>
    <row r="161" spans="1:6" x14ac:dyDescent="0.2">
      <c r="A161" s="26">
        <v>2006.08</v>
      </c>
      <c r="B161" s="55">
        <v>3.76</v>
      </c>
      <c r="C161" s="56">
        <v>3.3866523125221311</v>
      </c>
      <c r="E161" s="32"/>
      <c r="F161" s="31"/>
    </row>
    <row r="162" spans="1:6" x14ac:dyDescent="0.2">
      <c r="A162" s="26">
        <v>2006.09</v>
      </c>
      <c r="B162" s="55">
        <v>3.5819999999999999</v>
      </c>
      <c r="C162" s="56">
        <v>3.4457342097106358</v>
      </c>
      <c r="E162" s="32"/>
      <c r="F162" s="31"/>
    </row>
    <row r="163" spans="1:6" x14ac:dyDescent="0.2">
      <c r="A163" s="26">
        <v>2006.1</v>
      </c>
      <c r="B163" s="55">
        <v>3.3330000000000002</v>
      </c>
      <c r="C163" s="56">
        <v>3.4803789901776589</v>
      </c>
      <c r="E163" s="32"/>
      <c r="F163" s="31"/>
    </row>
    <row r="164" spans="1:6" x14ac:dyDescent="0.2">
      <c r="A164" s="26">
        <v>2006.11</v>
      </c>
      <c r="B164" s="55">
        <v>2.569</v>
      </c>
      <c r="C164" s="56">
        <v>3.5226982200418662</v>
      </c>
      <c r="E164" s="32"/>
      <c r="F164" s="31"/>
    </row>
    <row r="165" spans="1:6" x14ac:dyDescent="0.2">
      <c r="A165" s="26">
        <v>2006.12</v>
      </c>
      <c r="B165" s="55">
        <v>1.155</v>
      </c>
      <c r="C165" s="56">
        <v>3.6971974717115339</v>
      </c>
      <c r="E165" s="32"/>
      <c r="F165" s="31"/>
    </row>
    <row r="166" spans="1:6" x14ac:dyDescent="0.2">
      <c r="A166" s="26">
        <v>2007.01</v>
      </c>
      <c r="B166" s="55">
        <v>7.6980000000000004</v>
      </c>
      <c r="C166" s="56">
        <v>3.9032410777350384</v>
      </c>
      <c r="E166" s="32"/>
      <c r="F166" s="31"/>
    </row>
    <row r="167" spans="1:6" x14ac:dyDescent="0.2">
      <c r="A167" s="26">
        <v>2007.02</v>
      </c>
      <c r="B167" s="55">
        <v>3.5150000000000001</v>
      </c>
      <c r="C167" s="56">
        <v>3.9895596498778243</v>
      </c>
      <c r="E167" s="32"/>
      <c r="F167" s="31"/>
    </row>
    <row r="168" spans="1:6" x14ac:dyDescent="0.2">
      <c r="A168" s="26">
        <v>2007.03</v>
      </c>
      <c r="B168" s="55">
        <v>4.0229999999999997</v>
      </c>
      <c r="C168" s="56">
        <v>3.9949760622303696</v>
      </c>
      <c r="E168" s="32"/>
      <c r="F168" s="31"/>
    </row>
    <row r="169" spans="1:6" x14ac:dyDescent="0.2">
      <c r="A169" s="26">
        <v>2007.04</v>
      </c>
      <c r="B169" s="55">
        <v>3.6280000000000001</v>
      </c>
      <c r="C169" s="56">
        <v>3.9774127820379679</v>
      </c>
      <c r="E169" s="32"/>
      <c r="F169" s="31"/>
    </row>
    <row r="170" spans="1:6" x14ac:dyDescent="0.2">
      <c r="A170" s="26">
        <v>2007.05</v>
      </c>
      <c r="B170" s="55">
        <v>4.2</v>
      </c>
      <c r="C170" s="56">
        <v>4.0425191175410164</v>
      </c>
      <c r="E170" s="32"/>
      <c r="F170" s="31"/>
    </row>
    <row r="171" spans="1:6" x14ac:dyDescent="0.2">
      <c r="A171" s="26">
        <v>2007.06</v>
      </c>
      <c r="B171" s="55">
        <v>3.9580000000000002</v>
      </c>
      <c r="C171" s="56">
        <v>4.1729607449191217</v>
      </c>
      <c r="E171" s="32"/>
      <c r="F171" s="31"/>
    </row>
    <row r="172" spans="1:6" x14ac:dyDescent="0.2">
      <c r="A172" s="26">
        <v>2007.07</v>
      </c>
      <c r="B172" s="55">
        <v>4.5049999999999999</v>
      </c>
      <c r="C172" s="56">
        <v>4.4024940661494494</v>
      </c>
      <c r="E172" s="32"/>
      <c r="F172" s="31"/>
    </row>
    <row r="173" spans="1:6" x14ac:dyDescent="0.2">
      <c r="A173" s="26">
        <v>2007.08</v>
      </c>
      <c r="B173" s="55">
        <v>5.4359999999999999</v>
      </c>
      <c r="C173" s="56">
        <v>4.6901120727564534</v>
      </c>
      <c r="E173" s="32"/>
      <c r="F173" s="31"/>
    </row>
    <row r="174" spans="1:6" x14ac:dyDescent="0.2">
      <c r="A174" s="26">
        <v>2007.09</v>
      </c>
      <c r="B174" s="55">
        <v>4.8819999999999997</v>
      </c>
      <c r="C174" s="56">
        <v>4.8101944769160889</v>
      </c>
      <c r="E174" s="32"/>
      <c r="F174" s="31"/>
    </row>
    <row r="175" spans="1:6" x14ac:dyDescent="0.2">
      <c r="A175" s="26">
        <v>2007.1</v>
      </c>
      <c r="B175" s="55">
        <v>4.7969999999999997</v>
      </c>
      <c r="C175" s="56">
        <v>4.8393184621890262</v>
      </c>
      <c r="E175" s="32"/>
      <c r="F175" s="31"/>
    </row>
    <row r="176" spans="1:6" x14ac:dyDescent="0.2">
      <c r="A176" s="26">
        <v>2007.11</v>
      </c>
      <c r="B176" s="55">
        <v>3.6779999999999999</v>
      </c>
      <c r="C176" s="56">
        <v>4.848103161974592</v>
      </c>
      <c r="E176" s="32"/>
      <c r="F176" s="31"/>
    </row>
    <row r="177" spans="1:6" x14ac:dyDescent="0.2">
      <c r="A177" s="26">
        <v>2007.12</v>
      </c>
      <c r="B177" s="55">
        <v>1.986</v>
      </c>
      <c r="C177" s="56">
        <v>4.7732316503195849</v>
      </c>
      <c r="E177" s="33"/>
      <c r="F177" s="31"/>
    </row>
    <row r="178" spans="1:6" x14ac:dyDescent="0.2">
      <c r="A178" s="26">
        <f t="shared" ref="A178:A241" si="0">A166+1</f>
        <v>2008.01</v>
      </c>
      <c r="B178" s="55">
        <v>8.1839999999999993</v>
      </c>
      <c r="C178" s="56">
        <v>4.7017679352096078</v>
      </c>
      <c r="E178" s="32"/>
      <c r="F178" s="31"/>
    </row>
    <row r="179" spans="1:6" x14ac:dyDescent="0.2">
      <c r="A179" s="26">
        <f t="shared" si="0"/>
        <v>2008.02</v>
      </c>
      <c r="B179" s="55">
        <v>4.3810000000000002</v>
      </c>
      <c r="C179" s="56">
        <v>4.7396330376082494</v>
      </c>
      <c r="E179" s="32"/>
      <c r="F179" s="31"/>
    </row>
    <row r="180" spans="1:6" x14ac:dyDescent="0.2">
      <c r="A180" s="26">
        <f t="shared" si="0"/>
        <v>2008.03</v>
      </c>
      <c r="B180" s="55">
        <v>4.1840000000000002</v>
      </c>
      <c r="C180" s="56">
        <v>4.8517433218015249</v>
      </c>
      <c r="E180" s="32"/>
      <c r="F180" s="31"/>
    </row>
    <row r="181" spans="1:6" x14ac:dyDescent="0.2">
      <c r="A181" s="26">
        <f t="shared" si="0"/>
        <v>2008.04</v>
      </c>
      <c r="B181" s="55">
        <v>5.226</v>
      </c>
      <c r="C181" s="56">
        <v>4.9860189552127512</v>
      </c>
      <c r="E181" s="32"/>
      <c r="F181" s="31"/>
    </row>
    <row r="182" spans="1:6" x14ac:dyDescent="0.2">
      <c r="A182" s="26">
        <f t="shared" si="0"/>
        <v>2008.05</v>
      </c>
      <c r="B182" s="55">
        <v>5.2270000000000003</v>
      </c>
      <c r="C182" s="56">
        <v>4.9571316395727276</v>
      </c>
      <c r="E182" s="32"/>
      <c r="F182" s="31"/>
    </row>
    <row r="183" spans="1:6" x14ac:dyDescent="0.2">
      <c r="A183" s="26">
        <f t="shared" si="0"/>
        <v>2008.06</v>
      </c>
      <c r="B183" s="55">
        <v>4.2560000000000002</v>
      </c>
      <c r="C183" s="56">
        <v>4.7610991881158027</v>
      </c>
      <c r="E183" s="32"/>
      <c r="F183" s="31"/>
    </row>
    <row r="184" spans="1:6" x14ac:dyDescent="0.2">
      <c r="A184" s="26">
        <f t="shared" si="0"/>
        <v>2008.07</v>
      </c>
      <c r="B184" s="55">
        <v>5.2350000000000003</v>
      </c>
      <c r="C184" s="56">
        <v>4.7301152871698937</v>
      </c>
      <c r="E184" s="32"/>
      <c r="F184" s="31"/>
    </row>
    <row r="185" spans="1:6" x14ac:dyDescent="0.2">
      <c r="A185" s="26">
        <f t="shared" si="0"/>
        <v>2008.08</v>
      </c>
      <c r="B185" s="55">
        <v>5.0220000000000002</v>
      </c>
      <c r="C185" s="56">
        <v>4.7530728365756714</v>
      </c>
      <c r="E185" s="32"/>
      <c r="F185" s="31"/>
    </row>
    <row r="186" spans="1:6" x14ac:dyDescent="0.2">
      <c r="A186" s="26">
        <f t="shared" si="0"/>
        <v>2008.09</v>
      </c>
      <c r="B186" s="55">
        <v>5.1870000000000003</v>
      </c>
      <c r="C186" s="56">
        <v>4.6441066110633562</v>
      </c>
      <c r="E186" s="32"/>
      <c r="F186" s="31"/>
    </row>
    <row r="187" spans="1:6" x14ac:dyDescent="0.2">
      <c r="A187" s="26">
        <f t="shared" si="0"/>
        <v>2008.1</v>
      </c>
      <c r="B187" s="55">
        <v>4.5609999999999999</v>
      </c>
      <c r="C187" s="56">
        <v>4.3819739183420072</v>
      </c>
      <c r="E187" s="32"/>
      <c r="F187" s="31"/>
    </row>
    <row r="188" spans="1:6" x14ac:dyDescent="0.2">
      <c r="A188" s="26">
        <f t="shared" si="0"/>
        <v>2008.11</v>
      </c>
      <c r="B188" s="55">
        <v>2.7869999999999999</v>
      </c>
      <c r="C188" s="56">
        <v>4.0195013113887548</v>
      </c>
      <c r="E188" s="32"/>
      <c r="F188" s="31"/>
    </row>
    <row r="189" spans="1:6" x14ac:dyDescent="0.2">
      <c r="A189" s="26">
        <f t="shared" si="0"/>
        <v>2008.12</v>
      </c>
      <c r="B189" s="55">
        <v>1.34</v>
      </c>
      <c r="C189" s="56">
        <v>3.7923334071190102</v>
      </c>
      <c r="E189" s="33"/>
      <c r="F189" s="31"/>
    </row>
    <row r="190" spans="1:6" x14ac:dyDescent="0.2">
      <c r="A190" s="26">
        <f t="shared" si="0"/>
        <v>2009.01</v>
      </c>
      <c r="B190" s="55">
        <v>6.4809999999999999</v>
      </c>
      <c r="C190" s="56">
        <v>3.6911195248597339</v>
      </c>
      <c r="E190" s="32"/>
      <c r="F190" s="31"/>
    </row>
    <row r="191" spans="1:6" x14ac:dyDescent="0.2">
      <c r="A191" s="26">
        <f t="shared" si="0"/>
        <v>2009.02</v>
      </c>
      <c r="B191" s="55">
        <v>3.1840000000000002</v>
      </c>
      <c r="C191" s="56">
        <v>3.5585478930844667</v>
      </c>
      <c r="E191" s="32"/>
      <c r="F191" s="31"/>
    </row>
    <row r="192" spans="1:6" x14ac:dyDescent="0.2">
      <c r="A192" s="26">
        <f t="shared" si="0"/>
        <v>2009.03</v>
      </c>
      <c r="B192" s="55">
        <v>3.3050000000000002</v>
      </c>
      <c r="C192" s="56">
        <v>3.4708430222102411</v>
      </c>
      <c r="E192" s="32"/>
      <c r="F192" s="31"/>
    </row>
    <row r="193" spans="1:6" x14ac:dyDescent="0.2">
      <c r="A193" s="26">
        <f t="shared" si="0"/>
        <v>2009.04</v>
      </c>
      <c r="B193" s="55">
        <v>3.375</v>
      </c>
      <c r="C193" s="56">
        <v>3.5478365304897075</v>
      </c>
      <c r="E193" s="32"/>
      <c r="F193" s="31"/>
    </row>
    <row r="194" spans="1:6" x14ac:dyDescent="0.2">
      <c r="A194" s="26">
        <f t="shared" si="0"/>
        <v>2009.05</v>
      </c>
      <c r="B194" s="55">
        <v>3.4279999999999999</v>
      </c>
      <c r="C194" s="56">
        <v>3.6626588664963853</v>
      </c>
      <c r="E194" s="32"/>
      <c r="F194" s="31"/>
    </row>
    <row r="195" spans="1:6" x14ac:dyDescent="0.2">
      <c r="A195" s="26">
        <f t="shared" si="0"/>
        <v>2009.06</v>
      </c>
      <c r="B195" s="55">
        <v>3.8519999999999999</v>
      </c>
      <c r="C195" s="56">
        <v>3.6939932497811503</v>
      </c>
      <c r="E195" s="32"/>
      <c r="F195" s="31"/>
    </row>
    <row r="196" spans="1:6" x14ac:dyDescent="0.2">
      <c r="A196" s="26">
        <f t="shared" si="0"/>
        <v>2009.07</v>
      </c>
      <c r="B196" s="55">
        <v>3.9460000000000002</v>
      </c>
      <c r="C196" s="56">
        <v>3.6006495658613034</v>
      </c>
      <c r="E196" s="32"/>
      <c r="F196" s="31"/>
    </row>
    <row r="197" spans="1:6" x14ac:dyDescent="0.2">
      <c r="A197" s="26">
        <f t="shared" si="0"/>
        <v>2009.08</v>
      </c>
      <c r="B197" s="55">
        <v>3.617</v>
      </c>
      <c r="C197" s="56">
        <v>3.4871045898359716</v>
      </c>
      <c r="E197" s="32"/>
      <c r="F197" s="31"/>
    </row>
    <row r="198" spans="1:6" x14ac:dyDescent="0.2">
      <c r="A198" s="26">
        <f t="shared" si="0"/>
        <v>2009.09</v>
      </c>
      <c r="B198" s="55">
        <v>3.9020000000000001</v>
      </c>
      <c r="C198" s="56">
        <v>3.4377038759558713</v>
      </c>
      <c r="E198" s="32"/>
      <c r="F198" s="31"/>
    </row>
    <row r="199" spans="1:6" x14ac:dyDescent="0.2">
      <c r="A199" s="26">
        <f t="shared" si="0"/>
        <v>2009.1</v>
      </c>
      <c r="B199" s="55">
        <v>3.2290000000000001</v>
      </c>
      <c r="C199" s="56">
        <v>3.5108976176976103</v>
      </c>
      <c r="E199" s="32"/>
      <c r="F199" s="31"/>
    </row>
    <row r="200" spans="1:6" x14ac:dyDescent="0.2">
      <c r="A200" s="26">
        <f t="shared" si="0"/>
        <v>2009.11</v>
      </c>
      <c r="B200" s="55">
        <v>2.9660000000000002</v>
      </c>
      <c r="C200" s="56">
        <v>3.7495565055940876</v>
      </c>
      <c r="E200" s="32"/>
      <c r="F200" s="31"/>
    </row>
    <row r="201" spans="1:6" x14ac:dyDescent="0.2">
      <c r="A201" s="26">
        <f t="shared" si="0"/>
        <v>2009.12</v>
      </c>
      <c r="B201" s="55">
        <v>1.47</v>
      </c>
      <c r="C201" s="56">
        <v>3.9794724021457668</v>
      </c>
      <c r="E201" s="33"/>
      <c r="F201" s="31"/>
    </row>
    <row r="202" spans="1:6" x14ac:dyDescent="0.2">
      <c r="A202" s="26">
        <f t="shared" si="0"/>
        <v>2010.01</v>
      </c>
      <c r="B202" s="55">
        <v>6.9740000000000002</v>
      </c>
      <c r="C202" s="56">
        <v>4.1412524926743597</v>
      </c>
      <c r="E202" s="32"/>
      <c r="F202" s="31"/>
    </row>
    <row r="203" spans="1:6" x14ac:dyDescent="0.2">
      <c r="A203" s="26">
        <f t="shared" si="0"/>
        <v>2010.02</v>
      </c>
      <c r="B203" s="55">
        <v>3.6339999999999999</v>
      </c>
      <c r="C203" s="56">
        <v>4.2783527600628162</v>
      </c>
      <c r="E203" s="32"/>
      <c r="F203" s="31"/>
    </row>
    <row r="204" spans="1:6" x14ac:dyDescent="0.2">
      <c r="A204" s="26">
        <f t="shared" si="0"/>
        <v>2010.03</v>
      </c>
      <c r="B204" s="55">
        <v>4.4649999999999999</v>
      </c>
      <c r="C204" s="56">
        <v>4.3054776476342624</v>
      </c>
      <c r="E204" s="32"/>
      <c r="F204" s="31"/>
    </row>
    <row r="205" spans="1:6" x14ac:dyDescent="0.2">
      <c r="A205" s="26">
        <f t="shared" si="0"/>
        <v>2010.04</v>
      </c>
      <c r="B205" s="55">
        <v>3.9950000000000001</v>
      </c>
      <c r="C205" s="56">
        <v>4.1833041203490922</v>
      </c>
      <c r="E205" s="32"/>
      <c r="F205" s="31"/>
    </row>
    <row r="206" spans="1:6" x14ac:dyDescent="0.2">
      <c r="A206" s="26">
        <f t="shared" si="0"/>
        <v>2010.05</v>
      </c>
      <c r="B206" s="55">
        <v>3.9390000000000001</v>
      </c>
      <c r="C206" s="56">
        <v>4.1459758434364478</v>
      </c>
      <c r="E206" s="32"/>
      <c r="F206" s="31"/>
    </row>
    <row r="207" spans="1:6" x14ac:dyDescent="0.2">
      <c r="A207" s="26">
        <f t="shared" si="0"/>
        <v>2010.06</v>
      </c>
      <c r="B207" s="55">
        <v>4.4160000000000004</v>
      </c>
      <c r="C207" s="56">
        <v>4.3155227491695607</v>
      </c>
      <c r="E207" s="32"/>
      <c r="F207" s="31"/>
    </row>
    <row r="208" spans="1:6" x14ac:dyDescent="0.2">
      <c r="A208" s="26">
        <f t="shared" si="0"/>
        <v>2010.07</v>
      </c>
      <c r="B208" s="55">
        <v>4.915</v>
      </c>
      <c r="C208" s="56">
        <v>4.5089780426538209</v>
      </c>
      <c r="E208" s="32"/>
      <c r="F208" s="31"/>
    </row>
    <row r="209" spans="1:6" x14ac:dyDescent="0.2">
      <c r="A209" s="26">
        <f t="shared" si="0"/>
        <v>2010.08</v>
      </c>
      <c r="B209" s="55">
        <v>4.9260000000000002</v>
      </c>
      <c r="C209" s="56">
        <v>4.6513242763262106</v>
      </c>
      <c r="E209" s="32"/>
      <c r="F209" s="31"/>
    </row>
    <row r="210" spans="1:6" x14ac:dyDescent="0.2">
      <c r="A210" s="26">
        <f t="shared" si="0"/>
        <v>2010.09</v>
      </c>
      <c r="B210" s="55">
        <v>5.4710000000000001</v>
      </c>
      <c r="C210" s="56">
        <v>4.8148113161107018</v>
      </c>
      <c r="E210" s="32"/>
      <c r="F210" s="31"/>
    </row>
    <row r="211" spans="1:6" x14ac:dyDescent="0.2">
      <c r="A211" s="26">
        <f t="shared" si="0"/>
        <v>2010.1</v>
      </c>
      <c r="B211" s="55">
        <v>4.6340000000000003</v>
      </c>
      <c r="C211" s="56">
        <v>5.0337368157134934</v>
      </c>
      <c r="E211" s="32"/>
      <c r="F211" s="31"/>
    </row>
    <row r="212" spans="1:6" x14ac:dyDescent="0.2">
      <c r="A212" s="26">
        <f t="shared" si="0"/>
        <v>2010.11</v>
      </c>
      <c r="B212" s="55">
        <v>4.375</v>
      </c>
      <c r="C212" s="56">
        <v>5.2844514733506456</v>
      </c>
      <c r="E212" s="32"/>
      <c r="F212" s="31"/>
    </row>
    <row r="213" spans="1:6" x14ac:dyDescent="0.2">
      <c r="A213" s="26">
        <f t="shared" si="0"/>
        <v>2010.12</v>
      </c>
      <c r="B213" s="55">
        <v>3.0649999999999999</v>
      </c>
      <c r="C213" s="56">
        <v>5.4751583696174135</v>
      </c>
      <c r="E213" s="33"/>
      <c r="F213" s="31"/>
    </row>
    <row r="214" spans="1:6" x14ac:dyDescent="0.2">
      <c r="A214" s="26">
        <f t="shared" si="0"/>
        <v>2011.01</v>
      </c>
      <c r="B214" s="55">
        <v>9.0510000000000002</v>
      </c>
      <c r="C214" s="56">
        <v>5.6301908501777493</v>
      </c>
      <c r="E214" s="32"/>
      <c r="F214" s="31"/>
    </row>
    <row r="215" spans="1:6" x14ac:dyDescent="0.2">
      <c r="A215" s="26">
        <f t="shared" si="0"/>
        <v>2011.02</v>
      </c>
      <c r="B215" s="55">
        <v>4.93</v>
      </c>
      <c r="C215" s="56">
        <v>5.6509465481615804</v>
      </c>
      <c r="E215" s="32"/>
      <c r="F215" s="31"/>
    </row>
    <row r="216" spans="1:6" x14ac:dyDescent="0.2">
      <c r="A216" s="26">
        <f t="shared" si="0"/>
        <v>2011.03</v>
      </c>
      <c r="B216" s="55">
        <v>5.899</v>
      </c>
      <c r="C216" s="56">
        <v>5.605502305039721</v>
      </c>
      <c r="E216" s="32"/>
      <c r="F216" s="31"/>
    </row>
    <row r="217" spans="1:6" x14ac:dyDescent="0.2">
      <c r="A217" s="26">
        <f t="shared" si="0"/>
        <v>2011.04</v>
      </c>
      <c r="B217" s="55">
        <v>5.8620000000000001</v>
      </c>
      <c r="C217" s="56">
        <v>5.7057274544767385</v>
      </c>
      <c r="E217" s="32"/>
      <c r="F217" s="31"/>
    </row>
    <row r="218" spans="1:6" x14ac:dyDescent="0.2">
      <c r="A218" s="26">
        <f t="shared" si="0"/>
        <v>2011.05</v>
      </c>
      <c r="B218" s="55">
        <v>5.66</v>
      </c>
      <c r="C218" s="56">
        <v>5.9504052926596191</v>
      </c>
      <c r="E218" s="32"/>
      <c r="F218" s="31"/>
    </row>
    <row r="219" spans="1:6" x14ac:dyDescent="0.2">
      <c r="A219" s="26">
        <f t="shared" si="0"/>
        <v>2011.06</v>
      </c>
      <c r="B219" s="55">
        <v>7.1150000000000002</v>
      </c>
      <c r="C219" s="56">
        <v>6.2393101659790462</v>
      </c>
      <c r="E219" s="32"/>
      <c r="F219" s="31"/>
    </row>
    <row r="220" spans="1:6" x14ac:dyDescent="0.2">
      <c r="A220" s="26">
        <f t="shared" si="0"/>
        <v>2011.07</v>
      </c>
      <c r="B220" s="55">
        <v>6.36</v>
      </c>
      <c r="C220" s="56">
        <v>6.3057526194148075</v>
      </c>
      <c r="E220" s="32"/>
      <c r="F220" s="31"/>
    </row>
    <row r="221" spans="1:6" x14ac:dyDescent="0.2">
      <c r="A221" s="26">
        <f t="shared" si="0"/>
        <v>2011.08</v>
      </c>
      <c r="B221" s="55">
        <v>7.1050000000000004</v>
      </c>
      <c r="C221" s="56">
        <v>6.339845720424294</v>
      </c>
      <c r="E221" s="32"/>
      <c r="F221" s="31"/>
    </row>
    <row r="222" spans="1:6" x14ac:dyDescent="0.2">
      <c r="A222" s="26">
        <f t="shared" si="0"/>
        <v>2011.09</v>
      </c>
      <c r="B222" s="55">
        <v>7.2869999999999999</v>
      </c>
      <c r="C222" s="56">
        <v>6.4553530884340944</v>
      </c>
      <c r="E222" s="32"/>
      <c r="F222" s="31"/>
    </row>
    <row r="223" spans="1:6" x14ac:dyDescent="0.2">
      <c r="A223" s="26">
        <f t="shared" si="0"/>
        <v>2011.1</v>
      </c>
      <c r="B223" s="55">
        <v>6.1769999999999996</v>
      </c>
      <c r="C223" s="56">
        <v>6.4933178872793746</v>
      </c>
      <c r="E223" s="32"/>
      <c r="F223" s="31"/>
    </row>
    <row r="224" spans="1:6" x14ac:dyDescent="0.2">
      <c r="A224" s="26">
        <f t="shared" si="0"/>
        <v>2011.11</v>
      </c>
      <c r="B224" s="55">
        <v>5.3639999999999999</v>
      </c>
      <c r="C224" s="56">
        <v>6.3632251742309949</v>
      </c>
      <c r="E224" s="32"/>
      <c r="F224" s="31"/>
    </row>
    <row r="225" spans="1:6" x14ac:dyDescent="0.2">
      <c r="A225" s="26">
        <f t="shared" si="0"/>
        <v>2011.12</v>
      </c>
      <c r="B225" s="55">
        <v>2.8679999999999999</v>
      </c>
      <c r="C225" s="56">
        <v>6.0473013801354272</v>
      </c>
      <c r="E225" s="33"/>
      <c r="F225" s="31"/>
    </row>
    <row r="226" spans="1:6" x14ac:dyDescent="0.2">
      <c r="A226" s="26">
        <f t="shared" si="0"/>
        <v>2012.01</v>
      </c>
      <c r="B226" s="55">
        <v>9.4220000000000006</v>
      </c>
      <c r="C226" s="56">
        <v>5.7637594415699205</v>
      </c>
      <c r="E226" s="32"/>
      <c r="F226" s="31"/>
    </row>
    <row r="227" spans="1:6" x14ac:dyDescent="0.2">
      <c r="A227" s="26">
        <f t="shared" si="0"/>
        <v>2012.02</v>
      </c>
      <c r="B227" s="55">
        <v>4.7389999999999999</v>
      </c>
      <c r="C227" s="56">
        <v>5.740361624123147</v>
      </c>
      <c r="E227" s="32"/>
      <c r="F227" s="31"/>
    </row>
    <row r="228" spans="1:6" x14ac:dyDescent="0.2">
      <c r="A228" s="26">
        <f t="shared" si="0"/>
        <v>2012.03</v>
      </c>
      <c r="B228" s="55">
        <v>6.6710000000000003</v>
      </c>
      <c r="C228" s="56">
        <v>5.8931140485583979</v>
      </c>
      <c r="E228" s="32"/>
      <c r="F228" s="31"/>
    </row>
    <row r="229" spans="1:6" x14ac:dyDescent="0.2">
      <c r="A229" s="26">
        <f t="shared" si="0"/>
        <v>2012.04</v>
      </c>
      <c r="B229" s="55">
        <v>5.0110000000000001</v>
      </c>
      <c r="C229" s="56">
        <v>5.9482962918281661</v>
      </c>
      <c r="E229" s="32"/>
      <c r="F229" s="31"/>
    </row>
    <row r="230" spans="1:6" x14ac:dyDescent="0.2">
      <c r="A230" s="26">
        <f t="shared" si="0"/>
        <v>2012.05</v>
      </c>
      <c r="B230" s="55">
        <v>6.3710000000000004</v>
      </c>
      <c r="C230" s="56">
        <v>5.9855186573701396</v>
      </c>
      <c r="E230" s="32"/>
      <c r="F230" s="31"/>
    </row>
    <row r="231" spans="1:6" x14ac:dyDescent="0.2">
      <c r="A231" s="26">
        <f t="shared" si="0"/>
        <v>2012.06</v>
      </c>
      <c r="B231" s="55">
        <v>5.9370000000000003</v>
      </c>
      <c r="C231" s="56">
        <v>5.9487748845336039</v>
      </c>
      <c r="E231" s="32"/>
      <c r="F231" s="31"/>
    </row>
    <row r="232" spans="1:6" x14ac:dyDescent="0.2">
      <c r="A232" s="26">
        <f t="shared" si="0"/>
        <v>2012.07</v>
      </c>
      <c r="B232" s="55">
        <v>6.2190000000000003</v>
      </c>
      <c r="C232" s="56">
        <v>5.8025949997244703</v>
      </c>
      <c r="E232" s="32"/>
      <c r="F232" s="31"/>
    </row>
    <row r="233" spans="1:6" x14ac:dyDescent="0.2">
      <c r="A233" s="26">
        <f t="shared" si="0"/>
        <v>2012.08</v>
      </c>
      <c r="B233" s="55">
        <v>6.383</v>
      </c>
      <c r="C233" s="56">
        <v>5.5867790943172837</v>
      </c>
      <c r="E233" s="32"/>
      <c r="F233" s="31"/>
    </row>
    <row r="234" spans="1:6" x14ac:dyDescent="0.2">
      <c r="A234" s="26">
        <f t="shared" si="0"/>
        <v>2012.09</v>
      </c>
      <c r="B234" s="55">
        <v>5.4009999999999998</v>
      </c>
      <c r="C234" s="56">
        <v>5.353731056781462</v>
      </c>
      <c r="E234" s="32"/>
      <c r="F234" s="31"/>
    </row>
    <row r="235" spans="1:6" x14ac:dyDescent="0.2">
      <c r="A235" s="26">
        <f t="shared" si="0"/>
        <v>2012.1</v>
      </c>
      <c r="B235" s="55">
        <v>5.6859999999999999</v>
      </c>
      <c r="C235" s="56">
        <v>5.3648784225759174</v>
      </c>
      <c r="E235" s="32"/>
      <c r="F235" s="31"/>
    </row>
    <row r="236" spans="1:6" x14ac:dyDescent="0.2">
      <c r="A236" s="26">
        <f t="shared" si="0"/>
        <v>2012.11</v>
      </c>
      <c r="B236" s="55">
        <v>4.5419999999999998</v>
      </c>
      <c r="C236" s="56">
        <v>5.6257450461873244</v>
      </c>
      <c r="E236" s="32"/>
      <c r="F236" s="31"/>
    </row>
    <row r="237" spans="1:6" x14ac:dyDescent="0.2">
      <c r="A237" s="26">
        <f t="shared" si="0"/>
        <v>2012.12</v>
      </c>
      <c r="B237" s="55">
        <v>2.9430000000000001</v>
      </c>
      <c r="C237" s="56">
        <v>5.8864277820660824</v>
      </c>
      <c r="E237" s="33"/>
      <c r="F237" s="31"/>
    </row>
    <row r="238" spans="1:6" x14ac:dyDescent="0.2">
      <c r="A238" s="26">
        <f t="shared" si="0"/>
        <v>2013.01</v>
      </c>
      <c r="B238" s="55">
        <v>9.484</v>
      </c>
      <c r="C238" s="56">
        <v>6.0599514334368942</v>
      </c>
      <c r="E238" s="32"/>
      <c r="F238" s="31"/>
    </row>
    <row r="239" spans="1:6" x14ac:dyDescent="0.2">
      <c r="A239" s="26">
        <f t="shared" si="0"/>
        <v>2013.02</v>
      </c>
      <c r="B239" s="55">
        <v>5.4139999999999997</v>
      </c>
      <c r="C239" s="56">
        <v>6.460875049564283</v>
      </c>
      <c r="E239" s="32"/>
      <c r="F239" s="31"/>
    </row>
    <row r="240" spans="1:6" x14ac:dyDescent="0.2">
      <c r="A240" s="26">
        <f t="shared" si="0"/>
        <v>2013.03</v>
      </c>
      <c r="B240" s="55">
        <v>6.61</v>
      </c>
      <c r="C240" s="56">
        <v>6.8912397874083497</v>
      </c>
      <c r="E240" s="32"/>
      <c r="F240" s="31"/>
    </row>
    <row r="241" spans="1:6" x14ac:dyDescent="0.2">
      <c r="A241" s="26">
        <f t="shared" si="0"/>
        <v>2013.04</v>
      </c>
      <c r="B241" s="55">
        <v>6.92</v>
      </c>
      <c r="C241" s="56">
        <v>7.0675688564981183</v>
      </c>
      <c r="E241" s="32"/>
      <c r="F241" s="31"/>
    </row>
    <row r="242" spans="1:6" x14ac:dyDescent="0.2">
      <c r="A242" s="26">
        <f t="shared" ref="A242:A305" si="1">A230+1</f>
        <v>2013.05</v>
      </c>
      <c r="B242" s="55">
        <v>7.6890000000000001</v>
      </c>
      <c r="C242" s="56">
        <v>7.0533254549535167</v>
      </c>
      <c r="E242" s="32"/>
      <c r="F242" s="31"/>
    </row>
    <row r="243" spans="1:6" x14ac:dyDescent="0.2">
      <c r="A243" s="26">
        <f t="shared" si="1"/>
        <v>2013.06</v>
      </c>
      <c r="B243" s="55">
        <v>6.2629999999999999</v>
      </c>
      <c r="C243" s="56">
        <v>6.7861645072966326</v>
      </c>
      <c r="E243" s="32"/>
      <c r="F243" s="31"/>
    </row>
    <row r="244" spans="1:6" x14ac:dyDescent="0.2">
      <c r="A244" s="26">
        <f t="shared" si="1"/>
        <v>2013.07</v>
      </c>
      <c r="B244" s="55">
        <v>7.375</v>
      </c>
      <c r="C244" s="56">
        <v>6.4943646458636053</v>
      </c>
      <c r="E244" s="32"/>
      <c r="F244" s="31"/>
    </row>
    <row r="245" spans="1:6" x14ac:dyDescent="0.2">
      <c r="A245" s="26">
        <f t="shared" si="1"/>
        <v>2013.08</v>
      </c>
      <c r="B245" s="55">
        <v>6.7649999999999997</v>
      </c>
      <c r="C245" s="56">
        <v>6.3907421998296092</v>
      </c>
      <c r="E245" s="32"/>
      <c r="F245" s="31"/>
    </row>
    <row r="246" spans="1:6" x14ac:dyDescent="0.2">
      <c r="A246" s="26">
        <f t="shared" si="1"/>
        <v>2013.09</v>
      </c>
      <c r="B246" s="55">
        <v>7.2240000000000002</v>
      </c>
      <c r="C246" s="56">
        <v>6.6278958723554018</v>
      </c>
      <c r="E246" s="32"/>
      <c r="F246" s="31"/>
    </row>
    <row r="247" spans="1:6" x14ac:dyDescent="0.2">
      <c r="A247" s="26">
        <f t="shared" si="1"/>
        <v>2013.1</v>
      </c>
      <c r="B247" s="55">
        <v>7.6420000000000003</v>
      </c>
      <c r="C247" s="56">
        <v>6.7469841279539651</v>
      </c>
      <c r="E247" s="32"/>
      <c r="F247" s="31"/>
    </row>
    <row r="248" spans="1:6" x14ac:dyDescent="0.2">
      <c r="A248" s="26">
        <f t="shared" si="1"/>
        <v>2013.11</v>
      </c>
      <c r="B248" s="55">
        <v>4.8499999999999996</v>
      </c>
      <c r="C248" s="56">
        <v>6.4285574219273443</v>
      </c>
      <c r="E248" s="32"/>
      <c r="F248" s="31"/>
    </row>
    <row r="249" spans="1:6" x14ac:dyDescent="0.2">
      <c r="A249" s="26">
        <f t="shared" si="1"/>
        <v>2013.12</v>
      </c>
      <c r="B249" s="55">
        <v>3.8260000000000001</v>
      </c>
      <c r="C249" s="56">
        <v>6.2837863963975575</v>
      </c>
      <c r="E249" s="33"/>
      <c r="F249" s="31"/>
    </row>
    <row r="250" spans="1:6" x14ac:dyDescent="0.2">
      <c r="A250" s="26">
        <f t="shared" si="1"/>
        <v>2014.01</v>
      </c>
      <c r="B250" s="55">
        <v>9.83</v>
      </c>
      <c r="C250" s="56">
        <v>6.1764869289175843</v>
      </c>
      <c r="E250" s="32"/>
      <c r="F250" s="31"/>
    </row>
    <row r="251" spans="1:6" x14ac:dyDescent="0.2">
      <c r="A251" s="26">
        <f t="shared" si="1"/>
        <v>2014.02</v>
      </c>
      <c r="B251" s="55">
        <v>4.8289999999999997</v>
      </c>
      <c r="C251" s="56">
        <v>5.7516802901941029</v>
      </c>
      <c r="E251" s="32"/>
      <c r="F251" s="31"/>
    </row>
    <row r="252" spans="1:6" x14ac:dyDescent="0.2">
      <c r="A252" s="26">
        <f t="shared" si="1"/>
        <v>2014.03</v>
      </c>
      <c r="B252" s="55">
        <v>4.0529999999999999</v>
      </c>
      <c r="C252" s="56">
        <v>5.2544178400122732</v>
      </c>
      <c r="E252" s="32"/>
      <c r="F252" s="31"/>
    </row>
    <row r="253" spans="1:6" x14ac:dyDescent="0.2">
      <c r="A253" s="26">
        <f t="shared" si="1"/>
        <v>2014.04</v>
      </c>
      <c r="B253" s="55">
        <v>4.3609999999999998</v>
      </c>
      <c r="C253" s="56">
        <v>4.8555002474131372</v>
      </c>
      <c r="E253" s="32"/>
      <c r="F253" s="31"/>
    </row>
    <row r="254" spans="1:6" x14ac:dyDescent="0.2">
      <c r="A254" s="26">
        <f t="shared" si="1"/>
        <v>2014.05</v>
      </c>
      <c r="B254" s="55">
        <v>4.6210000000000004</v>
      </c>
      <c r="C254" s="56">
        <v>4.6236495057622893</v>
      </c>
      <c r="E254" s="32"/>
      <c r="F254" s="31"/>
    </row>
    <row r="255" spans="1:6" x14ac:dyDescent="0.2">
      <c r="A255" s="26">
        <f t="shared" si="1"/>
        <v>2014.06</v>
      </c>
      <c r="B255" s="55">
        <v>4.4560000000000004</v>
      </c>
      <c r="C255" s="56">
        <v>4.5818852657200058</v>
      </c>
      <c r="E255" s="32"/>
      <c r="F255" s="31"/>
    </row>
    <row r="256" spans="1:6" x14ac:dyDescent="0.2">
      <c r="A256" s="26">
        <f t="shared" si="1"/>
        <v>2014.07</v>
      </c>
      <c r="B256" s="55">
        <v>5.226</v>
      </c>
      <c r="C256" s="56">
        <v>4.6800142960251634</v>
      </c>
      <c r="E256" s="32"/>
      <c r="F256" s="31"/>
    </row>
    <row r="257" spans="1:6" x14ac:dyDescent="0.2">
      <c r="A257" s="26">
        <f t="shared" si="1"/>
        <v>2014.08</v>
      </c>
      <c r="B257" s="55">
        <v>5.133</v>
      </c>
      <c r="C257" s="56">
        <v>4.7405026128357433</v>
      </c>
      <c r="E257" s="32"/>
      <c r="F257" s="31"/>
    </row>
    <row r="258" spans="1:6" x14ac:dyDescent="0.2">
      <c r="A258" s="26">
        <f t="shared" si="1"/>
        <v>2014.09</v>
      </c>
      <c r="B258" s="55">
        <v>5.2850000000000001</v>
      </c>
      <c r="C258" s="56">
        <v>4.6178911714210589</v>
      </c>
      <c r="E258" s="32"/>
      <c r="F258" s="31"/>
    </row>
    <row r="259" spans="1:6" x14ac:dyDescent="0.2">
      <c r="A259" s="26">
        <f t="shared" si="1"/>
        <v>2014.1</v>
      </c>
      <c r="B259" s="55">
        <v>4.7069999999999999</v>
      </c>
      <c r="C259" s="56">
        <v>4.4430522328597277</v>
      </c>
      <c r="E259" s="32"/>
      <c r="F259" s="31"/>
    </row>
    <row r="260" spans="1:6" x14ac:dyDescent="0.2">
      <c r="A260" s="26">
        <f t="shared" si="1"/>
        <v>2014.11</v>
      </c>
      <c r="B260" s="55">
        <v>3.3479999999999999</v>
      </c>
      <c r="C260" s="56">
        <v>4.3609774093572504</v>
      </c>
      <c r="E260" s="32"/>
      <c r="F260" s="31"/>
    </row>
    <row r="261" spans="1:6" x14ac:dyDescent="0.2">
      <c r="A261" s="26">
        <f t="shared" si="1"/>
        <v>2014.12</v>
      </c>
      <c r="B261" s="55">
        <v>2.391</v>
      </c>
      <c r="C261" s="56">
        <v>4.2607937327099261</v>
      </c>
      <c r="E261" s="33"/>
      <c r="F261" s="31"/>
    </row>
    <row r="262" spans="1:6" x14ac:dyDescent="0.2">
      <c r="A262" s="26">
        <f t="shared" si="1"/>
        <v>2015.01</v>
      </c>
      <c r="B262" s="55">
        <v>5.8710000000000004</v>
      </c>
      <c r="C262" s="56">
        <v>4.2181322305603022</v>
      </c>
      <c r="E262" s="32"/>
      <c r="F262" s="31"/>
    </row>
    <row r="263" spans="1:6" x14ac:dyDescent="0.2">
      <c r="A263" s="26">
        <f t="shared" si="1"/>
        <v>2015.02</v>
      </c>
      <c r="B263" s="55">
        <v>3.806</v>
      </c>
      <c r="C263" s="56">
        <v>4.3093126115906912</v>
      </c>
      <c r="E263" s="32"/>
      <c r="F263" s="31"/>
    </row>
    <row r="264" spans="1:6" x14ac:dyDescent="0.2">
      <c r="A264" s="26">
        <f t="shared" si="1"/>
        <v>2015.03</v>
      </c>
      <c r="B264" s="55">
        <v>4.2709999999999999</v>
      </c>
      <c r="C264" s="56">
        <v>4.3452223065164217</v>
      </c>
      <c r="E264" s="32"/>
      <c r="F264" s="31"/>
    </row>
    <row r="265" spans="1:6" x14ac:dyDescent="0.2">
      <c r="A265" s="26">
        <f t="shared" si="1"/>
        <v>2015.04</v>
      </c>
      <c r="B265" s="55">
        <v>4.3460000000000001</v>
      </c>
      <c r="C265" s="56">
        <v>4.351194785376661</v>
      </c>
      <c r="E265" s="32"/>
      <c r="F265" s="31"/>
    </row>
    <row r="266" spans="1:6" x14ac:dyDescent="0.2">
      <c r="A266" s="26">
        <f t="shared" si="1"/>
        <v>2015.05</v>
      </c>
      <c r="B266" s="55">
        <v>4.03</v>
      </c>
      <c r="C266" s="56">
        <v>4.4735110171009183</v>
      </c>
      <c r="E266" s="32"/>
      <c r="F266" s="31"/>
    </row>
    <row r="267" spans="1:6" x14ac:dyDescent="0.2">
      <c r="A267" s="26">
        <f t="shared" si="1"/>
        <v>2015.06</v>
      </c>
      <c r="B267" s="55">
        <v>4.9370000000000003</v>
      </c>
      <c r="C267" s="56">
        <v>4.657910129319851</v>
      </c>
      <c r="E267" s="32"/>
      <c r="F267" s="31"/>
    </row>
    <row r="268" spans="1:6" x14ac:dyDescent="0.2">
      <c r="A268" s="26">
        <f t="shared" si="1"/>
        <v>2015.07</v>
      </c>
      <c r="B268" s="55">
        <v>5.17</v>
      </c>
      <c r="C268" s="56">
        <v>4.6819561094792999</v>
      </c>
      <c r="E268" s="32"/>
      <c r="F268" s="31"/>
    </row>
    <row r="269" spans="1:6" x14ac:dyDescent="0.2">
      <c r="A269" s="26">
        <f t="shared" si="1"/>
        <v>2015.08</v>
      </c>
      <c r="B269" s="55">
        <v>4.9930000000000003</v>
      </c>
      <c r="C269" s="56">
        <v>4.6888529747188903</v>
      </c>
      <c r="E269" s="32"/>
      <c r="F269" s="31"/>
    </row>
    <row r="270" spans="1:6" x14ac:dyDescent="0.2">
      <c r="A270" s="26">
        <f t="shared" si="1"/>
        <v>2015.09</v>
      </c>
      <c r="B270" s="55">
        <v>5.5549999999999997</v>
      </c>
      <c r="C270" s="56">
        <v>4.7897252532203511</v>
      </c>
      <c r="E270" s="32"/>
      <c r="F270" s="31"/>
    </row>
    <row r="271" spans="1:6" x14ac:dyDescent="0.2">
      <c r="A271" s="26">
        <f t="shared" si="1"/>
        <v>2015.1</v>
      </c>
      <c r="B271" s="55">
        <v>4.8559999999999999</v>
      </c>
      <c r="C271" s="56">
        <v>4.7568712093761869</v>
      </c>
      <c r="E271" s="32"/>
      <c r="F271" s="31"/>
    </row>
    <row r="272" spans="1:6" x14ac:dyDescent="0.2">
      <c r="A272" s="26">
        <f t="shared" si="1"/>
        <v>2015.11</v>
      </c>
      <c r="B272" s="55">
        <v>4.2110000000000003</v>
      </c>
      <c r="C272" s="56">
        <v>4.6028811309109638</v>
      </c>
      <c r="E272" s="32"/>
      <c r="F272" s="31"/>
    </row>
    <row r="273" spans="1:6" x14ac:dyDescent="0.2">
      <c r="A273" s="26">
        <f t="shared" si="1"/>
        <v>2015.12</v>
      </c>
      <c r="B273" s="55">
        <v>2.5099999999999998</v>
      </c>
      <c r="C273" s="56">
        <v>4.5016759026649016</v>
      </c>
      <c r="E273" s="32"/>
      <c r="F273" s="31"/>
    </row>
    <row r="274" spans="1:6" x14ac:dyDescent="0.2">
      <c r="A274" s="26">
        <f t="shared" si="1"/>
        <v>2016.01</v>
      </c>
      <c r="B274" s="55">
        <v>4.9359999999999999</v>
      </c>
      <c r="C274" s="56">
        <v>4.490312544968738</v>
      </c>
      <c r="E274" s="32"/>
      <c r="F274" s="31"/>
    </row>
    <row r="275" spans="1:6" x14ac:dyDescent="0.2">
      <c r="A275" s="26">
        <f t="shared" si="1"/>
        <v>2016.02</v>
      </c>
      <c r="B275" s="55">
        <v>3.9990000000000001</v>
      </c>
      <c r="C275" s="56">
        <v>4.5109384034513775</v>
      </c>
      <c r="E275" s="32"/>
      <c r="F275" s="31"/>
    </row>
    <row r="276" spans="1:6" x14ac:dyDescent="0.2">
      <c r="A276" s="26">
        <f t="shared" si="1"/>
        <v>2016.03</v>
      </c>
      <c r="B276" s="55">
        <v>4.5069999999999997</v>
      </c>
      <c r="C276" s="56">
        <v>4.6383758899070386</v>
      </c>
      <c r="E276" s="32"/>
      <c r="F276" s="31"/>
    </row>
    <row r="277" spans="1:6" x14ac:dyDescent="0.2">
      <c r="A277" s="26">
        <f t="shared" si="1"/>
        <v>2016.04</v>
      </c>
      <c r="B277" s="55">
        <v>4.9550000000000001</v>
      </c>
      <c r="C277" s="56">
        <v>4.8217676383752401</v>
      </c>
      <c r="E277" s="32"/>
      <c r="F277" s="31"/>
    </row>
    <row r="278" spans="1:6" x14ac:dyDescent="0.2">
      <c r="A278" s="26">
        <f t="shared" si="1"/>
        <v>2016.05</v>
      </c>
      <c r="B278" s="55">
        <v>4.8970000000000002</v>
      </c>
      <c r="C278" s="56">
        <v>4.8166260655768456</v>
      </c>
      <c r="E278" s="33"/>
      <c r="F278" s="31"/>
    </row>
    <row r="279" spans="1:6" x14ac:dyDescent="0.2">
      <c r="A279" s="26">
        <f t="shared" si="1"/>
        <v>2016.06</v>
      </c>
      <c r="B279" s="55">
        <v>4.7</v>
      </c>
      <c r="C279" s="56">
        <v>4.736104446888012</v>
      </c>
      <c r="E279" s="32"/>
      <c r="F279" s="31"/>
    </row>
    <row r="280" spans="1:6" x14ac:dyDescent="0.2">
      <c r="A280" s="26">
        <f t="shared" si="1"/>
        <v>2016.07</v>
      </c>
      <c r="B280" s="55">
        <v>5.08</v>
      </c>
      <c r="C280" s="56">
        <v>4.909492889960374</v>
      </c>
      <c r="E280" s="33"/>
      <c r="F280" s="31"/>
    </row>
    <row r="281" spans="1:6" x14ac:dyDescent="0.2">
      <c r="A281" s="26">
        <f t="shared" si="1"/>
        <v>2016.08</v>
      </c>
      <c r="B281" s="55">
        <v>6.2690000000000001</v>
      </c>
      <c r="C281" s="56">
        <v>5.2198297549083978</v>
      </c>
      <c r="E281" s="32"/>
      <c r="F281" s="31"/>
    </row>
    <row r="282" spans="1:6" x14ac:dyDescent="0.2">
      <c r="A282" s="26">
        <f t="shared" si="1"/>
        <v>2016.09</v>
      </c>
      <c r="B282" s="55">
        <v>6.0819999999999999</v>
      </c>
      <c r="C282" s="56">
        <v>5.3819842683246977</v>
      </c>
      <c r="E282" s="32"/>
      <c r="F282" s="31"/>
    </row>
    <row r="283" spans="1:6" x14ac:dyDescent="0.2">
      <c r="A283" s="26">
        <f t="shared" si="1"/>
        <v>2016.1</v>
      </c>
      <c r="B283" s="55">
        <v>5.2130000000000001</v>
      </c>
      <c r="C283" s="56">
        <v>5.5169468918992983</v>
      </c>
      <c r="E283" s="32"/>
      <c r="F283" s="31"/>
    </row>
    <row r="284" spans="1:6" x14ac:dyDescent="0.2">
      <c r="A284" s="26">
        <f t="shared" si="1"/>
        <v>2016.11</v>
      </c>
      <c r="B284" s="55">
        <v>4.9059999999999997</v>
      </c>
      <c r="C284" s="56">
        <v>5.6876632825305729</v>
      </c>
      <c r="E284" s="32"/>
      <c r="F284" s="31"/>
    </row>
    <row r="285" spans="1:6" x14ac:dyDescent="0.2">
      <c r="A285" s="26">
        <f t="shared" si="1"/>
        <v>2016.12</v>
      </c>
      <c r="B285" s="55">
        <v>3.1469999999999998</v>
      </c>
      <c r="C285" s="56">
        <v>5.7497734481852172</v>
      </c>
      <c r="E285" s="32"/>
      <c r="F285" s="31"/>
    </row>
    <row r="286" spans="1:6" x14ac:dyDescent="0.2">
      <c r="A286" s="26">
        <f t="shared" si="1"/>
        <v>2017.01</v>
      </c>
      <c r="B286" s="55">
        <v>8.2569999999999997</v>
      </c>
      <c r="C286" s="56">
        <v>5.7923945957778225</v>
      </c>
      <c r="E286" s="32"/>
      <c r="F286" s="31"/>
    </row>
    <row r="287" spans="1:6" x14ac:dyDescent="0.2">
      <c r="A287" s="26">
        <f t="shared" si="1"/>
        <v>2017.02</v>
      </c>
      <c r="B287" s="55">
        <v>5.0449999999999999</v>
      </c>
      <c r="C287" s="56">
        <v>5.8966786676038465</v>
      </c>
      <c r="E287" s="32"/>
      <c r="F287" s="31"/>
    </row>
    <row r="288" spans="1:6" x14ac:dyDescent="0.2">
      <c r="A288" s="26">
        <f t="shared" si="1"/>
        <v>2017.03</v>
      </c>
      <c r="B288" s="55">
        <v>6.5679999999999996</v>
      </c>
      <c r="C288" s="56">
        <v>6.1130270175304817</v>
      </c>
      <c r="E288" s="32"/>
      <c r="F288" s="31"/>
    </row>
    <row r="289" spans="1:6" x14ac:dyDescent="0.2">
      <c r="A289" s="26">
        <f t="shared" si="1"/>
        <v>2017.04</v>
      </c>
      <c r="B289" s="55">
        <v>5.6349999999999998</v>
      </c>
      <c r="C289" s="56">
        <v>6.2909693494410677</v>
      </c>
      <c r="E289" s="32"/>
      <c r="F289" s="31"/>
    </row>
    <row r="290" spans="1:6" x14ac:dyDescent="0.2">
      <c r="A290" s="26">
        <f t="shared" si="1"/>
        <v>2017.05</v>
      </c>
      <c r="B290" s="55">
        <v>6.37</v>
      </c>
      <c r="C290" s="56">
        <v>6.3476255552585954</v>
      </c>
      <c r="E290" s="32"/>
      <c r="F290" s="31"/>
    </row>
    <row r="291" spans="1:6" x14ac:dyDescent="0.2">
      <c r="A291" s="26">
        <f t="shared" si="1"/>
        <v>2017.06</v>
      </c>
      <c r="B291" s="55">
        <v>6.8070000000000004</v>
      </c>
      <c r="C291" s="56">
        <v>6.4660296978681036</v>
      </c>
      <c r="E291" s="32"/>
      <c r="F291" s="31"/>
    </row>
    <row r="292" spans="1:6" x14ac:dyDescent="0.2">
      <c r="A292" s="26">
        <f t="shared" si="1"/>
        <v>2017.07</v>
      </c>
      <c r="B292" s="55">
        <v>6.8339999999999996</v>
      </c>
      <c r="C292" s="56">
        <v>6.4740135818043232</v>
      </c>
      <c r="E292" s="32"/>
      <c r="F292" s="31"/>
    </row>
    <row r="293" spans="1:6" x14ac:dyDescent="0.2">
      <c r="A293" s="26">
        <f t="shared" si="1"/>
        <v>2017.08</v>
      </c>
      <c r="B293" s="55">
        <v>7.5890000000000004</v>
      </c>
      <c r="C293" s="56">
        <v>6.3908758690369956</v>
      </c>
      <c r="E293" s="32"/>
      <c r="F293" s="31"/>
    </row>
    <row r="294" spans="1:6" x14ac:dyDescent="0.2">
      <c r="A294" s="26">
        <f t="shared" si="1"/>
        <v>2017.09</v>
      </c>
      <c r="B294" s="55">
        <v>6.82</v>
      </c>
      <c r="C294" s="56">
        <v>6.4485429733913069</v>
      </c>
      <c r="E294" s="32"/>
      <c r="F294" s="31"/>
    </row>
    <row r="295" spans="1:6" x14ac:dyDescent="0.2">
      <c r="A295" s="26">
        <f t="shared" si="1"/>
        <v>2017.1</v>
      </c>
      <c r="B295" s="55">
        <v>6.5179999999999998</v>
      </c>
      <c r="C295" s="56">
        <v>6.6706005992053647</v>
      </c>
      <c r="E295" s="32"/>
      <c r="F295" s="31"/>
    </row>
    <row r="296" spans="1:6" x14ac:dyDescent="0.2">
      <c r="A296" s="26">
        <f t="shared" si="1"/>
        <v>2017.11</v>
      </c>
      <c r="B296" s="55">
        <v>6.0430000000000001</v>
      </c>
      <c r="C296" s="56">
        <v>7.0715130510958204</v>
      </c>
      <c r="E296" s="32"/>
      <c r="F296" s="31"/>
    </row>
    <row r="297" spans="1:6" x14ac:dyDescent="0.2">
      <c r="A297" s="26">
        <f t="shared" si="1"/>
        <v>2017.12</v>
      </c>
      <c r="B297" s="55">
        <v>4.0640000000000001</v>
      </c>
      <c r="C297" s="56">
        <v>7.3162424797290333</v>
      </c>
      <c r="E297" s="32"/>
      <c r="F297" s="31"/>
    </row>
    <row r="298" spans="1:6" x14ac:dyDescent="0.2">
      <c r="A298" s="26">
        <f t="shared" si="1"/>
        <v>2018.01</v>
      </c>
      <c r="B298" s="55">
        <v>10.382999999999999</v>
      </c>
      <c r="C298" s="56">
        <v>7.1534934365584251</v>
      </c>
      <c r="E298" s="32"/>
      <c r="F298" s="31"/>
    </row>
    <row r="299" spans="1:6" x14ac:dyDescent="0.2">
      <c r="A299" s="26">
        <f t="shared" si="1"/>
        <v>2018.02</v>
      </c>
      <c r="B299" s="55">
        <v>5.99</v>
      </c>
      <c r="C299" s="56">
        <v>7.1559092854001047</v>
      </c>
      <c r="E299" s="32"/>
      <c r="F299" s="31"/>
    </row>
    <row r="300" spans="1:6" x14ac:dyDescent="0.2">
      <c r="A300" s="26">
        <f t="shared" si="1"/>
        <v>2018.03</v>
      </c>
      <c r="B300" s="55">
        <v>7.4359999999999999</v>
      </c>
      <c r="C300" s="56">
        <v>7.1813508656521652</v>
      </c>
      <c r="E300" s="32"/>
      <c r="F300" s="31"/>
    </row>
    <row r="301" spans="1:6" x14ac:dyDescent="0.2">
      <c r="A301" s="26">
        <f t="shared" si="1"/>
        <v>2018.04</v>
      </c>
      <c r="B301" s="55">
        <v>6.4050000000000002</v>
      </c>
      <c r="C301" s="56">
        <v>6.8349693111736585</v>
      </c>
      <c r="E301" s="32"/>
      <c r="F301" s="31"/>
    </row>
    <row r="302" spans="1:6" x14ac:dyDescent="0.2">
      <c r="A302" s="26">
        <f t="shared" si="1"/>
        <v>2018.05</v>
      </c>
      <c r="B302" s="55">
        <v>7.0940000000000003</v>
      </c>
      <c r="C302" s="56">
        <v>6.3826831469343901</v>
      </c>
      <c r="E302" s="32"/>
      <c r="F302" s="31"/>
    </row>
    <row r="303" spans="1:6" x14ac:dyDescent="0.2">
      <c r="A303" s="26">
        <f t="shared" si="1"/>
        <v>2018.06</v>
      </c>
      <c r="B303" s="55">
        <v>5.4379999999999997</v>
      </c>
      <c r="C303" s="56">
        <v>5.6715144240595006</v>
      </c>
      <c r="E303" s="32"/>
      <c r="F303" s="31"/>
    </row>
    <row r="304" spans="1:6" x14ac:dyDescent="0.2">
      <c r="A304" s="26">
        <f t="shared" si="1"/>
        <v>2018.07</v>
      </c>
      <c r="B304" s="55">
        <v>5.5720000000000001</v>
      </c>
      <c r="C304" s="56">
        <v>4.9773115264256287</v>
      </c>
      <c r="E304" s="32"/>
      <c r="F304" s="31"/>
    </row>
    <row r="305" spans="1:7" x14ac:dyDescent="0.2">
      <c r="A305" s="26">
        <f t="shared" si="1"/>
        <v>2018.08</v>
      </c>
      <c r="B305" s="55">
        <v>5.3920000000000003</v>
      </c>
      <c r="C305" s="56">
        <v>4.577083607012141</v>
      </c>
      <c r="E305" s="32"/>
      <c r="F305" s="31"/>
    </row>
    <row r="306" spans="1:7" x14ac:dyDescent="0.2">
      <c r="A306" s="26">
        <f t="shared" ref="A306:A369" si="2">A294+1</f>
        <v>2018.09</v>
      </c>
      <c r="B306" s="55">
        <v>4.298</v>
      </c>
      <c r="C306" s="56">
        <v>4.2219080337785329</v>
      </c>
      <c r="E306" s="32"/>
      <c r="F306" s="31"/>
    </row>
    <row r="307" spans="1:7" x14ac:dyDescent="0.2">
      <c r="A307" s="26">
        <f t="shared" si="2"/>
        <v>2018.1</v>
      </c>
      <c r="B307" s="55">
        <v>3.87</v>
      </c>
      <c r="C307" s="56">
        <v>3.8559654562349892</v>
      </c>
      <c r="E307" s="32"/>
      <c r="F307" s="31"/>
    </row>
    <row r="308" spans="1:7" x14ac:dyDescent="0.2">
      <c r="A308" s="26">
        <f t="shared" si="2"/>
        <v>2018.11</v>
      </c>
      <c r="B308" s="55">
        <v>3.1179999999999999</v>
      </c>
      <c r="C308" s="56">
        <v>3.6495719926258543</v>
      </c>
      <c r="E308" s="32"/>
      <c r="F308" s="31"/>
    </row>
    <row r="309" spans="1:7" x14ac:dyDescent="0.2">
      <c r="A309" s="26">
        <f t="shared" si="2"/>
        <v>2018.12</v>
      </c>
      <c r="B309" s="55">
        <v>1.9690000000000001</v>
      </c>
      <c r="C309" s="56">
        <v>3.6058379346188625</v>
      </c>
      <c r="E309" s="33"/>
      <c r="F309" s="31"/>
      <c r="G309" s="28"/>
    </row>
    <row r="310" spans="1:7" ht="14.25" x14ac:dyDescent="0.2">
      <c r="A310" s="26">
        <f t="shared" si="2"/>
        <v>2019.01</v>
      </c>
      <c r="B310" s="55">
        <v>5.1719999999999997</v>
      </c>
      <c r="C310" s="56">
        <v>3.6171068289519166</v>
      </c>
      <c r="E310" s="35"/>
      <c r="F310" s="36"/>
    </row>
    <row r="311" spans="1:7" ht="14.25" x14ac:dyDescent="0.2">
      <c r="A311" s="26">
        <f t="shared" si="2"/>
        <v>2019.02</v>
      </c>
      <c r="B311" s="55">
        <v>3.278</v>
      </c>
      <c r="C311" s="56">
        <v>3.600647759356749</v>
      </c>
      <c r="E311" s="35"/>
      <c r="F311" s="36"/>
    </row>
    <row r="312" spans="1:7" ht="14.25" x14ac:dyDescent="0.2">
      <c r="A312" s="26">
        <f t="shared" si="2"/>
        <v>2019.03</v>
      </c>
      <c r="B312" s="55">
        <v>3.2240000000000002</v>
      </c>
      <c r="C312" s="56">
        <v>3.4749577095654378</v>
      </c>
      <c r="E312" s="35"/>
      <c r="F312" s="36"/>
    </row>
    <row r="313" spans="1:7" ht="14.25" x14ac:dyDescent="0.2">
      <c r="A313" s="26">
        <f t="shared" si="2"/>
        <v>2019.04</v>
      </c>
      <c r="B313" s="55">
        <v>3.1930000000000001</v>
      </c>
      <c r="C313" s="56">
        <v>3.3801224756019406</v>
      </c>
      <c r="E313" s="35"/>
      <c r="F313" s="36"/>
    </row>
    <row r="314" spans="1:7" ht="14.25" x14ac:dyDescent="0.2">
      <c r="A314" s="26">
        <f t="shared" si="2"/>
        <v>2019.05</v>
      </c>
      <c r="B314" s="55">
        <v>3.327</v>
      </c>
      <c r="C314" s="56">
        <v>3.3251831545109973</v>
      </c>
      <c r="E314" s="35"/>
      <c r="F314" s="36"/>
    </row>
    <row r="315" spans="1:7" ht="14.25" x14ac:dyDescent="0.2">
      <c r="A315" s="26">
        <f t="shared" si="2"/>
        <v>2019.06</v>
      </c>
      <c r="B315" s="55">
        <v>3.302</v>
      </c>
      <c r="C315" s="56">
        <v>3.4054513034814944</v>
      </c>
      <c r="E315" s="35"/>
      <c r="F315" s="36"/>
    </row>
    <row r="316" spans="1:7" ht="14.25" x14ac:dyDescent="0.2">
      <c r="A316" s="26">
        <f t="shared" si="2"/>
        <v>2019.07</v>
      </c>
      <c r="B316" s="55">
        <v>4.3369999999999997</v>
      </c>
      <c r="C316" s="56">
        <v>3.6262753521183964</v>
      </c>
      <c r="E316" s="35"/>
      <c r="F316" s="36"/>
    </row>
    <row r="317" spans="1:7" ht="14.25" x14ac:dyDescent="0.2">
      <c r="A317" s="26">
        <f t="shared" si="2"/>
        <v>2019.08</v>
      </c>
      <c r="B317" s="55">
        <v>4.2990000000000004</v>
      </c>
      <c r="C317" s="56">
        <v>3.6331055564372869</v>
      </c>
      <c r="E317" s="35"/>
      <c r="F317" s="36"/>
    </row>
    <row r="318" spans="1:7" ht="14.25" x14ac:dyDescent="0.2">
      <c r="A318" s="26">
        <f t="shared" si="2"/>
        <v>2019.09</v>
      </c>
      <c r="B318" s="55">
        <v>3.3639999999999999</v>
      </c>
      <c r="C318" s="56">
        <v>3.3111654814479348</v>
      </c>
      <c r="E318" s="35"/>
      <c r="F318" s="36"/>
    </row>
    <row r="319" spans="1:7" ht="14.25" x14ac:dyDescent="0.2">
      <c r="A319" s="26">
        <f t="shared" si="2"/>
        <v>2019.1</v>
      </c>
      <c r="B319" s="55">
        <v>2.9750000000000001</v>
      </c>
      <c r="C319" s="56">
        <v>2.9294434699972243</v>
      </c>
      <c r="E319" s="35"/>
      <c r="F319" s="36"/>
    </row>
    <row r="320" spans="1:7" ht="14.25" x14ac:dyDescent="0.2">
      <c r="A320" s="26">
        <f t="shared" si="2"/>
        <v>2019.11</v>
      </c>
      <c r="B320" s="55">
        <v>2.3109999999999999</v>
      </c>
      <c r="C320" s="56">
        <v>2.7180960171940844</v>
      </c>
      <c r="E320" s="35"/>
      <c r="F320" s="36"/>
    </row>
    <row r="321" spans="1:7" ht="14.25" x14ac:dyDescent="0.2">
      <c r="A321" s="26">
        <f t="shared" si="2"/>
        <v>2019.12</v>
      </c>
      <c r="B321" s="55">
        <v>1.897</v>
      </c>
      <c r="C321" s="56">
        <v>2.6920849897493482</v>
      </c>
      <c r="E321" s="38"/>
      <c r="F321" s="36"/>
      <c r="G321" s="34"/>
    </row>
    <row r="322" spans="1:7" x14ac:dyDescent="0.2">
      <c r="A322" s="26">
        <f t="shared" si="2"/>
        <v>2020.01</v>
      </c>
      <c r="B322" s="55">
        <v>4.1349999999999998</v>
      </c>
      <c r="C322" s="56">
        <v>2.6574525571324177</v>
      </c>
      <c r="E322" s="37"/>
      <c r="F322" s="37"/>
    </row>
    <row r="323" spans="1:7" x14ac:dyDescent="0.2">
      <c r="A323" s="26">
        <f t="shared" si="2"/>
        <v>2020.02</v>
      </c>
      <c r="B323" s="55">
        <v>2.5030000000000001</v>
      </c>
      <c r="C323" s="56">
        <v>2.4892249868370864</v>
      </c>
    </row>
    <row r="324" spans="1:7" x14ac:dyDescent="0.2">
      <c r="A324" s="26">
        <f t="shared" si="2"/>
        <v>2020.03</v>
      </c>
      <c r="B324" s="55">
        <v>1.633</v>
      </c>
      <c r="C324" s="56">
        <v>2.3737897238938777</v>
      </c>
    </row>
    <row r="325" spans="1:7" x14ac:dyDescent="0.2">
      <c r="A325" s="26">
        <f t="shared" si="2"/>
        <v>2020.04</v>
      </c>
      <c r="B325" s="55">
        <v>0.38100000000000001</v>
      </c>
      <c r="C325" s="56">
        <v>2.3728306358572917</v>
      </c>
    </row>
    <row r="326" spans="1:7" x14ac:dyDescent="0.2">
      <c r="A326" s="26">
        <f t="shared" si="2"/>
        <v>2020.05</v>
      </c>
      <c r="B326" s="55">
        <v>2.3069999999999999</v>
      </c>
      <c r="C326" s="56">
        <v>2.4458058518083892</v>
      </c>
    </row>
    <row r="327" spans="1:7" x14ac:dyDescent="0.2">
      <c r="A327" s="26">
        <f t="shared" si="2"/>
        <v>2020.06</v>
      </c>
      <c r="B327" s="55">
        <v>4.1360000000000001</v>
      </c>
      <c r="C327" s="56">
        <v>2.6414847107634891</v>
      </c>
    </row>
    <row r="328" spans="1:7" x14ac:dyDescent="0.2">
      <c r="A328" s="26">
        <f t="shared" si="2"/>
        <v>2020.07</v>
      </c>
      <c r="B328" s="55">
        <v>3.5259999999999998</v>
      </c>
      <c r="C328" s="56">
        <v>2.8927656272417006</v>
      </c>
    </row>
    <row r="329" spans="1:7" x14ac:dyDescent="0.2">
      <c r="A329" s="26">
        <f t="shared" si="2"/>
        <v>2020.08</v>
      </c>
      <c r="B329" s="55">
        <v>3.3250000000000002</v>
      </c>
      <c r="C329" s="56">
        <v>3.0839727319357109</v>
      </c>
    </row>
    <row r="330" spans="1:7" x14ac:dyDescent="0.2">
      <c r="A330" s="26">
        <f t="shared" si="2"/>
        <v>2020.09</v>
      </c>
      <c r="B330" s="55">
        <v>3.38</v>
      </c>
      <c r="C330" s="56">
        <v>3.3432938416038556</v>
      </c>
    </row>
    <row r="331" spans="1:7" x14ac:dyDescent="0.2">
      <c r="A331" s="26">
        <f t="shared" si="2"/>
        <v>2020.1</v>
      </c>
      <c r="B331" s="55">
        <v>3.87</v>
      </c>
      <c r="C331" s="56">
        <v>3.7126666780200352</v>
      </c>
    </row>
    <row r="332" spans="1:7" x14ac:dyDescent="0.2">
      <c r="A332" s="26">
        <f t="shared" si="2"/>
        <v>2020.11</v>
      </c>
      <c r="B332" s="55">
        <v>3.5110000000000001</v>
      </c>
      <c r="C332" s="56">
        <v>3.7959248395936913</v>
      </c>
    </row>
    <row r="333" spans="1:7" x14ac:dyDescent="0.2">
      <c r="A333" s="26">
        <f t="shared" si="2"/>
        <v>2020.12</v>
      </c>
      <c r="B333" s="55">
        <v>1.9179999999999999</v>
      </c>
      <c r="C333" s="56">
        <v>3.5873849873504269</v>
      </c>
    </row>
    <row r="334" spans="1:7" x14ac:dyDescent="0.2">
      <c r="A334" s="26">
        <f t="shared" si="2"/>
        <v>2021.01</v>
      </c>
      <c r="B334" s="55">
        <v>4.83</v>
      </c>
      <c r="C334" s="56">
        <v>3.4927081873621662</v>
      </c>
      <c r="E334" s="28"/>
    </row>
    <row r="335" spans="1:7" x14ac:dyDescent="0.2">
      <c r="A335" s="26">
        <f t="shared" si="2"/>
        <v>2021.02</v>
      </c>
      <c r="B335" s="55">
        <v>2.9380000000000002</v>
      </c>
      <c r="C335" s="56">
        <v>3.5146627344595971</v>
      </c>
      <c r="E335" s="28"/>
      <c r="F335" s="28"/>
    </row>
    <row r="336" spans="1:7" x14ac:dyDescent="0.2">
      <c r="A336" s="26">
        <f t="shared" si="2"/>
        <v>2021.03</v>
      </c>
      <c r="B336" s="55">
        <v>3.399</v>
      </c>
      <c r="C336" s="56">
        <v>3.4591403948261621</v>
      </c>
      <c r="E336" s="28"/>
      <c r="F336" s="28"/>
    </row>
    <row r="337" spans="1:6" x14ac:dyDescent="0.2">
      <c r="A337" s="26">
        <f t="shared" si="2"/>
        <v>2021.04</v>
      </c>
      <c r="B337" s="55">
        <v>3.0939999999999999</v>
      </c>
      <c r="C337" s="56">
        <v>3.3236634626777621</v>
      </c>
      <c r="E337" s="28"/>
      <c r="F337" s="28"/>
    </row>
    <row r="338" spans="1:6" x14ac:dyDescent="0.2">
      <c r="A338" s="26">
        <f t="shared" si="2"/>
        <v>2021.05</v>
      </c>
      <c r="B338" s="55">
        <v>2.2120000000000002</v>
      </c>
      <c r="C338" s="56">
        <v>3.3076116745714934</v>
      </c>
    </row>
    <row r="339" spans="1:6" x14ac:dyDescent="0.2">
      <c r="A339" s="26">
        <f t="shared" si="2"/>
        <v>2021.06</v>
      </c>
      <c r="B339" s="55">
        <v>3.7909999999999999</v>
      </c>
      <c r="C339" s="56">
        <v>3.2500035546415171</v>
      </c>
    </row>
    <row r="340" spans="1:6" x14ac:dyDescent="0.2">
      <c r="A340" s="26">
        <f t="shared" si="2"/>
        <v>2021.07</v>
      </c>
      <c r="B340" s="55">
        <v>3.3119999999999998</v>
      </c>
      <c r="C340" s="56">
        <v>2.982183635851174</v>
      </c>
    </row>
    <row r="341" spans="1:6" x14ac:dyDescent="0.2">
      <c r="A341" s="26">
        <f t="shared" si="2"/>
        <v>2021.08</v>
      </c>
      <c r="B341" s="55">
        <v>3.1240000000000001</v>
      </c>
      <c r="C341" s="56">
        <v>2.8626997905818055</v>
      </c>
    </row>
    <row r="342" spans="1:6" x14ac:dyDescent="0.2">
      <c r="A342" s="26">
        <f t="shared" si="2"/>
        <v>2021.09</v>
      </c>
      <c r="B342" s="55">
        <v>3.07</v>
      </c>
      <c r="C342" s="56">
        <v>2.8920292097925482</v>
      </c>
    </row>
    <row r="343" spans="1:6" x14ac:dyDescent="0.2">
      <c r="A343" s="26">
        <f t="shared" si="2"/>
        <v>2021.1</v>
      </c>
      <c r="B343" s="55">
        <v>2.798</v>
      </c>
      <c r="C343" s="56">
        <v>2.90801321250339</v>
      </c>
    </row>
    <row r="344" spans="1:6" x14ac:dyDescent="0.2">
      <c r="A344" s="26">
        <f t="shared" si="2"/>
        <v>2021.11</v>
      </c>
      <c r="B344" s="55">
        <v>2.8330000000000002</v>
      </c>
      <c r="C344" s="56">
        <v>3.0033909140954611</v>
      </c>
    </row>
    <row r="345" spans="1:6" x14ac:dyDescent="0.2">
      <c r="A345" s="26">
        <f t="shared" si="2"/>
        <v>2021.12</v>
      </c>
      <c r="B345" s="55">
        <v>1.7070000000000001</v>
      </c>
      <c r="C345" s="56">
        <v>3.1324204813481349</v>
      </c>
    </row>
    <row r="346" spans="1:6" x14ac:dyDescent="0.2">
      <c r="A346" s="26">
        <f t="shared" si="2"/>
        <v>2022.01</v>
      </c>
      <c r="B346" s="55">
        <v>4.399</v>
      </c>
      <c r="C346" s="56">
        <v>3.2617805274979292</v>
      </c>
    </row>
    <row r="347" spans="1:6" x14ac:dyDescent="0.2">
      <c r="A347" s="26">
        <f t="shared" si="2"/>
        <v>2022.02</v>
      </c>
      <c r="B347" s="55">
        <v>2.8479999999999999</v>
      </c>
      <c r="C347" s="56">
        <v>3.3706084892653703</v>
      </c>
    </row>
    <row r="348" spans="1:6" x14ac:dyDescent="0.2">
      <c r="A348" s="26">
        <f t="shared" si="2"/>
        <v>2022.03</v>
      </c>
      <c r="B348" s="55">
        <v>3.4430000000000001</v>
      </c>
      <c r="C348" s="56">
        <v>3.4160055970760479</v>
      </c>
    </row>
    <row r="349" spans="1:6" x14ac:dyDescent="0.2">
      <c r="A349" s="26">
        <f t="shared" si="2"/>
        <v>2022.04</v>
      </c>
      <c r="B349" s="55">
        <v>2.99</v>
      </c>
      <c r="C349" s="56">
        <v>3.4679426142441638</v>
      </c>
    </row>
    <row r="350" spans="1:6" x14ac:dyDescent="0.2">
      <c r="A350" s="26">
        <f t="shared" si="2"/>
        <v>2022.05</v>
      </c>
      <c r="B350" s="55">
        <v>3.6150000000000002</v>
      </c>
      <c r="C350" s="56">
        <v>3.4993819628525156</v>
      </c>
    </row>
    <row r="351" spans="1:6" x14ac:dyDescent="0.2">
      <c r="A351" s="26">
        <f t="shared" si="2"/>
        <v>2022.06</v>
      </c>
      <c r="B351" s="55">
        <v>3.7879999999999998</v>
      </c>
      <c r="C351" s="56">
        <v>3.4474255838268983</v>
      </c>
    </row>
    <row r="352" spans="1:6" x14ac:dyDescent="0.2">
      <c r="A352" s="26">
        <f t="shared" si="2"/>
        <v>2022.07</v>
      </c>
      <c r="B352" s="55">
        <v>3.8889999999999998</v>
      </c>
      <c r="C352" s="56">
        <v>3.3455532823205307</v>
      </c>
    </row>
    <row r="353" spans="1:3" x14ac:dyDescent="0.2">
      <c r="A353" s="26">
        <f t="shared" si="2"/>
        <v>2022.08</v>
      </c>
      <c r="B353" s="55">
        <v>3.5819999999999999</v>
      </c>
      <c r="C353" s="56">
        <v>3.2406835178486038</v>
      </c>
    </row>
    <row r="354" spans="1:3" x14ac:dyDescent="0.2">
      <c r="A354" s="26">
        <f t="shared" si="2"/>
        <v>2022.09</v>
      </c>
      <c r="B354" s="55">
        <v>3.351</v>
      </c>
      <c r="C354" s="56">
        <v>3.2299947139075442</v>
      </c>
    </row>
    <row r="355" spans="1:3" x14ac:dyDescent="0.2">
      <c r="A355" s="26">
        <f t="shared" si="2"/>
        <v>2022.1</v>
      </c>
      <c r="B355" s="55">
        <v>3.3149999999999999</v>
      </c>
      <c r="C355" s="56">
        <v>3.3298112619019187</v>
      </c>
    </row>
    <row r="356" spans="1:3" x14ac:dyDescent="0.2">
      <c r="A356" s="26">
        <f t="shared" si="2"/>
        <v>2022.11</v>
      </c>
      <c r="B356" s="55">
        <v>3.2080000000000002</v>
      </c>
      <c r="C356" s="56">
        <v>3.431102380662304</v>
      </c>
    </row>
    <row r="357" spans="1:3" x14ac:dyDescent="0.2">
      <c r="A357" s="26">
        <f t="shared" si="2"/>
        <v>2022.12</v>
      </c>
      <c r="B357" s="55">
        <v>1.7929999999999999</v>
      </c>
      <c r="C357" s="56">
        <v>3.4317776192825802</v>
      </c>
    </row>
    <row r="358" spans="1:3" x14ac:dyDescent="0.2">
      <c r="A358" s="26">
        <f t="shared" si="2"/>
        <v>2023.01</v>
      </c>
      <c r="B358" s="55">
        <v>4.6150000000000002</v>
      </c>
      <c r="C358" s="56">
        <v>3.3362180596244979</v>
      </c>
    </row>
    <row r="359" spans="1:3" x14ac:dyDescent="0.2">
      <c r="A359" s="26">
        <f t="shared" si="2"/>
        <v>2023.02</v>
      </c>
      <c r="B359" s="55">
        <v>2.6779999999999999</v>
      </c>
      <c r="C359" s="56">
        <v>3.3009017767657078</v>
      </c>
    </row>
    <row r="360" spans="1:3" x14ac:dyDescent="0.2">
      <c r="A360" s="26">
        <f t="shared" si="2"/>
        <v>2023.03</v>
      </c>
      <c r="B360" s="55">
        <v>3.4860000000000002</v>
      </c>
      <c r="C360" s="56">
        <v>3.3858887004516167</v>
      </c>
    </row>
    <row r="361" spans="1:3" x14ac:dyDescent="0.2">
      <c r="A361" s="26">
        <f t="shared" si="2"/>
        <v>2023.04</v>
      </c>
      <c r="B361" s="55">
        <v>2.9279999999999999</v>
      </c>
      <c r="C361" s="56">
        <v>3.4557684719847752</v>
      </c>
    </row>
    <row r="362" spans="1:3" x14ac:dyDescent="0.2">
      <c r="A362" s="26">
        <f t="shared" si="2"/>
        <v>2023.05</v>
      </c>
      <c r="B362" s="55">
        <v>3.6960000000000002</v>
      </c>
      <c r="C362" s="56">
        <v>3.3924039032177555</v>
      </c>
    </row>
    <row r="363" spans="1:3" x14ac:dyDescent="0.2">
      <c r="A363" s="26">
        <f t="shared" si="2"/>
        <v>2023.06</v>
      </c>
      <c r="B363" s="55">
        <v>3.5139999999999998</v>
      </c>
      <c r="C363" s="56">
        <v>3.3126712069950432</v>
      </c>
    </row>
    <row r="364" spans="1:3" x14ac:dyDescent="0.2">
      <c r="A364" s="26">
        <f t="shared" si="2"/>
        <v>2023.07</v>
      </c>
      <c r="B364" s="55">
        <v>3.9590000000000001</v>
      </c>
      <c r="C364" s="56">
        <v>3.2662266201686707</v>
      </c>
    </row>
    <row r="365" spans="1:3" x14ac:dyDescent="0.2">
      <c r="A365" s="26">
        <f t="shared" si="2"/>
        <v>2023.08</v>
      </c>
      <c r="B365" s="55">
        <v>3.371</v>
      </c>
      <c r="C365" s="56">
        <v>3.0989325227123867</v>
      </c>
    </row>
    <row r="366" spans="1:3" x14ac:dyDescent="0.2">
      <c r="A366" s="26">
        <f t="shared" si="2"/>
        <v>2023.09</v>
      </c>
      <c r="B366" s="55">
        <v>2.802</v>
      </c>
      <c r="C366" s="56">
        <v>2.9944901870322473</v>
      </c>
    </row>
    <row r="367" spans="1:3" x14ac:dyDescent="0.2">
      <c r="A367" s="26">
        <f t="shared" si="2"/>
        <v>2023.1</v>
      </c>
      <c r="B367" s="55">
        <v>3.5289999999999999</v>
      </c>
      <c r="C367" s="56">
        <v>3.0774042645475959</v>
      </c>
    </row>
    <row r="368" spans="1:3" x14ac:dyDescent="0.2">
      <c r="A368" s="26">
        <f t="shared" si="2"/>
        <v>2023.11</v>
      </c>
      <c r="B368" s="55">
        <v>2.9580000000000002</v>
      </c>
      <c r="C368" s="56">
        <v>3.0296456425150469</v>
      </c>
    </row>
    <row r="369" spans="1:3" x14ac:dyDescent="0.2">
      <c r="A369" s="26">
        <f t="shared" si="2"/>
        <v>2023.12</v>
      </c>
      <c r="B369" s="55">
        <v>1.3260000000000001</v>
      </c>
      <c r="C369" s="56">
        <v>2.8059178660284556</v>
      </c>
    </row>
    <row r="370" spans="1:3" x14ac:dyDescent="0.2">
      <c r="A370" s="26">
        <f t="shared" ref="A370:A433" si="3">A358+1</f>
        <v>2024.01</v>
      </c>
      <c r="B370" s="55">
        <v>2.5169999999999999</v>
      </c>
      <c r="C370" s="56">
        <v>2.6381525844613569</v>
      </c>
    </row>
    <row r="371" spans="1:3" x14ac:dyDescent="0.2">
      <c r="A371" s="26">
        <f t="shared" si="3"/>
        <v>2024.02</v>
      </c>
      <c r="B371" s="55">
        <v>2.1749999999999998</v>
      </c>
      <c r="C371" s="56">
        <v>2.5681745050643934</v>
      </c>
    </row>
    <row r="372" spans="1:3" x14ac:dyDescent="0.2">
      <c r="A372" s="26">
        <f t="shared" si="3"/>
        <v>2024.03</v>
      </c>
      <c r="B372" s="55">
        <v>2.2170000000000001</v>
      </c>
      <c r="C372" s="56">
        <v>2.5665846409276174</v>
      </c>
    </row>
    <row r="373" spans="1:3" x14ac:dyDescent="0.2">
      <c r="A373" s="26">
        <f t="shared" si="3"/>
        <v>2024.04</v>
      </c>
      <c r="B373" s="55">
        <v>2.6539999999999999</v>
      </c>
      <c r="C373" s="56">
        <v>2.6721004005319151</v>
      </c>
    </row>
    <row r="374" spans="1:3" x14ac:dyDescent="0.2">
      <c r="A374" s="26">
        <f t="shared" si="3"/>
        <v>2024.05</v>
      </c>
      <c r="B374" s="55">
        <v>3.1789999999999998</v>
      </c>
      <c r="C374" s="56">
        <v>2.8959533032016709</v>
      </c>
    </row>
    <row r="375" spans="1:3" x14ac:dyDescent="0.2">
      <c r="A375" s="26">
        <f t="shared" si="3"/>
        <v>2024.06</v>
      </c>
      <c r="B375" s="55">
        <v>3.1419999999999999</v>
      </c>
      <c r="C375" s="56">
        <v>3.1861012785440757</v>
      </c>
    </row>
    <row r="376" spans="1:3" x14ac:dyDescent="0.2">
      <c r="A376" s="26">
        <f t="shared" si="3"/>
        <v>2024.07</v>
      </c>
      <c r="B376" s="55">
        <v>4.46</v>
      </c>
      <c r="C376" s="56">
        <v>3.4321913762317311</v>
      </c>
    </row>
    <row r="377" spans="1:3" x14ac:dyDescent="0.2">
      <c r="A377" s="26">
        <f t="shared" si="3"/>
        <v>2024.08</v>
      </c>
      <c r="B377" s="55">
        <v>3.7330000000000001</v>
      </c>
      <c r="C377" s="56">
        <v>3.6156869170592971</v>
      </c>
    </row>
    <row r="378" spans="1:3" x14ac:dyDescent="0.2">
      <c r="A378" s="26">
        <f t="shared" si="3"/>
        <v>2024.09</v>
      </c>
      <c r="B378" s="55">
        <v>4.1020000000000003</v>
      </c>
      <c r="C378" s="56">
        <v>3.7591472297533048</v>
      </c>
    </row>
    <row r="379" spans="1:3" x14ac:dyDescent="0.2">
      <c r="A379" s="26">
        <f>A367+1</f>
        <v>2024.1</v>
      </c>
      <c r="B379" s="55">
        <v>3.9079999999999999</v>
      </c>
      <c r="C379" s="56">
        <v>3.7836997280757396</v>
      </c>
    </row>
    <row r="380" spans="1:3" x14ac:dyDescent="0.2">
      <c r="A380" s="26">
        <f t="shared" si="3"/>
        <v>2024.11</v>
      </c>
      <c r="B380" s="55">
        <v>3.25</v>
      </c>
      <c r="C380" s="56">
        <v>3.8904720509647959</v>
      </c>
    </row>
    <row r="381" spans="1:3" x14ac:dyDescent="0.2">
      <c r="A381" s="26">
        <f t="shared" si="3"/>
        <v>2024.12</v>
      </c>
      <c r="B381" s="55">
        <v>1.7549999999999999</v>
      </c>
      <c r="C381" s="56">
        <v>4.1969403242398222</v>
      </c>
    </row>
    <row r="382" spans="1:3" x14ac:dyDescent="0.2">
      <c r="A382" s="26">
        <f t="shared" si="3"/>
        <v>2025.01</v>
      </c>
      <c r="B382" s="55">
        <v>6.5309999999999997</v>
      </c>
      <c r="C382" s="56">
        <v>4.5271166368753342</v>
      </c>
    </row>
    <row r="383" spans="1:3" x14ac:dyDescent="0.2">
      <c r="A383" s="26">
        <f t="shared" si="3"/>
        <v>2025.02</v>
      </c>
      <c r="B383" s="55">
        <v>4.0439999999999996</v>
      </c>
      <c r="C383" s="56">
        <v>4.7056031140526615</v>
      </c>
    </row>
    <row r="384" spans="1:3" x14ac:dyDescent="0.2">
      <c r="A384" s="26">
        <f t="shared" si="3"/>
        <v>2025.03</v>
      </c>
      <c r="B384" s="55">
        <v>4.4710000000000001</v>
      </c>
      <c r="C384" s="56">
        <v>4.7873748695277563</v>
      </c>
    </row>
    <row r="385" spans="1:3" x14ac:dyDescent="0.2">
      <c r="A385" s="26">
        <f t="shared" si="3"/>
        <v>2025.04</v>
      </c>
      <c r="B385" s="55">
        <v>5.04</v>
      </c>
      <c r="C385" s="56">
        <v>4.9554724850020264</v>
      </c>
    </row>
    <row r="386" spans="1:3" x14ac:dyDescent="0.2">
      <c r="A386" s="26">
        <f t="shared" si="3"/>
        <v>2025.05</v>
      </c>
      <c r="B386" s="55">
        <v>5.2009999999999996</v>
      </c>
      <c r="C386" s="56">
        <v>4.9499908729280948</v>
      </c>
    </row>
    <row r="387" spans="1:3" x14ac:dyDescent="0.2">
      <c r="A387" s="26">
        <f t="shared" si="3"/>
        <v>2025.06</v>
      </c>
      <c r="B387" s="55">
        <v>4.83</v>
      </c>
      <c r="C387" s="56">
        <v>4.7285116264583191</v>
      </c>
    </row>
    <row r="388" spans="1:3" x14ac:dyDescent="0.2">
      <c r="A388" s="26">
        <f t="shared" si="3"/>
        <v>2025.07</v>
      </c>
      <c r="B388" s="55">
        <v>5.7190000000000003</v>
      </c>
      <c r="C388" s="56">
        <v>4.6859055697025003</v>
      </c>
    </row>
    <row r="389" spans="1:3" x14ac:dyDescent="0.2">
      <c r="A389" s="26">
        <f t="shared" si="3"/>
        <v>2025.08</v>
      </c>
      <c r="B389" s="55">
        <v>5.1079999999999997</v>
      </c>
      <c r="C389" s="56">
        <v>4.8016647471629188</v>
      </c>
    </row>
    <row r="390" spans="1:3" x14ac:dyDescent="0.2">
      <c r="A390" s="26">
        <f t="shared" si="3"/>
        <v>2025.09</v>
      </c>
      <c r="B390" s="55">
        <v>5.274</v>
      </c>
      <c r="C390" s="56">
        <v>4.7743740848878939</v>
      </c>
    </row>
    <row r="391" spans="1:3" x14ac:dyDescent="0.2">
      <c r="A391" s="26">
        <f t="shared" si="3"/>
        <v>2025.1</v>
      </c>
      <c r="B391" s="55">
        <v>4.8449999999999998</v>
      </c>
      <c r="C391" s="56">
        <v>4.5442324897617503</v>
      </c>
    </row>
    <row r="392" spans="1:3" x14ac:dyDescent="0.2">
      <c r="A392" s="26">
        <f t="shared" si="3"/>
        <v>2025.11</v>
      </c>
      <c r="B392" s="55">
        <v>3.3410000000000002</v>
      </c>
      <c r="C392" s="56">
        <v>4.3061157302444943</v>
      </c>
    </row>
    <row r="393" spans="1:3" x14ac:dyDescent="0.2">
      <c r="A393" s="26">
        <f t="shared" si="3"/>
        <v>2025.12</v>
      </c>
      <c r="B393" s="55">
        <v>2.2149999999999999</v>
      </c>
      <c r="C393" s="56">
        <v>4.3136841939628905</v>
      </c>
    </row>
    <row r="394" spans="1:3" x14ac:dyDescent="0.2">
      <c r="A394" s="26">
        <f t="shared" si="3"/>
        <v>2026.01</v>
      </c>
      <c r="B394" s="55">
        <v>6.35</v>
      </c>
      <c r="C394" s="56">
        <v>4.4510864787391569</v>
      </c>
    </row>
    <row r="395" spans="1:3" x14ac:dyDescent="0.2">
      <c r="A395" s="26">
        <f t="shared" si="3"/>
        <v>2026.02</v>
      </c>
      <c r="B395" s="55">
        <v>3.7330000000000001</v>
      </c>
      <c r="C395" s="56">
        <v>4.5499743898487699</v>
      </c>
    </row>
    <row r="396" spans="1:3" x14ac:dyDescent="0.2">
      <c r="A396" s="26">
        <f t="shared" si="3"/>
        <v>2026.03</v>
      </c>
      <c r="B396" s="55">
        <v>4.593</v>
      </c>
      <c r="C396" s="56">
        <v>4.6433416561599765</v>
      </c>
    </row>
    <row r="397" spans="1:3" x14ac:dyDescent="0.2">
      <c r="A397" s="26">
        <f t="shared" si="3"/>
        <v>2026.04</v>
      </c>
      <c r="B397" s="55">
        <v>4.5019999999999998</v>
      </c>
      <c r="C397" s="56">
        <v>4.5051101470027612</v>
      </c>
    </row>
    <row r="398" spans="1:3" x14ac:dyDescent="0.2">
      <c r="A398" s="26">
        <f t="shared" si="3"/>
        <v>2026.05</v>
      </c>
      <c r="B398" s="55">
        <v>4.0190000000000001</v>
      </c>
      <c r="C398" s="56">
        <v>4.2380413071160294</v>
      </c>
    </row>
    <row r="399" spans="1:3" x14ac:dyDescent="0.2">
      <c r="A399" s="26">
        <f t="shared" si="3"/>
        <v>2026.06</v>
      </c>
      <c r="B399" s="55">
        <v>4.5819999999999999</v>
      </c>
      <c r="C399" s="56">
        <v>4.1638873277278066</v>
      </c>
    </row>
    <row r="400" spans="1:3" x14ac:dyDescent="0.2">
      <c r="A400" s="26">
        <f t="shared" si="3"/>
        <v>2026.07</v>
      </c>
      <c r="B400" s="55">
        <v>4.4219999999999997</v>
      </c>
      <c r="C400" s="56">
        <v>4.1622492159627278</v>
      </c>
    </row>
    <row r="401" spans="1:3" x14ac:dyDescent="0.2">
      <c r="A401" s="26">
        <f t="shared" si="3"/>
        <v>2026.08</v>
      </c>
      <c r="B401" s="55">
        <v>4.3860000000000001</v>
      </c>
      <c r="C401" s="56">
        <v>4.1778271838433438</v>
      </c>
    </row>
    <row r="402" spans="1:3" x14ac:dyDescent="0.2">
      <c r="A402" s="26">
        <f t="shared" si="3"/>
        <v>2026.09</v>
      </c>
      <c r="B402" s="55">
        <v>4.7249999999999996</v>
      </c>
      <c r="C402" s="56">
        <v>4.2225089072762207</v>
      </c>
    </row>
    <row r="403" spans="1:3" x14ac:dyDescent="0.2">
      <c r="A403" s="26">
        <f t="shared" si="3"/>
        <v>2026.1</v>
      </c>
      <c r="B403" s="55" t="e">
        <v>#N/A</v>
      </c>
      <c r="C403" s="56" t="e">
        <v>#N/A</v>
      </c>
    </row>
    <row r="404" spans="1:3" x14ac:dyDescent="0.2">
      <c r="A404" s="26">
        <f t="shared" si="3"/>
        <v>2026.11</v>
      </c>
      <c r="B404" s="55" t="e">
        <v>#N/A</v>
      </c>
      <c r="C404" s="56" t="e">
        <v>#N/A</v>
      </c>
    </row>
    <row r="405" spans="1:3" x14ac:dyDescent="0.2">
      <c r="A405" s="26">
        <f t="shared" si="3"/>
        <v>2026.12</v>
      </c>
      <c r="B405" s="55" t="e">
        <v>#N/A</v>
      </c>
      <c r="C405" s="56" t="e">
        <v>#N/A</v>
      </c>
    </row>
    <row r="406" spans="1:3" x14ac:dyDescent="0.2">
      <c r="A406" s="26">
        <f t="shared" si="3"/>
        <v>2027.01</v>
      </c>
      <c r="B406" s="55" t="e">
        <v>#N/A</v>
      </c>
      <c r="C406" s="56" t="e">
        <v>#N/A</v>
      </c>
    </row>
    <row r="407" spans="1:3" x14ac:dyDescent="0.2">
      <c r="A407" s="26">
        <f t="shared" si="3"/>
        <v>2027.02</v>
      </c>
      <c r="B407" s="55" t="e">
        <v>#N/A</v>
      </c>
      <c r="C407" s="56" t="e">
        <v>#N/A</v>
      </c>
    </row>
    <row r="408" spans="1:3" x14ac:dyDescent="0.2">
      <c r="A408" s="26">
        <f t="shared" si="3"/>
        <v>2027.03</v>
      </c>
      <c r="B408" s="55" t="e">
        <v>#N/A</v>
      </c>
      <c r="C408" s="56" t="e">
        <v>#N/A</v>
      </c>
    </row>
    <row r="409" spans="1:3" x14ac:dyDescent="0.2">
      <c r="A409" s="26">
        <f t="shared" si="3"/>
        <v>2027.04</v>
      </c>
      <c r="B409" s="55" t="e">
        <v>#N/A</v>
      </c>
      <c r="C409" s="56" t="e">
        <v>#N/A</v>
      </c>
    </row>
    <row r="410" spans="1:3" x14ac:dyDescent="0.2">
      <c r="A410" s="26">
        <f t="shared" si="3"/>
        <v>2027.05</v>
      </c>
      <c r="B410" s="55" t="e">
        <v>#N/A</v>
      </c>
      <c r="C410" s="56" t="e">
        <v>#N/A</v>
      </c>
    </row>
    <row r="411" spans="1:3" x14ac:dyDescent="0.2">
      <c r="A411" s="26">
        <f t="shared" si="3"/>
        <v>2027.06</v>
      </c>
      <c r="B411" s="55" t="e">
        <v>#N/A</v>
      </c>
      <c r="C411" s="56" t="e">
        <v>#N/A</v>
      </c>
    </row>
    <row r="412" spans="1:3" x14ac:dyDescent="0.2">
      <c r="A412" s="26">
        <f t="shared" si="3"/>
        <v>2027.07</v>
      </c>
      <c r="B412" s="55" t="e">
        <v>#N/A</v>
      </c>
      <c r="C412" s="56" t="e">
        <v>#N/A</v>
      </c>
    </row>
    <row r="413" spans="1:3" x14ac:dyDescent="0.2">
      <c r="A413" s="26">
        <f t="shared" si="3"/>
        <v>2027.08</v>
      </c>
      <c r="B413" s="55" t="e">
        <v>#N/A</v>
      </c>
      <c r="C413" s="56" t="e">
        <v>#N/A</v>
      </c>
    </row>
    <row r="414" spans="1:3" x14ac:dyDescent="0.2">
      <c r="A414" s="26">
        <f t="shared" si="3"/>
        <v>2027.09</v>
      </c>
      <c r="B414" s="55" t="e">
        <v>#N/A</v>
      </c>
      <c r="C414" s="56" t="e">
        <v>#N/A</v>
      </c>
    </row>
    <row r="415" spans="1:3" x14ac:dyDescent="0.2">
      <c r="A415" s="26">
        <f t="shared" si="3"/>
        <v>2027.1</v>
      </c>
      <c r="B415" s="55" t="e">
        <v>#N/A</v>
      </c>
      <c r="C415" s="56" t="e">
        <v>#N/A</v>
      </c>
    </row>
    <row r="416" spans="1:3" x14ac:dyDescent="0.2">
      <c r="A416" s="26">
        <f t="shared" si="3"/>
        <v>2027.11</v>
      </c>
      <c r="B416" s="55" t="e">
        <v>#N/A</v>
      </c>
      <c r="C416" s="56" t="e">
        <v>#N/A</v>
      </c>
    </row>
    <row r="417" spans="1:3" x14ac:dyDescent="0.2">
      <c r="A417" s="26">
        <f t="shared" si="3"/>
        <v>2027.12</v>
      </c>
      <c r="B417" s="55" t="e">
        <v>#N/A</v>
      </c>
      <c r="C417" s="56" t="e">
        <v>#N/A</v>
      </c>
    </row>
    <row r="418" spans="1:3" x14ac:dyDescent="0.2">
      <c r="A418" s="26">
        <f t="shared" si="3"/>
        <v>2028.01</v>
      </c>
      <c r="B418" s="55" t="e">
        <v>#N/A</v>
      </c>
      <c r="C418" s="56" t="e">
        <v>#N/A</v>
      </c>
    </row>
    <row r="419" spans="1:3" x14ac:dyDescent="0.2">
      <c r="A419" s="26">
        <f t="shared" si="3"/>
        <v>2028.02</v>
      </c>
      <c r="B419" s="55" t="e">
        <v>#N/A</v>
      </c>
      <c r="C419" s="56" t="e">
        <v>#N/A</v>
      </c>
    </row>
    <row r="420" spans="1:3" x14ac:dyDescent="0.2">
      <c r="A420" s="26">
        <f t="shared" si="3"/>
        <v>2028.03</v>
      </c>
      <c r="B420" s="55" t="e">
        <v>#N/A</v>
      </c>
      <c r="C420" s="56" t="e">
        <v>#N/A</v>
      </c>
    </row>
    <row r="421" spans="1:3" x14ac:dyDescent="0.2">
      <c r="A421" s="26">
        <f t="shared" si="3"/>
        <v>2028.04</v>
      </c>
      <c r="B421" s="55" t="e">
        <v>#N/A</v>
      </c>
      <c r="C421" s="56" t="e">
        <v>#N/A</v>
      </c>
    </row>
    <row r="422" spans="1:3" x14ac:dyDescent="0.2">
      <c r="A422" s="26">
        <f t="shared" si="3"/>
        <v>2028.05</v>
      </c>
      <c r="B422" s="55" t="e">
        <v>#N/A</v>
      </c>
      <c r="C422" s="56" t="e">
        <v>#N/A</v>
      </c>
    </row>
    <row r="423" spans="1:3" x14ac:dyDescent="0.2">
      <c r="A423" s="26">
        <f t="shared" si="3"/>
        <v>2028.06</v>
      </c>
      <c r="B423" s="55" t="e">
        <v>#N/A</v>
      </c>
      <c r="C423" s="56" t="e">
        <v>#N/A</v>
      </c>
    </row>
    <row r="424" spans="1:3" x14ac:dyDescent="0.2">
      <c r="A424" s="26">
        <f t="shared" si="3"/>
        <v>2028.07</v>
      </c>
      <c r="B424" s="55" t="e">
        <v>#N/A</v>
      </c>
      <c r="C424" s="56" t="e">
        <v>#N/A</v>
      </c>
    </row>
    <row r="425" spans="1:3" x14ac:dyDescent="0.2">
      <c r="A425" s="26">
        <f t="shared" si="3"/>
        <v>2028.08</v>
      </c>
      <c r="B425" s="55" t="e">
        <v>#N/A</v>
      </c>
      <c r="C425" s="56" t="e">
        <v>#N/A</v>
      </c>
    </row>
    <row r="426" spans="1:3" x14ac:dyDescent="0.2">
      <c r="A426" s="26">
        <f t="shared" si="3"/>
        <v>2028.09</v>
      </c>
      <c r="B426" s="55" t="e">
        <v>#N/A</v>
      </c>
      <c r="C426" s="56" t="e">
        <v>#N/A</v>
      </c>
    </row>
    <row r="427" spans="1:3" x14ac:dyDescent="0.2">
      <c r="A427" s="26">
        <f t="shared" si="3"/>
        <v>2028.1</v>
      </c>
      <c r="B427" s="55" t="e">
        <v>#N/A</v>
      </c>
      <c r="C427" s="56" t="e">
        <v>#N/A</v>
      </c>
    </row>
    <row r="428" spans="1:3" x14ac:dyDescent="0.2">
      <c r="A428" s="26">
        <f t="shared" si="3"/>
        <v>2028.11</v>
      </c>
      <c r="B428" s="55" t="e">
        <v>#N/A</v>
      </c>
      <c r="C428" s="56" t="e">
        <v>#N/A</v>
      </c>
    </row>
    <row r="429" spans="1:3" x14ac:dyDescent="0.2">
      <c r="A429" s="26">
        <f t="shared" si="3"/>
        <v>2028.12</v>
      </c>
      <c r="B429" s="55" t="e">
        <v>#N/A</v>
      </c>
      <c r="C429" s="56" t="e">
        <v>#N/A</v>
      </c>
    </row>
    <row r="430" spans="1:3" x14ac:dyDescent="0.2">
      <c r="A430" s="26">
        <f t="shared" si="3"/>
        <v>2029.01</v>
      </c>
      <c r="B430" s="55" t="e">
        <v>#N/A</v>
      </c>
      <c r="C430" s="56" t="e">
        <v>#N/A</v>
      </c>
    </row>
    <row r="431" spans="1:3" x14ac:dyDescent="0.2">
      <c r="A431" s="26">
        <f t="shared" si="3"/>
        <v>2029.02</v>
      </c>
      <c r="B431" s="55" t="e">
        <v>#N/A</v>
      </c>
      <c r="C431" s="56" t="e">
        <v>#N/A</v>
      </c>
    </row>
    <row r="432" spans="1:3" x14ac:dyDescent="0.2">
      <c r="A432" s="26">
        <f t="shared" si="3"/>
        <v>2029.03</v>
      </c>
      <c r="B432" s="55" t="e">
        <v>#N/A</v>
      </c>
      <c r="C432" s="56" t="e">
        <v>#N/A</v>
      </c>
    </row>
    <row r="433" spans="1:3" x14ac:dyDescent="0.2">
      <c r="A433" s="26">
        <f t="shared" si="3"/>
        <v>2029.04</v>
      </c>
      <c r="B433" s="55" t="e">
        <v>#N/A</v>
      </c>
      <c r="C433" s="56" t="e">
        <v>#N/A</v>
      </c>
    </row>
    <row r="434" spans="1:3" x14ac:dyDescent="0.2">
      <c r="A434" s="26">
        <f t="shared" ref="A434:A453" si="4">A422+1</f>
        <v>2029.05</v>
      </c>
      <c r="B434" s="55" t="e">
        <v>#N/A</v>
      </c>
      <c r="C434" s="56" t="e">
        <v>#N/A</v>
      </c>
    </row>
    <row r="435" spans="1:3" x14ac:dyDescent="0.2">
      <c r="A435" s="26">
        <f t="shared" si="4"/>
        <v>2029.06</v>
      </c>
      <c r="B435" s="55" t="e">
        <v>#N/A</v>
      </c>
      <c r="C435" s="56" t="e">
        <v>#N/A</v>
      </c>
    </row>
    <row r="436" spans="1:3" x14ac:dyDescent="0.2">
      <c r="A436" s="26">
        <f t="shared" si="4"/>
        <v>2029.07</v>
      </c>
      <c r="B436" s="55" t="e">
        <v>#N/A</v>
      </c>
      <c r="C436" s="56" t="e">
        <v>#N/A</v>
      </c>
    </row>
    <row r="437" spans="1:3" x14ac:dyDescent="0.2">
      <c r="A437" s="26">
        <f t="shared" si="4"/>
        <v>2029.08</v>
      </c>
      <c r="B437" s="55" t="e">
        <v>#N/A</v>
      </c>
      <c r="C437" s="56" t="e">
        <v>#N/A</v>
      </c>
    </row>
    <row r="438" spans="1:3" x14ac:dyDescent="0.2">
      <c r="A438" s="26">
        <f t="shared" si="4"/>
        <v>2029.09</v>
      </c>
      <c r="B438" s="55" t="e">
        <v>#N/A</v>
      </c>
      <c r="C438" s="56" t="e">
        <v>#N/A</v>
      </c>
    </row>
    <row r="439" spans="1:3" x14ac:dyDescent="0.2">
      <c r="A439" s="26">
        <f t="shared" si="4"/>
        <v>2029.1</v>
      </c>
      <c r="B439" s="55" t="e">
        <v>#N/A</v>
      </c>
      <c r="C439" s="56" t="e">
        <v>#N/A</v>
      </c>
    </row>
    <row r="440" spans="1:3" x14ac:dyDescent="0.2">
      <c r="A440" s="26">
        <f t="shared" si="4"/>
        <v>2029.11</v>
      </c>
      <c r="B440" s="55" t="e">
        <v>#N/A</v>
      </c>
      <c r="C440" s="56" t="e">
        <v>#N/A</v>
      </c>
    </row>
    <row r="441" spans="1:3" x14ac:dyDescent="0.2">
      <c r="A441" s="26">
        <f t="shared" si="4"/>
        <v>2029.12</v>
      </c>
      <c r="B441" s="55" t="e">
        <v>#N/A</v>
      </c>
      <c r="C441" s="56" t="e">
        <v>#N/A</v>
      </c>
    </row>
    <row r="442" spans="1:3" x14ac:dyDescent="0.2">
      <c r="A442" s="26">
        <f t="shared" si="4"/>
        <v>2030.01</v>
      </c>
      <c r="B442" s="55" t="e">
        <v>#N/A</v>
      </c>
      <c r="C442" s="56" t="e">
        <v>#N/A</v>
      </c>
    </row>
    <row r="443" spans="1:3" x14ac:dyDescent="0.2">
      <c r="A443" s="26">
        <f t="shared" si="4"/>
        <v>2030.02</v>
      </c>
      <c r="B443" s="55" t="e">
        <v>#N/A</v>
      </c>
      <c r="C443" s="56" t="e">
        <v>#N/A</v>
      </c>
    </row>
    <row r="444" spans="1:3" x14ac:dyDescent="0.2">
      <c r="A444" s="26">
        <f t="shared" si="4"/>
        <v>2030.03</v>
      </c>
      <c r="B444" s="55" t="e">
        <v>#N/A</v>
      </c>
      <c r="C444" s="56" t="e">
        <v>#N/A</v>
      </c>
    </row>
    <row r="445" spans="1:3" x14ac:dyDescent="0.2">
      <c r="A445" s="26">
        <f t="shared" si="4"/>
        <v>2030.04</v>
      </c>
      <c r="B445" s="55" t="e">
        <v>#N/A</v>
      </c>
      <c r="C445" s="56" t="e">
        <v>#N/A</v>
      </c>
    </row>
    <row r="446" spans="1:3" x14ac:dyDescent="0.2">
      <c r="A446" s="26">
        <f t="shared" si="4"/>
        <v>2030.05</v>
      </c>
      <c r="B446" s="55" t="e">
        <v>#N/A</v>
      </c>
      <c r="C446" s="56" t="e">
        <v>#N/A</v>
      </c>
    </row>
    <row r="447" spans="1:3" x14ac:dyDescent="0.2">
      <c r="A447" s="26">
        <f t="shared" si="4"/>
        <v>2030.06</v>
      </c>
      <c r="B447" s="55" t="e">
        <v>#N/A</v>
      </c>
      <c r="C447" s="56" t="e">
        <v>#N/A</v>
      </c>
    </row>
    <row r="448" spans="1:3" x14ac:dyDescent="0.2">
      <c r="A448" s="26">
        <f t="shared" si="4"/>
        <v>2030.07</v>
      </c>
      <c r="B448" s="55" t="e">
        <v>#N/A</v>
      </c>
      <c r="C448" s="56" t="e">
        <v>#N/A</v>
      </c>
    </row>
    <row r="449" spans="1:3" x14ac:dyDescent="0.2">
      <c r="A449" s="26">
        <f t="shared" si="4"/>
        <v>2030.08</v>
      </c>
      <c r="B449" s="55" t="e">
        <v>#N/A</v>
      </c>
      <c r="C449" s="56" t="e">
        <v>#N/A</v>
      </c>
    </row>
    <row r="450" spans="1:3" x14ac:dyDescent="0.2">
      <c r="A450" s="26">
        <f t="shared" si="4"/>
        <v>2030.09</v>
      </c>
      <c r="B450" s="55" t="e">
        <v>#N/A</v>
      </c>
      <c r="C450" s="56" t="e">
        <v>#N/A</v>
      </c>
    </row>
    <row r="451" spans="1:3" x14ac:dyDescent="0.2">
      <c r="A451" s="26">
        <f t="shared" si="4"/>
        <v>2030.1</v>
      </c>
      <c r="B451" s="55" t="e">
        <v>#N/A</v>
      </c>
      <c r="C451" s="56" t="e">
        <v>#N/A</v>
      </c>
    </row>
    <row r="452" spans="1:3" x14ac:dyDescent="0.2">
      <c r="A452" s="26">
        <f t="shared" si="4"/>
        <v>2030.11</v>
      </c>
      <c r="B452" s="55" t="e">
        <v>#N/A</v>
      </c>
      <c r="C452" s="56" t="e">
        <v>#N/A</v>
      </c>
    </row>
    <row r="453" spans="1:3" x14ac:dyDescent="0.2">
      <c r="A453" s="26">
        <f t="shared" si="4"/>
        <v>2030.12</v>
      </c>
      <c r="B453" s="55" t="e">
        <v>#N/A</v>
      </c>
      <c r="C453" s="56" t="e">
        <v>#N/A</v>
      </c>
    </row>
  </sheetData>
  <hyperlinks>
    <hyperlink ref="A1" location="INDICE!A13" display="VOLVER AL INDICE" xr:uid="{B9F14312-60E9-4C70-945E-A08DC0E98186}"/>
  </hyperlinks>
  <printOptions gridLines="1"/>
  <pageMargins left="0.39370078740157483" right="0.39370078740157483" top="0.59055118110236227" bottom="0.59055118110236227" header="0" footer="0"/>
  <pageSetup paperSize="9" scale="5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fitToPage="1"/>
  </sheetPr>
  <dimension ref="A1:G477"/>
  <sheetViews>
    <sheetView zoomScale="115" zoomScaleNormal="115" workbookViewId="0">
      <pane xSplit="1" ySplit="9" topLeftCell="B10" activePane="bottomRight" state="frozen"/>
      <selection activeCell="A5" sqref="A5"/>
      <selection pane="topRight" activeCell="A5" sqref="A5"/>
      <selection pane="bottomLeft" activeCell="A5" sqref="A5"/>
      <selection pane="bottomRight"/>
    </sheetView>
  </sheetViews>
  <sheetFormatPr baseColWidth="10" defaultColWidth="11.42578125" defaultRowHeight="12.75" x14ac:dyDescent="0.2"/>
  <cols>
    <col min="1" max="1" width="10.5703125" style="6" customWidth="1"/>
    <col min="2" max="2" width="15.42578125" style="6" customWidth="1"/>
    <col min="3" max="3" width="15.42578125" style="25" customWidth="1"/>
    <col min="4" max="4" width="3.42578125" style="1" customWidth="1"/>
    <col min="5" max="5" width="11.42578125" style="1"/>
    <col min="6" max="6" width="12.42578125" style="1" bestFit="1" customWidth="1"/>
    <col min="7" max="16384" width="11.42578125" style="1"/>
  </cols>
  <sheetData>
    <row r="1" spans="1:6" s="3" customFormat="1" ht="22.5" x14ac:dyDescent="0.2">
      <c r="A1" s="71" t="s">
        <v>115</v>
      </c>
      <c r="B1" s="16"/>
      <c r="C1" s="23"/>
    </row>
    <row r="2" spans="1:6" s="3" customFormat="1" ht="41.25" customHeight="1" x14ac:dyDescent="0.2">
      <c r="A2" s="70" t="s">
        <v>7</v>
      </c>
      <c r="B2" s="15" t="s">
        <v>87</v>
      </c>
      <c r="C2" s="24"/>
    </row>
    <row r="3" spans="1:6" s="3" customFormat="1" ht="33.75" x14ac:dyDescent="0.2">
      <c r="A3" s="70" t="s">
        <v>6</v>
      </c>
      <c r="B3" s="15" t="s">
        <v>46</v>
      </c>
      <c r="C3" s="24"/>
    </row>
    <row r="4" spans="1:6" s="3" customFormat="1" x14ac:dyDescent="0.2">
      <c r="A4" s="86" t="s">
        <v>105</v>
      </c>
      <c r="B4" s="16"/>
      <c r="C4" s="23"/>
    </row>
    <row r="5" spans="1:6" s="3" customFormat="1" x14ac:dyDescent="0.2">
      <c r="A5" s="86" t="s">
        <v>106</v>
      </c>
      <c r="B5" s="13" t="s">
        <v>22</v>
      </c>
      <c r="C5" s="44" t="s">
        <v>34</v>
      </c>
    </row>
    <row r="6" spans="1:6" s="3" customFormat="1" x14ac:dyDescent="0.2">
      <c r="A6" s="87" t="s">
        <v>107</v>
      </c>
      <c r="B6" s="16"/>
      <c r="C6" s="45"/>
    </row>
    <row r="7" spans="1:6" s="3" customFormat="1" ht="22.5" x14ac:dyDescent="0.2">
      <c r="A7" s="71" t="s">
        <v>114</v>
      </c>
      <c r="B7" s="13" t="s">
        <v>38</v>
      </c>
      <c r="C7" s="44" t="s">
        <v>38</v>
      </c>
    </row>
    <row r="8" spans="1:6" s="3" customFormat="1" x14ac:dyDescent="0.2">
      <c r="A8" s="86" t="s">
        <v>108</v>
      </c>
      <c r="B8" s="93" t="s">
        <v>110</v>
      </c>
      <c r="C8" s="94" t="s">
        <v>110</v>
      </c>
    </row>
    <row r="9" spans="1:6" s="4" customFormat="1" ht="13.5" thickBot="1" x14ac:dyDescent="0.25">
      <c r="A9" s="111" t="s">
        <v>19</v>
      </c>
      <c r="B9" s="91" t="s">
        <v>69</v>
      </c>
      <c r="C9" s="92" t="s">
        <v>70</v>
      </c>
    </row>
    <row r="10" spans="1:6" s="4" customFormat="1" x14ac:dyDescent="0.2">
      <c r="A10" s="26">
        <v>1992.01</v>
      </c>
      <c r="B10" s="54">
        <v>146.17031371180801</v>
      </c>
      <c r="C10" s="90">
        <v>151.15190440380147</v>
      </c>
      <c r="E10" s="31"/>
      <c r="F10" s="31"/>
    </row>
    <row r="11" spans="1:6" s="4" customFormat="1" x14ac:dyDescent="0.2">
      <c r="A11" s="26">
        <v>1992.02</v>
      </c>
      <c r="B11" s="55">
        <v>141.06962149103441</v>
      </c>
      <c r="C11" s="56">
        <v>150.78585002227922</v>
      </c>
      <c r="E11" s="31"/>
      <c r="F11" s="31"/>
    </row>
    <row r="12" spans="1:6" s="4" customFormat="1" x14ac:dyDescent="0.2">
      <c r="A12" s="26">
        <v>1992.03</v>
      </c>
      <c r="B12" s="55">
        <v>137.86283696296829</v>
      </c>
      <c r="C12" s="56">
        <v>152.43367663207272</v>
      </c>
      <c r="E12" s="31"/>
      <c r="F12" s="31"/>
    </row>
    <row r="13" spans="1:6" s="4" customFormat="1" x14ac:dyDescent="0.2">
      <c r="A13" s="26">
        <v>1992.04</v>
      </c>
      <c r="B13" s="55">
        <v>139.4285513078155</v>
      </c>
      <c r="C13" s="56">
        <v>155.69580020128984</v>
      </c>
      <c r="E13" s="31"/>
      <c r="F13" s="31"/>
    </row>
    <row r="14" spans="1:6" s="4" customFormat="1" x14ac:dyDescent="0.2">
      <c r="A14" s="26">
        <v>1992.05</v>
      </c>
      <c r="B14" s="55">
        <v>188.66713004194162</v>
      </c>
      <c r="C14" s="56">
        <v>159.52464949403202</v>
      </c>
      <c r="E14" s="31"/>
      <c r="F14" s="31"/>
    </row>
    <row r="15" spans="1:6" s="4" customFormat="1" x14ac:dyDescent="0.2">
      <c r="A15" s="26">
        <v>1992.06</v>
      </c>
      <c r="B15" s="55">
        <v>199.9479739880754</v>
      </c>
      <c r="C15" s="56">
        <v>160.43815360947707</v>
      </c>
      <c r="E15" s="31"/>
      <c r="F15" s="31"/>
    </row>
    <row r="16" spans="1:6" s="4" customFormat="1" x14ac:dyDescent="0.2">
      <c r="A16" s="26">
        <v>1992.07</v>
      </c>
      <c r="B16" s="55">
        <v>157.40557307609211</v>
      </c>
      <c r="C16" s="56">
        <v>159.95259118045794</v>
      </c>
      <c r="E16" s="31"/>
      <c r="F16" s="31"/>
    </row>
    <row r="17" spans="1:6" s="4" customFormat="1" x14ac:dyDescent="0.2">
      <c r="A17" s="26">
        <v>1992.08</v>
      </c>
      <c r="B17" s="55">
        <v>156.7428620190579</v>
      </c>
      <c r="C17" s="56">
        <v>161.73443341725087</v>
      </c>
      <c r="E17" s="31"/>
      <c r="F17" s="31"/>
    </row>
    <row r="18" spans="1:6" s="4" customFormat="1" x14ac:dyDescent="0.2">
      <c r="A18" s="26">
        <v>1992.09</v>
      </c>
      <c r="B18" s="55">
        <v>161.35962604511758</v>
      </c>
      <c r="C18" s="56">
        <v>161.48728873955059</v>
      </c>
      <c r="E18" s="31"/>
      <c r="F18" s="31"/>
    </row>
    <row r="19" spans="1:6" s="4" customFormat="1" x14ac:dyDescent="0.2">
      <c r="A19" s="26">
        <v>1992.1</v>
      </c>
      <c r="B19" s="55">
        <v>144.6691408216856</v>
      </c>
      <c r="C19" s="56">
        <v>156.90259624104453</v>
      </c>
      <c r="E19" s="31"/>
      <c r="F19" s="31"/>
    </row>
    <row r="20" spans="1:6" s="4" customFormat="1" x14ac:dyDescent="0.2">
      <c r="A20" s="26">
        <v>1992.11</v>
      </c>
      <c r="B20" s="55">
        <v>155.79225579697521</v>
      </c>
      <c r="C20" s="56">
        <v>154.24820655446894</v>
      </c>
      <c r="E20" s="31"/>
      <c r="F20" s="31"/>
    </row>
    <row r="21" spans="1:6" s="4" customFormat="1" x14ac:dyDescent="0.2">
      <c r="A21" s="26">
        <v>1992.12</v>
      </c>
      <c r="B21" s="55">
        <v>162.8710676514695</v>
      </c>
      <c r="C21" s="56">
        <v>156.65606618021047</v>
      </c>
      <c r="E21" s="31"/>
      <c r="F21" s="31"/>
    </row>
    <row r="22" spans="1:6" x14ac:dyDescent="0.2">
      <c r="A22" s="26">
        <v>1993.01</v>
      </c>
      <c r="B22" s="55">
        <v>163.15764889088172</v>
      </c>
      <c r="C22" s="56">
        <v>158.64342872637133</v>
      </c>
      <c r="E22" s="32"/>
      <c r="F22" s="31"/>
    </row>
    <row r="23" spans="1:6" x14ac:dyDescent="0.2">
      <c r="A23" s="26">
        <v>1993.02</v>
      </c>
      <c r="B23" s="55">
        <v>148.8110553852716</v>
      </c>
      <c r="C23" s="56">
        <v>159.86792499657614</v>
      </c>
      <c r="E23" s="32"/>
      <c r="F23" s="31"/>
    </row>
    <row r="24" spans="1:6" x14ac:dyDescent="0.2">
      <c r="A24" s="26">
        <v>1993.03</v>
      </c>
      <c r="B24" s="55">
        <v>147.79941288477889</v>
      </c>
      <c r="C24" s="56">
        <v>161.62729365117445</v>
      </c>
      <c r="E24" s="32"/>
      <c r="F24" s="31"/>
    </row>
    <row r="25" spans="1:6" x14ac:dyDescent="0.2">
      <c r="A25" s="26">
        <v>1993.04</v>
      </c>
      <c r="B25" s="55">
        <v>145.71636756084018</v>
      </c>
      <c r="C25" s="56">
        <v>159.05807610215004</v>
      </c>
      <c r="E25" s="32"/>
      <c r="F25" s="31"/>
    </row>
    <row r="26" spans="1:6" x14ac:dyDescent="0.2">
      <c r="A26" s="26">
        <v>1993.05</v>
      </c>
      <c r="B26" s="55">
        <v>178.40233607690288</v>
      </c>
      <c r="C26" s="56">
        <v>153.29395130062983</v>
      </c>
      <c r="E26" s="32"/>
      <c r="F26" s="31"/>
    </row>
    <row r="27" spans="1:6" x14ac:dyDescent="0.2">
      <c r="A27" s="26">
        <v>1993.06</v>
      </c>
      <c r="B27" s="55">
        <v>161.83700553975279</v>
      </c>
      <c r="C27" s="56">
        <v>152.28089625848986</v>
      </c>
      <c r="E27" s="32"/>
      <c r="F27" s="31"/>
    </row>
    <row r="28" spans="1:6" x14ac:dyDescent="0.2">
      <c r="A28" s="26">
        <v>1993.07</v>
      </c>
      <c r="B28" s="55">
        <v>158.12607826600339</v>
      </c>
      <c r="C28" s="56">
        <v>155.5777739805649</v>
      </c>
      <c r="E28" s="32"/>
      <c r="F28" s="31"/>
    </row>
    <row r="29" spans="1:6" x14ac:dyDescent="0.2">
      <c r="A29" s="26">
        <v>1993.08</v>
      </c>
      <c r="B29" s="55">
        <v>151.84345953692301</v>
      </c>
      <c r="C29" s="56">
        <v>158.07067708857261</v>
      </c>
      <c r="E29" s="32"/>
      <c r="F29" s="31"/>
    </row>
    <row r="30" spans="1:6" x14ac:dyDescent="0.2">
      <c r="A30" s="26">
        <v>1993.09</v>
      </c>
      <c r="B30" s="55">
        <v>159.5663537987671</v>
      </c>
      <c r="C30" s="56">
        <v>161.23929500153875</v>
      </c>
      <c r="E30" s="32"/>
      <c r="F30" s="31"/>
    </row>
    <row r="31" spans="1:6" x14ac:dyDescent="0.2">
      <c r="A31" s="26">
        <v>1993.1</v>
      </c>
      <c r="B31" s="55">
        <v>168.3287698236272</v>
      </c>
      <c r="C31" s="56">
        <v>166.35805429984094</v>
      </c>
      <c r="E31" s="32"/>
      <c r="F31" s="31"/>
    </row>
    <row r="32" spans="1:6" x14ac:dyDescent="0.2">
      <c r="A32" s="26">
        <v>1993.11</v>
      </c>
      <c r="B32" s="55">
        <v>181.77910885462882</v>
      </c>
      <c r="C32" s="56">
        <v>172.30264745754502</v>
      </c>
      <c r="E32" s="32"/>
      <c r="F32" s="31"/>
    </row>
    <row r="33" spans="1:6" x14ac:dyDescent="0.2">
      <c r="A33" s="26">
        <v>1993.12</v>
      </c>
      <c r="B33" s="55">
        <v>180.7326574381062</v>
      </c>
      <c r="C33" s="56">
        <v>173.56164903127757</v>
      </c>
      <c r="E33" s="32"/>
      <c r="F33" s="31"/>
    </row>
    <row r="34" spans="1:6" x14ac:dyDescent="0.2">
      <c r="A34" s="26">
        <v>1994.01</v>
      </c>
      <c r="B34" s="55">
        <v>155.93906177700831</v>
      </c>
      <c r="C34" s="56">
        <v>170.38023466999169</v>
      </c>
      <c r="E34" s="32"/>
      <c r="F34" s="31"/>
    </row>
    <row r="35" spans="1:6" x14ac:dyDescent="0.2">
      <c r="A35" s="26">
        <v>1994.02</v>
      </c>
      <c r="B35" s="55">
        <v>163.32715310004841</v>
      </c>
      <c r="C35" s="56">
        <v>169.58683083674487</v>
      </c>
      <c r="E35" s="32"/>
      <c r="F35" s="31"/>
    </row>
    <row r="36" spans="1:6" x14ac:dyDescent="0.2">
      <c r="A36" s="26">
        <v>1994.03</v>
      </c>
      <c r="B36" s="55">
        <v>151.28952862730961</v>
      </c>
      <c r="C36" s="56">
        <v>169.71973594029214</v>
      </c>
      <c r="E36" s="32"/>
      <c r="F36" s="31"/>
    </row>
    <row r="37" spans="1:6" x14ac:dyDescent="0.2">
      <c r="A37" s="26">
        <v>1994.04</v>
      </c>
      <c r="B37" s="55">
        <v>155.81484952576199</v>
      </c>
      <c r="C37" s="56">
        <v>170.08095873727046</v>
      </c>
      <c r="E37" s="32"/>
      <c r="F37" s="31"/>
    </row>
    <row r="38" spans="1:6" x14ac:dyDescent="0.2">
      <c r="A38" s="26">
        <v>1994.05</v>
      </c>
      <c r="B38" s="55">
        <v>200.51781763293428</v>
      </c>
      <c r="C38" s="56">
        <v>171.68285670929282</v>
      </c>
      <c r="E38" s="32"/>
      <c r="F38" s="31"/>
    </row>
    <row r="39" spans="1:6" x14ac:dyDescent="0.2">
      <c r="A39" s="26">
        <v>1994.06</v>
      </c>
      <c r="B39" s="55">
        <v>188.6177809286323</v>
      </c>
      <c r="C39" s="56">
        <v>169.60889848953013</v>
      </c>
      <c r="E39" s="32"/>
      <c r="F39" s="31"/>
    </row>
    <row r="40" spans="1:6" x14ac:dyDescent="0.2">
      <c r="A40" s="26">
        <v>1994.07</v>
      </c>
      <c r="B40" s="55">
        <v>159.5449583882322</v>
      </c>
      <c r="C40" s="56">
        <v>163.0533990225006</v>
      </c>
      <c r="E40" s="32"/>
      <c r="F40" s="31"/>
    </row>
    <row r="41" spans="1:6" x14ac:dyDescent="0.2">
      <c r="A41" s="26">
        <v>1994.08</v>
      </c>
      <c r="B41" s="55">
        <v>157.98737344533168</v>
      </c>
      <c r="C41" s="56">
        <v>162.05838348609777</v>
      </c>
      <c r="E41" s="32"/>
      <c r="F41" s="31"/>
    </row>
    <row r="42" spans="1:6" x14ac:dyDescent="0.2">
      <c r="A42" s="26">
        <v>1994.09</v>
      </c>
      <c r="B42" s="55">
        <v>165.91632434611648</v>
      </c>
      <c r="C42" s="56">
        <v>166.52308966670842</v>
      </c>
      <c r="E42" s="32"/>
      <c r="F42" s="31"/>
    </row>
    <row r="43" spans="1:6" x14ac:dyDescent="0.2">
      <c r="A43" s="26">
        <v>1994.1</v>
      </c>
      <c r="B43" s="55">
        <v>169.65136906920151</v>
      </c>
      <c r="C43" s="56">
        <v>167.45199224596035</v>
      </c>
      <c r="E43" s="32"/>
      <c r="F43" s="31"/>
    </row>
    <row r="44" spans="1:6" x14ac:dyDescent="0.2">
      <c r="A44" s="26">
        <v>1994.11</v>
      </c>
      <c r="B44" s="55">
        <v>156.30569572821159</v>
      </c>
      <c r="C44" s="56">
        <v>166.22777219412745</v>
      </c>
      <c r="E44" s="32"/>
      <c r="F44" s="31"/>
    </row>
    <row r="45" spans="1:6" x14ac:dyDescent="0.2">
      <c r="A45" s="26">
        <v>1994.12</v>
      </c>
      <c r="B45" s="55">
        <v>203.1571643042839</v>
      </c>
      <c r="C45" s="56">
        <v>165.05348863521959</v>
      </c>
      <c r="E45" s="32"/>
      <c r="F45" s="31"/>
    </row>
    <row r="46" spans="1:6" x14ac:dyDescent="0.2">
      <c r="A46" s="26">
        <v>1995.01</v>
      </c>
      <c r="B46" s="55">
        <v>150.13489997183399</v>
      </c>
      <c r="C46" s="56">
        <v>163.20200987210217</v>
      </c>
      <c r="E46" s="32"/>
      <c r="F46" s="31"/>
    </row>
    <row r="47" spans="1:6" x14ac:dyDescent="0.2">
      <c r="A47" s="26">
        <v>1995.02</v>
      </c>
      <c r="B47" s="55">
        <v>152.35061665172421</v>
      </c>
      <c r="C47" s="56">
        <v>159.0287560877228</v>
      </c>
      <c r="E47" s="32"/>
      <c r="F47" s="31"/>
    </row>
    <row r="48" spans="1:6" x14ac:dyDescent="0.2">
      <c r="A48" s="26">
        <v>1995.03</v>
      </c>
      <c r="B48" s="55">
        <v>135.17750440050401</v>
      </c>
      <c r="C48" s="56">
        <v>152.64554713829847</v>
      </c>
      <c r="E48" s="32"/>
      <c r="F48" s="31"/>
    </row>
    <row r="49" spans="1:6" x14ac:dyDescent="0.2">
      <c r="A49" s="26">
        <v>1995.04</v>
      </c>
      <c r="B49" s="55">
        <v>136.24443206925389</v>
      </c>
      <c r="C49" s="56">
        <v>149.856264895305</v>
      </c>
      <c r="E49" s="32"/>
      <c r="F49" s="31"/>
    </row>
    <row r="50" spans="1:6" x14ac:dyDescent="0.2">
      <c r="A50" s="26">
        <v>1995.05</v>
      </c>
      <c r="B50" s="55">
        <v>180.95260902477429</v>
      </c>
      <c r="C50" s="56">
        <v>150.53908920672424</v>
      </c>
      <c r="E50" s="32"/>
      <c r="F50" s="31"/>
    </row>
    <row r="51" spans="1:6" x14ac:dyDescent="0.2">
      <c r="A51" s="26">
        <v>1995.06</v>
      </c>
      <c r="B51" s="55">
        <v>163.8757300021355</v>
      </c>
      <c r="C51" s="56">
        <v>152.36921835641343</v>
      </c>
      <c r="E51" s="32"/>
      <c r="F51" s="31"/>
    </row>
    <row r="52" spans="1:6" x14ac:dyDescent="0.2">
      <c r="A52" s="26">
        <v>1995.07</v>
      </c>
      <c r="B52" s="55">
        <v>162.5708339203108</v>
      </c>
      <c r="C52" s="56">
        <v>154.18853913168948</v>
      </c>
      <c r="E52" s="32"/>
      <c r="F52" s="31"/>
    </row>
    <row r="53" spans="1:6" x14ac:dyDescent="0.2">
      <c r="A53" s="26">
        <v>1995.08</v>
      </c>
      <c r="B53" s="55">
        <v>151.1861917549991</v>
      </c>
      <c r="C53" s="56">
        <v>150.7233913238278</v>
      </c>
      <c r="E53" s="32"/>
      <c r="F53" s="31"/>
    </row>
    <row r="54" spans="1:6" x14ac:dyDescent="0.2">
      <c r="A54" s="26">
        <v>1995.09</v>
      </c>
      <c r="B54" s="55">
        <v>138.51873616103688</v>
      </c>
      <c r="C54" s="56">
        <v>147.59907905261181</v>
      </c>
      <c r="E54" s="32"/>
      <c r="F54" s="31"/>
    </row>
    <row r="55" spans="1:6" x14ac:dyDescent="0.2">
      <c r="A55" s="26">
        <v>1995.1</v>
      </c>
      <c r="B55" s="55">
        <v>155.35964680068719</v>
      </c>
      <c r="C55" s="56">
        <v>148.63563818042388</v>
      </c>
      <c r="E55" s="32"/>
      <c r="F55" s="31"/>
    </row>
    <row r="56" spans="1:6" x14ac:dyDescent="0.2">
      <c r="A56" s="26">
        <v>1995.11</v>
      </c>
      <c r="B56" s="55">
        <v>151.2334223024414</v>
      </c>
      <c r="C56" s="56">
        <v>146.92998616557639</v>
      </c>
      <c r="E56" s="32"/>
      <c r="F56" s="31"/>
    </row>
    <row r="57" spans="1:6" x14ac:dyDescent="0.2">
      <c r="A57" s="26">
        <v>1995.12</v>
      </c>
      <c r="B57" s="55">
        <v>139.08374628041591</v>
      </c>
      <c r="C57" s="56">
        <v>145.90422723661908</v>
      </c>
      <c r="E57" s="32"/>
      <c r="F57" s="31"/>
    </row>
    <row r="58" spans="1:6" x14ac:dyDescent="0.2">
      <c r="A58" s="26">
        <v>1996.01</v>
      </c>
      <c r="B58" s="55">
        <v>140.7109154655279</v>
      </c>
      <c r="C58" s="56">
        <v>149.19609553927091</v>
      </c>
      <c r="E58" s="32"/>
      <c r="F58" s="31"/>
    </row>
    <row r="59" spans="1:6" x14ac:dyDescent="0.2">
      <c r="A59" s="26">
        <v>1996.02</v>
      </c>
      <c r="B59" s="55">
        <v>145.9735678049058</v>
      </c>
      <c r="C59" s="56">
        <v>152.40315217946443</v>
      </c>
      <c r="E59" s="32"/>
      <c r="F59" s="31"/>
    </row>
    <row r="60" spans="1:6" x14ac:dyDescent="0.2">
      <c r="A60" s="26">
        <v>1996.03</v>
      </c>
      <c r="B60" s="55">
        <v>137.02847392934808</v>
      </c>
      <c r="C60" s="56">
        <v>154.90359642580782</v>
      </c>
      <c r="E60" s="32"/>
      <c r="F60" s="31"/>
    </row>
    <row r="61" spans="1:6" x14ac:dyDescent="0.2">
      <c r="A61" s="26">
        <v>1996.04</v>
      </c>
      <c r="B61" s="55">
        <v>147.49333280224459</v>
      </c>
      <c r="C61" s="56">
        <v>157.81875979860291</v>
      </c>
      <c r="E61" s="32"/>
      <c r="F61" s="31"/>
    </row>
    <row r="62" spans="1:6" x14ac:dyDescent="0.2">
      <c r="A62" s="26">
        <v>1996.05</v>
      </c>
      <c r="B62" s="55">
        <v>191.01171060198379</v>
      </c>
      <c r="C62" s="56">
        <v>159.26162773979752</v>
      </c>
      <c r="E62" s="32"/>
      <c r="F62" s="31"/>
    </row>
    <row r="63" spans="1:6" x14ac:dyDescent="0.2">
      <c r="A63" s="26">
        <v>1996.06</v>
      </c>
      <c r="B63" s="55">
        <v>172.7118589942759</v>
      </c>
      <c r="C63" s="56">
        <v>158.25603179650506</v>
      </c>
      <c r="E63" s="32"/>
      <c r="F63" s="31"/>
    </row>
    <row r="64" spans="1:6" x14ac:dyDescent="0.2">
      <c r="A64" s="26">
        <v>1996.07</v>
      </c>
      <c r="B64" s="55">
        <v>160.89431537595908</v>
      </c>
      <c r="C64" s="56">
        <v>158.92683759369913</v>
      </c>
      <c r="E64" s="32"/>
      <c r="F64" s="31"/>
    </row>
    <row r="65" spans="1:6" x14ac:dyDescent="0.2">
      <c r="A65" s="26">
        <v>1996.08</v>
      </c>
      <c r="B65" s="55">
        <v>167.4704424078609</v>
      </c>
      <c r="C65" s="56">
        <v>160.98613146222777</v>
      </c>
      <c r="E65" s="32"/>
      <c r="F65" s="31"/>
    </row>
    <row r="66" spans="1:6" x14ac:dyDescent="0.2">
      <c r="A66" s="26">
        <v>1996.09</v>
      </c>
      <c r="B66" s="55">
        <v>150.62034547184359</v>
      </c>
      <c r="C66" s="56">
        <v>159.91258055129015</v>
      </c>
      <c r="E66" s="32"/>
      <c r="F66" s="31"/>
    </row>
    <row r="67" spans="1:6" x14ac:dyDescent="0.2">
      <c r="A67" s="26">
        <v>1996.1</v>
      </c>
      <c r="B67" s="55">
        <v>149.18750632169889</v>
      </c>
      <c r="C67" s="56">
        <v>160.00893090510155</v>
      </c>
      <c r="E67" s="32"/>
      <c r="F67" s="31"/>
    </row>
    <row r="68" spans="1:6" x14ac:dyDescent="0.2">
      <c r="A68" s="26">
        <v>1996.11</v>
      </c>
      <c r="B68" s="55">
        <v>171.94052129994452</v>
      </c>
      <c r="C68" s="56">
        <v>162.20162371921822</v>
      </c>
      <c r="E68" s="32"/>
      <c r="F68" s="31"/>
    </row>
    <row r="69" spans="1:6" x14ac:dyDescent="0.2">
      <c r="A69" s="26">
        <v>1996.12</v>
      </c>
      <c r="B69" s="55">
        <v>154.72986380630681</v>
      </c>
      <c r="C69" s="56">
        <v>163.27166351428562</v>
      </c>
      <c r="E69" s="32"/>
      <c r="F69" s="31"/>
    </row>
    <row r="70" spans="1:6" x14ac:dyDescent="0.2">
      <c r="A70" s="26">
        <v>1997.01</v>
      </c>
      <c r="B70" s="55">
        <v>152.39236956633852</v>
      </c>
      <c r="C70" s="56">
        <v>166.11185417249285</v>
      </c>
      <c r="E70" s="32"/>
      <c r="F70" s="31"/>
    </row>
    <row r="71" spans="1:6" x14ac:dyDescent="0.2">
      <c r="A71" s="26">
        <v>1997.02</v>
      </c>
      <c r="B71" s="55">
        <v>157.2294489052683</v>
      </c>
      <c r="C71" s="56">
        <v>171.37457781105445</v>
      </c>
      <c r="E71" s="32"/>
      <c r="F71" s="31"/>
    </row>
    <row r="72" spans="1:6" x14ac:dyDescent="0.2">
      <c r="A72" s="26">
        <v>1997.03</v>
      </c>
      <c r="B72" s="55">
        <v>179.52329199270162</v>
      </c>
      <c r="C72" s="56">
        <v>177.89914335369468</v>
      </c>
      <c r="E72" s="32"/>
      <c r="F72" s="31"/>
    </row>
    <row r="73" spans="1:6" x14ac:dyDescent="0.2">
      <c r="A73" s="26">
        <v>1997.04</v>
      </c>
      <c r="B73" s="55">
        <v>174.99233231002182</v>
      </c>
      <c r="C73" s="56">
        <v>182.2787219522709</v>
      </c>
      <c r="E73" s="32"/>
      <c r="F73" s="31"/>
    </row>
    <row r="74" spans="1:6" x14ac:dyDescent="0.2">
      <c r="A74" s="26">
        <v>1997.05</v>
      </c>
      <c r="B74" s="55">
        <v>214.64892846278769</v>
      </c>
      <c r="C74" s="56">
        <v>183.08403776763717</v>
      </c>
      <c r="E74" s="32"/>
      <c r="F74" s="31"/>
    </row>
    <row r="75" spans="1:6" x14ac:dyDescent="0.2">
      <c r="A75" s="26">
        <v>1997.06</v>
      </c>
      <c r="B75" s="55">
        <v>204.1366416654642</v>
      </c>
      <c r="C75" s="56">
        <v>184.14490129987945</v>
      </c>
      <c r="E75" s="32"/>
      <c r="F75" s="31"/>
    </row>
    <row r="76" spans="1:6" x14ac:dyDescent="0.2">
      <c r="A76" s="26">
        <v>1997.07</v>
      </c>
      <c r="B76" s="55">
        <v>190.72580896973778</v>
      </c>
      <c r="C76" s="56">
        <v>185.69966491712097</v>
      </c>
      <c r="E76" s="32"/>
      <c r="F76" s="31"/>
    </row>
    <row r="77" spans="1:6" x14ac:dyDescent="0.2">
      <c r="A77" s="26">
        <v>1997.08</v>
      </c>
      <c r="B77" s="55">
        <v>191.4781823100607</v>
      </c>
      <c r="C77" s="56">
        <v>186.93121009487916</v>
      </c>
      <c r="E77" s="32"/>
      <c r="F77" s="31"/>
    </row>
    <row r="78" spans="1:6" x14ac:dyDescent="0.2">
      <c r="A78" s="26">
        <v>1997.09</v>
      </c>
      <c r="B78" s="55">
        <v>178.76190619294351</v>
      </c>
      <c r="C78" s="56">
        <v>187.41068141307537</v>
      </c>
      <c r="E78" s="32"/>
      <c r="F78" s="31"/>
    </row>
    <row r="79" spans="1:6" x14ac:dyDescent="0.2">
      <c r="A79" s="26">
        <v>1997.1</v>
      </c>
      <c r="B79" s="55">
        <v>189.5737094431633</v>
      </c>
      <c r="C79" s="56">
        <v>187.54254582983089</v>
      </c>
      <c r="E79" s="32"/>
      <c r="F79" s="31"/>
    </row>
    <row r="80" spans="1:6" x14ac:dyDescent="0.2">
      <c r="A80" s="26">
        <v>1997.11</v>
      </c>
      <c r="B80" s="55">
        <v>190.01731399676859</v>
      </c>
      <c r="C80" s="56">
        <v>187.43155419384846</v>
      </c>
      <c r="E80" s="32"/>
      <c r="F80" s="31"/>
    </row>
    <row r="81" spans="1:6" x14ac:dyDescent="0.2">
      <c r="A81" s="26">
        <v>1997.12</v>
      </c>
      <c r="B81" s="55">
        <v>178.51945465779812</v>
      </c>
      <c r="C81" s="56">
        <v>186.48223706897375</v>
      </c>
      <c r="E81" s="32"/>
      <c r="F81" s="31"/>
    </row>
    <row r="82" spans="1:6" x14ac:dyDescent="0.2">
      <c r="A82" s="26">
        <v>1998.01</v>
      </c>
      <c r="B82" s="55">
        <v>174.59090396101948</v>
      </c>
      <c r="C82" s="56">
        <v>186.91030848068365</v>
      </c>
      <c r="E82" s="32"/>
      <c r="F82" s="31"/>
    </row>
    <row r="83" spans="1:6" x14ac:dyDescent="0.2">
      <c r="A83" s="26">
        <v>1998.02</v>
      </c>
      <c r="B83" s="55">
        <v>176.6455105617888</v>
      </c>
      <c r="C83" s="56">
        <v>188.9743685221959</v>
      </c>
      <c r="E83" s="32"/>
      <c r="F83" s="31"/>
    </row>
    <row r="84" spans="1:6" x14ac:dyDescent="0.2">
      <c r="A84" s="26">
        <v>1998.03</v>
      </c>
      <c r="B84" s="55">
        <v>174.0577591963885</v>
      </c>
      <c r="C84" s="56">
        <v>190.11188167064432</v>
      </c>
      <c r="E84" s="32"/>
      <c r="F84" s="31"/>
    </row>
    <row r="85" spans="1:6" x14ac:dyDescent="0.2">
      <c r="A85" s="26">
        <v>1998.04</v>
      </c>
      <c r="B85" s="55">
        <v>180.61596462508641</v>
      </c>
      <c r="C85" s="56">
        <v>191.71055607689539</v>
      </c>
      <c r="E85" s="32"/>
      <c r="F85" s="31"/>
    </row>
    <row r="86" spans="1:6" x14ac:dyDescent="0.2">
      <c r="A86" s="26">
        <v>1998.05</v>
      </c>
      <c r="B86" s="55">
        <v>231.36275267721911</v>
      </c>
      <c r="C86" s="56">
        <v>195.99050514637361</v>
      </c>
      <c r="E86" s="32"/>
      <c r="F86" s="31"/>
    </row>
    <row r="87" spans="1:6" x14ac:dyDescent="0.2">
      <c r="A87" s="26">
        <v>1998.06</v>
      </c>
      <c r="B87" s="55">
        <v>220.3294466089888</v>
      </c>
      <c r="C87" s="56">
        <v>199.44976582507874</v>
      </c>
      <c r="E87" s="32"/>
      <c r="F87" s="31"/>
    </row>
    <row r="88" spans="1:6" x14ac:dyDescent="0.2">
      <c r="A88" s="26">
        <v>1998.07</v>
      </c>
      <c r="B88" s="55">
        <v>207.01002726834679</v>
      </c>
      <c r="C88" s="56">
        <v>201.21046105543513</v>
      </c>
      <c r="E88" s="32"/>
      <c r="F88" s="31"/>
    </row>
    <row r="89" spans="1:6" x14ac:dyDescent="0.2">
      <c r="A89" s="26">
        <v>1998.08</v>
      </c>
      <c r="B89" s="55">
        <v>208.44817460314738</v>
      </c>
      <c r="C89" s="56">
        <v>202.53445586050293</v>
      </c>
      <c r="E89" s="32"/>
      <c r="F89" s="31"/>
    </row>
    <row r="90" spans="1:6" x14ac:dyDescent="0.2">
      <c r="A90" s="26">
        <v>1998.09</v>
      </c>
      <c r="B90" s="55">
        <v>192.26806178629471</v>
      </c>
      <c r="C90" s="56">
        <v>201.6443136535259</v>
      </c>
      <c r="E90" s="32"/>
      <c r="F90" s="31"/>
    </row>
    <row r="91" spans="1:6" x14ac:dyDescent="0.2">
      <c r="A91" s="26">
        <v>1998.1</v>
      </c>
      <c r="B91" s="55">
        <v>199.35202444404669</v>
      </c>
      <c r="C91" s="56">
        <v>200.4465480648901</v>
      </c>
      <c r="E91" s="32"/>
      <c r="F91" s="31"/>
    </row>
    <row r="92" spans="1:6" x14ac:dyDescent="0.2">
      <c r="A92" s="26">
        <v>1998.11</v>
      </c>
      <c r="B92" s="55">
        <v>201.926866534716</v>
      </c>
      <c r="C92" s="56">
        <v>200.4250340138415</v>
      </c>
      <c r="E92" s="32"/>
      <c r="F92" s="31"/>
    </row>
    <row r="93" spans="1:6" x14ac:dyDescent="0.2">
      <c r="A93" s="26">
        <v>1998.12</v>
      </c>
      <c r="B93" s="55">
        <v>191.27897196486211</v>
      </c>
      <c r="C93" s="56">
        <v>196.68609928505734</v>
      </c>
      <c r="E93" s="32"/>
      <c r="F93" s="31"/>
    </row>
    <row r="94" spans="1:6" x14ac:dyDescent="0.2">
      <c r="A94" s="26">
        <v>1999.01</v>
      </c>
      <c r="B94" s="55">
        <v>175.6386918041373</v>
      </c>
      <c r="C94" s="56">
        <v>190.66923153701981</v>
      </c>
      <c r="E94" s="32"/>
      <c r="F94" s="31"/>
    </row>
    <row r="95" spans="1:6" x14ac:dyDescent="0.2">
      <c r="A95" s="26">
        <v>1999.02</v>
      </c>
      <c r="B95" s="55">
        <v>177.4879300176913</v>
      </c>
      <c r="C95" s="56">
        <v>187.62920392794632</v>
      </c>
      <c r="E95" s="32"/>
      <c r="F95" s="31"/>
    </row>
    <row r="96" spans="1:6" x14ac:dyDescent="0.2">
      <c r="A96" s="26">
        <v>1999.03</v>
      </c>
      <c r="B96" s="55">
        <v>171.91559745450209</v>
      </c>
      <c r="C96" s="56">
        <v>185.63187239991029</v>
      </c>
      <c r="E96" s="32"/>
      <c r="F96" s="31"/>
    </row>
    <row r="97" spans="1:6" x14ac:dyDescent="0.2">
      <c r="A97" s="26">
        <v>1999.04</v>
      </c>
      <c r="B97" s="55">
        <v>178.37454140901542</v>
      </c>
      <c r="C97" s="56">
        <v>186.92949148915778</v>
      </c>
      <c r="E97" s="32"/>
      <c r="F97" s="31"/>
    </row>
    <row r="98" spans="1:6" x14ac:dyDescent="0.2">
      <c r="A98" s="26">
        <v>1999.05</v>
      </c>
      <c r="B98" s="55">
        <v>227.22306015193897</v>
      </c>
      <c r="C98" s="56">
        <v>194.14908745590381</v>
      </c>
      <c r="E98" s="32"/>
      <c r="F98" s="31"/>
    </row>
    <row r="99" spans="1:6" x14ac:dyDescent="0.2">
      <c r="A99" s="26">
        <v>1999.06</v>
      </c>
      <c r="B99" s="55">
        <v>220.94639693754038</v>
      </c>
      <c r="C99" s="56">
        <v>199.22139258007678</v>
      </c>
      <c r="E99" s="32"/>
      <c r="F99" s="31"/>
    </row>
    <row r="100" spans="1:6" x14ac:dyDescent="0.2">
      <c r="A100" s="26">
        <v>1999.07</v>
      </c>
      <c r="B100" s="55">
        <v>199.74226011485331</v>
      </c>
      <c r="C100" s="56">
        <v>198.85586241808863</v>
      </c>
      <c r="E100" s="32"/>
      <c r="F100" s="31"/>
    </row>
    <row r="101" spans="1:6" x14ac:dyDescent="0.2">
      <c r="A101" s="26">
        <v>1999.08</v>
      </c>
      <c r="B101" s="55">
        <v>204.60394403252459</v>
      </c>
      <c r="C101" s="56">
        <v>198.49723740058192</v>
      </c>
      <c r="E101" s="32"/>
      <c r="F101" s="31"/>
    </row>
    <row r="102" spans="1:6" x14ac:dyDescent="0.2">
      <c r="A102" s="26">
        <v>1999.09</v>
      </c>
      <c r="B102" s="55">
        <v>189.41570309251932</v>
      </c>
      <c r="C102" s="56">
        <v>200.91366543277221</v>
      </c>
      <c r="E102" s="32"/>
      <c r="F102" s="31"/>
    </row>
    <row r="103" spans="1:6" x14ac:dyDescent="0.2">
      <c r="A103" s="26">
        <v>1999.1</v>
      </c>
      <c r="B103" s="55">
        <v>197.2796098556897</v>
      </c>
      <c r="C103" s="56">
        <v>205.17729605895187</v>
      </c>
      <c r="E103" s="32"/>
      <c r="F103" s="31"/>
    </row>
    <row r="104" spans="1:6" x14ac:dyDescent="0.2">
      <c r="A104" s="26">
        <v>1999.11</v>
      </c>
      <c r="B104" s="55">
        <v>205.05621064653531</v>
      </c>
      <c r="C104" s="56">
        <v>208.28676006517975</v>
      </c>
      <c r="E104" s="32"/>
      <c r="F104" s="31"/>
    </row>
    <row r="105" spans="1:6" x14ac:dyDescent="0.2">
      <c r="A105" s="26">
        <v>1999.12</v>
      </c>
      <c r="B105" s="55">
        <v>224.7804757879843</v>
      </c>
      <c r="C105" s="56">
        <v>212.64548939345525</v>
      </c>
      <c r="E105" s="32"/>
      <c r="F105" s="31"/>
    </row>
    <row r="106" spans="1:6" x14ac:dyDescent="0.2">
      <c r="A106" s="26">
        <v>2000.01</v>
      </c>
      <c r="B106" s="55">
        <v>210.7657427552351</v>
      </c>
      <c r="C106" s="56">
        <v>217.89317536192505</v>
      </c>
      <c r="E106" s="32"/>
      <c r="F106" s="31"/>
    </row>
    <row r="107" spans="1:6" x14ac:dyDescent="0.2">
      <c r="A107" s="26">
        <v>2000.02</v>
      </c>
      <c r="B107" s="55">
        <v>207.79152170390631</v>
      </c>
      <c r="C107" s="56">
        <v>218.01217649900474</v>
      </c>
      <c r="E107" s="32"/>
      <c r="F107" s="31"/>
    </row>
    <row r="108" spans="1:6" x14ac:dyDescent="0.2">
      <c r="A108" s="26">
        <v>2000.03</v>
      </c>
      <c r="B108" s="55">
        <v>193.68470028360508</v>
      </c>
      <c r="C108" s="56">
        <v>216.82404845468736</v>
      </c>
      <c r="E108" s="32"/>
      <c r="F108" s="31"/>
    </row>
    <row r="109" spans="1:6" x14ac:dyDescent="0.2">
      <c r="A109" s="26">
        <v>2000.04</v>
      </c>
      <c r="B109" s="55">
        <v>211.00844209328949</v>
      </c>
      <c r="C109" s="56">
        <v>214.53599077359019</v>
      </c>
      <c r="E109" s="32"/>
      <c r="F109" s="31"/>
    </row>
    <row r="110" spans="1:6" x14ac:dyDescent="0.2">
      <c r="A110" s="26">
        <v>2000.05</v>
      </c>
      <c r="B110" s="55">
        <v>206.96938377842758</v>
      </c>
      <c r="C110" s="56">
        <v>205.63566197685577</v>
      </c>
      <c r="E110" s="32"/>
      <c r="F110" s="31"/>
    </row>
    <row r="111" spans="1:6" x14ac:dyDescent="0.2">
      <c r="A111" s="26">
        <v>2000.06</v>
      </c>
      <c r="B111" s="55">
        <v>209.12853836620991</v>
      </c>
      <c r="C111" s="56">
        <v>202.14343278047272</v>
      </c>
      <c r="E111" s="32"/>
      <c r="F111" s="31"/>
    </row>
    <row r="112" spans="1:6" x14ac:dyDescent="0.2">
      <c r="A112" s="26">
        <v>2000.07</v>
      </c>
      <c r="B112" s="55">
        <v>216.12959173592719</v>
      </c>
      <c r="C112" s="56">
        <v>205.47319515795374</v>
      </c>
      <c r="E112" s="32"/>
      <c r="F112" s="31"/>
    </row>
    <row r="113" spans="1:6" x14ac:dyDescent="0.2">
      <c r="A113" s="26">
        <v>2000.08</v>
      </c>
      <c r="B113" s="55">
        <v>202.08732089280448</v>
      </c>
      <c r="C113" s="56">
        <v>205.45307691290336</v>
      </c>
      <c r="E113" s="32"/>
      <c r="F113" s="31"/>
    </row>
    <row r="114" spans="1:6" x14ac:dyDescent="0.2">
      <c r="A114" s="26">
        <v>2000.09</v>
      </c>
      <c r="B114" s="55">
        <v>201.8163999078715</v>
      </c>
      <c r="C114" s="56">
        <v>207.41988548943053</v>
      </c>
      <c r="E114" s="32"/>
      <c r="F114" s="31"/>
    </row>
    <row r="115" spans="1:6" x14ac:dyDescent="0.2">
      <c r="A115" s="26">
        <v>2000.1</v>
      </c>
      <c r="B115" s="55">
        <v>207.61304575227632</v>
      </c>
      <c r="C115" s="56">
        <v>209.31416156580855</v>
      </c>
      <c r="E115" s="32"/>
      <c r="F115" s="31"/>
    </row>
    <row r="116" spans="1:6" x14ac:dyDescent="0.2">
      <c r="A116" s="26">
        <v>2000.11</v>
      </c>
      <c r="B116" s="55">
        <v>207.72047863692558</v>
      </c>
      <c r="C116" s="56">
        <v>207.84408762415171</v>
      </c>
      <c r="E116" s="32"/>
      <c r="F116" s="31"/>
    </row>
    <row r="117" spans="1:6" x14ac:dyDescent="0.2">
      <c r="A117" s="26">
        <v>2000.12</v>
      </c>
      <c r="B117" s="55">
        <v>197.18930717241011</v>
      </c>
      <c r="C117" s="56">
        <v>206.90923864367403</v>
      </c>
      <c r="E117" s="32"/>
      <c r="F117" s="31"/>
    </row>
    <row r="118" spans="1:6" x14ac:dyDescent="0.2">
      <c r="A118" s="26">
        <v>2001.01</v>
      </c>
      <c r="B118" s="55">
        <v>204.04971612925982</v>
      </c>
      <c r="C118" s="56">
        <v>208.06793308200793</v>
      </c>
      <c r="E118" s="32"/>
      <c r="F118" s="31"/>
    </row>
    <row r="119" spans="1:6" x14ac:dyDescent="0.2">
      <c r="A119" s="26">
        <v>2001.02</v>
      </c>
      <c r="B119" s="55">
        <v>194.03031166710599</v>
      </c>
      <c r="C119" s="56">
        <v>210.96404841943837</v>
      </c>
      <c r="E119" s="32"/>
      <c r="F119" s="31"/>
    </row>
    <row r="120" spans="1:6" x14ac:dyDescent="0.2">
      <c r="A120" s="26">
        <v>2001.03</v>
      </c>
      <c r="B120" s="55">
        <v>201.18761626374788</v>
      </c>
      <c r="C120" s="56">
        <v>211.46269688963494</v>
      </c>
      <c r="E120" s="32"/>
      <c r="F120" s="31"/>
    </row>
    <row r="121" spans="1:6" x14ac:dyDescent="0.2">
      <c r="A121" s="26">
        <v>2001.04</v>
      </c>
      <c r="B121" s="55">
        <v>198.83208326627948</v>
      </c>
      <c r="C121" s="56">
        <v>204.47799777385126</v>
      </c>
      <c r="E121" s="32"/>
      <c r="F121" s="31"/>
    </row>
    <row r="122" spans="1:6" x14ac:dyDescent="0.2">
      <c r="A122" s="26">
        <v>2001.05</v>
      </c>
      <c r="B122" s="55">
        <v>227.95213664313781</v>
      </c>
      <c r="C122" s="56">
        <v>196.65419425372284</v>
      </c>
      <c r="E122" s="32"/>
      <c r="F122" s="31"/>
    </row>
    <row r="123" spans="1:6" x14ac:dyDescent="0.2">
      <c r="A123" s="26">
        <v>2001.06</v>
      </c>
      <c r="B123" s="55">
        <v>209.74661162045609</v>
      </c>
      <c r="C123" s="56">
        <v>193.46941896192746</v>
      </c>
      <c r="E123" s="32"/>
      <c r="F123" s="31"/>
    </row>
    <row r="124" spans="1:6" x14ac:dyDescent="0.2">
      <c r="A124" s="26">
        <v>2001.07</v>
      </c>
      <c r="B124" s="55">
        <v>187.3954276791348</v>
      </c>
      <c r="C124" s="56">
        <v>190.43717682379094</v>
      </c>
      <c r="E124" s="32"/>
      <c r="F124" s="31"/>
    </row>
    <row r="125" spans="1:6" x14ac:dyDescent="0.2">
      <c r="A125" s="26">
        <v>2001.08</v>
      </c>
      <c r="B125" s="55">
        <v>205.31259984064172</v>
      </c>
      <c r="C125" s="56">
        <v>187.21843606114192</v>
      </c>
      <c r="E125" s="32"/>
      <c r="F125" s="31"/>
    </row>
    <row r="126" spans="1:6" x14ac:dyDescent="0.2">
      <c r="A126" s="26">
        <v>2001.09</v>
      </c>
      <c r="B126" s="55">
        <v>170.2521448128465</v>
      </c>
      <c r="C126" s="56">
        <v>179.54076437256691</v>
      </c>
      <c r="E126" s="32"/>
      <c r="F126" s="31"/>
    </row>
    <row r="127" spans="1:6" x14ac:dyDescent="0.2">
      <c r="A127" s="26">
        <v>2001.1</v>
      </c>
      <c r="B127" s="55">
        <v>168.19816853488982</v>
      </c>
      <c r="C127" s="56">
        <v>167.14311455405311</v>
      </c>
      <c r="E127" s="32"/>
      <c r="F127" s="31"/>
    </row>
    <row r="128" spans="1:6" x14ac:dyDescent="0.2">
      <c r="A128" s="26">
        <v>2001.11</v>
      </c>
      <c r="B128" s="55">
        <v>155.47970243785861</v>
      </c>
      <c r="C128" s="56">
        <v>159.40397727532547</v>
      </c>
      <c r="E128" s="32"/>
      <c r="F128" s="31"/>
    </row>
    <row r="129" spans="1:6" x14ac:dyDescent="0.2">
      <c r="A129" s="26">
        <v>2001.12</v>
      </c>
      <c r="B129" s="55">
        <v>104.71366470009849</v>
      </c>
      <c r="C129" s="56">
        <v>158.74887113881272</v>
      </c>
      <c r="E129" s="32"/>
      <c r="F129" s="31"/>
    </row>
    <row r="130" spans="1:6" x14ac:dyDescent="0.2">
      <c r="A130" s="26">
        <v>2002.01</v>
      </c>
      <c r="B130" s="55">
        <v>178.27035655041101</v>
      </c>
      <c r="C130" s="56">
        <v>159.01993150073565</v>
      </c>
      <c r="E130" s="32"/>
      <c r="F130" s="31"/>
    </row>
    <row r="131" spans="1:6" x14ac:dyDescent="0.2">
      <c r="A131" s="26">
        <v>2002.02</v>
      </c>
      <c r="B131" s="55">
        <v>172.29448525295851</v>
      </c>
      <c r="C131" s="56">
        <v>160.96164073296893</v>
      </c>
      <c r="E131" s="32"/>
      <c r="F131" s="31"/>
    </row>
    <row r="132" spans="1:6" x14ac:dyDescent="0.2">
      <c r="A132" s="26">
        <v>2002.03</v>
      </c>
      <c r="B132" s="55">
        <v>158.97325260695811</v>
      </c>
      <c r="C132" s="56">
        <v>161.65416183886651</v>
      </c>
      <c r="E132" s="32"/>
      <c r="F132" s="31"/>
    </row>
    <row r="133" spans="1:6" x14ac:dyDescent="0.2">
      <c r="A133" s="26">
        <v>2002.04</v>
      </c>
      <c r="B133" s="55">
        <v>145.7369056387613</v>
      </c>
      <c r="C133" s="56">
        <v>154.18937542507103</v>
      </c>
      <c r="E133" s="32"/>
      <c r="F133" s="31"/>
    </row>
    <row r="134" spans="1:6" x14ac:dyDescent="0.2">
      <c r="A134" s="26">
        <v>2002.05</v>
      </c>
      <c r="B134" s="55">
        <v>145.55565341091111</v>
      </c>
      <c r="C134" s="56">
        <v>143.21084959465543</v>
      </c>
      <c r="E134" s="32"/>
      <c r="F134" s="31"/>
    </row>
    <row r="135" spans="1:6" x14ac:dyDescent="0.2">
      <c r="A135" s="26">
        <v>2002.06</v>
      </c>
      <c r="B135" s="55">
        <v>136.8050771896493</v>
      </c>
      <c r="C135" s="56">
        <v>135.67506182394851</v>
      </c>
      <c r="E135" s="32"/>
      <c r="F135" s="31"/>
    </row>
    <row r="136" spans="1:6" x14ac:dyDescent="0.2">
      <c r="A136" s="26">
        <v>2002.07</v>
      </c>
      <c r="B136" s="55">
        <v>138.1816665114701</v>
      </c>
      <c r="C136" s="56">
        <v>133.47109528089624</v>
      </c>
      <c r="E136" s="32"/>
      <c r="F136" s="31"/>
    </row>
    <row r="137" spans="1:6" x14ac:dyDescent="0.2">
      <c r="A137" s="26">
        <v>2002.08</v>
      </c>
      <c r="B137" s="55">
        <v>129.4366898586286</v>
      </c>
      <c r="C137" s="56">
        <v>131.91423552564868</v>
      </c>
      <c r="E137" s="32"/>
      <c r="F137" s="31"/>
    </row>
    <row r="138" spans="1:6" x14ac:dyDescent="0.2">
      <c r="A138" s="26">
        <v>2002.09</v>
      </c>
      <c r="B138" s="55">
        <v>125.69960418807699</v>
      </c>
      <c r="C138" s="56">
        <v>131.13507365771144</v>
      </c>
      <c r="E138" s="32"/>
      <c r="F138" s="31"/>
    </row>
    <row r="139" spans="1:6" x14ac:dyDescent="0.2">
      <c r="A139" s="26">
        <v>2002.1</v>
      </c>
      <c r="B139" s="55">
        <v>133.26455891344921</v>
      </c>
      <c r="C139" s="56">
        <v>132.50434343895043</v>
      </c>
      <c r="E139" s="32"/>
      <c r="F139" s="31"/>
    </row>
    <row r="140" spans="1:6" x14ac:dyDescent="0.2">
      <c r="A140" s="26">
        <v>2002.11</v>
      </c>
      <c r="B140" s="55">
        <v>133.91632191193838</v>
      </c>
      <c r="C140" s="56">
        <v>132.57541697099518</v>
      </c>
      <c r="E140" s="32"/>
      <c r="F140" s="31"/>
    </row>
    <row r="141" spans="1:6" x14ac:dyDescent="0.2">
      <c r="A141" s="26">
        <v>2002.12</v>
      </c>
      <c r="B141" s="55">
        <v>127.06043742662212</v>
      </c>
      <c r="C141" s="56">
        <v>131.97457800031566</v>
      </c>
      <c r="E141" s="32"/>
      <c r="F141" s="31"/>
    </row>
    <row r="142" spans="1:6" x14ac:dyDescent="0.2">
      <c r="A142" s="26">
        <v>2003.01</v>
      </c>
      <c r="B142" s="55">
        <v>141.31066630384939</v>
      </c>
      <c r="C142" s="56">
        <v>129.77861826301753</v>
      </c>
      <c r="E142" s="32"/>
      <c r="F142" s="31"/>
    </row>
    <row r="143" spans="1:6" x14ac:dyDescent="0.2">
      <c r="A143" s="26">
        <v>2003.02</v>
      </c>
      <c r="B143" s="55">
        <v>111.56070497248899</v>
      </c>
      <c r="C143" s="56">
        <v>124.40913615311814</v>
      </c>
      <c r="E143" s="32"/>
      <c r="F143" s="31"/>
    </row>
    <row r="144" spans="1:6" x14ac:dyDescent="0.2">
      <c r="A144" s="26">
        <v>2003.03</v>
      </c>
      <c r="B144" s="55">
        <v>108.8249441640625</v>
      </c>
      <c r="C144" s="56">
        <v>123.63661287711801</v>
      </c>
      <c r="E144" s="32"/>
      <c r="F144" s="31"/>
    </row>
    <row r="145" spans="1:6" x14ac:dyDescent="0.2">
      <c r="A145" s="26">
        <v>2003.04</v>
      </c>
      <c r="B145" s="55">
        <v>125.53752779349571</v>
      </c>
      <c r="C145" s="56">
        <v>132.29402710906322</v>
      </c>
      <c r="E145" s="32"/>
      <c r="F145" s="31"/>
    </row>
    <row r="146" spans="1:6" x14ac:dyDescent="0.2">
      <c r="A146" s="26">
        <v>2003.05</v>
      </c>
      <c r="B146" s="55">
        <v>177.5326348598777</v>
      </c>
      <c r="C146" s="56">
        <v>139.94236838472696</v>
      </c>
      <c r="E146" s="32"/>
      <c r="F146" s="31"/>
    </row>
    <row r="147" spans="1:6" x14ac:dyDescent="0.2">
      <c r="A147" s="26">
        <v>2003.06</v>
      </c>
      <c r="B147" s="55">
        <v>148.3467831074033</v>
      </c>
      <c r="C147" s="56">
        <v>140.64393290127106</v>
      </c>
      <c r="E147" s="32"/>
      <c r="F147" s="31"/>
    </row>
    <row r="148" spans="1:6" x14ac:dyDescent="0.2">
      <c r="A148" s="26">
        <v>2003.07</v>
      </c>
      <c r="B148" s="55">
        <v>138.50192293718811</v>
      </c>
      <c r="C148" s="56">
        <v>144.8814253019863</v>
      </c>
      <c r="E148" s="32"/>
      <c r="F148" s="31"/>
    </row>
    <row r="149" spans="1:6" x14ac:dyDescent="0.2">
      <c r="A149" s="26">
        <v>2003.08</v>
      </c>
      <c r="B149" s="55">
        <v>153.82248742443829</v>
      </c>
      <c r="C149" s="56">
        <v>153.20368708444914</v>
      </c>
      <c r="E149" s="32"/>
      <c r="F149" s="31"/>
    </row>
    <row r="150" spans="1:6" x14ac:dyDescent="0.2">
      <c r="A150" s="26">
        <v>2003.09</v>
      </c>
      <c r="B150" s="55">
        <v>162.55808362955059</v>
      </c>
      <c r="C150" s="56">
        <v>158.53050505229191</v>
      </c>
      <c r="E150" s="32"/>
      <c r="F150" s="31"/>
    </row>
    <row r="151" spans="1:6" x14ac:dyDescent="0.2">
      <c r="A151" s="26">
        <v>2003.1</v>
      </c>
      <c r="B151" s="55">
        <v>165.86934562587271</v>
      </c>
      <c r="C151" s="56">
        <v>165.75677246699036</v>
      </c>
      <c r="E151" s="32"/>
      <c r="F151" s="31"/>
    </row>
    <row r="152" spans="1:6" x14ac:dyDescent="0.2">
      <c r="A152" s="26">
        <v>2003.11</v>
      </c>
      <c r="B152" s="55">
        <v>178.92373378298208</v>
      </c>
      <c r="C152" s="56">
        <v>175.56544890370924</v>
      </c>
      <c r="E152" s="32"/>
      <c r="F152" s="31"/>
    </row>
    <row r="153" spans="1:6" x14ac:dyDescent="0.2">
      <c r="A153" s="26">
        <v>2003.12</v>
      </c>
      <c r="B153" s="55">
        <v>181.0699191069757</v>
      </c>
      <c r="C153" s="56">
        <v>178.86635734010162</v>
      </c>
      <c r="E153" s="32"/>
      <c r="F153" s="31"/>
    </row>
    <row r="154" spans="1:6" x14ac:dyDescent="0.2">
      <c r="A154" s="26">
        <v>2004.01</v>
      </c>
      <c r="B154" s="55">
        <v>164.06021305826181</v>
      </c>
      <c r="C154" s="56">
        <v>175.2455454180149</v>
      </c>
      <c r="E154" s="32"/>
      <c r="F154" s="31"/>
    </row>
    <row r="155" spans="1:6" x14ac:dyDescent="0.2">
      <c r="A155" s="26">
        <v>2004.02</v>
      </c>
      <c r="B155" s="55">
        <v>157.86385477155301</v>
      </c>
      <c r="C155" s="56">
        <v>174.8609848375564</v>
      </c>
      <c r="E155" s="32"/>
      <c r="F155" s="31"/>
    </row>
    <row r="156" spans="1:6" x14ac:dyDescent="0.2">
      <c r="A156" s="26">
        <v>2004.03</v>
      </c>
      <c r="B156" s="55">
        <v>179.1580335970946</v>
      </c>
      <c r="C156" s="56">
        <v>179.62856125147459</v>
      </c>
      <c r="E156" s="32"/>
      <c r="F156" s="31"/>
    </row>
    <row r="157" spans="1:6" x14ac:dyDescent="0.2">
      <c r="A157" s="26">
        <v>2004.04</v>
      </c>
      <c r="B157" s="55">
        <v>168.02780220226998</v>
      </c>
      <c r="C157" s="56">
        <v>185.45071891382935</v>
      </c>
      <c r="E157" s="32"/>
      <c r="F157" s="31"/>
    </row>
    <row r="158" spans="1:6" x14ac:dyDescent="0.2">
      <c r="A158" s="26">
        <v>2004.05</v>
      </c>
      <c r="B158" s="55">
        <v>288.13656825187991</v>
      </c>
      <c r="C158" s="56">
        <v>194.19292787877799</v>
      </c>
      <c r="E158" s="32"/>
      <c r="F158" s="31"/>
    </row>
    <row r="159" spans="1:6" x14ac:dyDescent="0.2">
      <c r="A159" s="26">
        <v>2004.06</v>
      </c>
      <c r="B159" s="55">
        <v>233.72422943496809</v>
      </c>
      <c r="C159" s="56">
        <v>201.26189387755966</v>
      </c>
      <c r="E159" s="32"/>
      <c r="F159" s="31"/>
    </row>
    <row r="160" spans="1:6" x14ac:dyDescent="0.2">
      <c r="A160" s="26">
        <v>2004.07</v>
      </c>
      <c r="B160" s="55">
        <v>191.87731280550122</v>
      </c>
      <c r="C160" s="56">
        <v>199.71150656326239</v>
      </c>
      <c r="E160" s="32"/>
      <c r="F160" s="31"/>
    </row>
    <row r="161" spans="1:6" x14ac:dyDescent="0.2">
      <c r="A161" s="26">
        <v>2004.08</v>
      </c>
      <c r="B161" s="55">
        <v>209.10574494974912</v>
      </c>
      <c r="C161" s="56">
        <v>196.38610487793579</v>
      </c>
      <c r="E161" s="32"/>
      <c r="F161" s="31"/>
    </row>
    <row r="162" spans="1:6" x14ac:dyDescent="0.2">
      <c r="A162" s="26">
        <v>2004.09</v>
      </c>
      <c r="B162" s="55">
        <v>189.90014536911229</v>
      </c>
      <c r="C162" s="56">
        <v>197.98382691398234</v>
      </c>
      <c r="E162" s="32"/>
      <c r="F162" s="31"/>
    </row>
    <row r="163" spans="1:6" x14ac:dyDescent="0.2">
      <c r="A163" s="26">
        <v>2004.1</v>
      </c>
      <c r="B163" s="55">
        <v>201.13642423663072</v>
      </c>
      <c r="C163" s="56">
        <v>200.9843989958849</v>
      </c>
      <c r="E163" s="32"/>
      <c r="F163" s="31"/>
    </row>
    <row r="164" spans="1:6" x14ac:dyDescent="0.2">
      <c r="A164" s="26">
        <v>2004.11</v>
      </c>
      <c r="B164" s="55">
        <v>192.99539189949968</v>
      </c>
      <c r="C164" s="56">
        <v>200.84334865770541</v>
      </c>
      <c r="E164" s="32"/>
      <c r="F164" s="31"/>
    </row>
    <row r="165" spans="1:6" x14ac:dyDescent="0.2">
      <c r="A165" s="26">
        <v>2004.12</v>
      </c>
      <c r="B165" s="55">
        <v>183.57930702286481</v>
      </c>
      <c r="C165" s="56">
        <v>202.14706817685271</v>
      </c>
      <c r="E165" s="32"/>
      <c r="F165" s="31"/>
    </row>
    <row r="166" spans="1:6" x14ac:dyDescent="0.2">
      <c r="A166" s="26">
        <v>2005.01</v>
      </c>
      <c r="B166" s="55">
        <v>201.72504160540279</v>
      </c>
      <c r="C166" s="56">
        <v>208.70445567499783</v>
      </c>
      <c r="E166" s="32"/>
      <c r="F166" s="31"/>
    </row>
    <row r="167" spans="1:6" x14ac:dyDescent="0.2">
      <c r="A167" s="26">
        <v>2005.02</v>
      </c>
      <c r="B167" s="55">
        <v>201.04651204262331</v>
      </c>
      <c r="C167" s="56">
        <v>212.53367665109675</v>
      </c>
      <c r="E167" s="32"/>
      <c r="F167" s="31"/>
    </row>
    <row r="168" spans="1:6" x14ac:dyDescent="0.2">
      <c r="A168" s="26">
        <v>2005.03</v>
      </c>
      <c r="B168" s="55">
        <v>181.6382264119861</v>
      </c>
      <c r="C168" s="56">
        <v>213.89588218829246</v>
      </c>
      <c r="E168" s="32"/>
      <c r="F168" s="31"/>
    </row>
    <row r="169" spans="1:6" x14ac:dyDescent="0.2">
      <c r="A169" s="26">
        <v>2005.04</v>
      </c>
      <c r="B169" s="55">
        <v>204.63773742343699</v>
      </c>
      <c r="C169" s="56">
        <v>218.19730962190647</v>
      </c>
      <c r="E169" s="32"/>
      <c r="F169" s="31"/>
    </row>
    <row r="170" spans="1:6" x14ac:dyDescent="0.2">
      <c r="A170" s="26">
        <v>2005.05</v>
      </c>
      <c r="B170" s="55">
        <v>267.43104018292269</v>
      </c>
      <c r="C170" s="56">
        <v>220.83406741802935</v>
      </c>
      <c r="E170" s="32"/>
      <c r="F170" s="31"/>
    </row>
    <row r="171" spans="1:6" x14ac:dyDescent="0.2">
      <c r="A171" s="26">
        <v>2005.06</v>
      </c>
      <c r="B171" s="55">
        <v>255.30703123499899</v>
      </c>
      <c r="C171" s="56">
        <v>220.32745456079243</v>
      </c>
      <c r="E171" s="32"/>
      <c r="F171" s="31"/>
    </row>
    <row r="172" spans="1:6" x14ac:dyDescent="0.2">
      <c r="A172" s="26">
        <v>2005.07</v>
      </c>
      <c r="B172" s="55">
        <v>216.04230873475771</v>
      </c>
      <c r="C172" s="56">
        <v>217.78768131885224</v>
      </c>
      <c r="E172" s="32"/>
      <c r="F172" s="31"/>
    </row>
    <row r="173" spans="1:6" x14ac:dyDescent="0.2">
      <c r="A173" s="26">
        <v>2005.08</v>
      </c>
      <c r="B173" s="55">
        <v>215.2644857453644</v>
      </c>
      <c r="C173" s="56">
        <v>217.72902859785543</v>
      </c>
      <c r="E173" s="32"/>
      <c r="F173" s="31"/>
    </row>
    <row r="174" spans="1:6" x14ac:dyDescent="0.2">
      <c r="A174" s="26">
        <v>2005.09</v>
      </c>
      <c r="B174" s="55">
        <v>218.7108403770786</v>
      </c>
      <c r="C174" s="56">
        <v>221.48905008102759</v>
      </c>
      <c r="E174" s="32"/>
      <c r="F174" s="31"/>
    </row>
    <row r="175" spans="1:6" x14ac:dyDescent="0.2">
      <c r="A175" s="26">
        <v>2005.1</v>
      </c>
      <c r="B175" s="55">
        <v>217.5727911192823</v>
      </c>
      <c r="C175" s="56">
        <v>222.02939326202645</v>
      </c>
      <c r="E175" s="32"/>
      <c r="F175" s="31"/>
    </row>
    <row r="176" spans="1:6" x14ac:dyDescent="0.2">
      <c r="A176" s="26">
        <v>2005.11</v>
      </c>
      <c r="B176" s="55">
        <v>220.95303683401409</v>
      </c>
      <c r="C176" s="56">
        <v>222.83942848920864</v>
      </c>
      <c r="E176" s="32"/>
      <c r="F176" s="31"/>
    </row>
    <row r="177" spans="1:6" x14ac:dyDescent="0.2">
      <c r="A177" s="26">
        <v>2005.12</v>
      </c>
      <c r="B177" s="55">
        <v>226.40109120818539</v>
      </c>
      <c r="C177" s="56">
        <v>224.62615228009912</v>
      </c>
      <c r="E177" s="32"/>
      <c r="F177" s="31"/>
    </row>
    <row r="178" spans="1:6" x14ac:dyDescent="0.2">
      <c r="A178" s="26">
        <v>2006.01</v>
      </c>
      <c r="B178" s="55">
        <v>210.93537831703341</v>
      </c>
      <c r="C178" s="56">
        <v>226.56418662317748</v>
      </c>
      <c r="E178" s="32"/>
      <c r="F178" s="31"/>
    </row>
    <row r="179" spans="1:6" x14ac:dyDescent="0.2">
      <c r="A179" s="26">
        <v>2006.02</v>
      </c>
      <c r="B179" s="55">
        <v>228.56156031863651</v>
      </c>
      <c r="C179" s="56">
        <v>232.36239283214991</v>
      </c>
      <c r="E179" s="32"/>
      <c r="F179" s="31"/>
    </row>
    <row r="180" spans="1:6" x14ac:dyDescent="0.2">
      <c r="A180" s="26">
        <v>2006.03</v>
      </c>
      <c r="B180" s="55">
        <v>201.184103546968</v>
      </c>
      <c r="C180" s="56">
        <v>235.0224182839614</v>
      </c>
      <c r="E180" s="32"/>
      <c r="F180" s="31"/>
    </row>
    <row r="181" spans="1:6" x14ac:dyDescent="0.2">
      <c r="A181" s="26">
        <v>2006.04</v>
      </c>
      <c r="B181" s="55">
        <v>193.90269806034519</v>
      </c>
      <c r="C181" s="56">
        <v>234.07951620673151</v>
      </c>
      <c r="E181" s="32"/>
      <c r="F181" s="31"/>
    </row>
    <row r="182" spans="1:6" x14ac:dyDescent="0.2">
      <c r="A182" s="26">
        <v>2006.05</v>
      </c>
      <c r="B182" s="55">
        <v>282.30770554193111</v>
      </c>
      <c r="C182" s="56">
        <v>237.35270706076219</v>
      </c>
      <c r="E182" s="32"/>
      <c r="F182" s="31"/>
    </row>
    <row r="183" spans="1:6" x14ac:dyDescent="0.2">
      <c r="A183" s="26">
        <v>2006.06</v>
      </c>
      <c r="B183" s="55">
        <v>289.00682249900859</v>
      </c>
      <c r="C183" s="56">
        <v>243.10627598190786</v>
      </c>
      <c r="E183" s="32"/>
      <c r="F183" s="31"/>
    </row>
    <row r="184" spans="1:6" x14ac:dyDescent="0.2">
      <c r="A184" s="26">
        <v>2006.07</v>
      </c>
      <c r="B184" s="55">
        <v>244.07968775721582</v>
      </c>
      <c r="C184" s="56">
        <v>244.84714722030731</v>
      </c>
      <c r="E184" s="32"/>
      <c r="F184" s="31"/>
    </row>
    <row r="185" spans="1:6" x14ac:dyDescent="0.2">
      <c r="A185" s="26">
        <v>2006.08</v>
      </c>
      <c r="B185" s="55">
        <v>248.03848150785808</v>
      </c>
      <c r="C185" s="56">
        <v>245.55647693158818</v>
      </c>
      <c r="E185" s="32"/>
      <c r="F185" s="31"/>
    </row>
    <row r="186" spans="1:6" x14ac:dyDescent="0.2">
      <c r="A186" s="26">
        <v>2006.09</v>
      </c>
      <c r="B186" s="55">
        <v>241.90404720984179</v>
      </c>
      <c r="C186" s="56">
        <v>249.02374798154912</v>
      </c>
      <c r="E186" s="32"/>
      <c r="F186" s="31"/>
    </row>
    <row r="187" spans="1:6" x14ac:dyDescent="0.2">
      <c r="A187" s="26">
        <v>2006.1</v>
      </c>
      <c r="B187" s="55">
        <v>249.01427111284733</v>
      </c>
      <c r="C187" s="56">
        <v>252.43706038430349</v>
      </c>
      <c r="E187" s="32"/>
      <c r="F187" s="31"/>
    </row>
    <row r="188" spans="1:6" x14ac:dyDescent="0.2">
      <c r="A188" s="26">
        <v>2006.11</v>
      </c>
      <c r="B188" s="55">
        <v>252.83989798916289</v>
      </c>
      <c r="C188" s="56">
        <v>253.04219110503143</v>
      </c>
      <c r="E188" s="32"/>
      <c r="F188" s="31"/>
    </row>
    <row r="189" spans="1:6" x14ac:dyDescent="0.2">
      <c r="A189" s="26">
        <v>2006.12</v>
      </c>
      <c r="B189" s="55">
        <v>244.04094748225083</v>
      </c>
      <c r="C189" s="56">
        <v>253.24377422397379</v>
      </c>
      <c r="E189" s="32"/>
      <c r="F189" s="31"/>
    </row>
    <row r="190" spans="1:6" x14ac:dyDescent="0.2">
      <c r="A190" s="26">
        <v>2007.01</v>
      </c>
      <c r="B190" s="55">
        <v>248.92014619404489</v>
      </c>
      <c r="C190" s="56">
        <v>257.06247615162255</v>
      </c>
      <c r="E190" s="32"/>
      <c r="F190" s="31"/>
    </row>
    <row r="191" spans="1:6" x14ac:dyDescent="0.2">
      <c r="A191" s="26">
        <v>2007.02</v>
      </c>
      <c r="B191" s="55">
        <v>250.44616594231101</v>
      </c>
      <c r="C191" s="56">
        <v>260.91303076682658</v>
      </c>
      <c r="E191" s="32"/>
      <c r="F191" s="31"/>
    </row>
    <row r="192" spans="1:6" x14ac:dyDescent="0.2">
      <c r="A192" s="26">
        <v>2007.03</v>
      </c>
      <c r="B192" s="55">
        <v>225.95946651976368</v>
      </c>
      <c r="C192" s="56">
        <v>262.99766642987515</v>
      </c>
      <c r="E192" s="32"/>
      <c r="F192" s="31"/>
    </row>
    <row r="193" spans="1:6" x14ac:dyDescent="0.2">
      <c r="A193" s="26">
        <v>2007.04</v>
      </c>
      <c r="B193" s="55">
        <v>220.76239887263762</v>
      </c>
      <c r="C193" s="56">
        <v>264.99834051490666</v>
      </c>
      <c r="E193" s="32"/>
      <c r="F193" s="31"/>
    </row>
    <row r="194" spans="1:6" x14ac:dyDescent="0.2">
      <c r="A194" s="26">
        <v>2007.05</v>
      </c>
      <c r="B194" s="55">
        <v>319.66938084504369</v>
      </c>
      <c r="C194" s="56">
        <v>269.04163383978857</v>
      </c>
      <c r="E194" s="32"/>
      <c r="F194" s="31"/>
    </row>
    <row r="195" spans="1:6" x14ac:dyDescent="0.2">
      <c r="A195" s="26">
        <v>2007.06</v>
      </c>
      <c r="B195" s="55">
        <v>322.57596985379803</v>
      </c>
      <c r="C195" s="56">
        <v>274.75987736242695</v>
      </c>
      <c r="E195" s="32"/>
      <c r="F195" s="31"/>
    </row>
    <row r="196" spans="1:6" x14ac:dyDescent="0.2">
      <c r="A196" s="26">
        <v>2007.07</v>
      </c>
      <c r="B196" s="55">
        <v>281.90591000643889</v>
      </c>
      <c r="C196" s="56">
        <v>280.08282621025717</v>
      </c>
      <c r="E196" s="32"/>
      <c r="F196" s="31"/>
    </row>
    <row r="197" spans="1:6" x14ac:dyDescent="0.2">
      <c r="A197" s="26">
        <v>2007.08</v>
      </c>
      <c r="B197" s="55">
        <v>294.41457018889042</v>
      </c>
      <c r="C197" s="56">
        <v>284.20396371816571</v>
      </c>
      <c r="E197" s="32"/>
      <c r="F197" s="31"/>
    </row>
    <row r="198" spans="1:6" x14ac:dyDescent="0.2">
      <c r="A198" s="26">
        <v>2007.09</v>
      </c>
      <c r="B198" s="55">
        <v>273.70143004722479</v>
      </c>
      <c r="C198" s="56">
        <v>284.48412714222468</v>
      </c>
      <c r="E198" s="32"/>
      <c r="F198" s="31"/>
    </row>
    <row r="199" spans="1:6" x14ac:dyDescent="0.2">
      <c r="A199" s="26">
        <v>2007.1</v>
      </c>
      <c r="B199" s="55">
        <v>281.08726019336001</v>
      </c>
      <c r="C199" s="56">
        <v>286.75819176457333</v>
      </c>
      <c r="E199" s="32"/>
      <c r="F199" s="31"/>
    </row>
    <row r="200" spans="1:6" x14ac:dyDescent="0.2">
      <c r="A200" s="26">
        <v>2007.11</v>
      </c>
      <c r="B200" s="55">
        <v>291.90474641602299</v>
      </c>
      <c r="C200" s="56">
        <v>294.97038065752878</v>
      </c>
      <c r="E200" s="32"/>
      <c r="F200" s="31"/>
    </row>
    <row r="201" spans="1:6" x14ac:dyDescent="0.2">
      <c r="A201" s="26">
        <v>2007.12</v>
      </c>
      <c r="B201" s="55">
        <v>295.45491068097829</v>
      </c>
      <c r="C201" s="56">
        <v>302.24444467086175</v>
      </c>
      <c r="E201" s="33"/>
      <c r="F201" s="31"/>
    </row>
    <row r="202" spans="1:6" x14ac:dyDescent="0.2">
      <c r="A202" s="26">
        <f t="shared" ref="A202:A265" si="0">A190+1</f>
        <v>2008.01</v>
      </c>
      <c r="B202" s="55">
        <v>294.15335918462301</v>
      </c>
      <c r="C202" s="56">
        <v>304.14077844115741</v>
      </c>
      <c r="E202" s="32"/>
      <c r="F202" s="31"/>
    </row>
    <row r="203" spans="1:6" x14ac:dyDescent="0.2">
      <c r="A203" s="26">
        <f t="shared" si="0"/>
        <v>2008.02</v>
      </c>
      <c r="B203" s="55">
        <v>297.19219034853302</v>
      </c>
      <c r="C203" s="56">
        <v>300.50017447521537</v>
      </c>
      <c r="E203" s="32"/>
      <c r="F203" s="31"/>
    </row>
    <row r="204" spans="1:6" x14ac:dyDescent="0.2">
      <c r="A204" s="26">
        <f t="shared" si="0"/>
        <v>2008.03</v>
      </c>
      <c r="B204" s="55">
        <v>236.98829896639569</v>
      </c>
      <c r="C204" s="56">
        <v>295.92108229718133</v>
      </c>
      <c r="E204" s="32"/>
      <c r="F204" s="31"/>
    </row>
    <row r="205" spans="1:6" x14ac:dyDescent="0.2">
      <c r="A205" s="26">
        <f t="shared" si="0"/>
        <v>2008.04</v>
      </c>
      <c r="B205" s="55">
        <v>267.13064652973452</v>
      </c>
      <c r="C205" s="56">
        <v>292.30765552331769</v>
      </c>
      <c r="E205" s="32"/>
      <c r="F205" s="31"/>
    </row>
    <row r="206" spans="1:6" x14ac:dyDescent="0.2">
      <c r="A206" s="26">
        <f t="shared" si="0"/>
        <v>2008.05</v>
      </c>
      <c r="B206" s="55">
        <v>335.23442066468999</v>
      </c>
      <c r="C206" s="56">
        <v>288.60466493486649</v>
      </c>
      <c r="E206" s="32"/>
      <c r="F206" s="31"/>
    </row>
    <row r="207" spans="1:6" x14ac:dyDescent="0.2">
      <c r="A207" s="26">
        <f t="shared" si="0"/>
        <v>2008.06</v>
      </c>
      <c r="B207" s="55">
        <v>333.136098046109</v>
      </c>
      <c r="C207" s="56">
        <v>290.12280866817747</v>
      </c>
      <c r="E207" s="32"/>
      <c r="F207" s="31"/>
    </row>
    <row r="208" spans="1:6" x14ac:dyDescent="0.2">
      <c r="A208" s="26">
        <f t="shared" si="0"/>
        <v>2008.07</v>
      </c>
      <c r="B208" s="55">
        <v>307.02842960866798</v>
      </c>
      <c r="C208" s="56">
        <v>295.85202875492018</v>
      </c>
      <c r="E208" s="32"/>
      <c r="F208" s="31"/>
    </row>
    <row r="209" spans="1:6" x14ac:dyDescent="0.2">
      <c r="A209" s="26">
        <f t="shared" si="0"/>
        <v>2008.08</v>
      </c>
      <c r="B209" s="55">
        <v>301.79363745160902</v>
      </c>
      <c r="C209" s="56">
        <v>296.34962997130771</v>
      </c>
      <c r="E209" s="32"/>
      <c r="F209" s="31"/>
    </row>
    <row r="210" spans="1:6" x14ac:dyDescent="0.2">
      <c r="A210" s="26">
        <f t="shared" si="0"/>
        <v>2008.09</v>
      </c>
      <c r="B210" s="55">
        <v>285.39593347070002</v>
      </c>
      <c r="C210" s="56">
        <v>293.91122255700247</v>
      </c>
      <c r="E210" s="32"/>
      <c r="F210" s="31"/>
    </row>
    <row r="211" spans="1:6" x14ac:dyDescent="0.2">
      <c r="A211" s="26">
        <f t="shared" si="0"/>
        <v>2008.1</v>
      </c>
      <c r="B211" s="55">
        <v>293.00572091759602</v>
      </c>
      <c r="C211" s="56">
        <v>290.69227786280385</v>
      </c>
      <c r="E211" s="32"/>
      <c r="F211" s="31"/>
    </row>
    <row r="212" spans="1:6" x14ac:dyDescent="0.2">
      <c r="A212" s="26">
        <f t="shared" si="0"/>
        <v>2008.11</v>
      </c>
      <c r="B212" s="55">
        <v>269.59498828654819</v>
      </c>
      <c r="C212" s="56">
        <v>284.16611192746899</v>
      </c>
      <c r="E212" s="32"/>
      <c r="F212" s="31"/>
    </row>
    <row r="213" spans="1:6" x14ac:dyDescent="0.2">
      <c r="A213" s="26">
        <f t="shared" si="0"/>
        <v>2008.12</v>
      </c>
      <c r="B213" s="55">
        <v>279.65516578665893</v>
      </c>
      <c r="C213" s="56">
        <v>280.05672774639208</v>
      </c>
      <c r="E213" s="33"/>
      <c r="F213" s="31"/>
    </row>
    <row r="214" spans="1:6" x14ac:dyDescent="0.2">
      <c r="A214" s="26">
        <f t="shared" si="0"/>
        <v>2009.01</v>
      </c>
      <c r="B214" s="55">
        <v>263.91268318790998</v>
      </c>
      <c r="C214" s="56">
        <v>280.42502065382143</v>
      </c>
      <c r="E214" s="32"/>
      <c r="F214" s="31"/>
    </row>
    <row r="215" spans="1:6" x14ac:dyDescent="0.2">
      <c r="A215" s="26">
        <f t="shared" si="0"/>
        <v>2009.02</v>
      </c>
      <c r="B215" s="55">
        <v>275.37159679372803</v>
      </c>
      <c r="C215" s="56">
        <v>280.66653265149273</v>
      </c>
      <c r="E215" s="32"/>
      <c r="F215" s="31"/>
    </row>
    <row r="216" spans="1:6" x14ac:dyDescent="0.2">
      <c r="A216" s="26">
        <f t="shared" si="0"/>
        <v>2009.03</v>
      </c>
      <c r="B216" s="55">
        <v>239.16502936195758</v>
      </c>
      <c r="C216" s="56">
        <v>278.11928277857311</v>
      </c>
      <c r="E216" s="32"/>
      <c r="F216" s="31"/>
    </row>
    <row r="217" spans="1:6" x14ac:dyDescent="0.2">
      <c r="A217" s="26">
        <f t="shared" si="0"/>
        <v>2009.04</v>
      </c>
      <c r="B217" s="55">
        <v>252.26111329053708</v>
      </c>
      <c r="C217" s="56">
        <v>276.4650047631111</v>
      </c>
      <c r="E217" s="32"/>
      <c r="F217" s="31"/>
    </row>
    <row r="218" spans="1:6" x14ac:dyDescent="0.2">
      <c r="A218" s="26">
        <f t="shared" si="0"/>
        <v>2009.05</v>
      </c>
      <c r="B218" s="55">
        <v>314.66485316064183</v>
      </c>
      <c r="C218" s="56">
        <v>276.18500676467966</v>
      </c>
      <c r="E218" s="32"/>
      <c r="F218" s="31"/>
    </row>
    <row r="219" spans="1:6" x14ac:dyDescent="0.2">
      <c r="A219" s="26">
        <f t="shared" si="0"/>
        <v>2009.06</v>
      </c>
      <c r="B219" s="55">
        <v>319.203845066844</v>
      </c>
      <c r="C219" s="56">
        <v>276.03118560159282</v>
      </c>
      <c r="E219" s="32"/>
      <c r="F219" s="31"/>
    </row>
    <row r="220" spans="1:6" x14ac:dyDescent="0.2">
      <c r="A220" s="26">
        <f t="shared" si="0"/>
        <v>2009.07</v>
      </c>
      <c r="B220" s="55">
        <v>285.55020355033503</v>
      </c>
      <c r="C220" s="56">
        <v>278.1976876289458</v>
      </c>
      <c r="E220" s="32"/>
      <c r="F220" s="31"/>
    </row>
    <row r="221" spans="1:6" x14ac:dyDescent="0.2">
      <c r="A221" s="26">
        <f t="shared" si="0"/>
        <v>2009.08</v>
      </c>
      <c r="B221" s="55">
        <v>285.85108844482801</v>
      </c>
      <c r="C221" s="56">
        <v>281.40706384746119</v>
      </c>
      <c r="E221" s="32"/>
      <c r="F221" s="31"/>
    </row>
    <row r="222" spans="1:6" x14ac:dyDescent="0.2">
      <c r="A222" s="26">
        <f t="shared" si="0"/>
        <v>2009.09</v>
      </c>
      <c r="B222" s="55">
        <v>288.62699519886098</v>
      </c>
      <c r="C222" s="56">
        <v>283.49050524870449</v>
      </c>
      <c r="E222" s="32"/>
      <c r="F222" s="31"/>
    </row>
    <row r="223" spans="1:6" x14ac:dyDescent="0.2">
      <c r="A223" s="26">
        <f t="shared" si="0"/>
        <v>2009.1</v>
      </c>
      <c r="B223" s="55">
        <v>292.037525878689</v>
      </c>
      <c r="C223" s="56">
        <v>284.39553487228034</v>
      </c>
      <c r="E223" s="32"/>
      <c r="F223" s="31"/>
    </row>
    <row r="224" spans="1:6" x14ac:dyDescent="0.2">
      <c r="A224" s="26">
        <f t="shared" si="0"/>
        <v>2009.11</v>
      </c>
      <c r="B224" s="55">
        <v>276.83557089439199</v>
      </c>
      <c r="C224" s="56">
        <v>285.52748314874407</v>
      </c>
      <c r="E224" s="32"/>
      <c r="F224" s="31"/>
    </row>
    <row r="225" spans="1:6" x14ac:dyDescent="0.2">
      <c r="A225" s="26">
        <f t="shared" si="0"/>
        <v>2009.12</v>
      </c>
      <c r="B225" s="55">
        <v>280.6644506593401</v>
      </c>
      <c r="C225" s="56">
        <v>287.09639032626973</v>
      </c>
      <c r="E225" s="33"/>
      <c r="F225" s="31"/>
    </row>
    <row r="226" spans="1:6" x14ac:dyDescent="0.2">
      <c r="A226" s="26">
        <f t="shared" si="0"/>
        <v>2010.01</v>
      </c>
      <c r="B226" s="55">
        <v>260.38406823155424</v>
      </c>
      <c r="C226" s="56">
        <v>289.84949044337259</v>
      </c>
      <c r="E226" s="32"/>
      <c r="F226" s="31"/>
    </row>
    <row r="227" spans="1:6" x14ac:dyDescent="0.2">
      <c r="A227" s="26">
        <f t="shared" si="0"/>
        <v>2010.02</v>
      </c>
      <c r="B227" s="55">
        <v>286.48666546386301</v>
      </c>
      <c r="C227" s="56">
        <v>297.73864458369314</v>
      </c>
      <c r="E227" s="32"/>
      <c r="F227" s="31"/>
    </row>
    <row r="228" spans="1:6" x14ac:dyDescent="0.2">
      <c r="A228" s="26">
        <f t="shared" si="0"/>
        <v>2010.03</v>
      </c>
      <c r="B228" s="55">
        <v>275.89283255791003</v>
      </c>
      <c r="C228" s="56">
        <v>307.84307126682535</v>
      </c>
      <c r="E228" s="32"/>
      <c r="F228" s="31"/>
    </row>
    <row r="229" spans="1:6" x14ac:dyDescent="0.2">
      <c r="A229" s="26">
        <f t="shared" si="0"/>
        <v>2010.04</v>
      </c>
      <c r="B229" s="55">
        <v>296.97990980465499</v>
      </c>
      <c r="C229" s="56">
        <v>314.79287642692771</v>
      </c>
      <c r="E229" s="32"/>
      <c r="F229" s="31"/>
    </row>
    <row r="230" spans="1:6" x14ac:dyDescent="0.2">
      <c r="A230" s="26">
        <f t="shared" si="0"/>
        <v>2010.05</v>
      </c>
      <c r="B230" s="55">
        <v>393.46929619117401</v>
      </c>
      <c r="C230" s="56">
        <v>319.96110026554021</v>
      </c>
      <c r="E230" s="32"/>
      <c r="F230" s="31"/>
    </row>
    <row r="231" spans="1:6" x14ac:dyDescent="0.2">
      <c r="A231" s="26">
        <f t="shared" si="0"/>
        <v>2010.06</v>
      </c>
      <c r="B231" s="55">
        <v>372.545715857446</v>
      </c>
      <c r="C231" s="56">
        <v>322.9373000950759</v>
      </c>
      <c r="E231" s="32"/>
      <c r="F231" s="31"/>
    </row>
    <row r="232" spans="1:6" x14ac:dyDescent="0.2">
      <c r="A232" s="26">
        <f t="shared" si="0"/>
        <v>2010.07</v>
      </c>
      <c r="B232" s="55">
        <v>329.97151255509095</v>
      </c>
      <c r="C232" s="56">
        <v>323.38808135889752</v>
      </c>
      <c r="E232" s="32"/>
      <c r="F232" s="31"/>
    </row>
    <row r="233" spans="1:6" x14ac:dyDescent="0.2">
      <c r="A233" s="26">
        <f t="shared" si="0"/>
        <v>2010.08</v>
      </c>
      <c r="B233" s="55">
        <v>327.45615036378501</v>
      </c>
      <c r="C233" s="56">
        <v>323.11328867952227</v>
      </c>
      <c r="E233" s="32"/>
      <c r="F233" s="31"/>
    </row>
    <row r="234" spans="1:6" x14ac:dyDescent="0.2">
      <c r="A234" s="26">
        <f t="shared" si="0"/>
        <v>2010.09</v>
      </c>
      <c r="B234" s="55">
        <v>317.49960805357802</v>
      </c>
      <c r="C234" s="56">
        <v>320.98326468782562</v>
      </c>
      <c r="E234" s="32"/>
      <c r="F234" s="31"/>
    </row>
    <row r="235" spans="1:6" x14ac:dyDescent="0.2">
      <c r="A235" s="26">
        <f t="shared" si="0"/>
        <v>2010.1</v>
      </c>
      <c r="B235" s="55">
        <v>306.73287605381404</v>
      </c>
      <c r="C235" s="56">
        <v>319.39827276281045</v>
      </c>
      <c r="E235" s="32"/>
      <c r="F235" s="31"/>
    </row>
    <row r="236" spans="1:6" x14ac:dyDescent="0.2">
      <c r="A236" s="26">
        <f t="shared" si="0"/>
        <v>2010.11</v>
      </c>
      <c r="B236" s="55">
        <v>318.994408664709</v>
      </c>
      <c r="C236" s="56">
        <v>325.13329760461062</v>
      </c>
      <c r="E236" s="32"/>
      <c r="F236" s="31"/>
    </row>
    <row r="237" spans="1:6" x14ac:dyDescent="0.2">
      <c r="A237" s="26">
        <f t="shared" si="0"/>
        <v>2010.12</v>
      </c>
      <c r="B237" s="55">
        <v>332.33124558625695</v>
      </c>
      <c r="C237" s="56">
        <v>332.4645424055222</v>
      </c>
      <c r="E237" s="33"/>
      <c r="F237" s="31"/>
    </row>
    <row r="238" spans="1:6" x14ac:dyDescent="0.2">
      <c r="A238" s="26">
        <f t="shared" si="0"/>
        <v>2011.01</v>
      </c>
      <c r="B238" s="55">
        <v>316.16599024972203</v>
      </c>
      <c r="C238" s="56">
        <v>332.95533177937818</v>
      </c>
      <c r="E238" s="32"/>
      <c r="F238" s="31"/>
    </row>
    <row r="239" spans="1:6" x14ac:dyDescent="0.2">
      <c r="A239" s="26">
        <f t="shared" si="0"/>
        <v>2011.02</v>
      </c>
      <c r="B239" s="55">
        <v>321.26538722103896</v>
      </c>
      <c r="C239" s="56">
        <v>333.58601547614398</v>
      </c>
      <c r="E239" s="32"/>
      <c r="F239" s="31"/>
    </row>
    <row r="240" spans="1:6" x14ac:dyDescent="0.2">
      <c r="A240" s="26">
        <f t="shared" si="0"/>
        <v>2011.03</v>
      </c>
      <c r="B240" s="55">
        <v>303.05288637794297</v>
      </c>
      <c r="C240" s="56">
        <v>338.80034347319906</v>
      </c>
      <c r="E240" s="32"/>
      <c r="F240" s="31"/>
    </row>
    <row r="241" spans="1:6" x14ac:dyDescent="0.2">
      <c r="A241" s="26">
        <f t="shared" si="0"/>
        <v>2011.04</v>
      </c>
      <c r="B241" s="55">
        <v>310.91900181091899</v>
      </c>
      <c r="C241" s="56">
        <v>345.862053162699</v>
      </c>
      <c r="E241" s="32"/>
      <c r="F241" s="31"/>
    </row>
    <row r="242" spans="1:6" x14ac:dyDescent="0.2">
      <c r="A242" s="26">
        <f t="shared" si="0"/>
        <v>2011.05</v>
      </c>
      <c r="B242" s="55">
        <v>418.24327232839698</v>
      </c>
      <c r="C242" s="56">
        <v>350.94662034570172</v>
      </c>
      <c r="E242" s="32"/>
      <c r="F242" s="31"/>
    </row>
    <row r="243" spans="1:6" x14ac:dyDescent="0.2">
      <c r="A243" s="26">
        <f t="shared" si="0"/>
        <v>2011.06</v>
      </c>
      <c r="B243" s="55">
        <v>399.67405765791898</v>
      </c>
      <c r="C243" s="56">
        <v>352.19716711200192</v>
      </c>
      <c r="E243" s="32"/>
      <c r="F243" s="31"/>
    </row>
    <row r="244" spans="1:6" x14ac:dyDescent="0.2">
      <c r="A244" s="26">
        <f t="shared" si="0"/>
        <v>2011.07</v>
      </c>
      <c r="B244" s="55">
        <v>357.73039410737397</v>
      </c>
      <c r="C244" s="56">
        <v>350.99248571556137</v>
      </c>
      <c r="E244" s="32"/>
      <c r="F244" s="31"/>
    </row>
    <row r="245" spans="1:6" x14ac:dyDescent="0.2">
      <c r="A245" s="26">
        <f t="shared" si="0"/>
        <v>2011.08</v>
      </c>
      <c r="B245" s="55">
        <v>348.27247659245597</v>
      </c>
      <c r="C245" s="56">
        <v>350.63846403107925</v>
      </c>
      <c r="E245" s="32"/>
      <c r="F245" s="31"/>
    </row>
    <row r="246" spans="1:6" x14ac:dyDescent="0.2">
      <c r="A246" s="26">
        <f t="shared" si="0"/>
        <v>2011.09</v>
      </c>
      <c r="B246" s="55">
        <v>354.023760178911</v>
      </c>
      <c r="C246" s="56">
        <v>353.80051048525331</v>
      </c>
      <c r="E246" s="32"/>
      <c r="F246" s="31"/>
    </row>
    <row r="247" spans="1:6" x14ac:dyDescent="0.2">
      <c r="A247" s="26">
        <f t="shared" si="0"/>
        <v>2011.1</v>
      </c>
      <c r="B247" s="55">
        <v>342.573413584462</v>
      </c>
      <c r="C247" s="56">
        <v>355.24812627462632</v>
      </c>
      <c r="E247" s="32"/>
      <c r="F247" s="31"/>
    </row>
    <row r="248" spans="1:6" x14ac:dyDescent="0.2">
      <c r="A248" s="26">
        <f t="shared" si="0"/>
        <v>2011.11</v>
      </c>
      <c r="B248" s="55">
        <v>357.579386826068</v>
      </c>
      <c r="C248" s="56">
        <v>352.134584368878</v>
      </c>
      <c r="E248" s="32"/>
      <c r="F248" s="31"/>
    </row>
    <row r="249" spans="1:6" x14ac:dyDescent="0.2">
      <c r="A249" s="26">
        <f t="shared" si="0"/>
        <v>2011.12</v>
      </c>
      <c r="B249" s="55">
        <v>336.53916673219197</v>
      </c>
      <c r="C249" s="56">
        <v>347.97507485149288</v>
      </c>
      <c r="E249" s="33"/>
      <c r="F249" s="31"/>
    </row>
    <row r="250" spans="1:6" x14ac:dyDescent="0.2">
      <c r="A250" s="26">
        <f t="shared" si="0"/>
        <v>2012.01</v>
      </c>
      <c r="B250" s="55">
        <v>337.60590127190801</v>
      </c>
      <c r="C250" s="56">
        <v>345.14476295456473</v>
      </c>
      <c r="E250" s="32"/>
      <c r="F250" s="31"/>
    </row>
    <row r="251" spans="1:6" x14ac:dyDescent="0.2">
      <c r="A251" s="26">
        <f t="shared" si="0"/>
        <v>2012.02</v>
      </c>
      <c r="B251" s="55">
        <v>337.77787803972103</v>
      </c>
      <c r="C251" s="56">
        <v>343.50351682149824</v>
      </c>
      <c r="E251" s="32"/>
      <c r="F251" s="31"/>
    </row>
    <row r="252" spans="1:6" x14ac:dyDescent="0.2">
      <c r="A252" s="26">
        <f t="shared" si="0"/>
        <v>2012.03</v>
      </c>
      <c r="B252" s="55">
        <v>317.00240663398097</v>
      </c>
      <c r="C252" s="56">
        <v>341.53660440447908</v>
      </c>
      <c r="E252" s="32"/>
      <c r="F252" s="31"/>
    </row>
    <row r="253" spans="1:6" x14ac:dyDescent="0.2">
      <c r="A253" s="26">
        <f t="shared" si="0"/>
        <v>2012.04</v>
      </c>
      <c r="B253" s="55">
        <v>300.17803254642104</v>
      </c>
      <c r="C253" s="56">
        <v>339.74093746754426</v>
      </c>
      <c r="E253" s="32"/>
      <c r="F253" s="31"/>
    </row>
    <row r="254" spans="1:6" x14ac:dyDescent="0.2">
      <c r="A254" s="26">
        <f t="shared" si="0"/>
        <v>2012.05</v>
      </c>
      <c r="B254" s="55">
        <v>408.11688353257199</v>
      </c>
      <c r="C254" s="56">
        <v>342.23611433901647</v>
      </c>
      <c r="E254" s="32"/>
      <c r="F254" s="31"/>
    </row>
    <row r="255" spans="1:6" x14ac:dyDescent="0.2">
      <c r="A255" s="26">
        <f t="shared" si="0"/>
        <v>2012.06</v>
      </c>
      <c r="B255" s="55">
        <v>393.05199217760594</v>
      </c>
      <c r="C255" s="56">
        <v>344.75301519342946</v>
      </c>
      <c r="E255" s="32"/>
      <c r="F255" s="31"/>
    </row>
    <row r="256" spans="1:6" x14ac:dyDescent="0.2">
      <c r="A256" s="26">
        <f t="shared" si="0"/>
        <v>2012.07</v>
      </c>
      <c r="B256" s="55">
        <v>343.70049075809698</v>
      </c>
      <c r="C256" s="56">
        <v>346.47321477763887</v>
      </c>
      <c r="E256" s="32"/>
      <c r="F256" s="31"/>
    </row>
    <row r="257" spans="1:6" x14ac:dyDescent="0.2">
      <c r="A257" s="26">
        <f t="shared" si="0"/>
        <v>2012.08</v>
      </c>
      <c r="B257" s="55">
        <v>357.43172494069501</v>
      </c>
      <c r="C257" s="56">
        <v>350.29148616286068</v>
      </c>
      <c r="E257" s="32"/>
      <c r="F257" s="31"/>
    </row>
    <row r="258" spans="1:6" x14ac:dyDescent="0.2">
      <c r="A258" s="26">
        <f t="shared" si="0"/>
        <v>2012.09</v>
      </c>
      <c r="B258" s="55">
        <v>337.85651124863898</v>
      </c>
      <c r="C258" s="56">
        <v>356.39906552091554</v>
      </c>
      <c r="E258" s="32"/>
      <c r="F258" s="31"/>
    </row>
    <row r="259" spans="1:6" x14ac:dyDescent="0.2">
      <c r="A259" s="26">
        <f t="shared" si="0"/>
        <v>2012.1</v>
      </c>
      <c r="B259" s="55">
        <v>366.09296866543798</v>
      </c>
      <c r="C259" s="56">
        <v>365.87411098150756</v>
      </c>
      <c r="E259" s="32"/>
      <c r="F259" s="31"/>
    </row>
    <row r="260" spans="1:6" x14ac:dyDescent="0.2">
      <c r="A260" s="26">
        <f t="shared" si="0"/>
        <v>2012.11</v>
      </c>
      <c r="B260" s="55">
        <v>368.41291507877895</v>
      </c>
      <c r="C260" s="56">
        <v>370.65228748204788</v>
      </c>
      <c r="E260" s="32"/>
      <c r="F260" s="31"/>
    </row>
    <row r="261" spans="1:6" x14ac:dyDescent="0.2">
      <c r="A261" s="26">
        <f t="shared" si="0"/>
        <v>2012.12</v>
      </c>
      <c r="B261" s="55">
        <v>363.53555766313701</v>
      </c>
      <c r="C261" s="56">
        <v>372.87028819546128</v>
      </c>
      <c r="E261" s="33"/>
      <c r="F261" s="31"/>
    </row>
    <row r="262" spans="1:6" x14ac:dyDescent="0.2">
      <c r="A262" s="26">
        <f t="shared" si="0"/>
        <v>2013.01</v>
      </c>
      <c r="B262" s="55">
        <v>350.04389149706901</v>
      </c>
      <c r="C262" s="56">
        <v>378.35964614431913</v>
      </c>
      <c r="E262" s="32"/>
      <c r="F262" s="31"/>
    </row>
    <row r="263" spans="1:6" x14ac:dyDescent="0.2">
      <c r="A263" s="26">
        <f t="shared" si="0"/>
        <v>2013.02</v>
      </c>
      <c r="B263" s="55">
        <v>375.92104428789099</v>
      </c>
      <c r="C263" s="56">
        <v>383.23612899253175</v>
      </c>
      <c r="E263" s="32"/>
      <c r="F263" s="31"/>
    </row>
    <row r="264" spans="1:6" x14ac:dyDescent="0.2">
      <c r="A264" s="26">
        <f t="shared" si="0"/>
        <v>2013.03</v>
      </c>
      <c r="B264" s="55">
        <v>341.10227477144304</v>
      </c>
      <c r="C264" s="56">
        <v>384.99350726607929</v>
      </c>
      <c r="E264" s="32"/>
      <c r="F264" s="31"/>
    </row>
    <row r="265" spans="1:6" x14ac:dyDescent="0.2">
      <c r="A265" s="26">
        <f t="shared" si="0"/>
        <v>2013.04</v>
      </c>
      <c r="B265" s="55">
        <v>353.641256186117</v>
      </c>
      <c r="C265" s="56">
        <v>383.39617779304683</v>
      </c>
      <c r="E265" s="32"/>
      <c r="F265" s="31"/>
    </row>
    <row r="266" spans="1:6" x14ac:dyDescent="0.2">
      <c r="A266" s="26">
        <f t="shared" ref="A266:A329" si="1">A254+1</f>
        <v>2013.05</v>
      </c>
      <c r="B266" s="55">
        <v>439.069857617465</v>
      </c>
      <c r="C266" s="56">
        <v>382.84846682185037</v>
      </c>
      <c r="E266" s="32"/>
      <c r="F266" s="31"/>
    </row>
    <row r="267" spans="1:6" x14ac:dyDescent="0.2">
      <c r="A267" s="26">
        <f t="shared" si="1"/>
        <v>2013.06</v>
      </c>
      <c r="B267" s="55">
        <v>434.208800234975</v>
      </c>
      <c r="C267" s="56">
        <v>384.26804206177655</v>
      </c>
      <c r="E267" s="32"/>
      <c r="F267" s="31"/>
    </row>
    <row r="268" spans="1:6" x14ac:dyDescent="0.2">
      <c r="A268" s="26">
        <f t="shared" si="1"/>
        <v>2013.07</v>
      </c>
      <c r="B268" s="55">
        <v>380.151213528173</v>
      </c>
      <c r="C268" s="56">
        <v>385.01286777240705</v>
      </c>
      <c r="E268" s="32"/>
      <c r="F268" s="31"/>
    </row>
    <row r="269" spans="1:6" x14ac:dyDescent="0.2">
      <c r="A269" s="26">
        <f t="shared" si="1"/>
        <v>2013.08</v>
      </c>
      <c r="B269" s="55">
        <v>387.62088104503499</v>
      </c>
      <c r="C269" s="56">
        <v>384.20015569544853</v>
      </c>
      <c r="E269" s="32"/>
      <c r="F269" s="31"/>
    </row>
    <row r="270" spans="1:6" x14ac:dyDescent="0.2">
      <c r="A270" s="26">
        <f t="shared" si="1"/>
        <v>2013.09</v>
      </c>
      <c r="B270" s="55">
        <v>371.26403877203097</v>
      </c>
      <c r="C270" s="56">
        <v>380.68281288544313</v>
      </c>
      <c r="E270" s="32"/>
      <c r="F270" s="31"/>
    </row>
    <row r="271" spans="1:6" x14ac:dyDescent="0.2">
      <c r="A271" s="26">
        <f t="shared" si="1"/>
        <v>2013.1</v>
      </c>
      <c r="B271" s="55">
        <v>371.812275950725</v>
      </c>
      <c r="C271" s="56">
        <v>378.65603552038766</v>
      </c>
      <c r="E271" s="32"/>
      <c r="F271" s="31"/>
    </row>
    <row r="272" spans="1:6" x14ac:dyDescent="0.2">
      <c r="A272" s="26">
        <f t="shared" si="1"/>
        <v>2013.11</v>
      </c>
      <c r="B272" s="55">
        <v>377.60322348966997</v>
      </c>
      <c r="C272" s="56">
        <v>378.0509563887864</v>
      </c>
      <c r="E272" s="32"/>
      <c r="F272" s="31"/>
    </row>
    <row r="273" spans="1:6" x14ac:dyDescent="0.2">
      <c r="A273" s="26">
        <f t="shared" si="1"/>
        <v>2013.12</v>
      </c>
      <c r="B273" s="55">
        <v>369.84631645311697</v>
      </c>
      <c r="C273" s="56">
        <v>377.44188706390162</v>
      </c>
      <c r="E273" s="33"/>
      <c r="F273" s="31"/>
    </row>
    <row r="274" spans="1:6" x14ac:dyDescent="0.2">
      <c r="A274" s="26">
        <f t="shared" si="1"/>
        <v>2014.01</v>
      </c>
      <c r="B274" s="55">
        <v>379.06018311408798</v>
      </c>
      <c r="C274" s="56">
        <v>379.49796263060944</v>
      </c>
      <c r="E274" s="32"/>
      <c r="F274" s="31"/>
    </row>
    <row r="275" spans="1:6" x14ac:dyDescent="0.2">
      <c r="A275" s="26">
        <f t="shared" si="1"/>
        <v>2014.02</v>
      </c>
      <c r="B275" s="55">
        <v>389.34009935536903</v>
      </c>
      <c r="C275" s="56">
        <v>377.6009174478429</v>
      </c>
      <c r="E275" s="32"/>
      <c r="F275" s="31"/>
    </row>
    <row r="276" spans="1:6" x14ac:dyDescent="0.2">
      <c r="A276" s="26">
        <f t="shared" si="1"/>
        <v>2014.03</v>
      </c>
      <c r="B276" s="55">
        <v>320.821060877805</v>
      </c>
      <c r="C276" s="56">
        <v>371.86292341553872</v>
      </c>
      <c r="E276" s="32"/>
      <c r="F276" s="31"/>
    </row>
    <row r="277" spans="1:6" x14ac:dyDescent="0.2">
      <c r="A277" s="26">
        <f t="shared" si="1"/>
        <v>2014.04</v>
      </c>
      <c r="B277" s="55">
        <v>345.52467434589005</v>
      </c>
      <c r="C277" s="56">
        <v>369.79648711468144</v>
      </c>
      <c r="E277" s="32"/>
      <c r="F277" s="31"/>
    </row>
    <row r="278" spans="1:6" x14ac:dyDescent="0.2">
      <c r="A278" s="26">
        <f t="shared" si="1"/>
        <v>2014.05</v>
      </c>
      <c r="B278" s="55">
        <v>413.45023075443498</v>
      </c>
      <c r="C278" s="56">
        <v>368.72358379511991</v>
      </c>
      <c r="E278" s="32"/>
      <c r="F278" s="31"/>
    </row>
    <row r="279" spans="1:6" x14ac:dyDescent="0.2">
      <c r="A279" s="26">
        <f t="shared" si="1"/>
        <v>2014.06</v>
      </c>
      <c r="B279" s="55">
        <v>413.22970312019697</v>
      </c>
      <c r="C279" s="56">
        <v>367.48081777660013</v>
      </c>
      <c r="E279" s="32"/>
      <c r="F279" s="31"/>
    </row>
    <row r="280" spans="1:6" x14ac:dyDescent="0.2">
      <c r="A280" s="26">
        <f t="shared" si="1"/>
        <v>2014.07</v>
      </c>
      <c r="B280" s="55">
        <v>366.725400312327</v>
      </c>
      <c r="C280" s="56">
        <v>368.31493944389757</v>
      </c>
      <c r="E280" s="32"/>
      <c r="F280" s="31"/>
    </row>
    <row r="281" spans="1:6" x14ac:dyDescent="0.2">
      <c r="A281" s="26">
        <f t="shared" si="1"/>
        <v>2014.08</v>
      </c>
      <c r="B281" s="55">
        <v>368.63011404045801</v>
      </c>
      <c r="C281" s="56">
        <v>372.39739676269369</v>
      </c>
      <c r="E281" s="32"/>
      <c r="F281" s="31"/>
    </row>
    <row r="282" spans="1:6" x14ac:dyDescent="0.2">
      <c r="A282" s="26">
        <f t="shared" si="1"/>
        <v>2014.09</v>
      </c>
      <c r="B282" s="55">
        <v>378.03203221634499</v>
      </c>
      <c r="C282" s="56">
        <v>377.224571596065</v>
      </c>
      <c r="E282" s="32"/>
      <c r="F282" s="31"/>
    </row>
    <row r="283" spans="1:6" x14ac:dyDescent="0.2">
      <c r="A283" s="26">
        <f t="shared" si="1"/>
        <v>2014.1</v>
      </c>
      <c r="B283" s="55">
        <v>370.65316101416198</v>
      </c>
      <c r="C283" s="56">
        <v>377.14290557569927</v>
      </c>
      <c r="E283" s="32"/>
      <c r="F283" s="31"/>
    </row>
    <row r="284" spans="1:6" x14ac:dyDescent="0.2">
      <c r="A284" s="26">
        <f t="shared" si="1"/>
        <v>2014.11</v>
      </c>
      <c r="B284" s="55">
        <v>368.66037902145797</v>
      </c>
      <c r="C284" s="56">
        <v>373.90004599285265</v>
      </c>
      <c r="E284" s="32"/>
      <c r="F284" s="31"/>
    </row>
    <row r="285" spans="1:6" x14ac:dyDescent="0.2">
      <c r="A285" s="26">
        <f t="shared" si="1"/>
        <v>2014.12</v>
      </c>
      <c r="B285" s="55">
        <v>375.41253966691204</v>
      </c>
      <c r="C285" s="56">
        <v>369.991438297152</v>
      </c>
      <c r="E285" s="33"/>
      <c r="F285" s="31"/>
    </row>
    <row r="286" spans="1:6" x14ac:dyDescent="0.2">
      <c r="A286" s="26">
        <f t="shared" si="1"/>
        <v>2015.01</v>
      </c>
      <c r="B286" s="55">
        <v>361.94883183059</v>
      </c>
      <c r="C286" s="56">
        <v>369.61750389850528</v>
      </c>
      <c r="E286" s="32"/>
      <c r="F286" s="31"/>
    </row>
    <row r="287" spans="1:6" x14ac:dyDescent="0.2">
      <c r="A287" s="26">
        <f t="shared" si="1"/>
        <v>2015.02</v>
      </c>
      <c r="B287" s="55">
        <v>381.45398180434699</v>
      </c>
      <c r="C287" s="56">
        <v>374.54557855783014</v>
      </c>
      <c r="E287" s="32"/>
      <c r="F287" s="31"/>
    </row>
    <row r="288" spans="1:6" x14ac:dyDescent="0.2">
      <c r="A288" s="26">
        <f t="shared" si="1"/>
        <v>2015.03</v>
      </c>
      <c r="B288" s="55">
        <v>329.48814683017804</v>
      </c>
      <c r="C288" s="56">
        <v>382.20448786198813</v>
      </c>
      <c r="E288" s="32"/>
      <c r="F288" s="31"/>
    </row>
    <row r="289" spans="1:6" x14ac:dyDescent="0.2">
      <c r="A289" s="26">
        <f t="shared" si="1"/>
        <v>2015.04</v>
      </c>
      <c r="B289" s="55">
        <v>375.16498313317197</v>
      </c>
      <c r="C289" s="56">
        <v>393.34247541092793</v>
      </c>
      <c r="E289" s="32"/>
      <c r="F289" s="31"/>
    </row>
    <row r="290" spans="1:6" x14ac:dyDescent="0.2">
      <c r="A290" s="26">
        <f t="shared" si="1"/>
        <v>2015.05</v>
      </c>
      <c r="B290" s="55">
        <v>438.26211495446103</v>
      </c>
      <c r="C290" s="56">
        <v>398.61016452776431</v>
      </c>
      <c r="E290" s="32"/>
      <c r="F290" s="31"/>
    </row>
    <row r="291" spans="1:6" x14ac:dyDescent="0.2">
      <c r="A291" s="26">
        <f t="shared" si="1"/>
        <v>2015.06</v>
      </c>
      <c r="B291" s="55">
        <v>446.37460175214596</v>
      </c>
      <c r="C291" s="56">
        <v>396.14704751692113</v>
      </c>
      <c r="E291" s="32"/>
      <c r="F291" s="31"/>
    </row>
    <row r="292" spans="1:6" x14ac:dyDescent="0.2">
      <c r="A292" s="26">
        <f t="shared" si="1"/>
        <v>2015.07</v>
      </c>
      <c r="B292" s="55">
        <v>394.27444274479501</v>
      </c>
      <c r="C292" s="56">
        <v>395.20034056775904</v>
      </c>
      <c r="E292" s="32"/>
      <c r="F292" s="31"/>
    </row>
    <row r="293" spans="1:6" x14ac:dyDescent="0.2">
      <c r="A293" s="26">
        <f t="shared" si="1"/>
        <v>2015.08</v>
      </c>
      <c r="B293" s="55">
        <v>394.86069379377705</v>
      </c>
      <c r="C293" s="56">
        <v>393.50652634708581</v>
      </c>
      <c r="E293" s="32"/>
      <c r="F293" s="31"/>
    </row>
    <row r="294" spans="1:6" x14ac:dyDescent="0.2">
      <c r="A294" s="26">
        <f t="shared" si="1"/>
        <v>2015.09</v>
      </c>
      <c r="B294" s="55">
        <v>388.41696905415102</v>
      </c>
      <c r="C294" s="56">
        <v>392.74607931945411</v>
      </c>
      <c r="E294" s="32"/>
      <c r="F294" s="31"/>
    </row>
    <row r="295" spans="1:6" x14ac:dyDescent="0.2">
      <c r="A295" s="26">
        <f t="shared" si="1"/>
        <v>2015.1</v>
      </c>
      <c r="B295" s="55">
        <v>390.356051284665</v>
      </c>
      <c r="C295" s="56">
        <v>399.74308603962436</v>
      </c>
      <c r="E295" s="32"/>
      <c r="F295" s="31"/>
    </row>
    <row r="296" spans="1:6" x14ac:dyDescent="0.2">
      <c r="A296" s="26">
        <f t="shared" si="1"/>
        <v>2015.11</v>
      </c>
      <c r="B296" s="55">
        <v>386.48927873823499</v>
      </c>
      <c r="C296" s="56">
        <v>407.95344214117841</v>
      </c>
      <c r="E296" s="32"/>
      <c r="F296" s="31"/>
    </row>
    <row r="297" spans="1:6" x14ac:dyDescent="0.2">
      <c r="A297" s="26">
        <f t="shared" si="1"/>
        <v>2015.12</v>
      </c>
      <c r="B297" s="55">
        <v>456.92305920099602</v>
      </c>
      <c r="C297" s="56">
        <v>410.91676759536597</v>
      </c>
      <c r="E297" s="32"/>
      <c r="F297" s="31"/>
    </row>
    <row r="298" spans="1:6" x14ac:dyDescent="0.2">
      <c r="A298" s="26">
        <f t="shared" si="1"/>
        <v>2016.01</v>
      </c>
      <c r="B298" s="55">
        <v>437.84625734991397</v>
      </c>
      <c r="C298" s="56">
        <v>411.91452487725917</v>
      </c>
      <c r="E298" s="32"/>
      <c r="F298" s="31"/>
    </row>
    <row r="299" spans="1:6" x14ac:dyDescent="0.2">
      <c r="A299" s="26">
        <f t="shared" si="1"/>
        <v>2016.02</v>
      </c>
      <c r="B299" s="55">
        <v>418.06097073417101</v>
      </c>
      <c r="C299" s="56">
        <v>413.12028550632999</v>
      </c>
      <c r="E299" s="32"/>
      <c r="F299" s="31"/>
    </row>
    <row r="300" spans="1:6" x14ac:dyDescent="0.2">
      <c r="A300" s="26">
        <f t="shared" si="1"/>
        <v>2016.03</v>
      </c>
      <c r="B300" s="55">
        <v>377.55094973357404</v>
      </c>
      <c r="C300" s="56">
        <v>410.46279639105217</v>
      </c>
      <c r="E300" s="32"/>
      <c r="F300" s="31"/>
    </row>
    <row r="301" spans="1:6" x14ac:dyDescent="0.2">
      <c r="A301" s="26">
        <f t="shared" si="1"/>
        <v>2016.04</v>
      </c>
      <c r="B301" s="55">
        <v>382.13524040036498</v>
      </c>
      <c r="C301" s="56">
        <v>400.02217804472559</v>
      </c>
      <c r="E301" s="32"/>
      <c r="F301" s="31"/>
    </row>
    <row r="302" spans="1:6" x14ac:dyDescent="0.2">
      <c r="A302" s="26">
        <f t="shared" si="1"/>
        <v>2016.05</v>
      </c>
      <c r="B302" s="55">
        <v>417.84450291248004</v>
      </c>
      <c r="C302" s="56">
        <v>390.24993770577134</v>
      </c>
      <c r="E302" s="33"/>
      <c r="F302" s="31"/>
    </row>
    <row r="303" spans="1:6" x14ac:dyDescent="0.2">
      <c r="A303" s="26">
        <f t="shared" si="1"/>
        <v>2016.06</v>
      </c>
      <c r="B303" s="55">
        <v>442.18766613733294</v>
      </c>
      <c r="C303" s="56">
        <v>390.25526923506686</v>
      </c>
      <c r="E303" s="32"/>
      <c r="F303" s="31"/>
    </row>
    <row r="304" spans="1:6" x14ac:dyDescent="0.2">
      <c r="A304" s="26">
        <f t="shared" si="1"/>
        <v>2016.07</v>
      </c>
      <c r="B304" s="55">
        <v>390.12861551445997</v>
      </c>
      <c r="C304" s="56">
        <v>392.95690997739416</v>
      </c>
      <c r="E304" s="33"/>
      <c r="F304" s="31"/>
    </row>
    <row r="305" spans="1:6" x14ac:dyDescent="0.2">
      <c r="A305" s="26">
        <f t="shared" si="1"/>
        <v>2016.08</v>
      </c>
      <c r="B305" s="55">
        <v>397.33306387138498</v>
      </c>
      <c r="C305" s="56">
        <v>395.70559499744729</v>
      </c>
      <c r="E305" s="32"/>
      <c r="F305" s="31"/>
    </row>
    <row r="306" spans="1:6" x14ac:dyDescent="0.2">
      <c r="A306" s="26">
        <f t="shared" si="1"/>
        <v>2016.09</v>
      </c>
      <c r="B306" s="55">
        <v>411.22774452802298</v>
      </c>
      <c r="C306" s="56">
        <v>398.68552445387058</v>
      </c>
      <c r="E306" s="32"/>
      <c r="F306" s="31"/>
    </row>
    <row r="307" spans="1:6" x14ac:dyDescent="0.2">
      <c r="A307" s="26">
        <f t="shared" si="1"/>
        <v>2016.1</v>
      </c>
      <c r="B307" s="55">
        <v>378.08089965259296</v>
      </c>
      <c r="C307" s="56">
        <v>396.35833368399926</v>
      </c>
      <c r="E307" s="32"/>
      <c r="F307" s="31"/>
    </row>
    <row r="308" spans="1:6" x14ac:dyDescent="0.2">
      <c r="A308" s="26">
        <f t="shared" si="1"/>
        <v>2016.11</v>
      </c>
      <c r="B308" s="55">
        <v>394.83822061871103</v>
      </c>
      <c r="C308" s="56">
        <v>400.01921286438937</v>
      </c>
      <c r="E308" s="32"/>
      <c r="F308" s="31"/>
    </row>
    <row r="309" spans="1:6" x14ac:dyDescent="0.2">
      <c r="A309" s="26">
        <f t="shared" si="1"/>
        <v>2016.12</v>
      </c>
      <c r="B309" s="55">
        <v>422.67106582463498</v>
      </c>
      <c r="C309" s="56">
        <v>412.17798930118755</v>
      </c>
      <c r="E309" s="32"/>
      <c r="F309" s="31"/>
    </row>
    <row r="310" spans="1:6" x14ac:dyDescent="0.2">
      <c r="A310" s="26">
        <f t="shared" si="1"/>
        <v>2017.01</v>
      </c>
      <c r="B310" s="55">
        <v>421.34771292106598</v>
      </c>
      <c r="C310" s="56">
        <v>415.7399041422459</v>
      </c>
      <c r="E310" s="32"/>
      <c r="F310" s="31"/>
    </row>
    <row r="311" spans="1:6" x14ac:dyDescent="0.2">
      <c r="A311" s="26">
        <f t="shared" si="1"/>
        <v>2017.02</v>
      </c>
      <c r="B311" s="55">
        <v>403.896508596111</v>
      </c>
      <c r="C311" s="56">
        <v>409.27371887621814</v>
      </c>
      <c r="E311" s="32"/>
      <c r="F311" s="31"/>
    </row>
    <row r="312" spans="1:6" x14ac:dyDescent="0.2">
      <c r="A312" s="26">
        <f t="shared" si="1"/>
        <v>2017.03</v>
      </c>
      <c r="B312" s="55">
        <v>352.58640641120303</v>
      </c>
      <c r="C312" s="56">
        <v>406.86200573400907</v>
      </c>
      <c r="E312" s="32"/>
      <c r="F312" s="31"/>
    </row>
    <row r="313" spans="1:6" x14ac:dyDescent="0.2">
      <c r="A313" s="26">
        <f t="shared" si="1"/>
        <v>2017.04</v>
      </c>
      <c r="B313" s="55">
        <v>377.50429876730101</v>
      </c>
      <c r="C313" s="56">
        <v>410.84746666555526</v>
      </c>
      <c r="E313" s="32"/>
      <c r="F313" s="31"/>
    </row>
    <row r="314" spans="1:6" x14ac:dyDescent="0.2">
      <c r="A314" s="26">
        <f t="shared" si="1"/>
        <v>2017.05</v>
      </c>
      <c r="B314" s="55">
        <v>414.95369113934601</v>
      </c>
      <c r="C314" s="56">
        <v>413.137539706182</v>
      </c>
      <c r="E314" s="32"/>
      <c r="F314" s="31"/>
    </row>
    <row r="315" spans="1:6" x14ac:dyDescent="0.2">
      <c r="A315" s="26">
        <f t="shared" si="1"/>
        <v>2017.06</v>
      </c>
      <c r="B315" s="55">
        <v>471.23676899579601</v>
      </c>
      <c r="C315" s="56">
        <v>418.27909919155047</v>
      </c>
      <c r="E315" s="32"/>
      <c r="F315" s="31"/>
    </row>
    <row r="316" spans="1:6" x14ac:dyDescent="0.2">
      <c r="A316" s="26">
        <f t="shared" si="1"/>
        <v>2017.07</v>
      </c>
      <c r="B316" s="55">
        <v>431.45705086668897</v>
      </c>
      <c r="C316" s="56">
        <v>424.5790250268152</v>
      </c>
      <c r="E316" s="32"/>
      <c r="F316" s="31"/>
    </row>
    <row r="317" spans="1:6" x14ac:dyDescent="0.2">
      <c r="A317" s="26">
        <f t="shared" si="1"/>
        <v>2017.08</v>
      </c>
      <c r="B317" s="55">
        <v>433.00487991797098</v>
      </c>
      <c r="C317" s="56">
        <v>427.34046924782592</v>
      </c>
      <c r="E317" s="32"/>
      <c r="F317" s="31"/>
    </row>
    <row r="318" spans="1:6" x14ac:dyDescent="0.2">
      <c r="A318" s="26">
        <f t="shared" si="1"/>
        <v>2017.09</v>
      </c>
      <c r="B318" s="55">
        <v>441.54904299029801</v>
      </c>
      <c r="C318" s="56">
        <v>431.2683281253328</v>
      </c>
      <c r="E318" s="32"/>
      <c r="F318" s="31"/>
    </row>
    <row r="319" spans="1:6" x14ac:dyDescent="0.2">
      <c r="A319" s="26">
        <f t="shared" si="1"/>
        <v>2017.1</v>
      </c>
      <c r="B319" s="55">
        <v>419.23255178180801</v>
      </c>
      <c r="C319" s="56">
        <v>430.85587942925827</v>
      </c>
      <c r="E319" s="32"/>
      <c r="F319" s="31"/>
    </row>
    <row r="320" spans="1:6" x14ac:dyDescent="0.2">
      <c r="A320" s="26">
        <f t="shared" si="1"/>
        <v>2017.11</v>
      </c>
      <c r="B320" s="55">
        <v>425.78125729648298</v>
      </c>
      <c r="C320" s="56">
        <v>426.78313016480291</v>
      </c>
      <c r="E320" s="32"/>
      <c r="F320" s="31"/>
    </row>
    <row r="321" spans="1:7" x14ac:dyDescent="0.2">
      <c r="A321" s="26">
        <f t="shared" si="1"/>
        <v>2017.12</v>
      </c>
      <c r="B321" s="55">
        <v>426.69163042360094</v>
      </c>
      <c r="C321" s="56">
        <v>424.68055222377006</v>
      </c>
      <c r="E321" s="32"/>
      <c r="F321" s="31"/>
    </row>
    <row r="322" spans="1:7" x14ac:dyDescent="0.2">
      <c r="A322" s="26">
        <f t="shared" si="1"/>
        <v>2018.01</v>
      </c>
      <c r="B322" s="55">
        <v>427.56869320209296</v>
      </c>
      <c r="C322" s="56">
        <v>422.11350913030094</v>
      </c>
      <c r="E322" s="32"/>
      <c r="F322" s="31"/>
    </row>
    <row r="323" spans="1:7" x14ac:dyDescent="0.2">
      <c r="A323" s="26">
        <f t="shared" si="1"/>
        <v>2018.02</v>
      </c>
      <c r="B323" s="55">
        <v>410.21301243091398</v>
      </c>
      <c r="C323" s="56">
        <v>422.47685289861909</v>
      </c>
      <c r="E323" s="32"/>
      <c r="F323" s="31"/>
    </row>
    <row r="324" spans="1:7" x14ac:dyDescent="0.2">
      <c r="A324" s="26">
        <f t="shared" si="1"/>
        <v>2018.03</v>
      </c>
      <c r="B324" s="55">
        <v>410.59104098985699</v>
      </c>
      <c r="C324" s="56">
        <v>427.96676791622065</v>
      </c>
      <c r="E324" s="32"/>
      <c r="F324" s="31"/>
    </row>
    <row r="325" spans="1:7" x14ac:dyDescent="0.2">
      <c r="A325" s="26">
        <f t="shared" si="1"/>
        <v>2018.04</v>
      </c>
      <c r="B325" s="55">
        <v>391.13035611461203</v>
      </c>
      <c r="C325" s="56">
        <v>433.20678818275189</v>
      </c>
      <c r="E325" s="32"/>
      <c r="F325" s="31"/>
    </row>
    <row r="326" spans="1:7" x14ac:dyDescent="0.2">
      <c r="A326" s="26">
        <f t="shared" si="1"/>
        <v>2018.05</v>
      </c>
      <c r="B326" s="55">
        <v>480.78115383422403</v>
      </c>
      <c r="C326" s="56">
        <v>440.60638608916423</v>
      </c>
      <c r="E326" s="32"/>
      <c r="F326" s="31"/>
    </row>
    <row r="327" spans="1:7" x14ac:dyDescent="0.2">
      <c r="A327" s="26">
        <f t="shared" si="1"/>
        <v>2018.06</v>
      </c>
      <c r="B327" s="55">
        <v>515.14624810480802</v>
      </c>
      <c r="C327" s="56">
        <v>442.62932260998281</v>
      </c>
      <c r="E327" s="32"/>
      <c r="F327" s="31"/>
    </row>
    <row r="328" spans="1:7" x14ac:dyDescent="0.2">
      <c r="A328" s="26">
        <f t="shared" si="1"/>
        <v>2018.07</v>
      </c>
      <c r="B328" s="55">
        <v>420.14904969280298</v>
      </c>
      <c r="C328" s="56">
        <v>432.24093219180145</v>
      </c>
      <c r="E328" s="32"/>
      <c r="F328" s="31"/>
    </row>
    <row r="329" spans="1:7" x14ac:dyDescent="0.2">
      <c r="A329" s="26">
        <f t="shared" si="1"/>
        <v>2018.08</v>
      </c>
      <c r="B329" s="55">
        <v>446.55605538596603</v>
      </c>
      <c r="C329" s="56">
        <v>423.28538298314368</v>
      </c>
      <c r="E329" s="32"/>
      <c r="F329" s="31"/>
    </row>
    <row r="330" spans="1:7" x14ac:dyDescent="0.2">
      <c r="A330" s="26">
        <f t="shared" ref="A330:A393" si="2">A318+1</f>
        <v>2018.09</v>
      </c>
      <c r="B330" s="55">
        <v>418.01794343386803</v>
      </c>
      <c r="C330" s="56">
        <v>416.83516719875274</v>
      </c>
      <c r="E330" s="32"/>
      <c r="F330" s="31"/>
    </row>
    <row r="331" spans="1:7" x14ac:dyDescent="0.2">
      <c r="A331" s="26">
        <f t="shared" si="2"/>
        <v>2018.1</v>
      </c>
      <c r="B331" s="55">
        <v>403.92523777211898</v>
      </c>
      <c r="C331" s="56">
        <v>406.68865963021142</v>
      </c>
      <c r="E331" s="32"/>
      <c r="F331" s="31"/>
    </row>
    <row r="332" spans="1:7" x14ac:dyDescent="0.2">
      <c r="A332" s="26">
        <f t="shared" si="2"/>
        <v>2018.11</v>
      </c>
      <c r="B332" s="55">
        <v>394.81636254443197</v>
      </c>
      <c r="C332" s="56">
        <v>397.43934450178642</v>
      </c>
      <c r="E332" s="32"/>
      <c r="F332" s="31"/>
    </row>
    <row r="333" spans="1:7" x14ac:dyDescent="0.2">
      <c r="A333" s="26">
        <f t="shared" si="2"/>
        <v>2018.12</v>
      </c>
      <c r="B333" s="55">
        <v>395.99278916753201</v>
      </c>
      <c r="C333" s="56">
        <v>395.03815791131171</v>
      </c>
      <c r="E333" s="33"/>
      <c r="F333" s="31"/>
      <c r="G333" s="28"/>
    </row>
    <row r="334" spans="1:7" ht="14.25" x14ac:dyDescent="0.2">
      <c r="A334" s="26">
        <f t="shared" si="2"/>
        <v>2019.01</v>
      </c>
      <c r="B334" s="55">
        <v>399.78718413949599</v>
      </c>
      <c r="C334" s="56">
        <v>398.13923146887248</v>
      </c>
      <c r="E334" s="35"/>
      <c r="F334" s="36"/>
    </row>
    <row r="335" spans="1:7" ht="14.25" x14ac:dyDescent="0.2">
      <c r="A335" s="26">
        <f t="shared" si="2"/>
        <v>2019.02</v>
      </c>
      <c r="B335" s="55">
        <v>397.05077242456002</v>
      </c>
      <c r="C335" s="56">
        <v>399.99241549746966</v>
      </c>
      <c r="E335" s="35"/>
      <c r="F335" s="36"/>
    </row>
    <row r="336" spans="1:7" ht="14.25" x14ac:dyDescent="0.2">
      <c r="A336" s="26">
        <f t="shared" si="2"/>
        <v>2019.03</v>
      </c>
      <c r="B336" s="55">
        <v>343.59820961280502</v>
      </c>
      <c r="C336" s="56">
        <v>398.20804310486784</v>
      </c>
      <c r="E336" s="35"/>
      <c r="F336" s="36"/>
    </row>
    <row r="337" spans="1:7" ht="14.25" x14ac:dyDescent="0.2">
      <c r="A337" s="26">
        <f t="shared" si="2"/>
        <v>2019.04</v>
      </c>
      <c r="B337" s="55">
        <v>361.72071282664501</v>
      </c>
      <c r="C337" s="56">
        <v>398.05413154128905</v>
      </c>
      <c r="E337" s="35"/>
      <c r="F337" s="36"/>
    </row>
    <row r="338" spans="1:7" ht="14.25" x14ac:dyDescent="0.2">
      <c r="A338" s="26">
        <f t="shared" si="2"/>
        <v>2019.05</v>
      </c>
      <c r="B338" s="55">
        <v>447.61963919365098</v>
      </c>
      <c r="C338" s="56">
        <v>399.1332509662135</v>
      </c>
      <c r="E338" s="35"/>
      <c r="F338" s="36"/>
    </row>
    <row r="339" spans="1:7" ht="14.25" x14ac:dyDescent="0.2">
      <c r="A339" s="26">
        <f t="shared" si="2"/>
        <v>2019.06</v>
      </c>
      <c r="B339" s="55">
        <v>442.97392837679899</v>
      </c>
      <c r="C339" s="56">
        <v>397.36285377894058</v>
      </c>
      <c r="E339" s="35"/>
      <c r="F339" s="36"/>
    </row>
    <row r="340" spans="1:7" ht="14.25" x14ac:dyDescent="0.2">
      <c r="A340" s="26">
        <f t="shared" si="2"/>
        <v>2019.07</v>
      </c>
      <c r="B340" s="55">
        <v>393.89145607437104</v>
      </c>
      <c r="C340" s="56">
        <v>393.9802975875034</v>
      </c>
      <c r="E340" s="35"/>
      <c r="F340" s="36"/>
    </row>
    <row r="341" spans="1:7" ht="14.25" x14ac:dyDescent="0.2">
      <c r="A341" s="26">
        <f t="shared" si="2"/>
        <v>2019.08</v>
      </c>
      <c r="B341" s="55">
        <v>408.28631236739602</v>
      </c>
      <c r="C341" s="56">
        <v>386.33214083241575</v>
      </c>
      <c r="E341" s="35"/>
      <c r="F341" s="36"/>
    </row>
    <row r="342" spans="1:7" ht="14.25" x14ac:dyDescent="0.2">
      <c r="A342" s="26">
        <f t="shared" si="2"/>
        <v>2019.09</v>
      </c>
      <c r="B342" s="55">
        <v>377.54902853707301</v>
      </c>
      <c r="C342" s="56">
        <v>377.13466945813849</v>
      </c>
      <c r="E342" s="35"/>
      <c r="F342" s="36"/>
    </row>
    <row r="343" spans="1:7" ht="14.25" x14ac:dyDescent="0.2">
      <c r="A343" s="26">
        <f t="shared" si="2"/>
        <v>2019.1</v>
      </c>
      <c r="B343" s="55">
        <v>372.186173989461</v>
      </c>
      <c r="C343" s="56">
        <v>374.12884200131964</v>
      </c>
      <c r="E343" s="35"/>
      <c r="F343" s="36"/>
    </row>
    <row r="344" spans="1:7" ht="14.25" x14ac:dyDescent="0.2">
      <c r="A344" s="26">
        <f t="shared" si="2"/>
        <v>2019.11</v>
      </c>
      <c r="B344" s="55">
        <v>375.89332475909299</v>
      </c>
      <c r="C344" s="56">
        <v>373.23653031443803</v>
      </c>
      <c r="E344" s="35"/>
      <c r="F344" s="36"/>
    </row>
    <row r="345" spans="1:7" ht="14.25" x14ac:dyDescent="0.2">
      <c r="A345" s="26">
        <f t="shared" si="2"/>
        <v>2019.12</v>
      </c>
      <c r="B345" s="55">
        <v>370.59038451140202</v>
      </c>
      <c r="C345" s="56">
        <v>370.14658516629606</v>
      </c>
      <c r="E345" s="38"/>
      <c r="F345" s="36"/>
      <c r="G345" s="34"/>
    </row>
    <row r="346" spans="1:7" x14ac:dyDescent="0.2">
      <c r="A346" s="26">
        <f t="shared" si="2"/>
        <v>2020.01</v>
      </c>
      <c r="B346" s="55">
        <v>367.29358914510999</v>
      </c>
      <c r="C346" s="56">
        <v>368.12676139412201</v>
      </c>
      <c r="E346" s="37"/>
      <c r="F346" s="37"/>
    </row>
    <row r="347" spans="1:7" x14ac:dyDescent="0.2">
      <c r="A347" s="26">
        <f t="shared" si="2"/>
        <v>2020.02</v>
      </c>
      <c r="B347" s="55">
        <v>382.18292888928204</v>
      </c>
      <c r="C347" s="56">
        <v>362.48586335009787</v>
      </c>
    </row>
    <row r="348" spans="1:7" x14ac:dyDescent="0.2">
      <c r="A348" s="26">
        <f t="shared" si="2"/>
        <v>2020.03</v>
      </c>
      <c r="B348" s="55">
        <v>303.84088959496501</v>
      </c>
      <c r="C348" s="56">
        <v>352.3670552547274</v>
      </c>
    </row>
    <row r="349" spans="1:7" x14ac:dyDescent="0.2">
      <c r="A349" s="26">
        <f t="shared" si="2"/>
        <v>2020.04</v>
      </c>
      <c r="B349" s="55">
        <v>285.56255171414</v>
      </c>
      <c r="C349" s="56">
        <v>346.48050880010419</v>
      </c>
    </row>
    <row r="350" spans="1:7" x14ac:dyDescent="0.2">
      <c r="A350" s="26">
        <f t="shared" si="2"/>
        <v>2020.05</v>
      </c>
      <c r="B350" s="55">
        <v>356.36523833681304</v>
      </c>
      <c r="C350" s="56">
        <v>349.82082406016616</v>
      </c>
    </row>
    <row r="351" spans="1:7" x14ac:dyDescent="0.2">
      <c r="A351" s="26">
        <f t="shared" si="2"/>
        <v>2020.06</v>
      </c>
      <c r="B351" s="55">
        <v>410.64065907493398</v>
      </c>
      <c r="C351" s="56">
        <v>358.69258959740762</v>
      </c>
    </row>
    <row r="352" spans="1:7" x14ac:dyDescent="0.2">
      <c r="A352" s="26">
        <f t="shared" si="2"/>
        <v>2020.07</v>
      </c>
      <c r="B352" s="55">
        <v>370.60366432817602</v>
      </c>
      <c r="C352" s="56">
        <v>371.57545574441878</v>
      </c>
    </row>
    <row r="353" spans="1:6" x14ac:dyDescent="0.2">
      <c r="A353" s="26">
        <f t="shared" si="2"/>
        <v>2020.08</v>
      </c>
      <c r="B353" s="55">
        <v>419.71226658293199</v>
      </c>
      <c r="C353" s="56">
        <v>385.88753817668032</v>
      </c>
    </row>
    <row r="354" spans="1:6" x14ac:dyDescent="0.2">
      <c r="A354" s="26">
        <f t="shared" si="2"/>
        <v>2020.09</v>
      </c>
      <c r="B354" s="55">
        <v>390.30214084741897</v>
      </c>
      <c r="C354" s="56">
        <v>395.2520167827455</v>
      </c>
    </row>
    <row r="355" spans="1:6" x14ac:dyDescent="0.2">
      <c r="A355" s="26">
        <f t="shared" si="2"/>
        <v>2020.1</v>
      </c>
      <c r="B355" s="55">
        <v>412.207748131389</v>
      </c>
      <c r="C355" s="56">
        <v>406.31959360777694</v>
      </c>
    </row>
    <row r="356" spans="1:6" x14ac:dyDescent="0.2">
      <c r="A356" s="26">
        <f t="shared" si="2"/>
        <v>2020.11</v>
      </c>
      <c r="B356" s="55">
        <v>415.47775860186198</v>
      </c>
      <c r="C356" s="56">
        <v>411.36137784508207</v>
      </c>
    </row>
    <row r="357" spans="1:6" x14ac:dyDescent="0.2">
      <c r="A357" s="26">
        <f t="shared" si="2"/>
        <v>2020.12</v>
      </c>
      <c r="B357" s="55">
        <v>408.50014324787696</v>
      </c>
      <c r="C357" s="56">
        <v>405.01415928493583</v>
      </c>
    </row>
    <row r="358" spans="1:6" x14ac:dyDescent="0.2">
      <c r="A358" s="26">
        <f t="shared" si="2"/>
        <v>2021.01</v>
      </c>
      <c r="B358" s="55">
        <v>390.04781536087</v>
      </c>
      <c r="C358" s="56">
        <v>402.89308160512076</v>
      </c>
      <c r="E358" s="28"/>
    </row>
    <row r="359" spans="1:6" x14ac:dyDescent="0.2">
      <c r="A359" s="26">
        <f t="shared" si="2"/>
        <v>2021.02</v>
      </c>
      <c r="B359" s="55">
        <v>401.95482690814197</v>
      </c>
      <c r="C359" s="56">
        <v>410.26320989517126</v>
      </c>
      <c r="E359" s="28"/>
      <c r="F359" s="28"/>
    </row>
    <row r="360" spans="1:6" x14ac:dyDescent="0.2">
      <c r="A360" s="26">
        <f t="shared" si="2"/>
        <v>2021.03</v>
      </c>
      <c r="B360" s="55">
        <v>370.75176287435704</v>
      </c>
      <c r="C360" s="56">
        <v>416.2836429661653</v>
      </c>
      <c r="E360" s="28"/>
      <c r="F360" s="28"/>
    </row>
    <row r="361" spans="1:6" x14ac:dyDescent="0.2">
      <c r="A361" s="26">
        <f t="shared" si="2"/>
        <v>2021.04</v>
      </c>
      <c r="B361" s="55">
        <v>399.07478283127301</v>
      </c>
      <c r="C361" s="56">
        <v>412.21785579138066</v>
      </c>
      <c r="E361" s="28"/>
      <c r="F361" s="28"/>
    </row>
    <row r="362" spans="1:6" x14ac:dyDescent="0.2">
      <c r="A362" s="26">
        <f t="shared" si="2"/>
        <v>2021.05</v>
      </c>
      <c r="B362" s="55">
        <v>398.152959426753</v>
      </c>
      <c r="C362" s="56">
        <v>403.97510936351387</v>
      </c>
    </row>
    <row r="363" spans="1:6" x14ac:dyDescent="0.2">
      <c r="A363" s="26">
        <f t="shared" si="2"/>
        <v>2021.06</v>
      </c>
      <c r="B363" s="55">
        <v>443.06770141899403</v>
      </c>
      <c r="C363" s="56">
        <v>395.92825105388181</v>
      </c>
    </row>
    <row r="364" spans="1:6" x14ac:dyDescent="0.2">
      <c r="A364" s="26">
        <f t="shared" si="2"/>
        <v>2021.07</v>
      </c>
      <c r="B364" s="55">
        <v>384.95034288457401</v>
      </c>
      <c r="C364" s="56">
        <v>398.15064396442563</v>
      </c>
    </row>
    <row r="365" spans="1:6" x14ac:dyDescent="0.2">
      <c r="A365" s="26">
        <f t="shared" si="2"/>
        <v>2021.08</v>
      </c>
      <c r="B365" s="55">
        <v>446.50246038126102</v>
      </c>
      <c r="C365" s="56">
        <v>410.74838388423393</v>
      </c>
    </row>
    <row r="366" spans="1:6" x14ac:dyDescent="0.2">
      <c r="A366" s="26">
        <f t="shared" si="2"/>
        <v>2021.09</v>
      </c>
      <c r="B366" s="55">
        <v>418.65209675378196</v>
      </c>
      <c r="C366" s="56">
        <v>413.72751121171666</v>
      </c>
    </row>
    <row r="367" spans="1:6" x14ac:dyDescent="0.2">
      <c r="A367" s="26">
        <f t="shared" si="2"/>
        <v>2021.1</v>
      </c>
      <c r="B367" s="55">
        <v>406.86084100474602</v>
      </c>
      <c r="C367" s="56">
        <v>410.22053431787083</v>
      </c>
    </row>
    <row r="368" spans="1:6" x14ac:dyDescent="0.2">
      <c r="A368" s="26">
        <f t="shared" si="2"/>
        <v>2021.11</v>
      </c>
      <c r="B368" s="55">
        <v>415.52463427778605</v>
      </c>
      <c r="C368" s="56">
        <v>417.76811757319899</v>
      </c>
    </row>
    <row r="369" spans="1:3" x14ac:dyDescent="0.2">
      <c r="A369" s="26">
        <f t="shared" si="2"/>
        <v>2021.12</v>
      </c>
      <c r="B369" s="55">
        <v>444.85101923523496</v>
      </c>
      <c r="C369" s="56">
        <v>427.48835031981616</v>
      </c>
    </row>
    <row r="370" spans="1:3" x14ac:dyDescent="0.2">
      <c r="A370" s="26">
        <f t="shared" si="2"/>
        <v>2022.01</v>
      </c>
      <c r="B370" s="55">
        <v>407.79075722066602</v>
      </c>
      <c r="C370" s="56">
        <v>428.09361760426043</v>
      </c>
    </row>
    <row r="371" spans="1:3" x14ac:dyDescent="0.2">
      <c r="A371" s="26">
        <f t="shared" si="2"/>
        <v>2022.02</v>
      </c>
      <c r="B371" s="55">
        <v>429.74703315821898</v>
      </c>
      <c r="C371" s="56">
        <v>428.92616156685563</v>
      </c>
    </row>
    <row r="372" spans="1:3" x14ac:dyDescent="0.2">
      <c r="A372" s="26">
        <f t="shared" si="2"/>
        <v>2022.03</v>
      </c>
      <c r="B372" s="55">
        <v>373.827989263794</v>
      </c>
      <c r="C372" s="56">
        <v>436.39086013674125</v>
      </c>
    </row>
    <row r="373" spans="1:3" x14ac:dyDescent="0.2">
      <c r="A373" s="26">
        <f t="shared" si="2"/>
        <v>2022.04</v>
      </c>
      <c r="B373" s="55">
        <v>416.81120975270198</v>
      </c>
      <c r="C373" s="56">
        <v>442.3168718581631</v>
      </c>
    </row>
    <row r="374" spans="1:3" x14ac:dyDescent="0.2">
      <c r="A374" s="26">
        <f t="shared" si="2"/>
        <v>2022.05</v>
      </c>
      <c r="B374" s="55">
        <v>449.65141345269899</v>
      </c>
      <c r="C374" s="56">
        <v>439.89256453503691</v>
      </c>
    </row>
    <row r="375" spans="1:3" x14ac:dyDescent="0.2">
      <c r="A375" s="26">
        <f t="shared" si="2"/>
        <v>2022.06</v>
      </c>
      <c r="B375" s="55">
        <v>495.633745066193</v>
      </c>
      <c r="C375" s="56">
        <v>439.41867002512856</v>
      </c>
    </row>
    <row r="376" spans="1:3" x14ac:dyDescent="0.2">
      <c r="A376" s="26">
        <f t="shared" si="2"/>
        <v>2022.07</v>
      </c>
      <c r="B376" s="55">
        <v>435.99819572503702</v>
      </c>
      <c r="C376" s="56">
        <v>432.74259000920097</v>
      </c>
    </row>
    <row r="377" spans="1:3" x14ac:dyDescent="0.2">
      <c r="A377" s="26">
        <f t="shared" si="2"/>
        <v>2022.08</v>
      </c>
      <c r="B377" s="55">
        <v>427.87176151077995</v>
      </c>
      <c r="C377" s="56">
        <v>417.44127096915059</v>
      </c>
    </row>
    <row r="378" spans="1:3" x14ac:dyDescent="0.2">
      <c r="A378" s="26">
        <f t="shared" si="2"/>
        <v>2022.09</v>
      </c>
      <c r="B378" s="55">
        <v>422.11045208336702</v>
      </c>
      <c r="C378" s="56">
        <v>417.52029575331107</v>
      </c>
    </row>
    <row r="379" spans="1:3" x14ac:dyDescent="0.2">
      <c r="A379" s="26">
        <f t="shared" si="2"/>
        <v>2022.1</v>
      </c>
      <c r="B379" s="55">
        <v>430.73600619772901</v>
      </c>
      <c r="C379" s="56">
        <v>423.92186447085174</v>
      </c>
    </row>
    <row r="380" spans="1:3" x14ac:dyDescent="0.2">
      <c r="A380" s="26">
        <f t="shared" si="2"/>
        <v>2022.11</v>
      </c>
      <c r="B380" s="55">
        <v>419.19006475789695</v>
      </c>
      <c r="C380" s="56">
        <v>424.31307725639721</v>
      </c>
    </row>
    <row r="381" spans="1:3" x14ac:dyDescent="0.2">
      <c r="A381" s="26">
        <f t="shared" si="2"/>
        <v>2022.12</v>
      </c>
      <c r="B381" s="55">
        <v>433.44556074859099</v>
      </c>
      <c r="C381" s="56">
        <v>422.01720835038054</v>
      </c>
    </row>
    <row r="382" spans="1:3" x14ac:dyDescent="0.2">
      <c r="A382" s="26">
        <f t="shared" si="2"/>
        <v>2023.01</v>
      </c>
      <c r="B382" s="55">
        <v>409.61593366151396</v>
      </c>
      <c r="C382" s="56">
        <v>415.16712398932873</v>
      </c>
    </row>
    <row r="383" spans="1:3" x14ac:dyDescent="0.2">
      <c r="A383" s="26">
        <f t="shared" si="2"/>
        <v>2023.02</v>
      </c>
      <c r="B383" s="55">
        <v>401.47149662042699</v>
      </c>
      <c r="C383" s="56">
        <v>416.1709681606938</v>
      </c>
    </row>
    <row r="384" spans="1:3" x14ac:dyDescent="0.2">
      <c r="A384" s="26">
        <f t="shared" si="2"/>
        <v>2023.03</v>
      </c>
      <c r="B384" s="55">
        <v>370.53310067954396</v>
      </c>
      <c r="C384" s="56">
        <v>424.68167726439094</v>
      </c>
    </row>
    <row r="385" spans="1:3" x14ac:dyDescent="0.2">
      <c r="A385" s="26">
        <f t="shared" si="2"/>
        <v>2023.04</v>
      </c>
      <c r="B385" s="55">
        <v>387.90382674536204</v>
      </c>
      <c r="C385" s="56">
        <v>422.49413084996843</v>
      </c>
    </row>
    <row r="386" spans="1:3" x14ac:dyDescent="0.2">
      <c r="A386" s="26">
        <f t="shared" si="2"/>
        <v>2023.05</v>
      </c>
      <c r="B386" s="55">
        <v>429.21247067089996</v>
      </c>
      <c r="C386" s="56">
        <v>417.95189262971275</v>
      </c>
    </row>
    <row r="387" spans="1:3" x14ac:dyDescent="0.2">
      <c r="A387" s="26">
        <f t="shared" si="2"/>
        <v>2023.06</v>
      </c>
      <c r="B387" s="55">
        <v>478.54363026321499</v>
      </c>
      <c r="C387" s="56">
        <v>422.09277584440787</v>
      </c>
    </row>
    <row r="388" spans="1:3" x14ac:dyDescent="0.2">
      <c r="A388" s="26">
        <f t="shared" si="2"/>
        <v>2023.07</v>
      </c>
      <c r="B388" s="55">
        <v>420.91499804180501</v>
      </c>
      <c r="C388" s="56">
        <v>423.96049469607635</v>
      </c>
    </row>
    <row r="389" spans="1:3" x14ac:dyDescent="0.2">
      <c r="A389" s="26">
        <f t="shared" si="2"/>
        <v>2023.08</v>
      </c>
      <c r="B389" s="55">
        <v>444.80987606134602</v>
      </c>
      <c r="C389" s="56">
        <v>420.167438016554</v>
      </c>
    </row>
    <row r="390" spans="1:3" x14ac:dyDescent="0.2">
      <c r="A390" s="26">
        <f t="shared" si="2"/>
        <v>2023.09</v>
      </c>
      <c r="B390" s="55">
        <v>415.08891132727604</v>
      </c>
      <c r="C390" s="56">
        <v>412.74317344590565</v>
      </c>
    </row>
    <row r="391" spans="1:3" x14ac:dyDescent="0.2">
      <c r="A391" s="26">
        <f t="shared" si="2"/>
        <v>2023.1</v>
      </c>
      <c r="B391" s="55">
        <v>410.09148699682999</v>
      </c>
      <c r="C391" s="56">
        <v>399.4546597883562</v>
      </c>
    </row>
    <row r="392" spans="1:3" x14ac:dyDescent="0.2">
      <c r="A392" s="26">
        <f t="shared" si="2"/>
        <v>2023.11</v>
      </c>
      <c r="B392" s="55">
        <v>380.15893997271201</v>
      </c>
      <c r="C392" s="56">
        <v>382.76956605617306</v>
      </c>
    </row>
    <row r="393" spans="1:3" x14ac:dyDescent="0.2">
      <c r="A393" s="26">
        <f t="shared" si="2"/>
        <v>2023.12</v>
      </c>
      <c r="B393" s="55">
        <v>355.18053734934801</v>
      </c>
      <c r="C393" s="56">
        <v>371.27367357305241</v>
      </c>
    </row>
    <row r="394" spans="1:3" x14ac:dyDescent="0.2">
      <c r="A394" s="26">
        <f t="shared" ref="A394:A457" si="3">A382+1</f>
        <v>2024.01</v>
      </c>
      <c r="B394" s="55">
        <v>365.84893312039003</v>
      </c>
      <c r="C394" s="56">
        <v>363.12216218532046</v>
      </c>
    </row>
    <row r="395" spans="1:3" x14ac:dyDescent="0.2">
      <c r="A395" s="26">
        <f t="shared" si="3"/>
        <v>2024.02</v>
      </c>
      <c r="B395" s="55">
        <v>359.73230600387501</v>
      </c>
      <c r="C395" s="56">
        <v>352.95986526410269</v>
      </c>
    </row>
    <row r="396" spans="1:3" x14ac:dyDescent="0.2">
      <c r="A396" s="26">
        <f t="shared" si="3"/>
        <v>2024.03</v>
      </c>
      <c r="B396" s="55">
        <v>305.09180235815802</v>
      </c>
      <c r="C396" s="56">
        <v>349.3608773756074</v>
      </c>
    </row>
    <row r="397" spans="1:3" x14ac:dyDescent="0.2">
      <c r="A397" s="26">
        <f t="shared" si="3"/>
        <v>2024.04</v>
      </c>
      <c r="B397" s="55">
        <v>325.52445497541601</v>
      </c>
      <c r="C397" s="56">
        <v>352.59702606409201</v>
      </c>
    </row>
    <row r="398" spans="1:3" x14ac:dyDescent="0.2">
      <c r="A398" s="26">
        <f t="shared" si="3"/>
        <v>2024.05</v>
      </c>
      <c r="B398" s="55">
        <v>488.08610221203901</v>
      </c>
      <c r="C398" s="56">
        <v>354.73683787148161</v>
      </c>
    </row>
    <row r="399" spans="1:3" x14ac:dyDescent="0.2">
      <c r="A399" s="26">
        <f t="shared" si="3"/>
        <v>2024.06</v>
      </c>
      <c r="B399" s="55">
        <v>385.26060901028302</v>
      </c>
      <c r="C399" s="56">
        <v>354.94952880163214</v>
      </c>
    </row>
    <row r="400" spans="1:3" x14ac:dyDescent="0.2">
      <c r="A400" s="26">
        <f t="shared" si="3"/>
        <v>2024.07</v>
      </c>
      <c r="B400" s="55">
        <v>345.35753368174403</v>
      </c>
      <c r="C400" s="56">
        <v>355.86229473159443</v>
      </c>
    </row>
    <row r="401" spans="1:3" x14ac:dyDescent="0.2">
      <c r="A401" s="26">
        <f t="shared" si="3"/>
        <v>2024.08</v>
      </c>
      <c r="B401" s="55">
        <v>371.01506302235703</v>
      </c>
      <c r="C401" s="56">
        <v>359.92773420267565</v>
      </c>
    </row>
    <row r="402" spans="1:3" x14ac:dyDescent="0.2">
      <c r="A402" s="26">
        <f t="shared" si="3"/>
        <v>2024.09</v>
      </c>
      <c r="B402" s="55">
        <v>399.61836470486003</v>
      </c>
      <c r="C402" s="56">
        <v>366.06531642552812</v>
      </c>
    </row>
    <row r="403" spans="1:3" x14ac:dyDescent="0.2">
      <c r="A403" s="26">
        <f>A391+1</f>
        <v>2024.1</v>
      </c>
      <c r="B403" s="55">
        <v>373.18658708492302</v>
      </c>
      <c r="C403" s="56">
        <v>373.239925668816</v>
      </c>
    </row>
    <row r="404" spans="1:3" x14ac:dyDescent="0.2">
      <c r="A404" s="26">
        <f t="shared" si="3"/>
        <v>2024.11</v>
      </c>
      <c r="B404" s="55">
        <v>380.66642936726601</v>
      </c>
      <c r="C404" s="56">
        <v>377.62819598473106</v>
      </c>
    </row>
    <row r="405" spans="1:3" x14ac:dyDescent="0.2">
      <c r="A405" s="26">
        <f t="shared" si="3"/>
        <v>2024.12</v>
      </c>
      <c r="B405" s="55">
        <v>368.63905700645199</v>
      </c>
      <c r="C405" s="56">
        <v>379.97748925304018</v>
      </c>
    </row>
    <row r="406" spans="1:3" x14ac:dyDescent="0.2">
      <c r="A406" s="26">
        <f t="shared" si="3"/>
        <v>2025.01</v>
      </c>
      <c r="B406" s="55">
        <v>394.43114372145101</v>
      </c>
      <c r="C406" s="56">
        <v>388.51834503908924</v>
      </c>
    </row>
    <row r="407" spans="1:3" x14ac:dyDescent="0.2">
      <c r="A407" s="26">
        <f t="shared" si="3"/>
        <v>2025.02</v>
      </c>
      <c r="B407" s="55">
        <v>429.04176348622298</v>
      </c>
      <c r="C407" s="56">
        <v>393.37196268310009</v>
      </c>
    </row>
    <row r="408" spans="1:3" x14ac:dyDescent="0.2">
      <c r="A408" s="26">
        <f t="shared" si="3"/>
        <v>2025.03</v>
      </c>
      <c r="B408" s="55">
        <v>323.54710965247102</v>
      </c>
      <c r="C408" s="56">
        <v>387.00245940412321</v>
      </c>
    </row>
    <row r="409" spans="1:3" x14ac:dyDescent="0.2">
      <c r="A409" s="26">
        <f t="shared" si="3"/>
        <v>2025.04</v>
      </c>
      <c r="B409" s="55">
        <v>346.45517197965398</v>
      </c>
      <c r="C409" s="56">
        <v>380.58524235004415</v>
      </c>
    </row>
    <row r="410" spans="1:3" x14ac:dyDescent="0.2">
      <c r="A410" s="26">
        <f t="shared" si="3"/>
        <v>2025.05</v>
      </c>
      <c r="B410" s="55">
        <v>408.36227934726401</v>
      </c>
      <c r="C410" s="56">
        <v>379.90555772579478</v>
      </c>
    </row>
    <row r="411" spans="1:3" x14ac:dyDescent="0.2">
      <c r="A411" s="26">
        <f t="shared" si="3"/>
        <v>2025.06</v>
      </c>
      <c r="B411" s="55">
        <v>414.444146904842</v>
      </c>
      <c r="C411" s="56">
        <v>380.00226589019792</v>
      </c>
    </row>
    <row r="412" spans="1:3" x14ac:dyDescent="0.2">
      <c r="A412" s="26">
        <f t="shared" si="3"/>
        <v>2025.07</v>
      </c>
      <c r="B412" s="55">
        <v>384.37748276683703</v>
      </c>
      <c r="C412" s="56">
        <v>378.57690348103313</v>
      </c>
    </row>
    <row r="413" spans="1:3" x14ac:dyDescent="0.2">
      <c r="A413" s="26">
        <f t="shared" si="3"/>
        <v>2025.08</v>
      </c>
      <c r="B413" s="55">
        <v>388.70960223265899</v>
      </c>
      <c r="C413" s="56">
        <v>377.71832800128436</v>
      </c>
    </row>
    <row r="414" spans="1:3" x14ac:dyDescent="0.2">
      <c r="A414" s="26">
        <f t="shared" si="3"/>
        <v>2025.09</v>
      </c>
      <c r="B414" s="55">
        <v>379.49692472934203</v>
      </c>
      <c r="C414" s="56">
        <v>374.23196508627541</v>
      </c>
    </row>
    <row r="415" spans="1:3" x14ac:dyDescent="0.2">
      <c r="A415" s="26">
        <f t="shared" si="3"/>
        <v>2025.1</v>
      </c>
      <c r="B415" s="55">
        <v>368.84573734764797</v>
      </c>
      <c r="C415" s="56">
        <v>373.12123372858753</v>
      </c>
    </row>
    <row r="416" spans="1:3" x14ac:dyDescent="0.2">
      <c r="A416" s="26">
        <f t="shared" si="3"/>
        <v>2025.11</v>
      </c>
      <c r="B416" s="55">
        <v>364.44820643943399</v>
      </c>
      <c r="C416" s="56">
        <v>379.3153468121676</v>
      </c>
    </row>
    <row r="417" spans="1:3" x14ac:dyDescent="0.2">
      <c r="A417" s="26">
        <f t="shared" si="3"/>
        <v>2025.12</v>
      </c>
      <c r="B417" s="55">
        <v>380.71193642347703</v>
      </c>
      <c r="C417" s="56">
        <v>384.17871552118788</v>
      </c>
    </row>
    <row r="418" spans="1:3" x14ac:dyDescent="0.2">
      <c r="A418" s="26">
        <f t="shared" si="3"/>
        <v>2026.01</v>
      </c>
      <c r="B418" s="55">
        <v>387.55640663434798</v>
      </c>
      <c r="C418" s="56">
        <v>385.52272849821276</v>
      </c>
    </row>
    <row r="419" spans="1:3" x14ac:dyDescent="0.2">
      <c r="A419" s="26">
        <f t="shared" si="3"/>
        <v>2026.02</v>
      </c>
      <c r="B419" s="55">
        <v>409.45484565197899</v>
      </c>
      <c r="C419" s="56">
        <v>382.54385235385541</v>
      </c>
    </row>
    <row r="420" spans="1:3" x14ac:dyDescent="0.2">
      <c r="A420" s="26">
        <f t="shared" si="3"/>
        <v>2026.03</v>
      </c>
      <c r="B420" s="55">
        <v>313.02036749298401</v>
      </c>
      <c r="C420" s="56">
        <v>376.44572384715673</v>
      </c>
    </row>
    <row r="421" spans="1:3" x14ac:dyDescent="0.2">
      <c r="A421" s="26">
        <f t="shared" si="3"/>
        <v>2026.04</v>
      </c>
      <c r="B421" s="55">
        <v>342.749662613412</v>
      </c>
      <c r="C421" s="56">
        <v>376.88869883401009</v>
      </c>
    </row>
    <row r="422" spans="1:3" x14ac:dyDescent="0.2">
      <c r="A422" s="26">
        <f t="shared" si="3"/>
        <v>2026.05</v>
      </c>
      <c r="B422" s="55">
        <v>426.50244869261701</v>
      </c>
      <c r="C422" s="56">
        <v>376.57402544251897</v>
      </c>
    </row>
    <row r="423" spans="1:3" x14ac:dyDescent="0.2">
      <c r="A423" s="26">
        <f t="shared" si="3"/>
        <v>2026.06</v>
      </c>
      <c r="B423" s="55">
        <v>390.67752618225001</v>
      </c>
      <c r="C423" s="56">
        <v>374.35554503478369</v>
      </c>
    </row>
    <row r="424" spans="1:3" x14ac:dyDescent="0.2">
      <c r="A424" s="26">
        <f t="shared" si="3"/>
        <v>2026.07</v>
      </c>
      <c r="B424" s="55">
        <v>395.94938431151701</v>
      </c>
      <c r="C424" s="56">
        <v>377.10446845918392</v>
      </c>
    </row>
    <row r="425" spans="1:3" x14ac:dyDescent="0.2">
      <c r="A425" s="26">
        <f t="shared" si="3"/>
        <v>2026.08</v>
      </c>
      <c r="B425" s="55">
        <v>378.469218149222</v>
      </c>
      <c r="C425" s="56">
        <v>375.76181387775421</v>
      </c>
    </row>
    <row r="426" spans="1:3" x14ac:dyDescent="0.2">
      <c r="A426" s="26">
        <f t="shared" si="3"/>
        <v>2026.09</v>
      </c>
      <c r="B426" s="55" t="e">
        <v>#N/A</v>
      </c>
      <c r="C426" s="56" t="e">
        <v>#N/A</v>
      </c>
    </row>
    <row r="427" spans="1:3" x14ac:dyDescent="0.2">
      <c r="A427" s="26">
        <f t="shared" si="3"/>
        <v>2026.1</v>
      </c>
      <c r="B427" s="55" t="e">
        <v>#N/A</v>
      </c>
      <c r="C427" s="56" t="e">
        <v>#N/A</v>
      </c>
    </row>
    <row r="428" spans="1:3" x14ac:dyDescent="0.2">
      <c r="A428" s="26">
        <f t="shared" si="3"/>
        <v>2026.11</v>
      </c>
      <c r="B428" s="55" t="e">
        <v>#N/A</v>
      </c>
      <c r="C428" s="56" t="e">
        <v>#N/A</v>
      </c>
    </row>
    <row r="429" spans="1:3" x14ac:dyDescent="0.2">
      <c r="A429" s="26">
        <f t="shared" si="3"/>
        <v>2026.12</v>
      </c>
      <c r="B429" s="55" t="e">
        <v>#N/A</v>
      </c>
      <c r="C429" s="56" t="e">
        <v>#N/A</v>
      </c>
    </row>
    <row r="430" spans="1:3" x14ac:dyDescent="0.2">
      <c r="A430" s="26">
        <f t="shared" si="3"/>
        <v>2027.01</v>
      </c>
      <c r="B430" s="55" t="e">
        <v>#N/A</v>
      </c>
      <c r="C430" s="56" t="e">
        <v>#N/A</v>
      </c>
    </row>
    <row r="431" spans="1:3" x14ac:dyDescent="0.2">
      <c r="A431" s="26">
        <f t="shared" si="3"/>
        <v>2027.02</v>
      </c>
      <c r="B431" s="55" t="e">
        <v>#N/A</v>
      </c>
      <c r="C431" s="56" t="e">
        <v>#N/A</v>
      </c>
    </row>
    <row r="432" spans="1:3" x14ac:dyDescent="0.2">
      <c r="A432" s="26">
        <f t="shared" si="3"/>
        <v>2027.03</v>
      </c>
      <c r="B432" s="55" t="e">
        <v>#N/A</v>
      </c>
      <c r="C432" s="56" t="e">
        <v>#N/A</v>
      </c>
    </row>
    <row r="433" spans="1:3" x14ac:dyDescent="0.2">
      <c r="A433" s="26">
        <f t="shared" si="3"/>
        <v>2027.04</v>
      </c>
      <c r="B433" s="55" t="e">
        <v>#N/A</v>
      </c>
      <c r="C433" s="56" t="e">
        <v>#N/A</v>
      </c>
    </row>
    <row r="434" spans="1:3" x14ac:dyDescent="0.2">
      <c r="A434" s="26">
        <f t="shared" si="3"/>
        <v>2027.05</v>
      </c>
      <c r="B434" s="55" t="e">
        <v>#N/A</v>
      </c>
      <c r="C434" s="56" t="e">
        <v>#N/A</v>
      </c>
    </row>
    <row r="435" spans="1:3" x14ac:dyDescent="0.2">
      <c r="A435" s="26">
        <f t="shared" si="3"/>
        <v>2027.06</v>
      </c>
      <c r="B435" s="55" t="e">
        <v>#N/A</v>
      </c>
      <c r="C435" s="56" t="e">
        <v>#N/A</v>
      </c>
    </row>
    <row r="436" spans="1:3" x14ac:dyDescent="0.2">
      <c r="A436" s="26">
        <f t="shared" si="3"/>
        <v>2027.07</v>
      </c>
      <c r="B436" s="55" t="e">
        <v>#N/A</v>
      </c>
      <c r="C436" s="56" t="e">
        <v>#N/A</v>
      </c>
    </row>
    <row r="437" spans="1:3" x14ac:dyDescent="0.2">
      <c r="A437" s="26">
        <f t="shared" si="3"/>
        <v>2027.08</v>
      </c>
      <c r="B437" s="55" t="e">
        <v>#N/A</v>
      </c>
      <c r="C437" s="56" t="e">
        <v>#N/A</v>
      </c>
    </row>
    <row r="438" spans="1:3" x14ac:dyDescent="0.2">
      <c r="A438" s="26">
        <f t="shared" si="3"/>
        <v>2027.09</v>
      </c>
      <c r="B438" s="55" t="e">
        <v>#N/A</v>
      </c>
      <c r="C438" s="56" t="e">
        <v>#N/A</v>
      </c>
    </row>
    <row r="439" spans="1:3" x14ac:dyDescent="0.2">
      <c r="A439" s="26">
        <f t="shared" si="3"/>
        <v>2027.1</v>
      </c>
      <c r="B439" s="55" t="e">
        <v>#N/A</v>
      </c>
      <c r="C439" s="56" t="e">
        <v>#N/A</v>
      </c>
    </row>
    <row r="440" spans="1:3" x14ac:dyDescent="0.2">
      <c r="A440" s="26">
        <f t="shared" si="3"/>
        <v>2027.11</v>
      </c>
      <c r="B440" s="55" t="e">
        <v>#N/A</v>
      </c>
      <c r="C440" s="56" t="e">
        <v>#N/A</v>
      </c>
    </row>
    <row r="441" spans="1:3" x14ac:dyDescent="0.2">
      <c r="A441" s="26">
        <f t="shared" si="3"/>
        <v>2027.12</v>
      </c>
      <c r="B441" s="55" t="e">
        <v>#N/A</v>
      </c>
      <c r="C441" s="56" t="e">
        <v>#N/A</v>
      </c>
    </row>
    <row r="442" spans="1:3" x14ac:dyDescent="0.2">
      <c r="A442" s="26">
        <f t="shared" si="3"/>
        <v>2028.01</v>
      </c>
      <c r="B442" s="55" t="e">
        <v>#N/A</v>
      </c>
      <c r="C442" s="56" t="e">
        <v>#N/A</v>
      </c>
    </row>
    <row r="443" spans="1:3" x14ac:dyDescent="0.2">
      <c r="A443" s="26">
        <f t="shared" si="3"/>
        <v>2028.02</v>
      </c>
      <c r="B443" s="55" t="e">
        <v>#N/A</v>
      </c>
      <c r="C443" s="56" t="e">
        <v>#N/A</v>
      </c>
    </row>
    <row r="444" spans="1:3" x14ac:dyDescent="0.2">
      <c r="A444" s="26">
        <f t="shared" si="3"/>
        <v>2028.03</v>
      </c>
      <c r="B444" s="55" t="e">
        <v>#N/A</v>
      </c>
      <c r="C444" s="56" t="e">
        <v>#N/A</v>
      </c>
    </row>
    <row r="445" spans="1:3" x14ac:dyDescent="0.2">
      <c r="A445" s="26">
        <f t="shared" si="3"/>
        <v>2028.04</v>
      </c>
      <c r="B445" s="55" t="e">
        <v>#N/A</v>
      </c>
      <c r="C445" s="56" t="e">
        <v>#N/A</v>
      </c>
    </row>
    <row r="446" spans="1:3" x14ac:dyDescent="0.2">
      <c r="A446" s="26">
        <f t="shared" si="3"/>
        <v>2028.05</v>
      </c>
      <c r="B446" s="55" t="e">
        <v>#N/A</v>
      </c>
      <c r="C446" s="56" t="e">
        <v>#N/A</v>
      </c>
    </row>
    <row r="447" spans="1:3" x14ac:dyDescent="0.2">
      <c r="A447" s="26">
        <f t="shared" si="3"/>
        <v>2028.06</v>
      </c>
      <c r="B447" s="55" t="e">
        <v>#N/A</v>
      </c>
      <c r="C447" s="56" t="e">
        <v>#N/A</v>
      </c>
    </row>
    <row r="448" spans="1:3" x14ac:dyDescent="0.2">
      <c r="A448" s="26">
        <f t="shared" si="3"/>
        <v>2028.07</v>
      </c>
      <c r="B448" s="55" t="e">
        <v>#N/A</v>
      </c>
      <c r="C448" s="56" t="e">
        <v>#N/A</v>
      </c>
    </row>
    <row r="449" spans="1:3" x14ac:dyDescent="0.2">
      <c r="A449" s="26">
        <f t="shared" si="3"/>
        <v>2028.08</v>
      </c>
      <c r="B449" s="55" t="e">
        <v>#N/A</v>
      </c>
      <c r="C449" s="56" t="e">
        <v>#N/A</v>
      </c>
    </row>
    <row r="450" spans="1:3" x14ac:dyDescent="0.2">
      <c r="A450" s="26">
        <f t="shared" si="3"/>
        <v>2028.09</v>
      </c>
      <c r="B450" s="55" t="e">
        <v>#N/A</v>
      </c>
      <c r="C450" s="56" t="e">
        <v>#N/A</v>
      </c>
    </row>
    <row r="451" spans="1:3" x14ac:dyDescent="0.2">
      <c r="A451" s="26">
        <f t="shared" si="3"/>
        <v>2028.1</v>
      </c>
      <c r="B451" s="55" t="e">
        <v>#N/A</v>
      </c>
      <c r="C451" s="56" t="e">
        <v>#N/A</v>
      </c>
    </row>
    <row r="452" spans="1:3" x14ac:dyDescent="0.2">
      <c r="A452" s="26">
        <f t="shared" si="3"/>
        <v>2028.11</v>
      </c>
      <c r="B452" s="55" t="e">
        <v>#N/A</v>
      </c>
      <c r="C452" s="56" t="e">
        <v>#N/A</v>
      </c>
    </row>
    <row r="453" spans="1:3" x14ac:dyDescent="0.2">
      <c r="A453" s="26">
        <f t="shared" si="3"/>
        <v>2028.12</v>
      </c>
      <c r="B453" s="55" t="e">
        <v>#N/A</v>
      </c>
      <c r="C453" s="56" t="e">
        <v>#N/A</v>
      </c>
    </row>
    <row r="454" spans="1:3" x14ac:dyDescent="0.2">
      <c r="A454" s="26">
        <f t="shared" si="3"/>
        <v>2029.01</v>
      </c>
      <c r="B454" s="55" t="e">
        <v>#N/A</v>
      </c>
      <c r="C454" s="56" t="e">
        <v>#N/A</v>
      </c>
    </row>
    <row r="455" spans="1:3" x14ac:dyDescent="0.2">
      <c r="A455" s="26">
        <f t="shared" si="3"/>
        <v>2029.02</v>
      </c>
      <c r="B455" s="55" t="e">
        <v>#N/A</v>
      </c>
      <c r="C455" s="56" t="e">
        <v>#N/A</v>
      </c>
    </row>
    <row r="456" spans="1:3" x14ac:dyDescent="0.2">
      <c r="A456" s="26">
        <f t="shared" si="3"/>
        <v>2029.03</v>
      </c>
      <c r="B456" s="55" t="e">
        <v>#N/A</v>
      </c>
      <c r="C456" s="56" t="e">
        <v>#N/A</v>
      </c>
    </row>
    <row r="457" spans="1:3" x14ac:dyDescent="0.2">
      <c r="A457" s="26">
        <f t="shared" si="3"/>
        <v>2029.04</v>
      </c>
      <c r="B457" s="55" t="e">
        <v>#N/A</v>
      </c>
      <c r="C457" s="56" t="e">
        <v>#N/A</v>
      </c>
    </row>
    <row r="458" spans="1:3" x14ac:dyDescent="0.2">
      <c r="A458" s="26">
        <f t="shared" ref="A458:A477" si="4">A446+1</f>
        <v>2029.05</v>
      </c>
      <c r="B458" s="55" t="e">
        <v>#N/A</v>
      </c>
      <c r="C458" s="56" t="e">
        <v>#N/A</v>
      </c>
    </row>
    <row r="459" spans="1:3" x14ac:dyDescent="0.2">
      <c r="A459" s="26">
        <f t="shared" si="4"/>
        <v>2029.06</v>
      </c>
      <c r="B459" s="55" t="e">
        <v>#N/A</v>
      </c>
      <c r="C459" s="56" t="e">
        <v>#N/A</v>
      </c>
    </row>
    <row r="460" spans="1:3" x14ac:dyDescent="0.2">
      <c r="A460" s="26">
        <f t="shared" si="4"/>
        <v>2029.07</v>
      </c>
      <c r="B460" s="55" t="e">
        <v>#N/A</v>
      </c>
      <c r="C460" s="56" t="e">
        <v>#N/A</v>
      </c>
    </row>
    <row r="461" spans="1:3" x14ac:dyDescent="0.2">
      <c r="A461" s="26">
        <f t="shared" si="4"/>
        <v>2029.08</v>
      </c>
      <c r="B461" s="55" t="e">
        <v>#N/A</v>
      </c>
      <c r="C461" s="56" t="e">
        <v>#N/A</v>
      </c>
    </row>
    <row r="462" spans="1:3" x14ac:dyDescent="0.2">
      <c r="A462" s="26">
        <f t="shared" si="4"/>
        <v>2029.09</v>
      </c>
      <c r="B462" s="55" t="e">
        <v>#N/A</v>
      </c>
      <c r="C462" s="56" t="e">
        <v>#N/A</v>
      </c>
    </row>
    <row r="463" spans="1:3" x14ac:dyDescent="0.2">
      <c r="A463" s="26">
        <f t="shared" si="4"/>
        <v>2029.1</v>
      </c>
      <c r="B463" s="55" t="e">
        <v>#N/A</v>
      </c>
      <c r="C463" s="56" t="e">
        <v>#N/A</v>
      </c>
    </row>
    <row r="464" spans="1:3" x14ac:dyDescent="0.2">
      <c r="A464" s="26">
        <f t="shared" si="4"/>
        <v>2029.11</v>
      </c>
      <c r="B464" s="55" t="e">
        <v>#N/A</v>
      </c>
      <c r="C464" s="56" t="e">
        <v>#N/A</v>
      </c>
    </row>
    <row r="465" spans="1:3" x14ac:dyDescent="0.2">
      <c r="A465" s="26">
        <f t="shared" si="4"/>
        <v>2029.12</v>
      </c>
      <c r="B465" s="55" t="e">
        <v>#N/A</v>
      </c>
      <c r="C465" s="56" t="e">
        <v>#N/A</v>
      </c>
    </row>
    <row r="466" spans="1:3" x14ac:dyDescent="0.2">
      <c r="A466" s="26">
        <f t="shared" si="4"/>
        <v>2030.01</v>
      </c>
      <c r="B466" s="55" t="e">
        <v>#N/A</v>
      </c>
      <c r="C466" s="56" t="e">
        <v>#N/A</v>
      </c>
    </row>
    <row r="467" spans="1:3" x14ac:dyDescent="0.2">
      <c r="A467" s="26">
        <f t="shared" si="4"/>
        <v>2030.02</v>
      </c>
      <c r="B467" s="55" t="e">
        <v>#N/A</v>
      </c>
      <c r="C467" s="56" t="e">
        <v>#N/A</v>
      </c>
    </row>
    <row r="468" spans="1:3" x14ac:dyDescent="0.2">
      <c r="A468" s="26">
        <f t="shared" si="4"/>
        <v>2030.03</v>
      </c>
      <c r="B468" s="55" t="e">
        <v>#N/A</v>
      </c>
      <c r="C468" s="56" t="e">
        <v>#N/A</v>
      </c>
    </row>
    <row r="469" spans="1:3" x14ac:dyDescent="0.2">
      <c r="A469" s="26">
        <f t="shared" si="4"/>
        <v>2030.04</v>
      </c>
      <c r="B469" s="55" t="e">
        <v>#N/A</v>
      </c>
      <c r="C469" s="56" t="e">
        <v>#N/A</v>
      </c>
    </row>
    <row r="470" spans="1:3" x14ac:dyDescent="0.2">
      <c r="A470" s="26">
        <f t="shared" si="4"/>
        <v>2030.05</v>
      </c>
      <c r="B470" s="55" t="e">
        <v>#N/A</v>
      </c>
      <c r="C470" s="56" t="e">
        <v>#N/A</v>
      </c>
    </row>
    <row r="471" spans="1:3" x14ac:dyDescent="0.2">
      <c r="A471" s="26">
        <f t="shared" si="4"/>
        <v>2030.06</v>
      </c>
      <c r="B471" s="55" t="e">
        <v>#N/A</v>
      </c>
      <c r="C471" s="56" t="e">
        <v>#N/A</v>
      </c>
    </row>
    <row r="472" spans="1:3" x14ac:dyDescent="0.2">
      <c r="A472" s="26">
        <f t="shared" si="4"/>
        <v>2030.07</v>
      </c>
      <c r="B472" s="55" t="e">
        <v>#N/A</v>
      </c>
      <c r="C472" s="56" t="e">
        <v>#N/A</v>
      </c>
    </row>
    <row r="473" spans="1:3" x14ac:dyDescent="0.2">
      <c r="A473" s="26">
        <f t="shared" si="4"/>
        <v>2030.08</v>
      </c>
      <c r="B473" s="55" t="e">
        <v>#N/A</v>
      </c>
      <c r="C473" s="56" t="e">
        <v>#N/A</v>
      </c>
    </row>
    <row r="474" spans="1:3" x14ac:dyDescent="0.2">
      <c r="A474" s="26">
        <f t="shared" si="4"/>
        <v>2030.09</v>
      </c>
      <c r="B474" s="55" t="e">
        <v>#N/A</v>
      </c>
      <c r="C474" s="56" t="e">
        <v>#N/A</v>
      </c>
    </row>
    <row r="475" spans="1:3" x14ac:dyDescent="0.2">
      <c r="A475" s="26">
        <f t="shared" si="4"/>
        <v>2030.1</v>
      </c>
      <c r="B475" s="55" t="e">
        <v>#N/A</v>
      </c>
      <c r="C475" s="56" t="e">
        <v>#N/A</v>
      </c>
    </row>
    <row r="476" spans="1:3" x14ac:dyDescent="0.2">
      <c r="A476" s="26">
        <f t="shared" si="4"/>
        <v>2030.11</v>
      </c>
      <c r="B476" s="55" t="e">
        <v>#N/A</v>
      </c>
      <c r="C476" s="56" t="e">
        <v>#N/A</v>
      </c>
    </row>
    <row r="477" spans="1:3" x14ac:dyDescent="0.2">
      <c r="A477" s="26">
        <f t="shared" si="4"/>
        <v>2030.12</v>
      </c>
      <c r="B477" s="55" t="e">
        <v>#N/A</v>
      </c>
      <c r="C477" s="56" t="e">
        <v>#N/A</v>
      </c>
    </row>
  </sheetData>
  <hyperlinks>
    <hyperlink ref="A1" location="INDICE!A13" display="VOLVER AL INDICE" xr:uid="{4C3E6618-195A-4380-A410-252084616C94}"/>
  </hyperlinks>
  <printOptions gridLines="1"/>
  <pageMargins left="0.39370078740157483" right="0.39370078740157483" top="0.59055118110236227" bottom="0.59055118110236227" header="0" footer="0"/>
  <pageSetup paperSize="9" scale="50"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59b39ce-e1f9-4933-8424-33b611e6fdcd" xsi:nil="true"/>
    <lcf76f155ced4ddcb4097134ff3c332f xmlns="b5dd4176-d247-4204-85b8-921214f3cce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5B9F2161CEE1040BBC03CB11300495F" ma:contentTypeVersion="12" ma:contentTypeDescription="Crear nuevo documento." ma:contentTypeScope="" ma:versionID="a7cec21613a3259523bdab11a1e26aca">
  <xsd:schema xmlns:xsd="http://www.w3.org/2001/XMLSchema" xmlns:xs="http://www.w3.org/2001/XMLSchema" xmlns:p="http://schemas.microsoft.com/office/2006/metadata/properties" xmlns:ns2="b5dd4176-d247-4204-85b8-921214f3ccea" xmlns:ns3="359b39ce-e1f9-4933-8424-33b611e6fdcd" targetNamespace="http://schemas.microsoft.com/office/2006/metadata/properties" ma:root="true" ma:fieldsID="68943c349d3a016936c8f8cb3335004b" ns2:_="" ns3:_="">
    <xsd:import namespace="b5dd4176-d247-4204-85b8-921214f3ccea"/>
    <xsd:import namespace="359b39ce-e1f9-4933-8424-33b611e6fd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dd4176-d247-4204-85b8-921214f3cc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1529062-7a8b-4d76-943d-e0db5644ee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59b39ce-e1f9-4933-8424-33b611e6fd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73259-0823-4f05-8927-4a40ee49fbe1}" ma:internalName="TaxCatchAll" ma:showField="CatchAllData" ma:web="359b39ce-e1f9-4933-8424-33b611e6fd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F7D30B-52EC-4CD3-8582-A03591C6B036}">
  <ds:schemaRefs>
    <ds:schemaRef ds:uri="http://schemas.microsoft.com/office/2006/metadata/properties"/>
    <ds:schemaRef ds:uri="http://schemas.microsoft.com/office/infopath/2007/PartnerControls"/>
    <ds:schemaRef ds:uri="359b39ce-e1f9-4933-8424-33b611e6fdcd"/>
    <ds:schemaRef ds:uri="b5dd4176-d247-4204-85b8-921214f3ccea"/>
  </ds:schemaRefs>
</ds:datastoreItem>
</file>

<file path=customXml/itemProps2.xml><?xml version="1.0" encoding="utf-8"?>
<ds:datastoreItem xmlns:ds="http://schemas.openxmlformats.org/officeDocument/2006/customXml" ds:itemID="{A6895266-040D-4D25-A5FF-24D438B130B9}">
  <ds:schemaRefs>
    <ds:schemaRef ds:uri="http://schemas.microsoft.com/sharepoint/v3/contenttype/forms"/>
  </ds:schemaRefs>
</ds:datastoreItem>
</file>

<file path=customXml/itemProps3.xml><?xml version="1.0" encoding="utf-8"?>
<ds:datastoreItem xmlns:ds="http://schemas.openxmlformats.org/officeDocument/2006/customXml" ds:itemID="{A140224F-001F-4849-9F03-C61C1159DB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dd4176-d247-4204-85b8-921214f3ccea"/>
    <ds:schemaRef ds:uri="359b39ce-e1f9-4933-8424-33b611e6fd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INDICE</vt:lpstr>
      <vt:lpstr>1.1</vt:lpstr>
      <vt:lpstr>1.2</vt:lpstr>
      <vt:lpstr>1.3</vt:lpstr>
      <vt:lpstr>1.4</vt:lpstr>
      <vt:lpstr>1.5</vt:lpstr>
      <vt:lpstr>1.6</vt:lpstr>
      <vt:lpstr>1.7</vt:lpstr>
      <vt:lpstr>1.8</vt:lpstr>
      <vt:lpstr>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DATA_SFE</dc:title>
  <dc:creator>CES-BCSF</dc:creator>
  <cp:lastModifiedBy>Agustin Rodriguez</cp:lastModifiedBy>
  <cp:lastPrinted>2022-03-04T11:58:42Z</cp:lastPrinted>
  <dcterms:created xsi:type="dcterms:W3CDTF">2005-06-13T15:31:01Z</dcterms:created>
  <dcterms:modified xsi:type="dcterms:W3CDTF">2026-10-06T10:48:44Z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0x010100C5B9F2161CEE1040BBC03CB11300495F</vt:lpwstr>
  </property>
  <property fmtid="{D5CDD505-2E9C-101B-9397-08002B2CF9AE}" pid="3" name="MediaServiceImageTags">
    <vt:lpwstr/>
  </property>
</Properties>
</file>