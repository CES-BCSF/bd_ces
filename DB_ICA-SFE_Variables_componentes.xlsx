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386" documentId="13_ncr:1_{3C5BB4D7-4A39-4CD7-BA14-111BBFB582FC}" xr6:coauthVersionLast="47" xr6:coauthVersionMax="47" xr10:uidLastSave="{6EC3B344-6BD3-4C5B-8BDF-E57263B27127}"/>
  <bookViews>
    <workbookView xWindow="-120" yWindow="-120" windowWidth="29040" windowHeight="1572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8" i="141" l="1"/>
  <c r="A419" i="141"/>
  <c r="A420" i="141"/>
  <c r="A421" i="141"/>
  <c r="A422" i="141"/>
  <c r="A423" i="141"/>
  <c r="A424" i="141"/>
  <c r="A425" i="141"/>
  <c r="A426" i="141"/>
  <c r="A427" i="141"/>
  <c r="A428" i="141"/>
  <c r="A429" i="141"/>
  <c r="A405" i="140"/>
  <c r="A394" i="140"/>
  <c r="A395" i="140"/>
  <c r="A396" i="140"/>
  <c r="A397" i="140"/>
  <c r="A398" i="140"/>
  <c r="A399" i="140"/>
  <c r="A400" i="140"/>
  <c r="A401" i="140"/>
  <c r="A402" i="140"/>
  <c r="A403" i="140"/>
  <c r="A404" i="140"/>
  <c r="A405" i="139"/>
  <c r="A402" i="139"/>
  <c r="A403" i="139"/>
  <c r="A404" i="139"/>
  <c r="A394" i="139"/>
  <c r="A395" i="139"/>
  <c r="A396" i="139"/>
  <c r="A397" i="139"/>
  <c r="A398" i="139"/>
  <c r="A399" i="139"/>
  <c r="A400" i="139"/>
  <c r="A401" i="139"/>
  <c r="A404" i="138"/>
  <c r="A405" i="138"/>
  <c r="A394" i="138"/>
  <c r="A395" i="138"/>
  <c r="A396" i="138"/>
  <c r="A397" i="138"/>
  <c r="A398" i="138"/>
  <c r="A399" i="138"/>
  <c r="A400" i="138"/>
  <c r="A401" i="138"/>
  <c r="A402" i="138"/>
  <c r="A403" i="138"/>
  <c r="A403" i="131"/>
  <c r="A404" i="131"/>
  <c r="A405" i="131"/>
  <c r="A394" i="131"/>
  <c r="A395" i="131"/>
  <c r="A396" i="131"/>
  <c r="A397" i="131"/>
  <c r="A398" i="131"/>
  <c r="A399" i="131"/>
  <c r="A400" i="131"/>
  <c r="A401" i="131"/>
  <c r="A402" i="131"/>
  <c r="A405" i="130"/>
  <c r="A394" i="130"/>
  <c r="A395" i="130"/>
  <c r="A396" i="130"/>
  <c r="A397" i="130"/>
  <c r="A398" i="130"/>
  <c r="A399" i="130"/>
  <c r="A400" i="130"/>
  <c r="A401" i="130"/>
  <c r="A402" i="130"/>
  <c r="A403" i="130"/>
  <c r="A404" i="130"/>
  <c r="A394" i="128"/>
  <c r="A395" i="128"/>
  <c r="A396" i="128"/>
  <c r="A397" i="128"/>
  <c r="A398" i="128"/>
  <c r="A399" i="128"/>
  <c r="A400" i="128"/>
  <c r="A401" i="128"/>
  <c r="A402" i="128"/>
  <c r="A403" i="128"/>
  <c r="A404" i="128"/>
  <c r="A405" i="128"/>
  <c r="A394" i="64"/>
  <c r="A395" i="64"/>
  <c r="A396" i="64"/>
  <c r="A397" i="64"/>
  <c r="A398" i="64"/>
  <c r="A399" i="64"/>
  <c r="A400" i="64"/>
  <c r="A401" i="64"/>
  <c r="A402" i="64"/>
  <c r="A403" i="64"/>
  <c r="A404" i="64"/>
  <c r="A405" i="64"/>
  <c r="A404" i="55"/>
  <c r="A405" i="55"/>
  <c r="A394" i="55"/>
  <c r="A395" i="55"/>
  <c r="A396" i="55"/>
  <c r="A397" i="55"/>
  <c r="A398" i="55"/>
  <c r="A399" i="55"/>
  <c r="A400" i="55"/>
  <c r="A401" i="55"/>
  <c r="A402" i="55"/>
  <c r="A403" i="55"/>
  <c r="G15" i="53" l="1"/>
  <c r="G14" i="53"/>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G22" i="53"/>
  <c r="G21" i="53"/>
  <c r="G20" i="53"/>
  <c r="G19" i="53"/>
  <c r="G18" i="53"/>
  <c r="G17" i="53"/>
  <c r="G16" i="53"/>
  <c r="G24" i="53" l="1"/>
</calcChain>
</file>

<file path=xl/sharedStrings.xml><?xml version="1.0" encoding="utf-8"?>
<sst xmlns="http://schemas.openxmlformats.org/spreadsheetml/2006/main" count="205" uniqueCount="113">
  <si>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</si>
  <si>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</si>
  <si>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</si>
  <si>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</si>
  <si>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</si>
  <si>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</si>
  <si>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</si>
  <si>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</si>
  <si>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</si>
  <si>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</si>
  <si>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</si>
  <si>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</si>
  <si>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</si>
  <si>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</si>
  <si>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</si>
  <si>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</si>
  <si>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</si>
  <si>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</si>
  <si>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</si>
  <si>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</si>
  <si>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</si>
  <si>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</si>
  <si>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</si>
  <si>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</si>
  <si>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</si>
  <si>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</si>
  <si>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</si>
  <si>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</si>
  <si>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</si>
  <si>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</si>
  <si>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</si>
  <si>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</si>
  <si>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</si>
  <si>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</si>
  <si>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</si>
  <si>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</si>
  <si>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</si>
  <si>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</si>
  <si>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</si>
  <si>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</si>
  <si>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</si>
  <si>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</si>
  <si>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</si>
  <si>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</si>
  <si>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</si>
  <si>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</si>
  <si>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</si>
  <si>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</si>
  <si>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</si>
  <si>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</si>
  <si>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</si>
  <si>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</si>
  <si>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</si>
  <si>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</si>
  <si>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</si>
  <si>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</si>
  <si>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</si>
  <si>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</si>
  <si>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</si>
  <si>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</si>
  <si>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</si>
  <si>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</si>
  <si>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</si>
  <si>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</si>
  <si>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</si>
  <si>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</si>
  <si>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</si>
  <si>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</si>
  <si>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</si>
  <si>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</si>
  <si>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</si>
  <si>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</si>
  <si>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</si>
  <si>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</si>
  <si>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</si>
  <si>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</si>
  <si>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</si>
  <si>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</si>
  <si>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</si>
  <si>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</si>
  <si>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</si>
  <si>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</si>
  <si>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</si>
  <si>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</si>
  <si>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</si>
  <si>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</si>
  <si>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</si>
  <si>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</si>
  <si>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</si>
  <si>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</si>
  <si>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</si>
  <si>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</si>
  <si>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</si>
  <si>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</si>
  <si>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</si>
  <si>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</si>
  <si>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</si>
  <si>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</si>
  <si>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</si>
  <si>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</si>
  <si>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</si>
  <si>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</si>
  <si>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</si>
  <si>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</si>
  <si>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</si>
  <si>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</si>
  <si>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</si>
  <si>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</si>
  <si>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t>Índice Compuesto Coincidente de Actividad Económica de Argentina (ICA-ARG)</t>
  </si>
  <si>
    <t>Índice base 2004=100</t>
  </si>
  <si>
    <t>Índice Base 2004=100</t>
  </si>
  <si>
    <t>Índice base 2010=100</t>
  </si>
  <si>
    <r>
      <rPr>
        <b/>
        <u/>
        <sz val="9.35"/>
        <rFont val="Arial"/>
        <family val="2"/>
      </rPr>
      <t>Última actualización</t>
    </r>
    <r>
      <rPr>
        <b/>
        <sz val="11"/>
        <rFont val="Arial"/>
        <family val="2"/>
      </rPr>
      <t>: 03/09/2026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</si>
</sst>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6">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style="medium">
        <color indexed="64"/>
      </bottom>
      <diagonal/>
    </border>
    <border>
      <left style="dashed">
        <color theme="0"/>
      </left>
      <right style="medium">
        <color indexed="64"/>
      </right>
      <top style="medium">
        <color indexed="64"/>
      </top>
      <bottom/>
      <diagonal/>
    </border>
    <border>
      <left style="thin">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7">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0" fontId="60" fillId="2" borderId="8" xfId="0" applyFont="1" applyFill="1" applyBorder="1" applyAlignment="1">
      <alignment horizontal="centerContinuous" vertical="center" wrapText="1"/>
    </xf>
    <xf numFmtId="1" fontId="61" fillId="2" borderId="9" xfId="0" applyNumberFormat="1" applyFont="1" applyFill="1" applyBorder="1" applyAlignment="1">
      <alignment horizontal="center"/>
    </xf>
    <xf numFmtId="0" fontId="53" fillId="2" borderId="9" xfId="0" applyFont="1" applyFill="1" applyBorder="1" applyAlignment="1">
      <alignment horizontal="center" vertical="center" wrapText="1"/>
    </xf>
    <xf numFmtId="10" fontId="53" fillId="2" borderId="9" xfId="0" applyNumberFormat="1" applyFont="1" applyFill="1" applyBorder="1" applyAlignment="1">
      <alignment horizontal="center" vertical="center" wrapText="1"/>
    </xf>
    <xf numFmtId="1" fontId="60" fillId="2" borderId="9" xfId="0" applyNumberFormat="1" applyFont="1" applyFill="1" applyBorder="1" applyAlignment="1">
      <alignment horizontal="center" vertical="center"/>
    </xf>
    <xf numFmtId="0" fontId="60" fillId="2" borderId="53" xfId="0" applyFont="1" applyFill="1" applyBorder="1" applyAlignment="1">
      <alignment horizontal="center" vertical="center" wrapText="1"/>
    </xf>
    <xf numFmtId="1" fontId="76" fillId="3" borderId="54" xfId="14" applyNumberFormat="1" applyFont="1" applyFill="1" applyBorder="1" applyProtection="1"/>
    <xf numFmtId="1" fontId="53" fillId="0" borderId="55"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A8" sqref="A8"/>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18</v>
      </c>
    </row>
    <row r="4" spans="1:9" x14ac:dyDescent="0.2">
      <c r="E4" s="6" t="s">
        <v>27</v>
      </c>
    </row>
    <row r="5" spans="1:9" x14ac:dyDescent="0.2">
      <c r="E5" s="6" t="s">
        <v>2</v>
      </c>
    </row>
    <row r="6" spans="1:9" x14ac:dyDescent="0.2">
      <c r="E6" s="6" t="s">
        <v>17</v>
      </c>
    </row>
    <row r="7" spans="1:9" x14ac:dyDescent="0.2">
      <c r="A7" s="2" t="s">
        <v>1</v>
      </c>
      <c r="E7" s="6"/>
    </row>
    <row r="8" spans="1:9" s="69" customFormat="1" ht="20.100000000000001" customHeight="1" x14ac:dyDescent="0.2">
      <c r="C8" s="69" t="s">
        <v>79</v>
      </c>
    </row>
    <row r="9" spans="1:9" s="19" customFormat="1" ht="4.5" customHeight="1" x14ac:dyDescent="0.2"/>
    <row r="10" spans="1:9" s="19" customFormat="1" ht="20.25" customHeight="1" x14ac:dyDescent="0.2">
      <c r="C10" s="20" t="s">
        <v>112</v>
      </c>
      <c r="F10" s="29"/>
    </row>
    <row r="11" spans="1:9" s="19" customFormat="1" ht="20.25" customHeight="1" x14ac:dyDescent="0.2">
      <c r="C11" s="20" t="s">
        <v>80</v>
      </c>
    </row>
    <row r="12" spans="1:9" s="5" customFormat="1" x14ac:dyDescent="0.2"/>
    <row r="13" spans="1:9" s="70" customFormat="1" ht="20.100000000000001" customHeight="1" x14ac:dyDescent="0.2">
      <c r="A13" s="70" t="s">
        <v>1</v>
      </c>
      <c r="C13" s="70" t="s">
        <v>78</v>
      </c>
      <c r="F13" s="71" t="s">
        <v>6</v>
      </c>
      <c r="G13" s="71" t="s">
        <v>5</v>
      </c>
      <c r="H13" s="71" t="s">
        <v>11</v>
      </c>
    </row>
    <row r="14" spans="1:9" s="8" customFormat="1" ht="19.5" customHeight="1" x14ac:dyDescent="0.2">
      <c r="A14" s="72"/>
      <c r="B14" s="72"/>
      <c r="C14" s="73" t="s">
        <v>95</v>
      </c>
      <c r="D14" s="73"/>
      <c r="E14" s="73"/>
      <c r="F14" s="32" t="s">
        <v>4</v>
      </c>
      <c r="G14" s="32">
        <f>COLUMNS('1.1'!C:P)</f>
        <v>14</v>
      </c>
      <c r="H14" s="32">
        <v>1994.01</v>
      </c>
      <c r="I14" s="31"/>
    </row>
    <row r="15" spans="1:9" s="8" customFormat="1" ht="20.100000000000001" customHeight="1" x14ac:dyDescent="0.2">
      <c r="A15" s="72"/>
      <c r="B15" s="72"/>
      <c r="C15" s="74" t="s">
        <v>97</v>
      </c>
      <c r="D15" s="73"/>
      <c r="E15" s="73"/>
      <c r="F15" s="32" t="s">
        <v>4</v>
      </c>
      <c r="G15" s="32">
        <f>COLUMNS('1.2'!B:C)</f>
        <v>2</v>
      </c>
      <c r="H15" s="32">
        <v>1994.01</v>
      </c>
      <c r="I15" s="31"/>
    </row>
    <row r="16" spans="1:9" s="8" customFormat="1" ht="19.5" customHeight="1" x14ac:dyDescent="0.2">
      <c r="A16" s="72"/>
      <c r="B16" s="72"/>
      <c r="C16" s="74" t="s">
        <v>90</v>
      </c>
      <c r="D16" s="73"/>
      <c r="E16" s="73"/>
      <c r="F16" s="32" t="s">
        <v>4</v>
      </c>
      <c r="G16" s="32">
        <f>COLUMNS('1.2'!B:C)</f>
        <v>2</v>
      </c>
      <c r="H16" s="32">
        <v>1994.01</v>
      </c>
      <c r="I16" s="31"/>
    </row>
    <row r="17" spans="1:32" s="8" customFormat="1" ht="19.5" customHeight="1" x14ac:dyDescent="0.2">
      <c r="A17" s="72"/>
      <c r="B17" s="72"/>
      <c r="C17" s="74" t="s">
        <v>99</v>
      </c>
      <c r="D17" s="73"/>
      <c r="E17" s="73"/>
      <c r="F17" s="32" t="s">
        <v>4</v>
      </c>
      <c r="G17" s="32">
        <f>COLUMNS('1.2'!B:C)</f>
        <v>2</v>
      </c>
      <c r="H17" s="32">
        <v>1994.01</v>
      </c>
      <c r="I17" s="31"/>
      <c r="J17" s="8" t="s">
        <v>98</v>
      </c>
      <c r="K17" s="8" t="s">
        <v>96</v>
      </c>
    </row>
    <row r="18" spans="1:32" s="31" customFormat="1" ht="19.5" customHeight="1" x14ac:dyDescent="0.2">
      <c r="A18" s="75"/>
      <c r="B18" s="75"/>
      <c r="C18" s="74" t="s">
        <v>104</v>
      </c>
      <c r="D18" s="73"/>
      <c r="E18" s="73"/>
      <c r="F18" s="64" t="s">
        <v>4</v>
      </c>
      <c r="G18" s="64">
        <f>COLUMNS('1.2'!B:C)</f>
        <v>2</v>
      </c>
      <c r="H18" s="64">
        <v>1994.01</v>
      </c>
      <c r="I18" s="63"/>
    </row>
    <row r="19" spans="1:32" s="8" customFormat="1" ht="19.5" customHeight="1" x14ac:dyDescent="0.2">
      <c r="A19" s="72"/>
      <c r="B19" s="72"/>
      <c r="C19" s="74" t="s">
        <v>86</v>
      </c>
      <c r="D19" s="73"/>
      <c r="E19" s="73"/>
      <c r="F19" s="32" t="s">
        <v>4</v>
      </c>
      <c r="G19" s="32">
        <f>COLUMNS('1.2'!B:C)</f>
        <v>2</v>
      </c>
      <c r="H19" s="32">
        <v>1994.01</v>
      </c>
      <c r="I19" s="31"/>
    </row>
    <row r="20" spans="1:32" s="8" customFormat="1" ht="19.5" customHeight="1" x14ac:dyDescent="0.2">
      <c r="A20" s="72"/>
      <c r="B20" s="72"/>
      <c r="C20" s="74" t="s">
        <v>84</v>
      </c>
      <c r="D20" s="73"/>
      <c r="E20" s="73"/>
      <c r="F20" s="32" t="s">
        <v>4</v>
      </c>
      <c r="G20" s="32">
        <f>COLUMNS('1.2'!B:C)</f>
        <v>2</v>
      </c>
      <c r="H20" s="32">
        <v>1994.01</v>
      </c>
      <c r="I20" s="31"/>
    </row>
    <row r="21" spans="1:32" s="8" customFormat="1" ht="19.5" customHeight="1" x14ac:dyDescent="0.2">
      <c r="A21" s="72"/>
      <c r="B21" s="72"/>
      <c r="C21" s="74" t="s">
        <v>88</v>
      </c>
      <c r="D21" s="73"/>
      <c r="E21" s="73"/>
      <c r="F21" s="32" t="s">
        <v>4</v>
      </c>
      <c r="G21" s="32">
        <f>COLUMNS('1.2'!B:C)</f>
        <v>2</v>
      </c>
      <c r="H21" s="32">
        <v>1994.01</v>
      </c>
      <c r="I21" s="31"/>
    </row>
    <row r="22" spans="1:32" s="8" customFormat="1" ht="19.5" customHeight="1" x14ac:dyDescent="0.2">
      <c r="A22" s="72"/>
      <c r="B22" s="72"/>
      <c r="C22" s="74" t="s">
        <v>93</v>
      </c>
      <c r="D22" s="73"/>
      <c r="E22" s="73"/>
      <c r="F22" s="32" t="s">
        <v>4</v>
      </c>
      <c r="G22" s="32">
        <f>COLUMNS('1.2'!B:C)</f>
        <v>2</v>
      </c>
      <c r="H22" s="32">
        <v>1994.01</v>
      </c>
      <c r="I22" s="31"/>
    </row>
    <row r="23" spans="1:32" s="8" customFormat="1" ht="3.75" customHeight="1" x14ac:dyDescent="0.2">
      <c r="C23" s="10"/>
      <c r="F23" s="21"/>
      <c r="G23" s="85"/>
      <c r="H23" s="87"/>
    </row>
    <row r="24" spans="1:32" s="8" customFormat="1" ht="20.100000000000001" customHeight="1" x14ac:dyDescent="0.2">
      <c r="C24" s="10"/>
      <c r="E24" s="22" t="s">
        <v>13</v>
      </c>
      <c r="F24" s="23"/>
      <c r="G24" s="86">
        <f>SUM(G14:G22)</f>
        <v>30</v>
      </c>
      <c r="H24" s="87"/>
    </row>
    <row r="25" spans="1:32" s="8" customFormat="1" ht="3.75" customHeight="1" x14ac:dyDescent="0.2">
      <c r="C25" s="10"/>
      <c r="F25" s="12"/>
      <c r="G25" s="85"/>
      <c r="H25" s="88"/>
    </row>
    <row r="26" spans="1:32" s="8" customFormat="1" ht="20.100000000000001" customHeight="1" x14ac:dyDescent="0.2">
      <c r="C26" s="20"/>
      <c r="F26" s="12"/>
      <c r="G26" s="11"/>
      <c r="H26" s="9"/>
    </row>
    <row r="27" spans="1:32" s="31"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8"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8"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8"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8"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8"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8"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8"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8"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8"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8"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8"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8"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8"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8"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8"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8"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G394" activePane="bottomRight" state="frozen"/>
      <selection pane="topRight" activeCell="C1" sqref="C1"/>
      <selection pane="bottomLeft" activeCell="A10" sqref="A10"/>
      <selection pane="bottomRight" activeCell="L406" sqref="L406"/>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2" customWidth="1"/>
    <col min="18" max="19" width="10.7109375" style="1" customWidth="1"/>
    <col min="20" max="16384" width="11.42578125" style="1"/>
  </cols>
  <sheetData>
    <row r="1" spans="1:17" s="3" customFormat="1" ht="3" customHeight="1" x14ac:dyDescent="0.2">
      <c r="A1" s="84"/>
      <c r="B1" s="84"/>
      <c r="C1" s="17"/>
      <c r="D1" s="18"/>
      <c r="E1" s="18"/>
      <c r="F1" s="18"/>
      <c r="G1" s="18"/>
      <c r="H1" s="18"/>
      <c r="I1" s="18"/>
      <c r="J1" s="18"/>
      <c r="K1" s="18"/>
      <c r="L1" s="18"/>
      <c r="M1" s="18"/>
      <c r="N1" s="18"/>
      <c r="O1" s="18"/>
      <c r="P1" s="18"/>
      <c r="Q1" s="100"/>
    </row>
    <row r="2" spans="1:17" s="3" customFormat="1" ht="67.5" x14ac:dyDescent="0.2">
      <c r="A2" s="76" t="s">
        <v>9</v>
      </c>
      <c r="B2" s="76"/>
      <c r="C2" s="16" t="s">
        <v>77</v>
      </c>
      <c r="D2" s="15"/>
      <c r="E2" s="15"/>
      <c r="F2" s="15"/>
      <c r="G2" s="15"/>
      <c r="H2" s="15"/>
      <c r="I2" s="15"/>
      <c r="J2" s="15"/>
      <c r="K2" s="15"/>
      <c r="L2" s="15"/>
      <c r="M2" s="15"/>
      <c r="N2" s="15"/>
      <c r="O2" s="15"/>
      <c r="P2" s="99"/>
      <c r="Q2" s="13" t="s">
        <v>108</v>
      </c>
    </row>
    <row r="3" spans="1:17" s="3" customFormat="1" x14ac:dyDescent="0.2">
      <c r="A3" s="76" t="s">
        <v>16</v>
      </c>
      <c r="B3" s="76"/>
      <c r="C3" s="16" t="s">
        <v>28</v>
      </c>
      <c r="D3" s="15"/>
      <c r="E3" s="15"/>
      <c r="F3" s="15"/>
      <c r="G3" s="15"/>
      <c r="H3" s="15"/>
      <c r="I3" s="15"/>
      <c r="J3" s="15"/>
      <c r="K3" s="15"/>
      <c r="L3" s="15"/>
      <c r="M3" s="15"/>
      <c r="N3" s="15"/>
      <c r="O3" s="15"/>
      <c r="P3" s="99"/>
      <c r="Q3" s="13" t="s">
        <v>1</v>
      </c>
    </row>
    <row r="4" spans="1:17" s="3" customFormat="1" ht="3" customHeight="1" x14ac:dyDescent="0.2">
      <c r="A4" s="77"/>
      <c r="B4" s="77"/>
      <c r="C4" s="17"/>
      <c r="D4" s="18"/>
      <c r="E4" s="18"/>
      <c r="F4" s="18"/>
      <c r="G4" s="18"/>
      <c r="H4" s="18"/>
      <c r="I4" s="18"/>
      <c r="J4" s="18"/>
      <c r="K4" s="18"/>
      <c r="L4" s="18"/>
      <c r="M4" s="18"/>
      <c r="N4" s="18"/>
      <c r="O4" s="18"/>
      <c r="P4" s="18"/>
      <c r="Q4" s="100"/>
    </row>
    <row r="5" spans="1:17" s="3" customFormat="1" ht="33.75" x14ac:dyDescent="0.2">
      <c r="A5" s="78" t="s">
        <v>10</v>
      </c>
      <c r="B5" s="76"/>
      <c r="C5" s="14" t="s">
        <v>14</v>
      </c>
      <c r="D5" s="44" t="s">
        <v>15</v>
      </c>
      <c r="E5" s="44" t="s">
        <v>35</v>
      </c>
      <c r="F5" s="44" t="s">
        <v>36</v>
      </c>
      <c r="G5" s="44" t="s">
        <v>37</v>
      </c>
      <c r="H5" s="44" t="s">
        <v>51</v>
      </c>
      <c r="I5" s="44" t="s">
        <v>52</v>
      </c>
      <c r="J5" s="44" t="s">
        <v>53</v>
      </c>
      <c r="K5" s="44" t="s">
        <v>82</v>
      </c>
      <c r="L5" s="44" t="s">
        <v>65</v>
      </c>
      <c r="M5" s="44" t="s">
        <v>81</v>
      </c>
      <c r="N5" s="44" t="s">
        <v>64</v>
      </c>
      <c r="O5" s="44" t="s">
        <v>29</v>
      </c>
      <c r="P5" s="93" t="s">
        <v>30</v>
      </c>
      <c r="Q5" s="101" t="s">
        <v>107</v>
      </c>
    </row>
    <row r="6" spans="1:17" s="3" customFormat="1" x14ac:dyDescent="0.2">
      <c r="A6" s="79"/>
      <c r="B6" s="80"/>
      <c r="C6" s="17"/>
      <c r="D6" s="18"/>
      <c r="E6" s="18"/>
      <c r="F6" s="18"/>
      <c r="G6" s="18"/>
      <c r="H6" s="18"/>
      <c r="I6" s="18"/>
      <c r="J6" s="18"/>
      <c r="K6" s="18"/>
      <c r="L6" s="18"/>
      <c r="M6" s="18"/>
      <c r="N6" s="18"/>
      <c r="O6" s="18"/>
      <c r="P6" s="18"/>
      <c r="Q6" s="100"/>
    </row>
    <row r="7" spans="1:17" s="3" customFormat="1" ht="22.5" x14ac:dyDescent="0.2">
      <c r="A7" s="78" t="s">
        <v>68</v>
      </c>
      <c r="B7" s="76"/>
      <c r="C7" s="14" t="s">
        <v>109</v>
      </c>
      <c r="D7" s="41" t="s">
        <v>0</v>
      </c>
      <c r="E7" s="41" t="s">
        <v>0</v>
      </c>
      <c r="F7" s="41" t="s">
        <v>0</v>
      </c>
      <c r="G7" s="41" t="s">
        <v>0</v>
      </c>
      <c r="H7" s="41" t="s">
        <v>0</v>
      </c>
      <c r="I7" s="41" t="s">
        <v>0</v>
      </c>
      <c r="J7" s="41" t="s">
        <v>0</v>
      </c>
      <c r="K7" s="46" t="s">
        <v>62</v>
      </c>
      <c r="L7" s="41" t="s">
        <v>54</v>
      </c>
      <c r="M7" s="46" t="s">
        <v>110</v>
      </c>
      <c r="N7" s="46" t="s">
        <v>54</v>
      </c>
      <c r="O7" s="46" t="s">
        <v>66</v>
      </c>
      <c r="P7" s="94" t="s">
        <v>67</v>
      </c>
      <c r="Q7" s="102" t="s">
        <v>66</v>
      </c>
    </row>
    <row r="8" spans="1:17" s="3" customFormat="1" x14ac:dyDescent="0.2">
      <c r="A8" s="81" t="s">
        <v>23</v>
      </c>
      <c r="B8" s="81"/>
      <c r="C8" s="89" t="s">
        <v>19</v>
      </c>
      <c r="D8" s="90" t="s">
        <v>20</v>
      </c>
      <c r="E8" s="90" t="s">
        <v>21</v>
      </c>
      <c r="F8" s="90" t="s">
        <v>31</v>
      </c>
      <c r="G8" s="90" t="s">
        <v>32</v>
      </c>
      <c r="H8" s="90" t="s">
        <v>33</v>
      </c>
      <c r="I8" s="90" t="s">
        <v>34</v>
      </c>
      <c r="J8" s="90" t="s">
        <v>55</v>
      </c>
      <c r="K8" s="90" t="s">
        <v>56</v>
      </c>
      <c r="L8" s="90" t="s">
        <v>57</v>
      </c>
      <c r="M8" s="90" t="s">
        <v>58</v>
      </c>
      <c r="N8" s="90" t="s">
        <v>59</v>
      </c>
      <c r="O8" s="90" t="s">
        <v>60</v>
      </c>
      <c r="P8" s="95" t="s">
        <v>61</v>
      </c>
      <c r="Q8" s="103" t="s">
        <v>106</v>
      </c>
    </row>
    <row r="9" spans="1:17" s="4" customFormat="1" ht="13.5" thickBot="1" x14ac:dyDescent="0.25">
      <c r="A9" s="82"/>
      <c r="B9" s="83"/>
      <c r="C9" s="27"/>
      <c r="D9" s="42"/>
      <c r="E9" s="42"/>
      <c r="F9" s="42"/>
      <c r="G9" s="42"/>
      <c r="H9" s="42"/>
      <c r="I9" s="42"/>
      <c r="J9" s="42"/>
      <c r="K9" s="42"/>
      <c r="L9" s="42"/>
      <c r="M9" s="42"/>
      <c r="N9" s="42"/>
      <c r="O9" s="42"/>
      <c r="P9" s="96"/>
      <c r="Q9" s="104"/>
    </row>
    <row r="10" spans="1:17" x14ac:dyDescent="0.2">
      <c r="A10" s="28">
        <v>1994.01</v>
      </c>
      <c r="B10" s="28"/>
      <c r="C10" s="52">
        <v>80.584149746931672</v>
      </c>
      <c r="D10" s="43"/>
      <c r="E10" s="45"/>
      <c r="F10" s="43"/>
      <c r="G10" s="43"/>
      <c r="H10" s="53">
        <v>-1.2466324963305526E-2</v>
      </c>
      <c r="I10" s="53">
        <v>5.023126278076611E-2</v>
      </c>
      <c r="J10" s="53">
        <v>1.8882468908730292E-2</v>
      </c>
      <c r="K10" s="52">
        <v>77.210536827399196</v>
      </c>
      <c r="L10" s="53">
        <v>4.1565842479954762E-2</v>
      </c>
      <c r="M10" s="52">
        <v>98.294103455441132</v>
      </c>
      <c r="N10" s="43"/>
      <c r="O10" s="54">
        <v>0</v>
      </c>
      <c r="P10" s="97">
        <v>0</v>
      </c>
      <c r="Q10" s="105">
        <v>0</v>
      </c>
    </row>
    <row r="11" spans="1:17" x14ac:dyDescent="0.2">
      <c r="A11" s="28">
        <v>1994.02</v>
      </c>
      <c r="B11" s="28"/>
      <c r="C11" s="55">
        <v>80.286715779103233</v>
      </c>
      <c r="D11" s="53">
        <v>-3.6978020323982959E-3</v>
      </c>
      <c r="E11" s="43"/>
      <c r="F11" s="43"/>
      <c r="G11" s="43"/>
      <c r="H11" s="56">
        <v>0</v>
      </c>
      <c r="I11" s="56">
        <v>0</v>
      </c>
      <c r="J11" s="56">
        <v>0</v>
      </c>
      <c r="K11" s="55">
        <v>77.342324523073401</v>
      </c>
      <c r="L11" s="56">
        <v>3.6097505668567287E-2</v>
      </c>
      <c r="M11" s="55">
        <v>97.776472411358355</v>
      </c>
      <c r="N11" s="57"/>
      <c r="O11" s="58">
        <v>0</v>
      </c>
      <c r="P11" s="98">
        <v>0</v>
      </c>
      <c r="Q11" s="106">
        <v>0</v>
      </c>
    </row>
    <row r="12" spans="1:17" x14ac:dyDescent="0.2">
      <c r="A12" s="28">
        <v>1994.03</v>
      </c>
      <c r="B12" s="28"/>
      <c r="C12" s="55">
        <v>80.432525355014988</v>
      </c>
      <c r="D12" s="56">
        <v>1.8144637180546163E-3</v>
      </c>
      <c r="E12" s="43"/>
      <c r="F12" s="43"/>
      <c r="G12" s="43"/>
      <c r="H12" s="56">
        <v>0</v>
      </c>
      <c r="I12" s="56">
        <v>0</v>
      </c>
      <c r="J12" s="56">
        <v>0</v>
      </c>
      <c r="K12" s="55">
        <v>77.474138263808996</v>
      </c>
      <c r="L12" s="56">
        <v>3.6354493161950829E-2</v>
      </c>
      <c r="M12" s="55">
        <v>97.799179262587117</v>
      </c>
      <c r="N12" s="57"/>
      <c r="O12" s="58">
        <v>0</v>
      </c>
      <c r="P12" s="98">
        <v>0</v>
      </c>
      <c r="Q12" s="106">
        <v>0</v>
      </c>
    </row>
    <row r="13" spans="1:17" x14ac:dyDescent="0.2">
      <c r="A13" s="28">
        <v>1994.04</v>
      </c>
      <c r="B13" s="28"/>
      <c r="C13" s="55">
        <v>80.577126299749537</v>
      </c>
      <c r="D13" s="56">
        <v>1.7961778331305534E-3</v>
      </c>
      <c r="E13" s="43"/>
      <c r="F13" s="45"/>
      <c r="G13" s="43"/>
      <c r="H13" s="56">
        <v>0</v>
      </c>
      <c r="I13" s="56">
        <v>0</v>
      </c>
      <c r="J13" s="56">
        <v>0</v>
      </c>
      <c r="K13" s="55">
        <v>77.606026828188007</v>
      </c>
      <c r="L13" s="56">
        <v>3.6591635215460494E-2</v>
      </c>
      <c r="M13" s="55">
        <v>97.820102643584733</v>
      </c>
      <c r="N13" s="57"/>
      <c r="O13" s="58">
        <v>0</v>
      </c>
      <c r="P13" s="98">
        <v>0</v>
      </c>
      <c r="Q13" s="106">
        <v>0</v>
      </c>
    </row>
    <row r="14" spans="1:17" x14ac:dyDescent="0.2">
      <c r="A14" s="28">
        <v>1994.05</v>
      </c>
      <c r="B14" s="28"/>
      <c r="C14" s="55">
        <v>80.976353798276477</v>
      </c>
      <c r="D14" s="56">
        <v>4.9423672079982658E-3</v>
      </c>
      <c r="E14" s="43"/>
      <c r="F14" s="43"/>
      <c r="G14" s="43"/>
      <c r="H14" s="56">
        <v>0</v>
      </c>
      <c r="I14" s="56">
        <v>0</v>
      </c>
      <c r="J14" s="56">
        <v>0</v>
      </c>
      <c r="K14" s="55">
        <v>77.738061836379003</v>
      </c>
      <c r="L14" s="56">
        <v>4.0094155377373042E-2</v>
      </c>
      <c r="M14" s="55">
        <v>98.14934165989466</v>
      </c>
      <c r="N14" s="57"/>
      <c r="O14" s="58">
        <v>0</v>
      </c>
      <c r="P14" s="98">
        <v>0</v>
      </c>
      <c r="Q14" s="106">
        <v>0</v>
      </c>
    </row>
    <row r="15" spans="1:17" x14ac:dyDescent="0.2">
      <c r="A15" s="28">
        <v>1994.06</v>
      </c>
      <c r="B15" s="28"/>
      <c r="C15" s="55">
        <v>81.010655908383782</v>
      </c>
      <c r="D15" s="56">
        <v>4.2351680770140232E-4</v>
      </c>
      <c r="E15" s="43"/>
      <c r="F15" s="43"/>
      <c r="G15" s="43"/>
      <c r="H15" s="56">
        <v>0</v>
      </c>
      <c r="I15" s="56">
        <v>0</v>
      </c>
      <c r="J15" s="56">
        <v>0</v>
      </c>
      <c r="K15" s="55">
        <v>77.870337847927402</v>
      </c>
      <c r="L15" s="56">
        <v>3.8900159629768671E-2</v>
      </c>
      <c r="M15" s="55">
        <v>98.035677799820192</v>
      </c>
      <c r="N15" s="57"/>
      <c r="O15" s="58">
        <v>0</v>
      </c>
      <c r="P15" s="98">
        <v>0</v>
      </c>
      <c r="Q15" s="106">
        <v>0</v>
      </c>
    </row>
    <row r="16" spans="1:17" x14ac:dyDescent="0.2">
      <c r="A16" s="28">
        <v>1994.07</v>
      </c>
      <c r="B16" s="28"/>
      <c r="C16" s="55">
        <v>81.267373212621635</v>
      </c>
      <c r="D16" s="56">
        <v>3.1639220636581018E-3</v>
      </c>
      <c r="E16" s="43"/>
      <c r="F16" s="57"/>
      <c r="G16" s="57"/>
      <c r="H16" s="56">
        <v>0</v>
      </c>
      <c r="I16" s="56">
        <v>0</v>
      </c>
      <c r="J16" s="56">
        <v>0</v>
      </c>
      <c r="K16" s="55">
        <v>78.002974423635393</v>
      </c>
      <c r="L16" s="56">
        <v>4.0550557632146988E-2</v>
      </c>
      <c r="M16" s="55">
        <v>98.19085995790175</v>
      </c>
      <c r="N16" s="52">
        <v>54.750704216808636</v>
      </c>
      <c r="O16" s="58">
        <v>0</v>
      </c>
      <c r="P16" s="98">
        <v>0</v>
      </c>
      <c r="Q16" s="106">
        <v>0</v>
      </c>
    </row>
    <row r="17" spans="1:17" x14ac:dyDescent="0.2">
      <c r="A17" s="28">
        <v>1994.08</v>
      </c>
      <c r="B17" s="28"/>
      <c r="C17" s="55">
        <v>80.80803791485225</v>
      </c>
      <c r="D17" s="56">
        <v>-5.6681827845247758E-3</v>
      </c>
      <c r="E17" s="43"/>
      <c r="F17" s="57"/>
      <c r="G17" s="57"/>
      <c r="H17" s="56">
        <v>0</v>
      </c>
      <c r="I17" s="56">
        <v>0</v>
      </c>
      <c r="J17" s="56">
        <v>0</v>
      </c>
      <c r="K17" s="55">
        <v>78.136115369873593</v>
      </c>
      <c r="L17" s="56">
        <v>3.3032841609260011E-2</v>
      </c>
      <c r="M17" s="55">
        <v>97.481507567428409</v>
      </c>
      <c r="N17" s="55">
        <v>51.390991973677401</v>
      </c>
      <c r="O17" s="58">
        <v>0</v>
      </c>
      <c r="P17" s="98">
        <v>0</v>
      </c>
      <c r="Q17" s="106">
        <v>0</v>
      </c>
    </row>
    <row r="18" spans="1:17" x14ac:dyDescent="0.2">
      <c r="A18" s="28">
        <v>1994.09</v>
      </c>
      <c r="B18" s="28"/>
      <c r="C18" s="55">
        <v>81.66795753522338</v>
      </c>
      <c r="D18" s="56">
        <v>1.0585288581911923E-2</v>
      </c>
      <c r="E18" s="43"/>
      <c r="F18" s="43"/>
      <c r="G18" s="43"/>
      <c r="H18" s="56">
        <v>0</v>
      </c>
      <c r="I18" s="56">
        <v>0</v>
      </c>
      <c r="J18" s="56">
        <v>0</v>
      </c>
      <c r="K18" s="55">
        <v>78.269929696096696</v>
      </c>
      <c r="L18" s="56">
        <v>4.2366058215602242E-2</v>
      </c>
      <c r="M18" s="55">
        <v>98.363099063043393</v>
      </c>
      <c r="N18" s="55">
        <v>56.430560338374242</v>
      </c>
      <c r="O18" s="58">
        <v>0</v>
      </c>
      <c r="P18" s="98">
        <v>0</v>
      </c>
      <c r="Q18" s="106">
        <v>0</v>
      </c>
    </row>
    <row r="19" spans="1:17" x14ac:dyDescent="0.2">
      <c r="A19" s="28">
        <v>1994.1</v>
      </c>
      <c r="B19" s="28"/>
      <c r="C19" s="55">
        <v>82.018457164202999</v>
      </c>
      <c r="D19" s="56">
        <v>4.2825809987705535E-3</v>
      </c>
      <c r="E19" s="43"/>
      <c r="F19" s="43"/>
      <c r="G19" s="43"/>
      <c r="H19" s="56">
        <v>0</v>
      </c>
      <c r="I19" s="56">
        <v>0</v>
      </c>
      <c r="J19" s="56">
        <v>0</v>
      </c>
      <c r="K19" s="55">
        <v>78.404607042483605</v>
      </c>
      <c r="L19" s="56">
        <v>4.5164244512816865E-2</v>
      </c>
      <c r="M19" s="55">
        <v>98.629070102633747</v>
      </c>
      <c r="N19" s="55">
        <v>58.110416459939856</v>
      </c>
      <c r="O19" s="58">
        <v>0</v>
      </c>
      <c r="P19" s="98">
        <v>0</v>
      </c>
      <c r="Q19" s="106">
        <v>0</v>
      </c>
    </row>
    <row r="20" spans="1:17" x14ac:dyDescent="0.2">
      <c r="A20" s="28">
        <v>1994.11</v>
      </c>
      <c r="B20" s="28"/>
      <c r="C20" s="55">
        <v>82.034443262491394</v>
      </c>
      <c r="D20" s="56">
        <v>1.9488955449623526E-4</v>
      </c>
      <c r="E20" s="43"/>
      <c r="F20" s="43"/>
      <c r="G20" s="43"/>
      <c r="H20" s="56">
        <v>0</v>
      </c>
      <c r="I20" s="56">
        <v>0</v>
      </c>
      <c r="J20" s="56">
        <v>0</v>
      </c>
      <c r="K20" s="55">
        <v>78.540363282327704</v>
      </c>
      <c r="L20" s="56">
        <v>4.3681023987823364E-2</v>
      </c>
      <c r="M20" s="55">
        <v>98.492330077986125</v>
      </c>
      <c r="N20" s="55">
        <v>53.070848095243022</v>
      </c>
      <c r="O20" s="58">
        <v>1</v>
      </c>
      <c r="P20" s="98">
        <v>1</v>
      </c>
      <c r="Q20" s="106">
        <v>0</v>
      </c>
    </row>
    <row r="21" spans="1:17" x14ac:dyDescent="0.2">
      <c r="A21" s="28">
        <v>1994.12</v>
      </c>
      <c r="B21" s="28"/>
      <c r="C21" s="55">
        <v>81.699582768185479</v>
      </c>
      <c r="D21" s="56">
        <v>-4.0903038823553589E-3</v>
      </c>
      <c r="E21" s="43"/>
      <c r="F21" s="43"/>
      <c r="G21" s="43"/>
      <c r="H21" s="56">
        <v>0</v>
      </c>
      <c r="I21" s="56">
        <v>0</v>
      </c>
      <c r="J21" s="56">
        <v>0</v>
      </c>
      <c r="K21" s="55">
        <v>78.677442186812002</v>
      </c>
      <c r="L21" s="56">
        <v>3.7726501601524909E-2</v>
      </c>
      <c r="M21" s="55">
        <v>97.935207848600001</v>
      </c>
      <c r="N21" s="55">
        <v>48.031279730546181</v>
      </c>
      <c r="O21" s="58">
        <v>1</v>
      </c>
      <c r="P21" s="98">
        <v>1</v>
      </c>
      <c r="Q21" s="106">
        <v>0</v>
      </c>
    </row>
    <row r="22" spans="1:17" x14ac:dyDescent="0.2">
      <c r="A22" s="28">
        <v>1995.01</v>
      </c>
      <c r="B22" s="28"/>
      <c r="C22" s="55">
        <v>81.036967404595998</v>
      </c>
      <c r="D22" s="56">
        <v>-8.1434567060571159E-3</v>
      </c>
      <c r="E22" s="53">
        <v>5.6034613603861798E-3</v>
      </c>
      <c r="F22" s="53">
        <v>5.6034613603861798E-3</v>
      </c>
      <c r="G22" s="43"/>
      <c r="H22" s="56">
        <v>-1.2466324963305526E-2</v>
      </c>
      <c r="I22" s="56">
        <v>5.023126278076611E-2</v>
      </c>
      <c r="J22" s="56">
        <v>1.8882468908730292E-2</v>
      </c>
      <c r="K22" s="55">
        <v>78.816114500203994</v>
      </c>
      <c r="L22" s="56">
        <v>2.7612135988793085E-2</v>
      </c>
      <c r="M22" s="55">
        <v>96.98733475971936</v>
      </c>
      <c r="N22" s="55">
        <v>41.311855244283734</v>
      </c>
      <c r="O22" s="58">
        <v>1</v>
      </c>
      <c r="P22" s="98">
        <v>1</v>
      </c>
      <c r="Q22" s="106">
        <v>0</v>
      </c>
    </row>
    <row r="23" spans="1:17" x14ac:dyDescent="0.2">
      <c r="A23" s="28">
        <v>1995.02</v>
      </c>
      <c r="B23" s="28"/>
      <c r="C23" s="55">
        <v>80.17832904137542</v>
      </c>
      <c r="D23" s="56">
        <v>-1.0652171365700914E-2</v>
      </c>
      <c r="E23" s="56">
        <v>-1.3509079729165584E-3</v>
      </c>
      <c r="F23" s="56">
        <v>-1.3509079729165584E-3</v>
      </c>
      <c r="G23" s="43"/>
      <c r="H23" s="56">
        <v>-1.2466324963305526E-2</v>
      </c>
      <c r="I23" s="56">
        <v>5.023126278076611E-2</v>
      </c>
      <c r="J23" s="56">
        <v>1.8882468908730292E-2</v>
      </c>
      <c r="K23" s="55">
        <v>78.956674298099799</v>
      </c>
      <c r="L23" s="56">
        <v>1.5023032700933747E-2</v>
      </c>
      <c r="M23" s="55">
        <v>95.80797910514292</v>
      </c>
      <c r="N23" s="55">
        <v>41.311855244283734</v>
      </c>
      <c r="O23" s="58">
        <v>1</v>
      </c>
      <c r="P23" s="98">
        <v>1</v>
      </c>
      <c r="Q23" s="106">
        <v>0</v>
      </c>
    </row>
    <row r="24" spans="1:17" x14ac:dyDescent="0.2">
      <c r="A24" s="28">
        <v>1995.03</v>
      </c>
      <c r="B24" s="28"/>
      <c r="C24" s="55">
        <v>79.108213816651073</v>
      </c>
      <c r="D24" s="56">
        <v>-1.3436556603619839E-2</v>
      </c>
      <c r="E24" s="56">
        <v>-1.6601928294590954E-2</v>
      </c>
      <c r="F24" s="56">
        <v>-1.6601928294590954E-2</v>
      </c>
      <c r="G24" s="43"/>
      <c r="H24" s="56">
        <v>-1.2466324963305526E-2</v>
      </c>
      <c r="I24" s="56">
        <v>5.023126278076611E-2</v>
      </c>
      <c r="J24" s="56">
        <v>1.8882468908730292E-2</v>
      </c>
      <c r="K24" s="55">
        <v>79.099432804086106</v>
      </c>
      <c r="L24" s="56">
        <v>-2.267063004631753E-4</v>
      </c>
      <c r="M24" s="55">
        <v>94.379808350771313</v>
      </c>
      <c r="N24" s="55">
        <v>34.59243075802128</v>
      </c>
      <c r="O24" s="58">
        <v>1</v>
      </c>
      <c r="P24" s="98">
        <v>1</v>
      </c>
      <c r="Q24" s="106">
        <v>0</v>
      </c>
    </row>
    <row r="25" spans="1:17" x14ac:dyDescent="0.2">
      <c r="A25" s="28">
        <v>1995.04</v>
      </c>
      <c r="B25" s="28"/>
      <c r="C25" s="55">
        <v>77.159149412148736</v>
      </c>
      <c r="D25" s="56">
        <v>-2.4946546013321403E-2</v>
      </c>
      <c r="E25" s="56">
        <v>-4.3344652141042793E-2</v>
      </c>
      <c r="F25" s="56">
        <v>-4.3344652141042793E-2</v>
      </c>
      <c r="G25" s="43"/>
      <c r="H25" s="56">
        <v>-1.2466324963305526E-2</v>
      </c>
      <c r="I25" s="56">
        <v>5.023126278076611E-2</v>
      </c>
      <c r="J25" s="56">
        <v>1.8882468908730292E-2</v>
      </c>
      <c r="K25" s="55">
        <v>79.244710678599901</v>
      </c>
      <c r="L25" s="56">
        <v>-2.6547141706724564E-2</v>
      </c>
      <c r="M25" s="55">
        <v>91.908944316865544</v>
      </c>
      <c r="N25" s="55">
        <v>26.193150150193222</v>
      </c>
      <c r="O25" s="58">
        <v>1</v>
      </c>
      <c r="P25" s="98">
        <v>1</v>
      </c>
      <c r="Q25" s="106">
        <v>0</v>
      </c>
    </row>
    <row r="26" spans="1:17" x14ac:dyDescent="0.2">
      <c r="A26" s="28">
        <v>1995.05</v>
      </c>
      <c r="B26" s="28"/>
      <c r="C26" s="55">
        <v>76.480960496376667</v>
      </c>
      <c r="D26" s="56">
        <v>-8.8283368318422765E-3</v>
      </c>
      <c r="E26" s="56">
        <v>-5.7115356180883321E-2</v>
      </c>
      <c r="F26" s="56">
        <v>-5.7115356180883321E-2</v>
      </c>
      <c r="G26" s="43"/>
      <c r="H26" s="56">
        <v>-1.2466324963305526E-2</v>
      </c>
      <c r="I26" s="56">
        <v>5.023126278076611E-2</v>
      </c>
      <c r="J26" s="56">
        <v>1.8882468908730292E-2</v>
      </c>
      <c r="K26" s="55">
        <v>79.392828659973603</v>
      </c>
      <c r="L26" s="56">
        <v>-3.6807410220566772E-2</v>
      </c>
      <c r="M26" s="55">
        <v>90.957080827338743</v>
      </c>
      <c r="N26" s="55">
        <v>26.193150150193222</v>
      </c>
      <c r="O26" s="58">
        <v>1</v>
      </c>
      <c r="P26" s="98">
        <v>1</v>
      </c>
      <c r="Q26" s="106">
        <v>0</v>
      </c>
    </row>
    <row r="27" spans="1:17" x14ac:dyDescent="0.2">
      <c r="A27" s="28">
        <v>1995.06</v>
      </c>
      <c r="B27" s="28"/>
      <c r="C27" s="55">
        <v>76.294993148924178</v>
      </c>
      <c r="D27" s="56">
        <v>-2.4345119093056194E-3</v>
      </c>
      <c r="E27" s="56">
        <v>-5.9973384897890183E-2</v>
      </c>
      <c r="F27" s="56">
        <v>-5.9973384897890183E-2</v>
      </c>
      <c r="G27" s="43"/>
      <c r="H27" s="56">
        <v>-1.2466324963305526E-2</v>
      </c>
      <c r="I27" s="56">
        <v>5.023126278076611E-2</v>
      </c>
      <c r="J27" s="56">
        <v>1.8882468908730292E-2</v>
      </c>
      <c r="K27" s="55">
        <v>79.544091403967897</v>
      </c>
      <c r="L27" s="56">
        <v>-4.0883675469435499E-2</v>
      </c>
      <c r="M27" s="55">
        <v>90.592459913391721</v>
      </c>
      <c r="N27" s="55">
        <v>31.232718514890063</v>
      </c>
      <c r="O27" s="58">
        <v>1</v>
      </c>
      <c r="P27" s="98">
        <v>1</v>
      </c>
      <c r="Q27" s="106">
        <v>0</v>
      </c>
    </row>
    <row r="28" spans="1:17" x14ac:dyDescent="0.2">
      <c r="A28" s="28">
        <v>1995.07</v>
      </c>
      <c r="B28" s="28"/>
      <c r="C28" s="55">
        <v>75.497585357314151</v>
      </c>
      <c r="D28" s="56">
        <v>-1.0506641825301154E-2</v>
      </c>
      <c r="E28" s="56">
        <v>-7.3643948786849461E-2</v>
      </c>
      <c r="F28" s="56">
        <v>-7.3643948786849461E-2</v>
      </c>
      <c r="G28" s="53">
        <v>-0.10099617775805014</v>
      </c>
      <c r="H28" s="56">
        <v>-1.2466324963305526E-2</v>
      </c>
      <c r="I28" s="56">
        <v>5.023126278076611E-2</v>
      </c>
      <c r="J28" s="56">
        <v>1.8882468908730292E-2</v>
      </c>
      <c r="K28" s="55">
        <v>79.698781106974593</v>
      </c>
      <c r="L28" s="56">
        <v>-5.2661056135757556E-2</v>
      </c>
      <c r="M28" s="55">
        <v>89.503889767627442</v>
      </c>
      <c r="N28" s="55">
        <v>29.552862393324446</v>
      </c>
      <c r="O28" s="58">
        <v>1</v>
      </c>
      <c r="P28" s="98">
        <v>1</v>
      </c>
      <c r="Q28" s="106">
        <v>0</v>
      </c>
    </row>
    <row r="29" spans="1:17" x14ac:dyDescent="0.2">
      <c r="A29" s="28">
        <v>1995.08</v>
      </c>
      <c r="B29" s="28"/>
      <c r="C29" s="55">
        <v>74.978197389998655</v>
      </c>
      <c r="D29" s="56">
        <v>-6.9033039134501822E-3</v>
      </c>
      <c r="E29" s="56">
        <v>-7.4879069915774824E-2</v>
      </c>
      <c r="F29" s="56">
        <v>-7.4879069915774824E-2</v>
      </c>
      <c r="G29" s="56">
        <v>-0.10244463656704395</v>
      </c>
      <c r="H29" s="56">
        <v>-1.2466324963305526E-2</v>
      </c>
      <c r="I29" s="56">
        <v>5.023126278076611E-2</v>
      </c>
      <c r="J29" s="56">
        <v>1.8882468908730292E-2</v>
      </c>
      <c r="K29" s="55">
        <v>79.857154903429205</v>
      </c>
      <c r="L29" s="56">
        <v>-6.0958709784397436E-2</v>
      </c>
      <c r="M29" s="55">
        <v>88.747612190219286</v>
      </c>
      <c r="N29" s="55">
        <v>26.193150150193222</v>
      </c>
      <c r="O29" s="58">
        <v>1</v>
      </c>
      <c r="P29" s="98">
        <v>1</v>
      </c>
      <c r="Q29" s="106">
        <v>0</v>
      </c>
    </row>
    <row r="30" spans="1:17" x14ac:dyDescent="0.2">
      <c r="A30" s="28">
        <v>1995.09</v>
      </c>
      <c r="B30" s="28"/>
      <c r="C30" s="55">
        <v>74.534501613575813</v>
      </c>
      <c r="D30" s="56">
        <v>-5.935242717025945E-3</v>
      </c>
      <c r="E30" s="56">
        <v>-9.1399601214712758E-2</v>
      </c>
      <c r="F30" s="56">
        <v>-9.1399601214712758E-2</v>
      </c>
      <c r="G30" s="56">
        <v>-0.10212220734444399</v>
      </c>
      <c r="H30" s="56">
        <v>-1.2466324963305526E-2</v>
      </c>
      <c r="I30" s="56">
        <v>5.023126278076611E-2</v>
      </c>
      <c r="J30" s="56">
        <v>1.8882468908730292E-2</v>
      </c>
      <c r="K30" s="55">
        <v>80.019437519494602</v>
      </c>
      <c r="L30" s="56">
        <v>-6.8326995352638975E-2</v>
      </c>
      <c r="M30" s="55">
        <v>88.082953331753799</v>
      </c>
      <c r="N30" s="55">
        <v>22.833437907061999</v>
      </c>
      <c r="O30" s="58">
        <v>1</v>
      </c>
      <c r="P30" s="98">
        <v>1</v>
      </c>
      <c r="Q30" s="106">
        <v>0</v>
      </c>
    </row>
    <row r="31" spans="1:17" x14ac:dyDescent="0.2">
      <c r="A31" s="28">
        <v>1995.1</v>
      </c>
      <c r="B31" s="28"/>
      <c r="C31" s="55">
        <v>74.293926961272618</v>
      </c>
      <c r="D31" s="56">
        <v>-3.2329154334586464E-3</v>
      </c>
      <c r="E31" s="56">
        <v>-9.8915097646942007E-2</v>
      </c>
      <c r="F31" s="56">
        <v>-9.8915097646942007E-2</v>
      </c>
      <c r="G31" s="56">
        <v>-9.4934254588670552E-2</v>
      </c>
      <c r="H31" s="56">
        <v>-1.2466324963305526E-2</v>
      </c>
      <c r="I31" s="56">
        <v>5.023126278076611E-2</v>
      </c>
      <c r="J31" s="56">
        <v>1.8882468908730292E-2</v>
      </c>
      <c r="K31" s="55">
        <v>80.185816043368007</v>
      </c>
      <c r="L31" s="56">
        <v>-7.3182826759300434E-2</v>
      </c>
      <c r="M31" s="55">
        <v>87.659838102233152</v>
      </c>
      <c r="N31" s="55">
        <v>26.193150150193222</v>
      </c>
      <c r="O31" s="58">
        <v>1</v>
      </c>
      <c r="P31" s="98">
        <v>1</v>
      </c>
      <c r="Q31" s="106">
        <v>0</v>
      </c>
    </row>
    <row r="32" spans="1:17" x14ac:dyDescent="0.2">
      <c r="A32" s="28">
        <v>1995.11</v>
      </c>
      <c r="B32" s="28"/>
      <c r="C32" s="55">
        <v>73.995694434586326</v>
      </c>
      <c r="D32" s="56">
        <v>-4.0223034622254026E-3</v>
      </c>
      <c r="E32" s="56">
        <v>-0.10313229066366368</v>
      </c>
      <c r="F32" s="56">
        <v>-0.10313229066366368</v>
      </c>
      <c r="G32" s="56">
        <v>-8.7855155083892078E-2</v>
      </c>
      <c r="H32" s="56">
        <v>-1.2466324963305526E-2</v>
      </c>
      <c r="I32" s="56">
        <v>5.023126278076611E-2</v>
      </c>
      <c r="J32" s="56">
        <v>1.8882468908730292E-2</v>
      </c>
      <c r="K32" s="55">
        <v>80.356435248785502</v>
      </c>
      <c r="L32" s="56">
        <v>-7.878881780382252E-2</v>
      </c>
      <c r="M32" s="55">
        <v>87.169917293238612</v>
      </c>
      <c r="N32" s="55">
        <v>24.513294028627616</v>
      </c>
      <c r="O32" s="58">
        <v>1</v>
      </c>
      <c r="P32" s="98">
        <v>1</v>
      </c>
      <c r="Q32" s="106">
        <v>0</v>
      </c>
    </row>
    <row r="33" spans="1:17" x14ac:dyDescent="0.2">
      <c r="A33" s="28">
        <v>1995.12</v>
      </c>
      <c r="B33" s="28"/>
      <c r="C33" s="55">
        <v>73.913924766028686</v>
      </c>
      <c r="D33" s="56">
        <v>-1.1056708458842541E-3</v>
      </c>
      <c r="E33" s="56">
        <v>-0.10014765762719259</v>
      </c>
      <c r="F33" s="56">
        <v>-0.10014765762719259</v>
      </c>
      <c r="G33" s="56">
        <v>-7.5060915100568337E-2</v>
      </c>
      <c r="H33" s="56">
        <v>-1.2466324963305526E-2</v>
      </c>
      <c r="I33" s="56">
        <v>5.023126278076611E-2</v>
      </c>
      <c r="J33" s="56">
        <v>1.8882468908730292E-2</v>
      </c>
      <c r="K33" s="55">
        <v>80.531394454196104</v>
      </c>
      <c r="L33" s="56">
        <v>-8.1735244472471158E-2</v>
      </c>
      <c r="M33" s="55">
        <v>86.935925339310529</v>
      </c>
      <c r="N33" s="55">
        <v>24.513294028627616</v>
      </c>
      <c r="O33" s="58">
        <v>1</v>
      </c>
      <c r="P33" s="98">
        <v>1</v>
      </c>
      <c r="Q33" s="106">
        <v>0</v>
      </c>
    </row>
    <row r="34" spans="1:17" x14ac:dyDescent="0.2">
      <c r="A34" s="28">
        <v>1996.01</v>
      </c>
      <c r="B34" s="28"/>
      <c r="C34" s="55">
        <v>74.452097849664739</v>
      </c>
      <c r="D34" s="56">
        <v>7.2546993511469144E-3</v>
      </c>
      <c r="E34" s="56">
        <v>-8.47495015699887E-2</v>
      </c>
      <c r="F34" s="56">
        <v>-8.47495015699887E-2</v>
      </c>
      <c r="G34" s="56">
        <v>-4.7851025408609638E-2</v>
      </c>
      <c r="H34" s="56">
        <v>-1.2466324963305526E-2</v>
      </c>
      <c r="I34" s="56">
        <v>5.023126278076611E-2</v>
      </c>
      <c r="J34" s="56">
        <v>1.8882468908730292E-2</v>
      </c>
      <c r="K34" s="55">
        <v>80.710743904850503</v>
      </c>
      <c r="L34" s="56">
        <v>-7.703722935977686E-2</v>
      </c>
      <c r="M34" s="55">
        <v>87.430465539655913</v>
      </c>
      <c r="N34" s="55">
        <v>31.232718514890063</v>
      </c>
      <c r="O34" s="58">
        <v>0</v>
      </c>
      <c r="P34" s="98">
        <v>0</v>
      </c>
      <c r="Q34" s="106">
        <v>0</v>
      </c>
    </row>
    <row r="35" spans="1:17" x14ac:dyDescent="0.2">
      <c r="A35" s="28">
        <v>1996.02</v>
      </c>
      <c r="B35" s="28"/>
      <c r="C35" s="55">
        <v>75.449023043970399</v>
      </c>
      <c r="D35" s="56">
        <v>1.3301300039655926E-2</v>
      </c>
      <c r="E35" s="56">
        <v>-6.0796030164631851E-2</v>
      </c>
      <c r="F35" s="56">
        <v>-6.0796030164631851E-2</v>
      </c>
      <c r="G35" s="56">
        <v>-1.1117299105057987E-2</v>
      </c>
      <c r="H35" s="56">
        <v>-1.2466324963305526E-2</v>
      </c>
      <c r="I35" s="56">
        <v>5.023126278076611E-2</v>
      </c>
      <c r="J35" s="56">
        <v>1.8882468908730292E-2</v>
      </c>
      <c r="K35" s="55">
        <v>80.894482791543595</v>
      </c>
      <c r="L35" s="56">
        <v>-6.6738809567227775E-2</v>
      </c>
      <c r="M35" s="55">
        <v>88.461093997950414</v>
      </c>
      <c r="N35" s="55">
        <v>41.311855244283734</v>
      </c>
      <c r="O35" s="58">
        <v>0</v>
      </c>
      <c r="P35" s="98">
        <v>0</v>
      </c>
      <c r="Q35" s="106">
        <v>0</v>
      </c>
    </row>
    <row r="36" spans="1:17" x14ac:dyDescent="0.2">
      <c r="A36" s="28">
        <v>1996.03</v>
      </c>
      <c r="B36" s="28"/>
      <c r="C36" s="55">
        <v>75.617196287898835</v>
      </c>
      <c r="D36" s="56">
        <v>2.2264847051189536E-3</v>
      </c>
      <c r="E36" s="56">
        <v>-4.5132988855893071E-2</v>
      </c>
      <c r="F36" s="56">
        <v>-4.5132988855893071E-2</v>
      </c>
      <c r="G36" s="56">
        <v>2.5442614011588205E-3</v>
      </c>
      <c r="H36" s="56">
        <v>-1.2466324963305526E-2</v>
      </c>
      <c r="I36" s="56">
        <v>5.023126278076611E-2</v>
      </c>
      <c r="J36" s="56">
        <v>1.8882468908730292E-2</v>
      </c>
      <c r="K36" s="55">
        <v>81.082562019063005</v>
      </c>
      <c r="L36" s="56">
        <v>-6.6768115047795562E-2</v>
      </c>
      <c r="M36" s="55">
        <v>88.518101320828563</v>
      </c>
      <c r="N36" s="55">
        <v>51.390991973677401</v>
      </c>
      <c r="O36" s="58">
        <v>0</v>
      </c>
      <c r="P36" s="98">
        <v>0</v>
      </c>
      <c r="Q36" s="106">
        <v>0</v>
      </c>
    </row>
    <row r="37" spans="1:17" x14ac:dyDescent="0.2">
      <c r="A37" s="28">
        <v>1996.04</v>
      </c>
      <c r="B37" s="28"/>
      <c r="C37" s="55">
        <v>77.013576841698722</v>
      </c>
      <c r="D37" s="56">
        <v>1.8298007485050401E-2</v>
      </c>
      <c r="E37" s="56">
        <v>-1.8884353575212814E-3</v>
      </c>
      <c r="F37" s="56">
        <v>-1.8884353575212814E-3</v>
      </c>
      <c r="G37" s="56">
        <v>4.4405785886899585E-2</v>
      </c>
      <c r="H37" s="56">
        <v>-1.2466324963305526E-2</v>
      </c>
      <c r="I37" s="56">
        <v>5.023126278076611E-2</v>
      </c>
      <c r="J37" s="56">
        <v>1.8882468908730292E-2</v>
      </c>
      <c r="K37" s="55">
        <v>81.274890481279101</v>
      </c>
      <c r="L37" s="56">
        <v>-5.172713652209382E-2</v>
      </c>
      <c r="M37" s="55">
        <v>90.01018358414035</v>
      </c>
      <c r="N37" s="55">
        <v>58.110416459939856</v>
      </c>
      <c r="O37" s="58">
        <v>0</v>
      </c>
      <c r="P37" s="98">
        <v>0</v>
      </c>
      <c r="Q37" s="106">
        <v>0</v>
      </c>
    </row>
    <row r="38" spans="1:17" x14ac:dyDescent="0.2">
      <c r="A38" s="28">
        <v>1996.05</v>
      </c>
      <c r="B38" s="28"/>
      <c r="C38" s="55">
        <v>77.599308995799305</v>
      </c>
      <c r="D38" s="56">
        <v>7.5767935260765019E-3</v>
      </c>
      <c r="E38" s="56">
        <v>1.451669500039739E-2</v>
      </c>
      <c r="F38" s="56">
        <v>1.451669500039739E-2</v>
      </c>
      <c r="G38" s="56">
        <v>5.9432912026414098E-2</v>
      </c>
      <c r="H38" s="56">
        <v>-1.2466324963305526E-2</v>
      </c>
      <c r="I38" s="56">
        <v>5.023126278076611E-2</v>
      </c>
      <c r="J38" s="56">
        <v>1.8882468908730292E-2</v>
      </c>
      <c r="K38" s="55">
        <v>81.471334907268499</v>
      </c>
      <c r="L38" s="56">
        <v>-4.6766485683562453E-2</v>
      </c>
      <c r="M38" s="55">
        <v>90.551373259260856</v>
      </c>
      <c r="N38" s="55">
        <v>64.82984094620231</v>
      </c>
      <c r="O38" s="58">
        <v>0</v>
      </c>
      <c r="P38" s="98">
        <v>0</v>
      </c>
      <c r="Q38" s="106">
        <v>0</v>
      </c>
    </row>
    <row r="39" spans="1:17" x14ac:dyDescent="0.2">
      <c r="A39" s="28">
        <v>1996.06</v>
      </c>
      <c r="B39" s="28"/>
      <c r="C39" s="55">
        <v>78.106256367777476</v>
      </c>
      <c r="D39" s="56">
        <v>6.5116383228534377E-3</v>
      </c>
      <c r="E39" s="56">
        <v>2.3462845232556345E-2</v>
      </c>
      <c r="F39" s="56">
        <v>2.3462845232556345E-2</v>
      </c>
      <c r="G39" s="56">
        <v>6.9797138247043033E-2</v>
      </c>
      <c r="H39" s="56">
        <v>-1.2466324963305526E-2</v>
      </c>
      <c r="I39" s="56">
        <v>5.023126278076611E-2</v>
      </c>
      <c r="J39" s="56">
        <v>1.8882468908730292E-2</v>
      </c>
      <c r="K39" s="55">
        <v>81.671729151533</v>
      </c>
      <c r="L39" s="56">
        <v>-4.2845535138150592E-2</v>
      </c>
      <c r="M39" s="55">
        <v>90.99883733299788</v>
      </c>
      <c r="N39" s="55">
        <v>66.509697067767917</v>
      </c>
      <c r="O39" s="58">
        <v>0</v>
      </c>
      <c r="P39" s="98">
        <v>0</v>
      </c>
      <c r="Q39" s="106">
        <v>0</v>
      </c>
    </row>
    <row r="40" spans="1:17" x14ac:dyDescent="0.2">
      <c r="A40" s="28">
        <v>1996.07</v>
      </c>
      <c r="B40" s="28"/>
      <c r="C40" s="55">
        <v>78.541779277188709</v>
      </c>
      <c r="D40" s="56">
        <v>5.5605425219859813E-3</v>
      </c>
      <c r="E40" s="56">
        <v>3.9530029579843452E-2</v>
      </c>
      <c r="F40" s="56">
        <v>3.9530029579843452E-2</v>
      </c>
      <c r="G40" s="56">
        <v>7.6847633741444543E-2</v>
      </c>
      <c r="H40" s="56">
        <v>-1.2466324963305526E-2</v>
      </c>
      <c r="I40" s="56">
        <v>5.023126278076611E-2</v>
      </c>
      <c r="J40" s="56">
        <v>1.8882468908730292E-2</v>
      </c>
      <c r="K40" s="55">
        <v>81.875877197672096</v>
      </c>
      <c r="L40" s="56">
        <v>-3.9865356344118141E-2</v>
      </c>
      <c r="M40" s="55">
        <v>91.361577624490351</v>
      </c>
      <c r="N40" s="55">
        <v>68.189553189333523</v>
      </c>
      <c r="O40" s="58">
        <v>0</v>
      </c>
      <c r="P40" s="98">
        <v>0</v>
      </c>
      <c r="Q40" s="106">
        <v>0</v>
      </c>
    </row>
    <row r="41" spans="1:17" x14ac:dyDescent="0.2">
      <c r="A41" s="28">
        <v>1996.08</v>
      </c>
      <c r="B41" s="28"/>
      <c r="C41" s="55">
        <v>79.209301179866017</v>
      </c>
      <c r="D41" s="56">
        <v>8.4630277636090923E-3</v>
      </c>
      <c r="E41" s="56">
        <v>5.4896361256902768E-2</v>
      </c>
      <c r="F41" s="56">
        <v>5.4896361256902768E-2</v>
      </c>
      <c r="G41" s="56">
        <v>8.7047681157989443E-2</v>
      </c>
      <c r="H41" s="56">
        <v>-1.2466324963305526E-2</v>
      </c>
      <c r="I41" s="56">
        <v>5.023126278076611E-2</v>
      </c>
      <c r="J41" s="56">
        <v>1.8882468908730292E-2</v>
      </c>
      <c r="K41" s="55">
        <v>82.083555523963994</v>
      </c>
      <c r="L41" s="56">
        <v>-3.4117117910613892E-2</v>
      </c>
      <c r="M41" s="55">
        <v>91.992383292435875</v>
      </c>
      <c r="N41" s="55">
        <v>69.869409310899144</v>
      </c>
      <c r="O41" s="58">
        <v>0</v>
      </c>
      <c r="P41" s="98">
        <v>0</v>
      </c>
      <c r="Q41" s="106">
        <v>0</v>
      </c>
    </row>
    <row r="42" spans="1:17" x14ac:dyDescent="0.2">
      <c r="A42" s="28">
        <v>1996.09</v>
      </c>
      <c r="B42" s="28"/>
      <c r="C42" s="55">
        <v>79.216470941309041</v>
      </c>
      <c r="D42" s="56">
        <v>9.0512564362807616E-5</v>
      </c>
      <c r="E42" s="56">
        <v>6.0922116538291542E-2</v>
      </c>
      <c r="F42" s="56">
        <v>6.0922116538291542E-2</v>
      </c>
      <c r="G42" s="56">
        <v>7.7942902650086854E-2</v>
      </c>
      <c r="H42" s="56">
        <v>-1.2466324963305526E-2</v>
      </c>
      <c r="I42" s="56">
        <v>5.023126278076611E-2</v>
      </c>
      <c r="J42" s="56">
        <v>1.8882468908730292E-2</v>
      </c>
      <c r="K42" s="55">
        <v>82.294514888389699</v>
      </c>
      <c r="L42" s="56">
        <v>-3.6473368515882343E-2</v>
      </c>
      <c r="M42" s="55">
        <v>91.855256340700308</v>
      </c>
      <c r="N42" s="55">
        <v>64.82984094620231</v>
      </c>
      <c r="O42" s="58">
        <v>0</v>
      </c>
      <c r="P42" s="98">
        <v>0</v>
      </c>
      <c r="Q42" s="106">
        <v>0</v>
      </c>
    </row>
    <row r="43" spans="1:17" x14ac:dyDescent="0.2">
      <c r="A43" s="28">
        <v>1996.1</v>
      </c>
      <c r="B43" s="28"/>
      <c r="C43" s="55">
        <v>80.007951026797883</v>
      </c>
      <c r="D43" s="56">
        <v>9.9417739411821228E-3</v>
      </c>
      <c r="E43" s="56">
        <v>7.4096805912932134E-2</v>
      </c>
      <c r="F43" s="56">
        <v>7.4096805912932134E-2</v>
      </c>
      <c r="G43" s="56">
        <v>8.7588249741062718E-2</v>
      </c>
      <c r="H43" s="56">
        <v>-1.2466324963305526E-2</v>
      </c>
      <c r="I43" s="56">
        <v>5.023126278076611E-2</v>
      </c>
      <c r="J43" s="56">
        <v>1.8882468908730292E-2</v>
      </c>
      <c r="K43" s="55">
        <v>82.508483876884597</v>
      </c>
      <c r="L43" s="56">
        <v>-2.9342814149268981E-2</v>
      </c>
      <c r="M43" s="55">
        <v>92.626340235387048</v>
      </c>
      <c r="N43" s="55">
        <v>63.149984824636689</v>
      </c>
      <c r="O43" s="58">
        <v>0</v>
      </c>
      <c r="P43" s="98">
        <v>0</v>
      </c>
      <c r="Q43" s="106">
        <v>0</v>
      </c>
    </row>
    <row r="44" spans="1:17" x14ac:dyDescent="0.2">
      <c r="A44" s="28">
        <v>1996.11</v>
      </c>
      <c r="B44" s="28"/>
      <c r="C44" s="55">
        <v>80.474624135105685</v>
      </c>
      <c r="D44" s="56">
        <v>5.8158890241406759E-3</v>
      </c>
      <c r="E44" s="56">
        <v>8.393499839929823E-2</v>
      </c>
      <c r="F44" s="56">
        <v>8.393499839929823E-2</v>
      </c>
      <c r="G44" s="56">
        <v>8.679897869187525E-2</v>
      </c>
      <c r="H44" s="56">
        <v>-1.2466324963305526E-2</v>
      </c>
      <c r="I44" s="56">
        <v>5.023126278076611E-2</v>
      </c>
      <c r="J44" s="56">
        <v>1.8882468908730292E-2</v>
      </c>
      <c r="K44" s="55">
        <v>82.725167331329899</v>
      </c>
      <c r="L44" s="56">
        <v>-2.6216681264262576E-2</v>
      </c>
      <c r="M44" s="55">
        <v>93.019317216962634</v>
      </c>
      <c r="N44" s="55">
        <v>64.82984094620231</v>
      </c>
      <c r="O44" s="58">
        <v>0</v>
      </c>
      <c r="P44" s="98">
        <v>0</v>
      </c>
      <c r="Q44" s="106">
        <v>0</v>
      </c>
    </row>
    <row r="45" spans="1:17" x14ac:dyDescent="0.2">
      <c r="A45" s="28">
        <v>1996.12</v>
      </c>
      <c r="B45" s="28"/>
      <c r="C45" s="55">
        <v>80.945225562951592</v>
      </c>
      <c r="D45" s="56">
        <v>5.8307917151811167E-3</v>
      </c>
      <c r="E45" s="56">
        <v>9.0871460960363554E-2</v>
      </c>
      <c r="F45" s="56">
        <v>9.0871460960363554E-2</v>
      </c>
      <c r="G45" s="56">
        <v>8.4467667232904109E-2</v>
      </c>
      <c r="H45" s="56">
        <v>-1.2466324963305526E-2</v>
      </c>
      <c r="I45" s="56">
        <v>5.023126278076611E-2</v>
      </c>
      <c r="J45" s="56">
        <v>1.8882468908730292E-2</v>
      </c>
      <c r="K45" s="55">
        <v>82.944250806018402</v>
      </c>
      <c r="L45" s="56">
        <v>-2.3093245149498731E-2</v>
      </c>
      <c r="M45" s="55">
        <v>93.415353574455864</v>
      </c>
      <c r="N45" s="55">
        <v>66.509697067767917</v>
      </c>
      <c r="O45" s="58">
        <v>0</v>
      </c>
      <c r="P45" s="98">
        <v>0</v>
      </c>
      <c r="Q45" s="106">
        <v>0</v>
      </c>
    </row>
    <row r="46" spans="1:17" x14ac:dyDescent="0.2">
      <c r="A46" s="28">
        <v>1997.01</v>
      </c>
      <c r="B46" s="28"/>
      <c r="C46" s="55">
        <v>81.625887902858608</v>
      </c>
      <c r="D46" s="56">
        <v>8.3737670577132411E-3</v>
      </c>
      <c r="E46" s="56">
        <v>9.1990528666929916E-2</v>
      </c>
      <c r="F46" s="56">
        <v>9.1990528666929916E-2</v>
      </c>
      <c r="G46" s="56">
        <v>8.6147622076751196E-2</v>
      </c>
      <c r="H46" s="56">
        <v>-1.2466324963305526E-2</v>
      </c>
      <c r="I46" s="56">
        <v>5.023126278076611E-2</v>
      </c>
      <c r="J46" s="56">
        <v>1.8882468908730292E-2</v>
      </c>
      <c r="K46" s="55">
        <v>83.165402496318606</v>
      </c>
      <c r="L46" s="56">
        <v>-1.7487853812994669E-2</v>
      </c>
      <c r="M46" s="55">
        <v>94.051944013094939</v>
      </c>
      <c r="N46" s="55">
        <v>63.149984824636689</v>
      </c>
      <c r="O46" s="58">
        <v>0</v>
      </c>
      <c r="P46" s="98">
        <v>0</v>
      </c>
      <c r="Q46" s="106">
        <v>0</v>
      </c>
    </row>
    <row r="47" spans="1:17" x14ac:dyDescent="0.2">
      <c r="A47" s="28">
        <v>1997.02</v>
      </c>
      <c r="B47" s="28"/>
      <c r="C47" s="55">
        <v>82.011640899605737</v>
      </c>
      <c r="D47" s="56">
        <v>4.7147340116423346E-3</v>
      </c>
      <c r="E47" s="56">
        <v>8.3403962638916279E-2</v>
      </c>
      <c r="F47" s="56">
        <v>8.3403962638916279E-2</v>
      </c>
      <c r="G47" s="56">
        <v>8.0317755393949364E-2</v>
      </c>
      <c r="H47" s="56">
        <v>-1.2466324963305526E-2</v>
      </c>
      <c r="I47" s="56">
        <v>5.023126278076611E-2</v>
      </c>
      <c r="J47" s="56">
        <v>1.8882468908730292E-2</v>
      </c>
      <c r="K47" s="55">
        <v>83.388275179425904</v>
      </c>
      <c r="L47" s="56">
        <v>-1.5478670043858167E-2</v>
      </c>
      <c r="M47" s="55">
        <v>94.347021352141809</v>
      </c>
      <c r="N47" s="55">
        <v>59.790272581505477</v>
      </c>
      <c r="O47" s="58">
        <v>0</v>
      </c>
      <c r="P47" s="98">
        <v>0</v>
      </c>
      <c r="Q47" s="106">
        <v>0</v>
      </c>
    </row>
    <row r="48" spans="1:17" x14ac:dyDescent="0.2">
      <c r="A48" s="28">
        <v>1997.03</v>
      </c>
      <c r="B48" s="28"/>
      <c r="C48" s="55">
        <v>82.802172089846792</v>
      </c>
      <c r="D48" s="56">
        <v>9.5930946374111221E-3</v>
      </c>
      <c r="E48" s="56">
        <v>9.0770572571208463E-2</v>
      </c>
      <c r="F48" s="56">
        <v>9.0770572571208463E-2</v>
      </c>
      <c r="G48" s="56">
        <v>8.5643625352705754E-2</v>
      </c>
      <c r="H48" s="56">
        <v>-1.2466324963305526E-2</v>
      </c>
      <c r="I48" s="56">
        <v>5.023126278076611E-2</v>
      </c>
      <c r="J48" s="56">
        <v>1.8882468908730292E-2</v>
      </c>
      <c r="K48" s="55">
        <v>83.612509760685199</v>
      </c>
      <c r="L48" s="56">
        <v>-8.6560456483698589E-3</v>
      </c>
      <c r="M48" s="55">
        <v>95.105855276940559</v>
      </c>
      <c r="N48" s="55">
        <v>64.82984094620231</v>
      </c>
      <c r="O48" s="58">
        <v>0</v>
      </c>
      <c r="P48" s="98">
        <v>0</v>
      </c>
      <c r="Q48" s="106">
        <v>0</v>
      </c>
    </row>
    <row r="49" spans="1:17" x14ac:dyDescent="0.2">
      <c r="A49" s="28">
        <v>1997.04</v>
      </c>
      <c r="B49" s="28"/>
      <c r="C49" s="55">
        <v>83.140298891957329</v>
      </c>
      <c r="D49" s="56">
        <v>4.0752348457194793E-3</v>
      </c>
      <c r="E49" s="56">
        <v>7.6547799931877519E-2</v>
      </c>
      <c r="F49" s="56">
        <v>7.6547799931877519E-2</v>
      </c>
      <c r="G49" s="56">
        <v>7.8737891369629276E-2</v>
      </c>
      <c r="H49" s="56">
        <v>-1.2466324963305526E-2</v>
      </c>
      <c r="I49" s="56">
        <v>5.023126278076611E-2</v>
      </c>
      <c r="J49" s="56">
        <v>1.8882468908730292E-2</v>
      </c>
      <c r="K49" s="55">
        <v>83.837736531202793</v>
      </c>
      <c r="L49" s="56">
        <v>-7.2896485047712067E-3</v>
      </c>
      <c r="M49" s="55">
        <v>95.343247716106902</v>
      </c>
      <c r="N49" s="55">
        <v>64.82984094620231</v>
      </c>
      <c r="O49" s="58">
        <v>0</v>
      </c>
      <c r="P49" s="98">
        <v>0</v>
      </c>
      <c r="Q49" s="106">
        <v>0</v>
      </c>
    </row>
    <row r="50" spans="1:17" x14ac:dyDescent="0.2">
      <c r="A50" s="28">
        <v>1997.05</v>
      </c>
      <c r="B50" s="28"/>
      <c r="C50" s="55">
        <v>83.656185436551425</v>
      </c>
      <c r="D50" s="56">
        <v>6.1858400875378266E-3</v>
      </c>
      <c r="E50" s="56">
        <v>7.5156846493338925E-2</v>
      </c>
      <c r="F50" s="56">
        <v>7.5156846493338925E-2</v>
      </c>
      <c r="G50" s="56">
        <v>7.8355427092820396E-2</v>
      </c>
      <c r="H50" s="56">
        <v>-1.2466324963305526E-2</v>
      </c>
      <c r="I50" s="56">
        <v>5.023126278076611E-2</v>
      </c>
      <c r="J50" s="56">
        <v>1.8882468908730292E-2</v>
      </c>
      <c r="K50" s="55">
        <v>84.063579537965097</v>
      </c>
      <c r="L50" s="56">
        <v>-3.8272438401313336E-3</v>
      </c>
      <c r="M50" s="55">
        <v>95.783179998640449</v>
      </c>
      <c r="N50" s="55">
        <v>64.82984094620231</v>
      </c>
      <c r="O50" s="58">
        <v>0</v>
      </c>
      <c r="P50" s="98">
        <v>0</v>
      </c>
      <c r="Q50" s="106">
        <v>0</v>
      </c>
    </row>
    <row r="51" spans="1:17" x14ac:dyDescent="0.2">
      <c r="A51" s="28">
        <v>1997.06</v>
      </c>
      <c r="B51" s="28"/>
      <c r="C51" s="55">
        <v>84.232772972330281</v>
      </c>
      <c r="D51" s="56">
        <v>6.8687042691575563E-3</v>
      </c>
      <c r="E51" s="56">
        <v>7.5513912439642783E-2</v>
      </c>
      <c r="F51" s="56">
        <v>7.5513912439642783E-2</v>
      </c>
      <c r="G51" s="56">
        <v>7.9557004822027322E-2</v>
      </c>
      <c r="H51" s="56">
        <v>-1.2466324963305526E-2</v>
      </c>
      <c r="I51" s="56">
        <v>5.023126278076611E-2</v>
      </c>
      <c r="J51" s="56">
        <v>1.8882468908730292E-2</v>
      </c>
      <c r="K51" s="55">
        <v>84.2896574550726</v>
      </c>
      <c r="L51" s="56">
        <v>3.2843294920104071E-4</v>
      </c>
      <c r="M51" s="55">
        <v>96.290873357418363</v>
      </c>
      <c r="N51" s="55">
        <v>64.82984094620231</v>
      </c>
      <c r="O51" s="58">
        <v>0</v>
      </c>
      <c r="P51" s="98">
        <v>0</v>
      </c>
      <c r="Q51" s="106">
        <v>0</v>
      </c>
    </row>
    <row r="52" spans="1:17" x14ac:dyDescent="0.2">
      <c r="A52" s="28">
        <v>1997.07</v>
      </c>
      <c r="B52" s="28"/>
      <c r="C52" s="55">
        <v>84.277506648323765</v>
      </c>
      <c r="D52" s="56">
        <v>5.3093113541815889E-4</v>
      </c>
      <c r="E52" s="56">
        <v>7.0484301053074974E-2</v>
      </c>
      <c r="F52" s="56">
        <v>7.0484301053074974E-2</v>
      </c>
      <c r="G52" s="56">
        <v>6.8124376829980182E-2</v>
      </c>
      <c r="H52" s="56">
        <v>-1.2466324963305526E-2</v>
      </c>
      <c r="I52" s="56">
        <v>5.023126278076611E-2</v>
      </c>
      <c r="J52" s="56">
        <v>1.8882468908730292E-2</v>
      </c>
      <c r="K52" s="55">
        <v>84.515585822340697</v>
      </c>
      <c r="L52" s="56">
        <v>-1.8418185685522559E-3</v>
      </c>
      <c r="M52" s="55">
        <v>96.189693331066934</v>
      </c>
      <c r="N52" s="55">
        <v>66.509697067767917</v>
      </c>
      <c r="O52" s="58">
        <v>0</v>
      </c>
      <c r="P52" s="98">
        <v>0</v>
      </c>
      <c r="Q52" s="106">
        <v>0</v>
      </c>
    </row>
    <row r="53" spans="1:17" x14ac:dyDescent="0.2">
      <c r="A53" s="28">
        <v>1997.08</v>
      </c>
      <c r="B53" s="28"/>
      <c r="C53" s="55">
        <v>84.85870128613999</v>
      </c>
      <c r="D53" s="56">
        <v>6.8725311094404952E-3</v>
      </c>
      <c r="E53" s="56">
        <v>6.8893804398906522E-2</v>
      </c>
      <c r="F53" s="56">
        <v>6.8893804398906522E-2</v>
      </c>
      <c r="G53" s="56">
        <v>7.0122123015232019E-2</v>
      </c>
      <c r="H53" s="56">
        <v>-1.2466324963305526E-2</v>
      </c>
      <c r="I53" s="56">
        <v>5.023126278076611E-2</v>
      </c>
      <c r="J53" s="56">
        <v>1.8882468908730292E-2</v>
      </c>
      <c r="K53" s="55">
        <v>84.740979750199898</v>
      </c>
      <c r="L53" s="56">
        <v>2.3363729507348552E-3</v>
      </c>
      <c r="M53" s="55">
        <v>96.699911445309667</v>
      </c>
      <c r="N53" s="55">
        <v>68.189553189333523</v>
      </c>
      <c r="O53" s="58">
        <v>0</v>
      </c>
      <c r="P53" s="98">
        <v>0</v>
      </c>
      <c r="Q53" s="106">
        <v>0</v>
      </c>
    </row>
    <row r="54" spans="1:17" x14ac:dyDescent="0.2">
      <c r="A54" s="28">
        <v>1997.09</v>
      </c>
      <c r="B54" s="28"/>
      <c r="C54" s="55">
        <v>84.99924315611247</v>
      </c>
      <c r="D54" s="56">
        <v>1.6548169413664936E-3</v>
      </c>
      <c r="E54" s="56">
        <v>7.0458108775910022E-2</v>
      </c>
      <c r="F54" s="56">
        <v>7.0458108775910022E-2</v>
      </c>
      <c r="G54" s="56">
        <v>6.2084107128106192E-2</v>
      </c>
      <c r="H54" s="56">
        <v>-1.2466324963305526E-2</v>
      </c>
      <c r="I54" s="56">
        <v>5.023126278076611E-2</v>
      </c>
      <c r="J54" s="56">
        <v>1.8882468908730292E-2</v>
      </c>
      <c r="K54" s="55">
        <v>84.965452521328203</v>
      </c>
      <c r="L54" s="56">
        <v>1.3059535920214582E-3</v>
      </c>
      <c r="M54" s="55">
        <v>96.706928102541681</v>
      </c>
      <c r="N54" s="55">
        <v>66.509697067767917</v>
      </c>
      <c r="O54" s="58">
        <v>0</v>
      </c>
      <c r="P54" s="98">
        <v>0</v>
      </c>
      <c r="Q54" s="106">
        <v>0</v>
      </c>
    </row>
    <row r="55" spans="1:17" x14ac:dyDescent="0.2">
      <c r="A55" s="28">
        <v>1997.1</v>
      </c>
      <c r="B55" s="28"/>
      <c r="C55" s="55">
        <v>85.551532153594579</v>
      </c>
      <c r="D55" s="56">
        <v>6.4765572246097665E-3</v>
      </c>
      <c r="E55" s="56">
        <v>6.699289205933795E-2</v>
      </c>
      <c r="F55" s="56">
        <v>6.699289205933795E-2</v>
      </c>
      <c r="G55" s="56">
        <v>6.333225742515447E-2</v>
      </c>
      <c r="H55" s="56">
        <v>-1.2466324963305526E-2</v>
      </c>
      <c r="I55" s="56">
        <v>5.023126278076611E-2</v>
      </c>
      <c r="J55" s="56">
        <v>1.8882468908730292E-2</v>
      </c>
      <c r="K55" s="55">
        <v>85.188618336302895</v>
      </c>
      <c r="L55" s="56">
        <v>5.1279065432940918E-3</v>
      </c>
      <c r="M55" s="55">
        <v>97.181400863838405</v>
      </c>
      <c r="N55" s="55">
        <v>64.82984094620231</v>
      </c>
      <c r="O55" s="58">
        <v>0</v>
      </c>
      <c r="P55" s="98">
        <v>0</v>
      </c>
      <c r="Q55" s="106">
        <v>0</v>
      </c>
    </row>
    <row r="56" spans="1:17" x14ac:dyDescent="0.2">
      <c r="A56" s="28">
        <v>1997.11</v>
      </c>
      <c r="B56" s="28"/>
      <c r="C56" s="55">
        <v>85.747816335475761</v>
      </c>
      <c r="D56" s="56">
        <v>2.2917106167478179E-3</v>
      </c>
      <c r="E56" s="56">
        <v>6.3468713651945119E-2</v>
      </c>
      <c r="F56" s="56">
        <v>6.3468713651945119E-2</v>
      </c>
      <c r="G56" s="56">
        <v>5.6922107827833468E-2</v>
      </c>
      <c r="H56" s="56">
        <v>-1.2466324963305526E-2</v>
      </c>
      <c r="I56" s="56">
        <v>5.023126278076611E-2</v>
      </c>
      <c r="J56" s="56">
        <v>1.8882468908730292E-2</v>
      </c>
      <c r="K56" s="55">
        <v>85.4100916664853</v>
      </c>
      <c r="L56" s="56">
        <v>4.7719926829583592E-3</v>
      </c>
      <c r="M56" s="55">
        <v>97.250370884823596</v>
      </c>
      <c r="N56" s="55">
        <v>58.110416459939856</v>
      </c>
      <c r="O56" s="58">
        <v>0</v>
      </c>
      <c r="P56" s="98">
        <v>0</v>
      </c>
      <c r="Q56" s="106">
        <v>0</v>
      </c>
    </row>
    <row r="57" spans="1:17" x14ac:dyDescent="0.2">
      <c r="A57" s="28">
        <v>1997.12</v>
      </c>
      <c r="B57" s="28"/>
      <c r="C57" s="55">
        <v>86.14185780713926</v>
      </c>
      <c r="D57" s="56">
        <v>4.5848264461358828E-3</v>
      </c>
      <c r="E57" s="56">
        <v>6.2222748382899741E-2</v>
      </c>
      <c r="F57" s="56">
        <v>6.2222748382899741E-2</v>
      </c>
      <c r="G57" s="56">
        <v>5.5592213574261917E-2</v>
      </c>
      <c r="H57" s="56">
        <v>-1.2466324963305526E-2</v>
      </c>
      <c r="I57" s="56">
        <v>5.023126278076611E-2</v>
      </c>
      <c r="J57" s="56">
        <v>1.8882468908730292E-2</v>
      </c>
      <c r="K57" s="55">
        <v>85.629489794696994</v>
      </c>
      <c r="L57" s="56">
        <v>6.7476633814484988E-3</v>
      </c>
      <c r="M57" s="55">
        <v>97.542810554353323</v>
      </c>
      <c r="N57" s="55">
        <v>58.110416459939856</v>
      </c>
      <c r="O57" s="58">
        <v>0</v>
      </c>
      <c r="P57" s="98">
        <v>0</v>
      </c>
      <c r="Q57" s="106">
        <v>0</v>
      </c>
    </row>
    <row r="58" spans="1:17" x14ac:dyDescent="0.2">
      <c r="A58" s="28">
        <v>1998.01</v>
      </c>
      <c r="B58" s="28"/>
      <c r="C58" s="55">
        <v>86.496184282242211</v>
      </c>
      <c r="D58" s="56">
        <v>4.1048539284017334E-3</v>
      </c>
      <c r="E58" s="56">
        <v>5.7953835253588375E-2</v>
      </c>
      <c r="F58" s="56">
        <v>5.7953835253588375E-2</v>
      </c>
      <c r="G58" s="56">
        <v>5.3531437849460239E-2</v>
      </c>
      <c r="H58" s="56">
        <v>-1.2466324963305526E-2</v>
      </c>
      <c r="I58" s="56">
        <v>5.023126278076611E-2</v>
      </c>
      <c r="J58" s="56">
        <v>1.8882468908730292E-2</v>
      </c>
      <c r="K58" s="55">
        <v>85.846432621416099</v>
      </c>
      <c r="L58" s="56">
        <v>8.2731859028235544E-3</v>
      </c>
      <c r="M58" s="55">
        <v>97.789182227610311</v>
      </c>
      <c r="N58" s="55">
        <v>59.790272581505477</v>
      </c>
      <c r="O58" s="58">
        <v>0</v>
      </c>
      <c r="P58" s="98">
        <v>0</v>
      </c>
      <c r="Q58" s="106">
        <v>0</v>
      </c>
    </row>
    <row r="59" spans="1:17" x14ac:dyDescent="0.2">
      <c r="A59" s="28">
        <v>1998.02</v>
      </c>
      <c r="B59" s="28"/>
      <c r="C59" s="55">
        <v>87.063985121316804</v>
      </c>
      <c r="D59" s="56">
        <v>6.543008879278861E-3</v>
      </c>
      <c r="E59" s="56">
        <v>5.9782110121224828E-2</v>
      </c>
      <c r="F59" s="56">
        <v>5.9782110121224828E-2</v>
      </c>
      <c r="G59" s="56">
        <v>5.6897699201724938E-2</v>
      </c>
      <c r="H59" s="56">
        <v>-1.2466324963305526E-2</v>
      </c>
      <c r="I59" s="56">
        <v>5.023126278076611E-2</v>
      </c>
      <c r="J59" s="56">
        <v>1.8882468908730292E-2</v>
      </c>
      <c r="K59" s="55">
        <v>86.060544011805206</v>
      </c>
      <c r="L59" s="56">
        <v>1.2300557196584849E-2</v>
      </c>
      <c r="M59" s="55">
        <v>98.275495199686873</v>
      </c>
      <c r="N59" s="55">
        <v>59.790272581505477</v>
      </c>
      <c r="O59" s="58">
        <v>0</v>
      </c>
      <c r="P59" s="98">
        <v>0</v>
      </c>
      <c r="Q59" s="106">
        <v>0</v>
      </c>
    </row>
    <row r="60" spans="1:17" x14ac:dyDescent="0.2">
      <c r="A60" s="28">
        <v>1998.03</v>
      </c>
      <c r="B60" s="28"/>
      <c r="C60" s="55">
        <v>87.67598717090992</v>
      </c>
      <c r="D60" s="56">
        <v>7.0047458971285769E-3</v>
      </c>
      <c r="E60" s="56">
        <v>5.7193761380942516E-2</v>
      </c>
      <c r="F60" s="56">
        <v>5.7193761380942516E-2</v>
      </c>
      <c r="G60" s="56">
        <v>6.0874124706672639E-2</v>
      </c>
      <c r="H60" s="56">
        <v>-1.2466324963305526E-2</v>
      </c>
      <c r="I60" s="56">
        <v>5.023126278076611E-2</v>
      </c>
      <c r="J60" s="56">
        <v>1.8882468908730292E-2</v>
      </c>
      <c r="K60" s="55">
        <v>86.271452854719101</v>
      </c>
      <c r="L60" s="56">
        <v>1.6852334583922213E-2</v>
      </c>
      <c r="M60" s="55">
        <v>98.809840272239953</v>
      </c>
      <c r="N60" s="55">
        <v>61.470128703071069</v>
      </c>
      <c r="O60" s="58">
        <v>0</v>
      </c>
      <c r="P60" s="98">
        <v>0</v>
      </c>
      <c r="Q60" s="106">
        <v>0</v>
      </c>
    </row>
    <row r="61" spans="1:17" x14ac:dyDescent="0.2">
      <c r="A61" s="28">
        <v>1998.04</v>
      </c>
      <c r="B61" s="28"/>
      <c r="C61" s="55">
        <v>87.996998948792324</v>
      </c>
      <c r="D61" s="56">
        <v>3.6546556448158493E-3</v>
      </c>
      <c r="E61" s="56">
        <v>5.6773182180039017E-2</v>
      </c>
      <c r="F61" s="56">
        <v>5.6773182180039017E-2</v>
      </c>
      <c r="G61" s="56">
        <v>5.8688634592190425E-2</v>
      </c>
      <c r="H61" s="56">
        <v>-1.2466324963305526E-2</v>
      </c>
      <c r="I61" s="56">
        <v>5.023126278076611E-2</v>
      </c>
      <c r="J61" s="56">
        <v>1.8882468908730292E-2</v>
      </c>
      <c r="K61" s="55">
        <v>86.478795791058602</v>
      </c>
      <c r="L61" s="56">
        <v>1.8051599965043685E-2</v>
      </c>
      <c r="M61" s="55">
        <v>99.014825843491451</v>
      </c>
      <c r="N61" s="55">
        <v>61.470128703071069</v>
      </c>
      <c r="O61" s="58">
        <v>0</v>
      </c>
      <c r="P61" s="98">
        <v>0</v>
      </c>
      <c r="Q61" s="106">
        <v>0</v>
      </c>
    </row>
    <row r="62" spans="1:17" x14ac:dyDescent="0.2">
      <c r="A62" s="28">
        <v>1998.05</v>
      </c>
      <c r="B62" s="28"/>
      <c r="C62" s="55">
        <v>88.685500907128514</v>
      </c>
      <c r="D62" s="56">
        <v>7.7937027602050122E-3</v>
      </c>
      <c r="E62" s="56">
        <v>5.8381044852706288E-2</v>
      </c>
      <c r="F62" s="56">
        <v>5.8381044852706288E-2</v>
      </c>
      <c r="G62" s="56">
        <v>6.4688921865445392E-2</v>
      </c>
      <c r="H62" s="56">
        <v>-1.2466324963305526E-2</v>
      </c>
      <c r="I62" s="56">
        <v>5.023126278076611E-2</v>
      </c>
      <c r="J62" s="56">
        <v>1.8882468908730292E-2</v>
      </c>
      <c r="K62" s="55">
        <v>86.682220308320495</v>
      </c>
      <c r="L62" s="56">
        <v>2.3527214461200208E-2</v>
      </c>
      <c r="M62" s="55">
        <v>99.631764981155399</v>
      </c>
      <c r="N62" s="55">
        <v>68.189553189333523</v>
      </c>
      <c r="O62" s="58">
        <v>0</v>
      </c>
      <c r="P62" s="98">
        <v>0</v>
      </c>
      <c r="Q62" s="106">
        <v>0</v>
      </c>
    </row>
    <row r="63" spans="1:17" x14ac:dyDescent="0.2">
      <c r="A63" s="28">
        <v>1998.06</v>
      </c>
      <c r="B63" s="28"/>
      <c r="C63" s="55">
        <v>88.462846404312018</v>
      </c>
      <c r="D63" s="56">
        <v>-2.5137645757589114E-3</v>
      </c>
      <c r="E63" s="56">
        <v>4.8998576007789826E-2</v>
      </c>
      <c r="F63" s="56">
        <v>4.8998576007789826E-2</v>
      </c>
      <c r="G63" s="56">
        <v>5.0260261202751844E-2</v>
      </c>
      <c r="H63" s="56">
        <v>-1.2466324963305526E-2</v>
      </c>
      <c r="I63" s="56">
        <v>5.023126278076611E-2</v>
      </c>
      <c r="J63" s="56">
        <v>1.8882468908730292E-2</v>
      </c>
      <c r="K63" s="55">
        <v>86.881385617463593</v>
      </c>
      <c r="L63" s="56">
        <v>1.8531163975264109E-2</v>
      </c>
      <c r="M63" s="55">
        <v>99.22450562201837</v>
      </c>
      <c r="N63" s="55">
        <v>64.82984094620231</v>
      </c>
      <c r="O63" s="58">
        <v>0</v>
      </c>
      <c r="P63" s="98">
        <v>0</v>
      </c>
      <c r="Q63" s="106">
        <v>0</v>
      </c>
    </row>
    <row r="64" spans="1:17" x14ac:dyDescent="0.2">
      <c r="A64" s="28">
        <v>1998.07</v>
      </c>
      <c r="B64" s="28"/>
      <c r="C64" s="55">
        <v>88.930290709811445</v>
      </c>
      <c r="D64" s="56">
        <v>5.2701631531796543E-3</v>
      </c>
      <c r="E64" s="56">
        <v>5.3737808025551601E-2</v>
      </c>
      <c r="F64" s="56">
        <v>5.3737808025551601E-2</v>
      </c>
      <c r="G64" s="56">
        <v>5.2563253131481025E-2</v>
      </c>
      <c r="H64" s="56">
        <v>-1.2466324963305526E-2</v>
      </c>
      <c r="I64" s="56">
        <v>5.023126278076611E-2</v>
      </c>
      <c r="J64" s="56">
        <v>1.8882468908730292E-2</v>
      </c>
      <c r="K64" s="55">
        <v>87.075966395581204</v>
      </c>
      <c r="L64" s="56">
        <v>2.153475226861512E-2</v>
      </c>
      <c r="M64" s="55">
        <v>99.591111734739599</v>
      </c>
      <c r="N64" s="55">
        <v>64.82984094620231</v>
      </c>
      <c r="O64" s="58">
        <v>0</v>
      </c>
      <c r="P64" s="98">
        <v>0</v>
      </c>
      <c r="Q64" s="106">
        <v>0</v>
      </c>
    </row>
    <row r="65" spans="1:17" x14ac:dyDescent="0.2">
      <c r="A65" s="28">
        <v>1998.08</v>
      </c>
      <c r="B65" s="28"/>
      <c r="C65" s="55">
        <v>89.185763018222687</v>
      </c>
      <c r="D65" s="56">
        <v>2.8686070486318681E-3</v>
      </c>
      <c r="E65" s="56">
        <v>4.9733883964742806E-2</v>
      </c>
      <c r="F65" s="56">
        <v>4.9733883964742806E-2</v>
      </c>
      <c r="G65" s="56">
        <v>4.9450966271393115E-2</v>
      </c>
      <c r="H65" s="56">
        <v>-1.2466324963305526E-2</v>
      </c>
      <c r="I65" s="56">
        <v>5.023126278076611E-2</v>
      </c>
      <c r="J65" s="56">
        <v>1.8882468908730292E-2</v>
      </c>
      <c r="K65" s="55">
        <v>87.265649530300394</v>
      </c>
      <c r="L65" s="56">
        <v>2.2148239682488358E-2</v>
      </c>
      <c r="M65" s="55">
        <v>99.719303056520374</v>
      </c>
      <c r="N65" s="55">
        <v>63.149984824636689</v>
      </c>
      <c r="O65" s="58">
        <v>0</v>
      </c>
      <c r="P65" s="98">
        <v>0</v>
      </c>
      <c r="Q65" s="106">
        <v>0</v>
      </c>
    </row>
    <row r="66" spans="1:17" x14ac:dyDescent="0.2">
      <c r="A66" s="28">
        <v>1998.09</v>
      </c>
      <c r="B66" s="28"/>
      <c r="C66" s="55">
        <v>89.909222531773381</v>
      </c>
      <c r="D66" s="56">
        <v>8.0791033479440926E-3</v>
      </c>
      <c r="E66" s="56">
        <v>5.6158170371320565E-2</v>
      </c>
      <c r="F66" s="56">
        <v>5.6158170371320565E-2</v>
      </c>
      <c r="G66" s="56">
        <v>5.7107412815946113E-2</v>
      </c>
      <c r="H66" s="56">
        <v>-1.2466324963305526E-2</v>
      </c>
      <c r="I66" s="56">
        <v>5.023126278076611E-2</v>
      </c>
      <c r="J66" s="56">
        <v>1.8882468908730292E-2</v>
      </c>
      <c r="K66" s="55">
        <v>87.450136224728595</v>
      </c>
      <c r="L66" s="56">
        <v>2.816746500179601E-2</v>
      </c>
      <c r="M66" s="55">
        <v>100.36927299562736</v>
      </c>
      <c r="N66" s="55">
        <v>63.149984824636689</v>
      </c>
      <c r="O66" s="58">
        <v>0</v>
      </c>
      <c r="P66" s="98">
        <v>0</v>
      </c>
      <c r="Q66" s="106">
        <v>0</v>
      </c>
    </row>
    <row r="67" spans="1:17" x14ac:dyDescent="0.2">
      <c r="A67" s="28">
        <v>1998.1</v>
      </c>
      <c r="B67" s="28"/>
      <c r="C67" s="55">
        <v>89.824736364202963</v>
      </c>
      <c r="D67" s="56">
        <v>-9.4012477455039591E-4</v>
      </c>
      <c r="E67" s="56">
        <v>4.8741488372160358E-2</v>
      </c>
      <c r="F67" s="56">
        <v>4.8741488372160358E-2</v>
      </c>
      <c r="G67" s="56">
        <v>4.6198132686893212E-2</v>
      </c>
      <c r="H67" s="56">
        <v>-1.2466324963305526E-2</v>
      </c>
      <c r="I67" s="56">
        <v>5.023126278076611E-2</v>
      </c>
      <c r="J67" s="56">
        <v>1.8882468908730292E-2</v>
      </c>
      <c r="K67" s="55">
        <v>87.629142504598406</v>
      </c>
      <c r="L67" s="56">
        <v>2.5001599527546325E-2</v>
      </c>
      <c r="M67" s="55">
        <v>100.11642225555286</v>
      </c>
      <c r="N67" s="55">
        <v>61.470128703071069</v>
      </c>
      <c r="O67" s="58">
        <v>0</v>
      </c>
      <c r="P67" s="98">
        <v>0</v>
      </c>
      <c r="Q67" s="106">
        <v>0</v>
      </c>
    </row>
    <row r="68" spans="1:17" x14ac:dyDescent="0.2">
      <c r="A68" s="28">
        <v>1998.11</v>
      </c>
      <c r="B68" s="28"/>
      <c r="C68" s="55">
        <v>90.024406904044568</v>
      </c>
      <c r="D68" s="56">
        <v>2.2204233865017967E-3</v>
      </c>
      <c r="E68" s="56">
        <v>4.8670201141914268E-2</v>
      </c>
      <c r="F68" s="56">
        <v>4.8670201141914268E-2</v>
      </c>
      <c r="G68" s="56">
        <v>4.2662020599167239E-2</v>
      </c>
      <c r="H68" s="56">
        <v>-1.2466324963305526E-2</v>
      </c>
      <c r="I68" s="56">
        <v>5.023126278076611E-2</v>
      </c>
      <c r="J68" s="56">
        <v>1.8882468908730292E-2</v>
      </c>
      <c r="K68" s="55">
        <v>87.802403376401401</v>
      </c>
      <c r="L68" s="56">
        <v>2.5148622590566161E-2</v>
      </c>
      <c r="M68" s="55">
        <v>100.18033343966644</v>
      </c>
      <c r="N68" s="55">
        <v>58.110416459939856</v>
      </c>
      <c r="O68" s="58">
        <v>0</v>
      </c>
      <c r="P68" s="98">
        <v>0</v>
      </c>
      <c r="Q68" s="106">
        <v>0</v>
      </c>
    </row>
    <row r="69" spans="1:17" x14ac:dyDescent="0.2">
      <c r="A69" s="28">
        <v>1998.12</v>
      </c>
      <c r="B69" s="28"/>
      <c r="C69" s="55">
        <v>90.174116907737442</v>
      </c>
      <c r="D69" s="56">
        <v>1.6616122593154012E-3</v>
      </c>
      <c r="E69" s="56">
        <v>4.5746986955093605E-2</v>
      </c>
      <c r="F69" s="56">
        <v>4.5746986955093605E-2</v>
      </c>
      <c r="G69" s="56">
        <v>3.8091639980532666E-2</v>
      </c>
      <c r="H69" s="56">
        <v>-1.2466324963305526E-2</v>
      </c>
      <c r="I69" s="56">
        <v>5.023126278076611E-2</v>
      </c>
      <c r="J69" s="56">
        <v>1.8882468908730292E-2</v>
      </c>
      <c r="K69" s="55">
        <v>87.969670793595697</v>
      </c>
      <c r="L69" s="56">
        <v>2.4794125182171722E-2</v>
      </c>
      <c r="M69" s="55">
        <v>100.1882834492648</v>
      </c>
      <c r="N69" s="55">
        <v>59.790272581505477</v>
      </c>
      <c r="O69" s="58">
        <v>0</v>
      </c>
      <c r="P69" s="98">
        <v>0</v>
      </c>
      <c r="Q69" s="106">
        <v>0</v>
      </c>
    </row>
    <row r="70" spans="1:17" x14ac:dyDescent="0.2">
      <c r="A70" s="28">
        <v>1999.01</v>
      </c>
      <c r="B70" s="28"/>
      <c r="C70" s="55">
        <v>90.615639224005747</v>
      </c>
      <c r="D70" s="56">
        <v>4.8843828710801026E-3</v>
      </c>
      <c r="E70" s="56">
        <v>4.6526515897772243E-2</v>
      </c>
      <c r="F70" s="56">
        <v>4.6526515897772243E-2</v>
      </c>
      <c r="G70" s="56">
        <v>4.0180789195295219E-2</v>
      </c>
      <c r="H70" s="56">
        <v>-1.2466324963305526E-2</v>
      </c>
      <c r="I70" s="56">
        <v>5.023126278076611E-2</v>
      </c>
      <c r="J70" s="56">
        <v>1.8882468908730292E-2</v>
      </c>
      <c r="K70" s="55">
        <v>88.130713860653401</v>
      </c>
      <c r="L70" s="56">
        <v>2.782071360893168E-2</v>
      </c>
      <c r="M70" s="55">
        <v>100.51966445939534</v>
      </c>
      <c r="N70" s="55">
        <v>56.430560338374242</v>
      </c>
      <c r="O70" s="58">
        <v>0</v>
      </c>
      <c r="P70" s="98">
        <v>0</v>
      </c>
      <c r="Q70" s="106">
        <v>0</v>
      </c>
    </row>
    <row r="71" spans="1:17" x14ac:dyDescent="0.2">
      <c r="A71" s="28">
        <v>1999.02</v>
      </c>
      <c r="B71" s="28"/>
      <c r="C71" s="55">
        <v>91.019635223394118</v>
      </c>
      <c r="D71" s="56">
        <v>4.4484384085304862E-3</v>
      </c>
      <c r="E71" s="56">
        <v>4.4431945427023778E-2</v>
      </c>
      <c r="F71" s="56">
        <v>4.4431945427023778E-2</v>
      </c>
      <c r="G71" s="56">
        <v>4.130633692775465E-2</v>
      </c>
      <c r="H71" s="56">
        <v>-1.2466324963305526E-2</v>
      </c>
      <c r="I71" s="56">
        <v>5.023126278076611E-2</v>
      </c>
      <c r="J71" s="56">
        <v>1.8882468908730292E-2</v>
      </c>
      <c r="K71" s="55">
        <v>88.285318698237006</v>
      </c>
      <c r="L71" s="56">
        <v>3.04837070591919E-2</v>
      </c>
      <c r="M71" s="55">
        <v>100.80818518886578</v>
      </c>
      <c r="N71" s="55">
        <v>54.750704216808636</v>
      </c>
      <c r="O71" s="58">
        <v>0</v>
      </c>
      <c r="P71" s="98">
        <v>0</v>
      </c>
      <c r="Q71" s="106">
        <v>0</v>
      </c>
    </row>
    <row r="72" spans="1:17" x14ac:dyDescent="0.2">
      <c r="A72" s="28">
        <v>1999.03</v>
      </c>
      <c r="B72" s="28"/>
      <c r="C72" s="55">
        <v>91.708324788012021</v>
      </c>
      <c r="D72" s="56">
        <v>7.5379030720412682E-3</v>
      </c>
      <c r="E72" s="56">
        <v>4.4965102601936577E-2</v>
      </c>
      <c r="F72" s="56">
        <v>4.4965102601936577E-2</v>
      </c>
      <c r="G72" s="56">
        <v>4.8720145416837113E-2</v>
      </c>
      <c r="H72" s="56">
        <v>-1.2466324963305526E-2</v>
      </c>
      <c r="I72" s="56">
        <v>5.023126278076611E-2</v>
      </c>
      <c r="J72" s="56">
        <v>1.8882468908730292E-2</v>
      </c>
      <c r="K72" s="55">
        <v>88.433290608241805</v>
      </c>
      <c r="L72" s="56">
        <v>3.6429910066847482E-2</v>
      </c>
      <c r="M72" s="55">
        <v>101.41035429065676</v>
      </c>
      <c r="N72" s="55">
        <v>53.070848095243022</v>
      </c>
      <c r="O72" s="58">
        <v>0</v>
      </c>
      <c r="P72" s="98">
        <v>0</v>
      </c>
      <c r="Q72" s="106">
        <v>0</v>
      </c>
    </row>
    <row r="73" spans="1:17" x14ac:dyDescent="0.2">
      <c r="A73" s="28">
        <v>1999.04</v>
      </c>
      <c r="B73" s="28"/>
      <c r="C73" s="55">
        <v>92.560067312017566</v>
      </c>
      <c r="D73" s="56">
        <v>9.2446521117510883E-3</v>
      </c>
      <c r="E73" s="56">
        <v>5.0555099068871574E-2</v>
      </c>
      <c r="F73" s="56">
        <v>5.0555099068871574E-2</v>
      </c>
      <c r="G73" s="56">
        <v>5.9407218388777716E-2</v>
      </c>
      <c r="H73" s="56">
        <v>-1.2466324963305526E-2</v>
      </c>
      <c r="I73" s="56">
        <v>5.023126278076611E-2</v>
      </c>
      <c r="J73" s="56">
        <v>1.8882468908730292E-2</v>
      </c>
      <c r="K73" s="55">
        <v>88.5744559985622</v>
      </c>
      <c r="L73" s="56">
        <v>4.4273223845128662E-2</v>
      </c>
      <c r="M73" s="55">
        <v>102.19038498443066</v>
      </c>
      <c r="N73" s="55">
        <v>56.430560338374242</v>
      </c>
      <c r="O73" s="58">
        <v>0</v>
      </c>
      <c r="P73" s="98">
        <v>0</v>
      </c>
      <c r="Q73" s="106">
        <v>0</v>
      </c>
    </row>
    <row r="74" spans="1:17" x14ac:dyDescent="0.2">
      <c r="A74" s="28">
        <v>1999.05</v>
      </c>
      <c r="B74" s="28"/>
      <c r="C74" s="55">
        <v>92.922467316205413</v>
      </c>
      <c r="D74" s="56">
        <v>3.9076505619254414E-3</v>
      </c>
      <c r="E74" s="56">
        <v>4.6669046870592076E-2</v>
      </c>
      <c r="F74" s="56">
        <v>4.6669046870592076E-2</v>
      </c>
      <c r="G74" s="56">
        <v>5.8777542255024517E-2</v>
      </c>
      <c r="H74" s="56">
        <v>-1.2466324963305526E-2</v>
      </c>
      <c r="I74" s="56">
        <v>5.023126278076611E-2</v>
      </c>
      <c r="J74" s="56">
        <v>1.8882468908730292E-2</v>
      </c>
      <c r="K74" s="55">
        <v>88.708666554941701</v>
      </c>
      <c r="L74" s="56">
        <v>4.6659513319700308E-2</v>
      </c>
      <c r="M74" s="55">
        <v>102.4282942116609</v>
      </c>
      <c r="N74" s="55">
        <v>54.750704216808636</v>
      </c>
      <c r="O74" s="58">
        <v>0</v>
      </c>
      <c r="P74" s="98">
        <v>0</v>
      </c>
      <c r="Q74" s="106">
        <v>0</v>
      </c>
    </row>
    <row r="75" spans="1:17" x14ac:dyDescent="0.2">
      <c r="A75" s="28">
        <v>1999.06</v>
      </c>
      <c r="B75" s="28"/>
      <c r="C75" s="55">
        <v>93.322293409101064</v>
      </c>
      <c r="D75" s="56">
        <v>4.2935619295851081E-3</v>
      </c>
      <c r="E75" s="56">
        <v>5.3476373375936165E-2</v>
      </c>
      <c r="F75" s="56">
        <v>5.3476373375936165E-2</v>
      </c>
      <c r="G75" s="56">
        <v>5.9524680463180824E-2</v>
      </c>
      <c r="H75" s="56">
        <v>-1.2466324963305526E-2</v>
      </c>
      <c r="I75" s="56">
        <v>5.023126278076611E-2</v>
      </c>
      <c r="J75" s="56">
        <v>1.8882468908730292E-2</v>
      </c>
      <c r="K75" s="55">
        <v>88.835804723968096</v>
      </c>
      <c r="L75" s="56">
        <v>4.954199057635944E-2</v>
      </c>
      <c r="M75" s="55">
        <v>102.7063852295468</v>
      </c>
      <c r="N75" s="55">
        <v>56.430560338374242</v>
      </c>
      <c r="O75" s="58">
        <v>0</v>
      </c>
      <c r="P75" s="98">
        <v>0</v>
      </c>
      <c r="Q75" s="106">
        <v>0</v>
      </c>
    </row>
    <row r="76" spans="1:17" x14ac:dyDescent="0.2">
      <c r="A76" s="28">
        <v>1999.07</v>
      </c>
      <c r="B76" s="28"/>
      <c r="C76" s="55">
        <v>94.302369500863733</v>
      </c>
      <c r="D76" s="56">
        <v>1.044729398389283E-2</v>
      </c>
      <c r="E76" s="56">
        <v>5.8653504206649221E-2</v>
      </c>
      <c r="F76" s="56">
        <v>5.8653504206649221E-2</v>
      </c>
      <c r="G76" s="56">
        <v>7.1286495779132597E-2</v>
      </c>
      <c r="H76" s="56">
        <v>-1.2466324963305526E-2</v>
      </c>
      <c r="I76" s="56">
        <v>5.023126278076611E-2</v>
      </c>
      <c r="J76" s="56">
        <v>1.8882468908730292E-2</v>
      </c>
      <c r="K76" s="55">
        <v>88.955785474191401</v>
      </c>
      <c r="L76" s="56">
        <v>5.9016462276526127E-2</v>
      </c>
      <c r="M76" s="55">
        <v>103.62092872825419</v>
      </c>
      <c r="N76" s="55">
        <v>59.790272581505477</v>
      </c>
      <c r="O76" s="58">
        <v>0</v>
      </c>
      <c r="P76" s="98">
        <v>0</v>
      </c>
      <c r="Q76" s="106">
        <v>0</v>
      </c>
    </row>
    <row r="77" spans="1:17" x14ac:dyDescent="0.2">
      <c r="A77" s="28">
        <v>1999.08</v>
      </c>
      <c r="B77" s="28"/>
      <c r="C77" s="55">
        <v>94.464118762119355</v>
      </c>
      <c r="D77" s="56">
        <v>1.7137501717741368E-3</v>
      </c>
      <c r="E77" s="56">
        <v>5.7498647329791347E-2</v>
      </c>
      <c r="F77" s="56">
        <v>5.7498647329791347E-2</v>
      </c>
      <c r="G77" s="56">
        <v>6.4972840325069781E-2</v>
      </c>
      <c r="H77" s="56">
        <v>-1.2466324963305526E-2</v>
      </c>
      <c r="I77" s="56">
        <v>5.023126278076611E-2</v>
      </c>
      <c r="J77" s="56">
        <v>1.8882468908730292E-2</v>
      </c>
      <c r="K77" s="55">
        <v>89.068558399579402</v>
      </c>
      <c r="L77" s="56">
        <v>5.9373096110064694E-2</v>
      </c>
      <c r="M77" s="55">
        <v>103.63455492163084</v>
      </c>
      <c r="N77" s="55">
        <v>56.430560338374242</v>
      </c>
      <c r="O77" s="58">
        <v>0</v>
      </c>
      <c r="P77" s="98">
        <v>0</v>
      </c>
      <c r="Q77" s="106">
        <v>0</v>
      </c>
    </row>
    <row r="78" spans="1:17" x14ac:dyDescent="0.2">
      <c r="A78" s="28">
        <v>1999.09</v>
      </c>
      <c r="B78" s="28"/>
      <c r="C78" s="55">
        <v>94.817173305085163</v>
      </c>
      <c r="D78" s="56">
        <v>3.7304791038714085E-3</v>
      </c>
      <c r="E78" s="56">
        <v>5.3150023085718832E-2</v>
      </c>
      <c r="F78" s="56">
        <v>5.3150023085718832E-2</v>
      </c>
      <c r="G78" s="56">
        <v>6.2859678702135158E-2</v>
      </c>
      <c r="H78" s="56">
        <v>-1.2466324963305526E-2</v>
      </c>
      <c r="I78" s="56">
        <v>5.023126278076611E-2</v>
      </c>
      <c r="J78" s="56">
        <v>1.8882468908730292E-2</v>
      </c>
      <c r="K78" s="55">
        <v>89.174114355917297</v>
      </c>
      <c r="L78" s="56">
        <v>6.1958137643320699E-2</v>
      </c>
      <c r="M78" s="55">
        <v>103.85742411656689</v>
      </c>
      <c r="N78" s="55">
        <v>56.430560338374242</v>
      </c>
      <c r="O78" s="58">
        <v>0</v>
      </c>
      <c r="P78" s="98">
        <v>0</v>
      </c>
      <c r="Q78" s="106">
        <v>0</v>
      </c>
    </row>
    <row r="79" spans="1:17" x14ac:dyDescent="0.2">
      <c r="A79" s="28">
        <v>1999.1</v>
      </c>
      <c r="B79" s="28"/>
      <c r="C79" s="55">
        <v>95.172452936601132</v>
      </c>
      <c r="D79" s="56">
        <v>3.7399941530324803E-3</v>
      </c>
      <c r="E79" s="56">
        <v>5.783014201330175E-2</v>
      </c>
      <c r="F79" s="56">
        <v>5.783014201330175E-2</v>
      </c>
      <c r="G79" s="56">
        <v>6.1470492878466398E-2</v>
      </c>
      <c r="H79" s="56">
        <v>-1.2466324963305526E-2</v>
      </c>
      <c r="I79" s="56">
        <v>5.023126278076611E-2</v>
      </c>
      <c r="J79" s="56">
        <v>1.8882468908730292E-2</v>
      </c>
      <c r="K79" s="55">
        <v>89.272485838709898</v>
      </c>
      <c r="L79" s="56">
        <v>6.464858878712465E-2</v>
      </c>
      <c r="M79" s="55">
        <v>104.08176293671968</v>
      </c>
      <c r="N79" s="55">
        <v>56.430560338374242</v>
      </c>
      <c r="O79" s="58">
        <v>0</v>
      </c>
      <c r="P79" s="98">
        <v>0</v>
      </c>
      <c r="Q79" s="106">
        <v>0</v>
      </c>
    </row>
    <row r="80" spans="1:17" x14ac:dyDescent="0.2">
      <c r="A80" s="28">
        <v>1999.11</v>
      </c>
      <c r="B80" s="28"/>
      <c r="C80" s="55">
        <v>95.340409613098799</v>
      </c>
      <c r="D80" s="56">
        <v>1.7632060928921623E-3</v>
      </c>
      <c r="E80" s="56">
        <v>5.7372924719691874E-2</v>
      </c>
      <c r="F80" s="56">
        <v>5.7372924719691874E-2</v>
      </c>
      <c r="G80" s="56">
        <v>5.5488191949186527E-2</v>
      </c>
      <c r="H80" s="56">
        <v>-1.2466324963305526E-2</v>
      </c>
      <c r="I80" s="56">
        <v>5.023126278076611E-2</v>
      </c>
      <c r="J80" s="56">
        <v>1.8882468908730292E-2</v>
      </c>
      <c r="K80" s="55">
        <v>89.363748892766594</v>
      </c>
      <c r="L80" s="56">
        <v>6.5326368649327948E-2</v>
      </c>
      <c r="M80" s="55">
        <v>104.10059799363383</v>
      </c>
      <c r="N80" s="55">
        <v>54.750704216808636</v>
      </c>
      <c r="O80" s="58">
        <v>0</v>
      </c>
      <c r="P80" s="98">
        <v>0</v>
      </c>
      <c r="Q80" s="106">
        <v>0</v>
      </c>
    </row>
    <row r="81" spans="1:17" x14ac:dyDescent="0.2">
      <c r="A81" s="28">
        <v>1999.12</v>
      </c>
      <c r="B81" s="28"/>
      <c r="C81" s="55">
        <v>95.225352295445319</v>
      </c>
      <c r="D81" s="56">
        <v>-1.2075341392069039E-3</v>
      </c>
      <c r="E81" s="56">
        <v>5.4503778321169642E-2</v>
      </c>
      <c r="F81" s="56">
        <v>5.4503778321169642E-2</v>
      </c>
      <c r="G81" s="56">
        <v>4.389860512153243E-2</v>
      </c>
      <c r="H81" s="56">
        <v>-1.2466324963305526E-2</v>
      </c>
      <c r="I81" s="56">
        <v>5.023126278076611E-2</v>
      </c>
      <c r="J81" s="56">
        <v>1.8882468908730292E-2</v>
      </c>
      <c r="K81" s="55">
        <v>89.448025094303503</v>
      </c>
      <c r="L81" s="56">
        <v>6.2929410215800896E-2</v>
      </c>
      <c r="M81" s="55">
        <v>103.81058364806256</v>
      </c>
      <c r="N81" s="55">
        <v>49.711135852111795</v>
      </c>
      <c r="O81" s="58">
        <v>0</v>
      </c>
      <c r="P81" s="98">
        <v>0</v>
      </c>
      <c r="Q81" s="106">
        <v>0</v>
      </c>
    </row>
    <row r="82" spans="1:17" x14ac:dyDescent="0.2">
      <c r="A82" s="28">
        <v>2000.01</v>
      </c>
      <c r="B82" s="28"/>
      <c r="C82" s="55">
        <v>95.742037001247738</v>
      </c>
      <c r="D82" s="56">
        <v>5.4112481558714724E-3</v>
      </c>
      <c r="E82" s="56">
        <v>5.5030643605961028E-2</v>
      </c>
      <c r="F82" s="56">
        <v>5.5030643605961028E-2</v>
      </c>
      <c r="G82" s="56">
        <v>4.562864713635495E-2</v>
      </c>
      <c r="H82" s="56">
        <v>-1.2466324963305526E-2</v>
      </c>
      <c r="I82" s="56">
        <v>5.023126278076611E-2</v>
      </c>
      <c r="J82" s="56">
        <v>1.8882468908730292E-2</v>
      </c>
      <c r="K82" s="55">
        <v>89.525482142348494</v>
      </c>
      <c r="L82" s="56">
        <v>6.7666218892637797E-2</v>
      </c>
      <c r="M82" s="55">
        <v>104.20883527153759</v>
      </c>
      <c r="N82" s="55">
        <v>49.711135852111795</v>
      </c>
      <c r="O82" s="58">
        <v>0</v>
      </c>
      <c r="P82" s="98">
        <v>0</v>
      </c>
      <c r="Q82" s="106">
        <v>0</v>
      </c>
    </row>
    <row r="83" spans="1:17" x14ac:dyDescent="0.2">
      <c r="A83" s="28">
        <v>2000.02</v>
      </c>
      <c r="B83" s="28"/>
      <c r="C83" s="55">
        <v>95.959736354947793</v>
      </c>
      <c r="D83" s="56">
        <v>2.2712303957545948E-3</v>
      </c>
      <c r="E83" s="56">
        <v>5.2853435593185158E-2</v>
      </c>
      <c r="F83" s="56">
        <v>5.2853435593185158E-2</v>
      </c>
      <c r="G83" s="56">
        <v>4.1218355516455363E-2</v>
      </c>
      <c r="H83" s="56">
        <v>-1.2466324963305526E-2</v>
      </c>
      <c r="I83" s="56">
        <v>5.023126278076611E-2</v>
      </c>
      <c r="J83" s="56">
        <v>1.8882468908730292E-2</v>
      </c>
      <c r="K83" s="55">
        <v>89.596332320603807</v>
      </c>
      <c r="L83" s="56">
        <v>6.9145505615893166E-2</v>
      </c>
      <c r="M83" s="55">
        <v>104.28065697748789</v>
      </c>
      <c r="N83" s="55">
        <v>53.070848095243022</v>
      </c>
      <c r="O83" s="58">
        <v>0</v>
      </c>
      <c r="P83" s="98">
        <v>0</v>
      </c>
      <c r="Q83" s="106">
        <v>0</v>
      </c>
    </row>
    <row r="84" spans="1:17" x14ac:dyDescent="0.2">
      <c r="A84" s="28">
        <v>2000.03</v>
      </c>
      <c r="B84" s="28"/>
      <c r="C84" s="55">
        <v>96.21208803981088</v>
      </c>
      <c r="D84" s="56">
        <v>2.6263145568617315E-3</v>
      </c>
      <c r="E84" s="56">
        <v>4.7941847078005473E-2</v>
      </c>
      <c r="F84" s="56">
        <v>4.7941847078005473E-2</v>
      </c>
      <c r="G84" s="56">
        <v>3.7861616214938332E-2</v>
      </c>
      <c r="H84" s="56">
        <v>-1.2466324963305526E-2</v>
      </c>
      <c r="I84" s="56">
        <v>5.023126278076611E-2</v>
      </c>
      <c r="J84" s="56">
        <v>1.8882468908730292E-2</v>
      </c>
      <c r="K84" s="55">
        <v>89.660835886379004</v>
      </c>
      <c r="L84" s="56">
        <v>7.1087968289304637E-2</v>
      </c>
      <c r="M84" s="55">
        <v>104.38958869297106</v>
      </c>
      <c r="N84" s="55">
        <v>49.711135852111795</v>
      </c>
      <c r="O84" s="58">
        <v>0</v>
      </c>
      <c r="P84" s="98">
        <v>0</v>
      </c>
      <c r="Q84" s="106">
        <v>0</v>
      </c>
    </row>
    <row r="85" spans="1:17" x14ac:dyDescent="0.2">
      <c r="A85" s="28">
        <v>2000.04</v>
      </c>
      <c r="B85" s="28"/>
      <c r="C85" s="55">
        <v>96.256002109265793</v>
      </c>
      <c r="D85" s="56">
        <v>4.563257232192043E-4</v>
      </c>
      <c r="E85" s="56">
        <v>3.9153520689473503E-2</v>
      </c>
      <c r="F85" s="56">
        <v>3.9153520689473503E-2</v>
      </c>
      <c r="G85" s="56">
        <v>3.1146608812361531E-2</v>
      </c>
      <c r="H85" s="56">
        <v>-1.2466324963305526E-2</v>
      </c>
      <c r="I85" s="56">
        <v>5.023126278076611E-2</v>
      </c>
      <c r="J85" s="56">
        <v>1.8882468908730292E-2</v>
      </c>
      <c r="K85" s="55">
        <v>89.7193022029481</v>
      </c>
      <c r="L85" s="56">
        <v>7.0785550734704605E-2</v>
      </c>
      <c r="M85" s="55">
        <v>104.27211918573956</v>
      </c>
      <c r="N85" s="55">
        <v>46.351423608980575</v>
      </c>
      <c r="O85" s="58">
        <v>0</v>
      </c>
      <c r="P85" s="98">
        <v>0</v>
      </c>
      <c r="Q85" s="106">
        <v>0</v>
      </c>
    </row>
    <row r="86" spans="1:17" x14ac:dyDescent="0.2">
      <c r="A86" s="28">
        <v>2000.05</v>
      </c>
      <c r="B86" s="28"/>
      <c r="C86" s="55">
        <v>95.683562034791848</v>
      </c>
      <c r="D86" s="56">
        <v>-5.9648126665532005E-3</v>
      </c>
      <c r="E86" s="56">
        <v>2.9281057460994967E-2</v>
      </c>
      <c r="F86" s="56">
        <v>2.9281057460994967E-2</v>
      </c>
      <c r="G86" s="56">
        <v>1.3756767899913536E-2</v>
      </c>
      <c r="H86" s="56">
        <v>-1.2466324963305526E-2</v>
      </c>
      <c r="I86" s="56">
        <v>5.023126278076611E-2</v>
      </c>
      <c r="J86" s="56">
        <v>1.8882468908730292E-2</v>
      </c>
      <c r="K86" s="55">
        <v>89.772091189928005</v>
      </c>
      <c r="L86" s="56">
        <v>6.3704651821527181E-2</v>
      </c>
      <c r="M86" s="55">
        <v>103.48813221390354</v>
      </c>
      <c r="N86" s="55">
        <v>46.351423608980575</v>
      </c>
      <c r="O86" s="58">
        <v>0</v>
      </c>
      <c r="P86" s="98">
        <v>0</v>
      </c>
      <c r="Q86" s="106">
        <v>0</v>
      </c>
    </row>
    <row r="87" spans="1:17" x14ac:dyDescent="0.2">
      <c r="A87" s="28">
        <v>2000.06</v>
      </c>
      <c r="B87" s="28"/>
      <c r="C87" s="55">
        <v>95.554297265431487</v>
      </c>
      <c r="D87" s="56">
        <v>-1.3518744616783874E-3</v>
      </c>
      <c r="E87" s="56">
        <v>2.3635621069731456E-2</v>
      </c>
      <c r="F87" s="56">
        <v>2.3635621069731456E-2</v>
      </c>
      <c r="G87" s="56">
        <v>6.7226973171596871E-3</v>
      </c>
      <c r="H87" s="56">
        <v>-1.2466324963305526E-2</v>
      </c>
      <c r="I87" s="56">
        <v>5.023126278076611E-2</v>
      </c>
      <c r="J87" s="56">
        <v>1.8882468908730292E-2</v>
      </c>
      <c r="K87" s="55">
        <v>89.819613212738005</v>
      </c>
      <c r="L87" s="56">
        <v>6.1624718599778694E-2</v>
      </c>
      <c r="M87" s="55">
        <v>103.18492931872085</v>
      </c>
      <c r="N87" s="55">
        <v>46.351423608980575</v>
      </c>
      <c r="O87" s="58">
        <v>0</v>
      </c>
      <c r="P87" s="98">
        <v>0</v>
      </c>
      <c r="Q87" s="106">
        <v>0</v>
      </c>
    </row>
    <row r="88" spans="1:17" x14ac:dyDescent="0.2">
      <c r="A88" s="28">
        <v>2000.07</v>
      </c>
      <c r="B88" s="28"/>
      <c r="C88" s="55">
        <v>95.988167111877161</v>
      </c>
      <c r="D88" s="56">
        <v>4.530280947338863E-3</v>
      </c>
      <c r="E88" s="56">
        <v>1.7718608033177669E-2</v>
      </c>
      <c r="F88" s="56">
        <v>1.7718608033177669E-2</v>
      </c>
      <c r="G88" s="56">
        <v>1.1526560127457453E-2</v>
      </c>
      <c r="H88" s="56">
        <v>-1.2466324963305526E-2</v>
      </c>
      <c r="I88" s="56">
        <v>5.023126278076611E-2</v>
      </c>
      <c r="J88" s="56">
        <v>1.8882468908730292E-2</v>
      </c>
      <c r="K88" s="55">
        <v>89.862324258477003</v>
      </c>
      <c r="L88" s="56">
        <v>6.5863436736871117E-2</v>
      </c>
      <c r="M88" s="55">
        <v>103.48956963755514</v>
      </c>
      <c r="N88" s="55">
        <v>46.351423608980575</v>
      </c>
      <c r="O88" s="58">
        <v>0</v>
      </c>
      <c r="P88" s="98">
        <v>0</v>
      </c>
      <c r="Q88" s="106">
        <v>0</v>
      </c>
    </row>
    <row r="89" spans="1:17" x14ac:dyDescent="0.2">
      <c r="A89" s="28">
        <v>2000.08</v>
      </c>
      <c r="B89" s="28"/>
      <c r="C89" s="55">
        <v>96.165657215014775</v>
      </c>
      <c r="D89" s="56">
        <v>1.8473757078475012E-3</v>
      </c>
      <c r="E89" s="56">
        <v>1.785223356925094E-2</v>
      </c>
      <c r="F89" s="56">
        <v>1.785223356925094E-2</v>
      </c>
      <c r="G89" s="56">
        <v>1.2228583143707228E-2</v>
      </c>
      <c r="H89" s="56">
        <v>-1.2466324963305526E-2</v>
      </c>
      <c r="I89" s="56">
        <v>5.023126278076611E-2</v>
      </c>
      <c r="J89" s="56">
        <v>1.8882468908730292E-2</v>
      </c>
      <c r="K89" s="55">
        <v>89.900724572265702</v>
      </c>
      <c r="L89" s="56">
        <v>6.7310236254020106E-2</v>
      </c>
      <c r="M89" s="55">
        <v>103.51701014898545</v>
      </c>
      <c r="N89" s="55">
        <v>44.671567487414954</v>
      </c>
      <c r="O89" s="58">
        <v>0</v>
      </c>
      <c r="P89" s="98">
        <v>0</v>
      </c>
      <c r="Q89" s="106">
        <v>0</v>
      </c>
    </row>
    <row r="90" spans="1:17" x14ac:dyDescent="0.2">
      <c r="A90" s="28">
        <v>2000.09</v>
      </c>
      <c r="B90" s="28"/>
      <c r="C90" s="55">
        <v>96.094868239687628</v>
      </c>
      <c r="D90" s="56">
        <v>-7.3638598832071096E-4</v>
      </c>
      <c r="E90" s="56">
        <v>1.3385368477058884E-2</v>
      </c>
      <c r="F90" s="56">
        <v>1.3385368477058884E-2</v>
      </c>
      <c r="G90" s="56">
        <v>8.0894037128074192E-3</v>
      </c>
      <c r="H90" s="56">
        <v>-1.2466324963305526E-2</v>
      </c>
      <c r="I90" s="56">
        <v>5.023126278076611E-2</v>
      </c>
      <c r="J90" s="56">
        <v>1.8882468908730292E-2</v>
      </c>
      <c r="K90" s="55">
        <v>89.935361676436102</v>
      </c>
      <c r="L90" s="56">
        <v>6.6053327438973408E-2</v>
      </c>
      <c r="M90" s="55">
        <v>103.27726905690608</v>
      </c>
      <c r="N90" s="55">
        <v>46.351423608980575</v>
      </c>
      <c r="O90" s="58">
        <v>0</v>
      </c>
      <c r="P90" s="98">
        <v>0</v>
      </c>
      <c r="Q90" s="106">
        <v>0</v>
      </c>
    </row>
    <row r="91" spans="1:17" x14ac:dyDescent="0.2">
      <c r="A91" s="28">
        <v>2000.1</v>
      </c>
      <c r="B91" s="28"/>
      <c r="C91" s="55">
        <v>96.11142451052541</v>
      </c>
      <c r="D91" s="56">
        <v>1.7227605446038964E-4</v>
      </c>
      <c r="E91" s="56">
        <v>9.8176503784867565E-3</v>
      </c>
      <c r="F91" s="56">
        <v>9.8176503784867565E-3</v>
      </c>
      <c r="G91" s="56">
        <v>6.3415601919643017E-3</v>
      </c>
      <c r="H91" s="56">
        <v>-1.2466324963305526E-2</v>
      </c>
      <c r="I91" s="56">
        <v>5.023126278076611E-2</v>
      </c>
      <c r="J91" s="56">
        <v>1.8882468908730292E-2</v>
      </c>
      <c r="K91" s="55">
        <v>89.966831443825896</v>
      </c>
      <c r="L91" s="56">
        <v>6.5811389585990199E-2</v>
      </c>
      <c r="M91" s="55">
        <v>103.13175254083436</v>
      </c>
      <c r="N91" s="55">
        <v>44.671567487414954</v>
      </c>
      <c r="O91" s="58">
        <v>0</v>
      </c>
      <c r="P91" s="98">
        <v>0</v>
      </c>
      <c r="Q91" s="106">
        <v>0</v>
      </c>
    </row>
    <row r="92" spans="1:17" x14ac:dyDescent="0.2">
      <c r="A92" s="28">
        <v>2000.11</v>
      </c>
      <c r="B92" s="28"/>
      <c r="C92" s="55">
        <v>96.193074690228727</v>
      </c>
      <c r="D92" s="56">
        <v>8.4917601979320829E-4</v>
      </c>
      <c r="E92" s="56">
        <v>8.9036203053877942E-3</v>
      </c>
      <c r="F92" s="56">
        <v>8.9036203053877942E-3</v>
      </c>
      <c r="G92" s="56">
        <v>6.4020957146297963E-3</v>
      </c>
      <c r="H92" s="56">
        <v>-1.2466324963305526E-2</v>
      </c>
      <c r="I92" s="56">
        <v>5.023126278076611E-2</v>
      </c>
      <c r="J92" s="56">
        <v>1.8882468908730292E-2</v>
      </c>
      <c r="K92" s="55">
        <v>89.995777284335603</v>
      </c>
      <c r="L92" s="56">
        <v>6.6329332303749489E-2</v>
      </c>
      <c r="M92" s="55">
        <v>103.05617617347207</v>
      </c>
      <c r="N92" s="55">
        <v>44.671567487414954</v>
      </c>
      <c r="O92" s="58">
        <v>0</v>
      </c>
      <c r="P92" s="98">
        <v>0</v>
      </c>
      <c r="Q92" s="106">
        <v>0</v>
      </c>
    </row>
    <row r="93" spans="1:17" x14ac:dyDescent="0.2">
      <c r="A93" s="28">
        <v>2000.12</v>
      </c>
      <c r="B93" s="28"/>
      <c r="C93" s="55">
        <v>96.564191836048053</v>
      </c>
      <c r="D93" s="56">
        <v>3.8506211575016413E-3</v>
      </c>
      <c r="E93" s="56">
        <v>1.3961775602096518E-2</v>
      </c>
      <c r="F93" s="56">
        <v>1.3961775602096518E-2</v>
      </c>
      <c r="G93" s="56">
        <v>1.2196382008552886E-2</v>
      </c>
      <c r="H93" s="56">
        <v>-1.2466324963305526E-2</v>
      </c>
      <c r="I93" s="56">
        <v>5.023126278076611E-2</v>
      </c>
      <c r="J93" s="56">
        <v>1.8882468908730292E-2</v>
      </c>
      <c r="K93" s="55">
        <v>90.022890030269494</v>
      </c>
      <c r="L93" s="56">
        <v>7.0085018036460722E-2</v>
      </c>
      <c r="M93" s="55">
        <v>103.29021030025928</v>
      </c>
      <c r="N93" s="55">
        <v>46.351423608980575</v>
      </c>
      <c r="O93" s="58">
        <v>0</v>
      </c>
      <c r="P93" s="98">
        <v>0</v>
      </c>
      <c r="Q93" s="106">
        <v>0</v>
      </c>
    </row>
    <row r="94" spans="1:17" x14ac:dyDescent="0.2">
      <c r="A94" s="28">
        <v>2001.01</v>
      </c>
      <c r="B94" s="28"/>
      <c r="C94" s="55">
        <v>96.859260035988839</v>
      </c>
      <c r="D94" s="56">
        <v>3.0510098540354447E-3</v>
      </c>
      <c r="E94" s="56">
        <v>1.1601537300260364E-2</v>
      </c>
      <c r="F94" s="56">
        <v>1.1601537300260364E-2</v>
      </c>
      <c r="G94" s="56">
        <v>1.5731856688958379E-2</v>
      </c>
      <c r="H94" s="56">
        <v>-1.2466324963305526E-2</v>
      </c>
      <c r="I94" s="56">
        <v>5.023126278076611E-2</v>
      </c>
      <c r="J94" s="56">
        <v>1.8882468908730292E-2</v>
      </c>
      <c r="K94" s="55">
        <v>90.048908342945097</v>
      </c>
      <c r="L94" s="56">
        <v>7.3017845310919816E-2</v>
      </c>
      <c r="M94" s="55">
        <v>103.44202940982579</v>
      </c>
      <c r="N94" s="55">
        <v>44.671567487414954</v>
      </c>
      <c r="O94" s="58">
        <v>1</v>
      </c>
      <c r="P94" s="98">
        <v>1</v>
      </c>
      <c r="Q94" s="106">
        <v>0</v>
      </c>
    </row>
    <row r="95" spans="1:17" x14ac:dyDescent="0.2">
      <c r="A95" s="28">
        <v>2001.02</v>
      </c>
      <c r="B95" s="28"/>
      <c r="C95" s="55">
        <v>96.608727323831388</v>
      </c>
      <c r="D95" s="56">
        <v>-2.5899153200183316E-3</v>
      </c>
      <c r="E95" s="56">
        <v>6.7403915844876034E-3</v>
      </c>
      <c r="F95" s="56">
        <v>6.7403915844876034E-3</v>
      </c>
      <c r="G95" s="56">
        <v>9.080250258977518E-3</v>
      </c>
      <c r="H95" s="56">
        <v>-1.2466324963305526E-2</v>
      </c>
      <c r="I95" s="56">
        <v>5.023126278076611E-2</v>
      </c>
      <c r="J95" s="56">
        <v>1.8882468908730292E-2</v>
      </c>
      <c r="K95" s="55">
        <v>90.074621366392705</v>
      </c>
      <c r="L95" s="56">
        <v>6.9919525195786481E-2</v>
      </c>
      <c r="M95" s="55">
        <v>103.01135034986794</v>
      </c>
      <c r="N95" s="55">
        <v>44.671567487414954</v>
      </c>
      <c r="O95" s="58">
        <v>1</v>
      </c>
      <c r="P95" s="98">
        <v>1</v>
      </c>
      <c r="Q95" s="106">
        <v>0</v>
      </c>
    </row>
    <row r="96" spans="1:17" x14ac:dyDescent="0.2">
      <c r="A96" s="28">
        <v>2001.03</v>
      </c>
      <c r="B96" s="28"/>
      <c r="C96" s="55">
        <v>96.180796380569063</v>
      </c>
      <c r="D96" s="56">
        <v>-4.4393661838440053E-3</v>
      </c>
      <c r="E96" s="56">
        <v>-3.2528915621808256E-4</v>
      </c>
      <c r="F96" s="56">
        <v>-3.2528915621808256E-4</v>
      </c>
      <c r="G96" s="56">
        <v>-1.9473832601646368E-4</v>
      </c>
      <c r="H96" s="56">
        <v>-1.2466324963305526E-2</v>
      </c>
      <c r="I96" s="56">
        <v>5.023126278076611E-2</v>
      </c>
      <c r="J96" s="56">
        <v>1.8882468908730292E-2</v>
      </c>
      <c r="K96" s="55">
        <v>90.100870802834706</v>
      </c>
      <c r="L96" s="56">
        <v>6.4862347610040061E-2</v>
      </c>
      <c r="M96" s="55">
        <v>102.39291851907238</v>
      </c>
      <c r="N96" s="55">
        <v>41.311855244283734</v>
      </c>
      <c r="O96" s="58">
        <v>1</v>
      </c>
      <c r="P96" s="98">
        <v>1</v>
      </c>
      <c r="Q96" s="106">
        <v>0</v>
      </c>
    </row>
    <row r="97" spans="1:17" x14ac:dyDescent="0.2">
      <c r="A97" s="28">
        <v>2001.04</v>
      </c>
      <c r="B97" s="28"/>
      <c r="C97" s="55">
        <v>95.437789827001879</v>
      </c>
      <c r="D97" s="56">
        <v>-7.7550961215590991E-3</v>
      </c>
      <c r="E97" s="56">
        <v>-8.5367110009964241E-3</v>
      </c>
      <c r="F97" s="56">
        <v>-8.5367110009964241E-3</v>
      </c>
      <c r="G97" s="56">
        <v>-1.435774010913049E-2</v>
      </c>
      <c r="H97" s="56">
        <v>-1.2466324963305526E-2</v>
      </c>
      <c r="I97" s="56">
        <v>5.023126278076611E-2</v>
      </c>
      <c r="J97" s="56">
        <v>1.8882468908730292E-2</v>
      </c>
      <c r="K97" s="55">
        <v>90.128548781189906</v>
      </c>
      <c r="L97" s="56">
        <v>5.6313992360402354E-2</v>
      </c>
      <c r="M97" s="55">
        <v>101.44128930017622</v>
      </c>
      <c r="N97" s="55">
        <v>37.952143001152507</v>
      </c>
      <c r="O97" s="58">
        <v>1</v>
      </c>
      <c r="P97" s="98">
        <v>1</v>
      </c>
      <c r="Q97" s="106">
        <v>0</v>
      </c>
    </row>
    <row r="98" spans="1:17" x14ac:dyDescent="0.2">
      <c r="A98" s="28">
        <v>2001.05</v>
      </c>
      <c r="B98" s="28"/>
      <c r="C98" s="55">
        <v>94.871308946172491</v>
      </c>
      <c r="D98" s="56">
        <v>-5.9532892285771811E-3</v>
      </c>
      <c r="E98" s="56">
        <v>-8.5251875630203977E-3</v>
      </c>
      <c r="F98" s="56">
        <v>-8.5251875630203977E-3</v>
      </c>
      <c r="G98" s="56">
        <v>-2.3854243759078075E-2</v>
      </c>
      <c r="H98" s="56">
        <v>-1.2466324963305526E-2</v>
      </c>
      <c r="I98" s="56">
        <v>5.023126278076611E-2</v>
      </c>
      <c r="J98" s="56">
        <v>1.8882468908730292E-2</v>
      </c>
      <c r="K98" s="55">
        <v>90.1585943527121</v>
      </c>
      <c r="L98" s="56">
        <v>4.9706501982399232E-2</v>
      </c>
      <c r="M98" s="55">
        <v>100.67974655567673</v>
      </c>
      <c r="N98" s="55">
        <v>36.2722868795869</v>
      </c>
      <c r="O98" s="58">
        <v>1</v>
      </c>
      <c r="P98" s="98">
        <v>1</v>
      </c>
      <c r="Q98" s="106">
        <v>0</v>
      </c>
    </row>
    <row r="99" spans="1:17" x14ac:dyDescent="0.2">
      <c r="A99" s="28">
        <v>2001.06</v>
      </c>
      <c r="B99" s="28"/>
      <c r="C99" s="55">
        <v>94.408221990936326</v>
      </c>
      <c r="D99" s="56">
        <v>-4.8931638505162293E-3</v>
      </c>
      <c r="E99" s="56">
        <v>-1.2066476951858267E-2</v>
      </c>
      <c r="F99" s="56">
        <v>-1.2066476951858267E-2</v>
      </c>
      <c r="G99" s="56">
        <v>-3.137368188500278E-2</v>
      </c>
      <c r="H99" s="56">
        <v>-1.2466324963305526E-2</v>
      </c>
      <c r="I99" s="56">
        <v>5.023126278076611E-2</v>
      </c>
      <c r="J99" s="56">
        <v>1.8882468908730292E-2</v>
      </c>
      <c r="K99" s="55">
        <v>90.191987544037005</v>
      </c>
      <c r="L99" s="56">
        <v>4.4218268686848416E-2</v>
      </c>
      <c r="M99" s="55">
        <v>100.02990893991183</v>
      </c>
      <c r="N99" s="55">
        <v>31.232718514890063</v>
      </c>
      <c r="O99" s="58">
        <v>1</v>
      </c>
      <c r="P99" s="98">
        <v>1</v>
      </c>
      <c r="Q99" s="106">
        <v>0</v>
      </c>
    </row>
    <row r="100" spans="1:17" x14ac:dyDescent="0.2">
      <c r="A100" s="28">
        <v>2001.07</v>
      </c>
      <c r="B100" s="28"/>
      <c r="C100" s="55">
        <v>93.734093390513067</v>
      </c>
      <c r="D100" s="56">
        <v>-7.1661867666552694E-3</v>
      </c>
      <c r="E100" s="56">
        <v>-2.3762944665852534E-2</v>
      </c>
      <c r="F100" s="56">
        <v>-2.3762944665852534E-2</v>
      </c>
      <c r="G100" s="56">
        <v>-4.2346916349772279E-2</v>
      </c>
      <c r="H100" s="56">
        <v>-1.2466324963305526E-2</v>
      </c>
      <c r="I100" s="56">
        <v>5.023126278076611E-2</v>
      </c>
      <c r="J100" s="56">
        <v>1.8882468908730292E-2</v>
      </c>
      <c r="K100" s="55">
        <v>90.229744754368895</v>
      </c>
      <c r="L100" s="56">
        <v>3.6360459638605347E-2</v>
      </c>
      <c r="M100" s="55">
        <v>99.1586195354365</v>
      </c>
      <c r="N100" s="55">
        <v>24.513294028627616</v>
      </c>
      <c r="O100" s="58">
        <v>1</v>
      </c>
      <c r="P100" s="98">
        <v>1</v>
      </c>
      <c r="Q100" s="106">
        <v>0</v>
      </c>
    </row>
    <row r="101" spans="1:17" x14ac:dyDescent="0.2">
      <c r="A101" s="28">
        <v>2001.08</v>
      </c>
      <c r="B101" s="28"/>
      <c r="C101" s="55">
        <v>92.637023710676743</v>
      </c>
      <c r="D101" s="56">
        <v>-1.1773094120495403E-2</v>
      </c>
      <c r="E101" s="56">
        <v>-3.7383414494195445E-2</v>
      </c>
      <c r="F101" s="56">
        <v>-3.7383414494195445E-2</v>
      </c>
      <c r="G101" s="56">
        <v>-5.9540953355336157E-2</v>
      </c>
      <c r="H101" s="56">
        <v>-1.2466324963305526E-2</v>
      </c>
      <c r="I101" s="56">
        <v>5.023126278076611E-2</v>
      </c>
      <c r="J101" s="56">
        <v>1.8882468908730292E-2</v>
      </c>
      <c r="K101" s="55">
        <v>90.272914925228307</v>
      </c>
      <c r="L101" s="56">
        <v>2.3783060151794766E-2</v>
      </c>
      <c r="M101" s="55">
        <v>97.843125212591033</v>
      </c>
      <c r="N101" s="55">
        <v>19.473725663930779</v>
      </c>
      <c r="O101" s="58">
        <v>1</v>
      </c>
      <c r="P101" s="98">
        <v>1</v>
      </c>
      <c r="Q101" s="106">
        <v>0</v>
      </c>
    </row>
    <row r="102" spans="1:17" x14ac:dyDescent="0.2">
      <c r="A102" s="28">
        <v>2001.09</v>
      </c>
      <c r="B102" s="28"/>
      <c r="C102" s="55">
        <v>91.159169861620015</v>
      </c>
      <c r="D102" s="56">
        <v>-1.6081787885690257E-2</v>
      </c>
      <c r="E102" s="56">
        <v>-5.2728816391565042E-2</v>
      </c>
      <c r="F102" s="56">
        <v>-5.2728816391565042E-2</v>
      </c>
      <c r="G102" s="56">
        <v>-8.185451040420888E-2</v>
      </c>
      <c r="H102" s="56">
        <v>-1.2466324963305526E-2</v>
      </c>
      <c r="I102" s="56">
        <v>5.023126278076611E-2</v>
      </c>
      <c r="J102" s="56">
        <v>1.8882468908730292E-2</v>
      </c>
      <c r="K102" s="55">
        <v>90.322574047869196</v>
      </c>
      <c r="L102" s="56">
        <v>6.9478329024015295E-3</v>
      </c>
      <c r="M102" s="55">
        <v>96.129994670646241</v>
      </c>
      <c r="N102" s="55">
        <v>16.114013420799552</v>
      </c>
      <c r="O102" s="58">
        <v>1</v>
      </c>
      <c r="P102" s="98">
        <v>1</v>
      </c>
      <c r="Q102" s="106">
        <v>0</v>
      </c>
    </row>
    <row r="103" spans="1:17" x14ac:dyDescent="0.2">
      <c r="A103" s="28">
        <v>2001.1</v>
      </c>
      <c r="B103" s="28"/>
      <c r="C103" s="55">
        <v>89.341604267910157</v>
      </c>
      <c r="D103" s="56">
        <v>-2.0139825301913886E-2</v>
      </c>
      <c r="E103" s="56">
        <v>-7.304091774793936E-2</v>
      </c>
      <c r="F103" s="56">
        <v>-7.304091774793936E-2</v>
      </c>
      <c r="G103" s="56">
        <v>-0.10828632372629565</v>
      </c>
      <c r="H103" s="56">
        <v>-1.2466324963305526E-2</v>
      </c>
      <c r="I103" s="56">
        <v>5.023126278076611E-2</v>
      </c>
      <c r="J103" s="56">
        <v>1.8882468908730292E-2</v>
      </c>
      <c r="K103" s="55">
        <v>90.379816365417796</v>
      </c>
      <c r="L103" s="56">
        <v>-1.3694279745532167E-2</v>
      </c>
      <c r="M103" s="55">
        <v>94.064366968626089</v>
      </c>
      <c r="N103" s="55">
        <v>14.434157299233945</v>
      </c>
      <c r="O103" s="58">
        <v>1</v>
      </c>
      <c r="P103" s="98">
        <v>1</v>
      </c>
      <c r="Q103" s="106">
        <v>0</v>
      </c>
    </row>
    <row r="104" spans="1:17" x14ac:dyDescent="0.2">
      <c r="A104" s="28">
        <v>2001.11</v>
      </c>
      <c r="B104" s="28"/>
      <c r="C104" s="55">
        <v>87.707588694410717</v>
      </c>
      <c r="D104" s="56">
        <v>-1.8458846858023324E-2</v>
      </c>
      <c r="E104" s="56">
        <v>-9.2348940625755896E-2</v>
      </c>
      <c r="F104" s="56">
        <v>-9.2348940625755896E-2</v>
      </c>
      <c r="G104" s="56">
        <v>-0.12863950639632549</v>
      </c>
      <c r="H104" s="56">
        <v>-1.2466324963305526E-2</v>
      </c>
      <c r="I104" s="56">
        <v>5.023126278076611E-2</v>
      </c>
      <c r="J104" s="56">
        <v>1.8882468908730292E-2</v>
      </c>
      <c r="K104" s="55">
        <v>90.445742586678904</v>
      </c>
      <c r="L104" s="56">
        <v>-3.2371109400126774E-2</v>
      </c>
      <c r="M104" s="55">
        <v>92.197977806765465</v>
      </c>
      <c r="N104" s="55">
        <v>11.074445056102711</v>
      </c>
      <c r="O104" s="58">
        <v>1</v>
      </c>
      <c r="P104" s="98">
        <v>1</v>
      </c>
      <c r="Q104" s="106">
        <v>0</v>
      </c>
    </row>
    <row r="105" spans="1:17" x14ac:dyDescent="0.2">
      <c r="A105" s="28">
        <v>2001.12</v>
      </c>
      <c r="B105" s="28"/>
      <c r="C105" s="55">
        <v>86.555036058255112</v>
      </c>
      <c r="D105" s="56">
        <v>-1.3227959165374907E-2</v>
      </c>
      <c r="E105" s="56">
        <v>-0.10942752094863235</v>
      </c>
      <c r="F105" s="56">
        <v>-0.10942752094863235</v>
      </c>
      <c r="G105" s="56">
        <v>-0.13778788299096878</v>
      </c>
      <c r="H105" s="56">
        <v>-1.2466324963305526E-2</v>
      </c>
      <c r="I105" s="56">
        <v>5.023126278076611E-2</v>
      </c>
      <c r="J105" s="56">
        <v>1.8882468908730292E-2</v>
      </c>
      <c r="K105" s="55">
        <v>90.521445419160401</v>
      </c>
      <c r="L105" s="56">
        <v>-4.5809121255887653E-2</v>
      </c>
      <c r="M105" s="55">
        <v>90.84256743072919</v>
      </c>
      <c r="N105" s="55">
        <v>9.3945889345371043</v>
      </c>
      <c r="O105" s="58">
        <v>1</v>
      </c>
      <c r="P105" s="98">
        <v>1</v>
      </c>
      <c r="Q105" s="106">
        <v>0</v>
      </c>
    </row>
    <row r="106" spans="1:17" x14ac:dyDescent="0.2">
      <c r="A106" s="28">
        <v>2002.01</v>
      </c>
      <c r="B106" s="28"/>
      <c r="C106" s="55">
        <v>84.806392553697336</v>
      </c>
      <c r="D106" s="56">
        <v>-2.0409542777585377E-2</v>
      </c>
      <c r="E106" s="56">
        <v>-0.13288807358025329</v>
      </c>
      <c r="F106" s="56">
        <v>-0.13288807358025329</v>
      </c>
      <c r="G106" s="56">
        <v>-0.15586415171827173</v>
      </c>
      <c r="H106" s="56">
        <v>-1.2466324963305526E-2</v>
      </c>
      <c r="I106" s="56">
        <v>5.023126278076611E-2</v>
      </c>
      <c r="J106" s="56">
        <v>1.8882468908730292E-2</v>
      </c>
      <c r="K106" s="55">
        <v>90.6079964518064</v>
      </c>
      <c r="L106" s="56">
        <v>-6.5896394638343958E-2</v>
      </c>
      <c r="M106" s="55">
        <v>88.866583112739647</v>
      </c>
      <c r="N106" s="55">
        <v>7.7147328129714907</v>
      </c>
      <c r="O106" s="58">
        <v>1</v>
      </c>
      <c r="P106" s="98">
        <v>1</v>
      </c>
      <c r="Q106" s="106">
        <v>0</v>
      </c>
    </row>
    <row r="107" spans="1:17" x14ac:dyDescent="0.2">
      <c r="A107" s="28">
        <v>2002.02</v>
      </c>
      <c r="B107" s="28"/>
      <c r="C107" s="55">
        <v>83.688628279101536</v>
      </c>
      <c r="D107" s="56">
        <v>-1.3267818433562084E-2</v>
      </c>
      <c r="E107" s="56">
        <v>-0.14356597669379717</v>
      </c>
      <c r="F107" s="56">
        <v>-0.14356597669379717</v>
      </c>
      <c r="G107" s="56">
        <v>-0.15960245112227089</v>
      </c>
      <c r="H107" s="56">
        <v>-1.2466324963305526E-2</v>
      </c>
      <c r="I107" s="56">
        <v>5.023126278076611E-2</v>
      </c>
      <c r="J107" s="56">
        <v>1.8882468908730292E-2</v>
      </c>
      <c r="K107" s="55">
        <v>90.706436679124806</v>
      </c>
      <c r="L107" s="56">
        <v>-7.9118520358413047E-2</v>
      </c>
      <c r="M107" s="55">
        <v>87.55665784184599</v>
      </c>
      <c r="N107" s="55">
        <v>11.074445056102711</v>
      </c>
      <c r="O107" s="58">
        <v>1</v>
      </c>
      <c r="P107" s="98">
        <v>1</v>
      </c>
      <c r="Q107" s="106">
        <v>0</v>
      </c>
    </row>
    <row r="108" spans="1:17" x14ac:dyDescent="0.2">
      <c r="A108" s="28">
        <v>2002.03</v>
      </c>
      <c r="B108" s="28"/>
      <c r="C108" s="55">
        <v>82.660071291684091</v>
      </c>
      <c r="D108" s="56">
        <v>-1.2366433858840427E-2</v>
      </c>
      <c r="E108" s="56">
        <v>-0.15149304436879354</v>
      </c>
      <c r="F108" s="56">
        <v>-0.15149304436879354</v>
      </c>
      <c r="G108" s="56">
        <v>-0.16051501521762079</v>
      </c>
      <c r="H108" s="56">
        <v>-1.2466324963305526E-2</v>
      </c>
      <c r="I108" s="56">
        <v>5.023126278076611E-2</v>
      </c>
      <c r="J108" s="56">
        <v>1.8882468908730292E-2</v>
      </c>
      <c r="K108" s="55">
        <v>90.817762341459499</v>
      </c>
      <c r="L108" s="56">
        <v>-9.1455026792028105E-2</v>
      </c>
      <c r="M108" s="55">
        <v>86.343835273560771</v>
      </c>
      <c r="N108" s="55">
        <v>16.114013420799552</v>
      </c>
      <c r="O108" s="58">
        <v>1</v>
      </c>
      <c r="P108" s="98">
        <v>1</v>
      </c>
      <c r="Q108" s="106">
        <v>0</v>
      </c>
    </row>
    <row r="109" spans="1:17" x14ac:dyDescent="0.2">
      <c r="A109" s="28">
        <v>2002.04</v>
      </c>
      <c r="B109" s="28"/>
      <c r="C109" s="55">
        <v>81.294226674640925</v>
      </c>
      <c r="D109" s="56">
        <v>-1.6661670131965366E-2</v>
      </c>
      <c r="E109" s="56">
        <v>-0.16039961837919983</v>
      </c>
      <c r="F109" s="56">
        <v>-0.16039961837919983</v>
      </c>
      <c r="G109" s="56">
        <v>-0.16697730028009028</v>
      </c>
      <c r="H109" s="56">
        <v>-1.2466324963305526E-2</v>
      </c>
      <c r="I109" s="56">
        <v>5.023126278076611E-2</v>
      </c>
      <c r="J109" s="56">
        <v>1.8882468908730292E-2</v>
      </c>
      <c r="K109" s="55">
        <v>90.942915539485995</v>
      </c>
      <c r="L109" s="56">
        <v>-0.10759544306580937</v>
      </c>
      <c r="M109" s="55">
        <v>84.782866905630854</v>
      </c>
      <c r="N109" s="55">
        <v>22.833437907061999</v>
      </c>
      <c r="O109" s="58">
        <v>1</v>
      </c>
      <c r="P109" s="98">
        <v>1</v>
      </c>
      <c r="Q109" s="106">
        <v>0</v>
      </c>
    </row>
    <row r="110" spans="1:17" x14ac:dyDescent="0.2">
      <c r="A110" s="28">
        <v>2002.05</v>
      </c>
      <c r="B110" s="28"/>
      <c r="C110" s="55">
        <v>80.353200332845717</v>
      </c>
      <c r="D110" s="56">
        <v>-1.1643080125137036E-2</v>
      </c>
      <c r="E110" s="56">
        <v>-0.16608940927575969</v>
      </c>
      <c r="F110" s="56">
        <v>-0.16608940927575969</v>
      </c>
      <c r="G110" s="56">
        <v>-0.16454975563227769</v>
      </c>
      <c r="H110" s="56">
        <v>-1.2466324963305526E-2</v>
      </c>
      <c r="I110" s="56">
        <v>5.023126278076611E-2</v>
      </c>
      <c r="J110" s="56">
        <v>1.8882468908730292E-2</v>
      </c>
      <c r="K110" s="55">
        <v>91.082775436594304</v>
      </c>
      <c r="L110" s="56">
        <v>-0.11917308273658633</v>
      </c>
      <c r="M110" s="55">
        <v>83.668966876481107</v>
      </c>
      <c r="N110" s="55">
        <v>29.552862393324446</v>
      </c>
      <c r="O110" s="58">
        <v>1</v>
      </c>
      <c r="P110" s="98">
        <v>1</v>
      </c>
      <c r="Q110" s="106">
        <v>0</v>
      </c>
    </row>
    <row r="111" spans="1:17" x14ac:dyDescent="0.2">
      <c r="A111" s="28">
        <v>2002.06</v>
      </c>
      <c r="B111" s="28"/>
      <c r="C111" s="55">
        <v>79.300154562846998</v>
      </c>
      <c r="D111" s="56">
        <v>-1.3191843566041328E-2</v>
      </c>
      <c r="E111" s="56">
        <v>-0.17438808899128472</v>
      </c>
      <c r="F111" s="56">
        <v>-0.17438808899128472</v>
      </c>
      <c r="G111" s="56">
        <v>-0.16368290226233984</v>
      </c>
      <c r="H111" s="56">
        <v>-1.2466324963305526E-2</v>
      </c>
      <c r="I111" s="56">
        <v>5.023126278076611E-2</v>
      </c>
      <c r="J111" s="56">
        <v>1.8882468908730292E-2</v>
      </c>
      <c r="K111" s="55">
        <v>91.238146752100207</v>
      </c>
      <c r="L111" s="56">
        <v>-0.13208559930029595</v>
      </c>
      <c r="M111" s="55">
        <v>82.441919606909906</v>
      </c>
      <c r="N111" s="55">
        <v>34.59243075802128</v>
      </c>
      <c r="O111" s="58">
        <v>1</v>
      </c>
      <c r="P111" s="98">
        <v>1</v>
      </c>
      <c r="Q111" s="106">
        <v>0</v>
      </c>
    </row>
    <row r="112" spans="1:17" x14ac:dyDescent="0.2">
      <c r="A112" s="28">
        <v>2002.07</v>
      </c>
      <c r="B112" s="28"/>
      <c r="C112" s="55">
        <v>78.432966711475643</v>
      </c>
      <c r="D112" s="56">
        <v>-1.0995744986574209E-2</v>
      </c>
      <c r="E112" s="56">
        <v>-0.17821764721120364</v>
      </c>
      <c r="F112" s="56">
        <v>-0.17821764721120364</v>
      </c>
      <c r="G112" s="56">
        <v>-0.15822972475313135</v>
      </c>
      <c r="H112" s="56">
        <v>-1.2466324963305526E-2</v>
      </c>
      <c r="I112" s="56">
        <v>5.023126278076611E-2</v>
      </c>
      <c r="J112" s="56">
        <v>1.8882468908730292E-2</v>
      </c>
      <c r="K112" s="55">
        <v>91.409751420290107</v>
      </c>
      <c r="L112" s="56">
        <v>-0.14307311617906449</v>
      </c>
      <c r="M112" s="55">
        <v>81.411459015138163</v>
      </c>
      <c r="N112" s="55">
        <v>37.952143001152507</v>
      </c>
      <c r="O112" s="58">
        <v>1</v>
      </c>
      <c r="P112" s="98">
        <v>1</v>
      </c>
      <c r="Q112" s="106">
        <v>0</v>
      </c>
    </row>
    <row r="113" spans="1:17" x14ac:dyDescent="0.2">
      <c r="A113" s="28">
        <v>2002.08</v>
      </c>
      <c r="B113" s="28"/>
      <c r="C113" s="55">
        <v>78.493398006817444</v>
      </c>
      <c r="D113" s="56">
        <v>7.7018668516980562E-4</v>
      </c>
      <c r="E113" s="56">
        <v>-0.16567436640553848</v>
      </c>
      <c r="F113" s="56">
        <v>-0.16567436640553848</v>
      </c>
      <c r="G113" s="56">
        <v>-0.13349053901979624</v>
      </c>
      <c r="H113" s="56">
        <v>-1.2466324963305526E-2</v>
      </c>
      <c r="I113" s="56">
        <v>5.023126278076611E-2</v>
      </c>
      <c r="J113" s="56">
        <v>1.8882468908730292E-2</v>
      </c>
      <c r="K113" s="55">
        <v>91.598219266468803</v>
      </c>
      <c r="L113" s="56">
        <v>-0.14405773724352089</v>
      </c>
      <c r="M113" s="55">
        <v>81.34537390700828</v>
      </c>
      <c r="N113" s="55">
        <v>39.631999122718121</v>
      </c>
      <c r="O113" s="58">
        <v>0</v>
      </c>
      <c r="P113" s="98">
        <v>1</v>
      </c>
      <c r="Q113" s="106">
        <v>0</v>
      </c>
    </row>
    <row r="114" spans="1:17" x14ac:dyDescent="0.2">
      <c r="A114" s="28">
        <v>2002.09</v>
      </c>
      <c r="B114" s="28"/>
      <c r="C114" s="55">
        <v>78.6779013321501</v>
      </c>
      <c r="D114" s="56">
        <v>2.3478002772735077E-3</v>
      </c>
      <c r="E114" s="56">
        <v>-0.14724477824257473</v>
      </c>
      <c r="F114" s="56">
        <v>-0.14724477824257473</v>
      </c>
      <c r="G114" s="56">
        <v>-0.10695361030346662</v>
      </c>
      <c r="H114" s="56">
        <v>-1.2466324963305526E-2</v>
      </c>
      <c r="I114" s="56">
        <v>5.023126278076611E-2</v>
      </c>
      <c r="J114" s="56">
        <v>1.8882468908730292E-2</v>
      </c>
      <c r="K114" s="55">
        <v>91.804079991361604</v>
      </c>
      <c r="L114" s="56">
        <v>-0.14384590121301877</v>
      </c>
      <c r="M114" s="55">
        <v>81.407671038189676</v>
      </c>
      <c r="N114" s="55">
        <v>39.631999122718121</v>
      </c>
      <c r="O114" s="58">
        <v>0</v>
      </c>
      <c r="P114" s="98">
        <v>1</v>
      </c>
      <c r="Q114" s="106">
        <v>0</v>
      </c>
    </row>
    <row r="115" spans="1:17" x14ac:dyDescent="0.2">
      <c r="A115" s="28">
        <v>2002.1</v>
      </c>
      <c r="B115" s="28"/>
      <c r="C115" s="55">
        <v>79.286460434124351</v>
      </c>
      <c r="D115" s="56">
        <v>7.705055822788888E-3</v>
      </c>
      <c r="E115" s="56">
        <v>-0.11939989711787194</v>
      </c>
      <c r="F115" s="56">
        <v>-0.11939989711787194</v>
      </c>
      <c r="G115" s="56">
        <v>-7.2991773359482148E-2</v>
      </c>
      <c r="H115" s="56">
        <v>-1.2466324963305526E-2</v>
      </c>
      <c r="I115" s="56">
        <v>5.023126278076611E-2</v>
      </c>
      <c r="J115" s="56">
        <v>1.8882468908730292E-2</v>
      </c>
      <c r="K115" s="55">
        <v>92.027762182467498</v>
      </c>
      <c r="L115" s="56">
        <v>-0.13919287815775516</v>
      </c>
      <c r="M115" s="55">
        <v>81.907642765921679</v>
      </c>
      <c r="N115" s="55">
        <v>41.311855244283734</v>
      </c>
      <c r="O115" s="58">
        <v>0</v>
      </c>
      <c r="P115" s="98">
        <v>0</v>
      </c>
      <c r="Q115" s="106">
        <v>0</v>
      </c>
    </row>
    <row r="116" spans="1:17" x14ac:dyDescent="0.2">
      <c r="A116" s="28">
        <v>2002.11</v>
      </c>
      <c r="B116" s="28"/>
      <c r="C116" s="55">
        <v>79.816677546748679</v>
      </c>
      <c r="D116" s="56">
        <v>6.6650989062225505E-3</v>
      </c>
      <c r="E116" s="56">
        <v>-9.4275951353626014E-2</v>
      </c>
      <c r="F116" s="56">
        <v>-9.4275951353626014E-2</v>
      </c>
      <c r="G116" s="56">
        <v>-4.368351757061506E-2</v>
      </c>
      <c r="H116" s="56">
        <v>-1.2466324963305526E-2</v>
      </c>
      <c r="I116" s="56">
        <v>5.023126278076611E-2</v>
      </c>
      <c r="J116" s="56">
        <v>1.8882468908730292E-2</v>
      </c>
      <c r="K116" s="55">
        <v>92.269593148643693</v>
      </c>
      <c r="L116" s="56">
        <v>-0.13557631623132615</v>
      </c>
      <c r="M116" s="55">
        <v>82.325026096621073</v>
      </c>
      <c r="N116" s="55">
        <v>41.311855244283734</v>
      </c>
      <c r="O116" s="58">
        <v>0</v>
      </c>
      <c r="P116" s="98">
        <v>0</v>
      </c>
      <c r="Q116" s="106">
        <v>0</v>
      </c>
    </row>
    <row r="117" spans="1:17" x14ac:dyDescent="0.2">
      <c r="A117" s="28">
        <v>2002.12</v>
      </c>
      <c r="B117" s="28"/>
      <c r="C117" s="55">
        <v>80.440440505315564</v>
      </c>
      <c r="D117" s="56">
        <v>7.7845666529066937E-3</v>
      </c>
      <c r="E117" s="56">
        <v>-7.326342553534454E-2</v>
      </c>
      <c r="F117" s="56">
        <v>-7.326342553534454E-2</v>
      </c>
      <c r="G117" s="56">
        <v>-1.5270936269065394E-2</v>
      </c>
      <c r="H117" s="56">
        <v>-1.2466324963305526E-2</v>
      </c>
      <c r="I117" s="56">
        <v>5.023126278076611E-2</v>
      </c>
      <c r="J117" s="56">
        <v>1.8882468908730292E-2</v>
      </c>
      <c r="K117" s="55">
        <v>92.529801889895495</v>
      </c>
      <c r="L117" s="56">
        <v>-0.13113675342675279</v>
      </c>
      <c r="M117" s="55">
        <v>82.837218028001288</v>
      </c>
      <c r="N117" s="55">
        <v>42.991711365849348</v>
      </c>
      <c r="O117" s="58">
        <v>0</v>
      </c>
      <c r="P117" s="98">
        <v>0</v>
      </c>
      <c r="Q117" s="106">
        <v>0</v>
      </c>
    </row>
    <row r="118" spans="1:17" x14ac:dyDescent="0.2">
      <c r="A118" s="28">
        <v>2003.01</v>
      </c>
      <c r="B118" s="28"/>
      <c r="C118" s="55">
        <v>81.298107466696848</v>
      </c>
      <c r="D118" s="56">
        <v>1.0605696803590074E-2</v>
      </c>
      <c r="E118" s="56">
        <v>-4.2248185954168987E-2</v>
      </c>
      <c r="F118" s="56">
        <v>-4.2248185954168987E-2</v>
      </c>
      <c r="G118" s="56">
        <v>1.5950847159197146E-2</v>
      </c>
      <c r="H118" s="56">
        <v>-1.2466324963305526E-2</v>
      </c>
      <c r="I118" s="56">
        <v>5.023126278076611E-2</v>
      </c>
      <c r="J118" s="56">
        <v>1.8882468908730292E-2</v>
      </c>
      <c r="K118" s="55">
        <v>92.808521322732403</v>
      </c>
      <c r="L118" s="56">
        <v>-0.12437343637333553</v>
      </c>
      <c r="M118" s="55">
        <v>83.588077131521189</v>
      </c>
      <c r="N118" s="55">
        <v>49.711135852111795</v>
      </c>
      <c r="O118" s="58">
        <v>0</v>
      </c>
      <c r="P118" s="98">
        <v>0</v>
      </c>
      <c r="Q118" s="106">
        <v>0</v>
      </c>
    </row>
    <row r="119" spans="1:17" x14ac:dyDescent="0.2">
      <c r="A119" s="28">
        <v>2003.02</v>
      </c>
      <c r="B119" s="28"/>
      <c r="C119" s="55">
        <v>81.154383223696641</v>
      </c>
      <c r="D119" s="56">
        <v>-1.7694315413461588E-3</v>
      </c>
      <c r="E119" s="56">
        <v>-3.0749799061952986E-2</v>
      </c>
      <c r="F119" s="56">
        <v>-3.0749799061952986E-2</v>
      </c>
      <c r="G119" s="56">
        <v>1.9453427437047033E-2</v>
      </c>
      <c r="H119" s="56">
        <v>-1.2466324963305526E-2</v>
      </c>
      <c r="I119" s="56">
        <v>5.023126278076611E-2</v>
      </c>
      <c r="J119" s="56">
        <v>1.8882468908730292E-2</v>
      </c>
      <c r="K119" s="55">
        <v>93.105791085163503</v>
      </c>
      <c r="L119" s="56">
        <v>-0.12857554510092584</v>
      </c>
      <c r="M119" s="55">
        <v>83.308384795416913</v>
      </c>
      <c r="N119" s="55">
        <v>49.711135852111795</v>
      </c>
      <c r="O119" s="58">
        <v>0</v>
      </c>
      <c r="P119" s="98">
        <v>0</v>
      </c>
      <c r="Q119" s="106">
        <v>0</v>
      </c>
    </row>
    <row r="120" spans="1:17" x14ac:dyDescent="0.2">
      <c r="A120" s="28">
        <v>2003.03</v>
      </c>
      <c r="B120" s="28"/>
      <c r="C120" s="55">
        <v>81.382794020842439</v>
      </c>
      <c r="D120" s="56">
        <v>2.8105686511236856E-3</v>
      </c>
      <c r="E120" s="56">
        <v>-1.5572796551988862E-2</v>
      </c>
      <c r="F120" s="56">
        <v>-1.5572796551988862E-2</v>
      </c>
      <c r="G120" s="56">
        <v>2.9750344078904423E-2</v>
      </c>
      <c r="H120" s="56">
        <v>-1.2466324963305526E-2</v>
      </c>
      <c r="I120" s="56">
        <v>5.023126278076611E-2</v>
      </c>
      <c r="J120" s="56">
        <v>1.8882468908730292E-2</v>
      </c>
      <c r="K120" s="55">
        <v>93.421562004358194</v>
      </c>
      <c r="L120" s="56">
        <v>-0.12893996993835488</v>
      </c>
      <c r="M120" s="55">
        <v>83.410776208209398</v>
      </c>
      <c r="N120" s="55">
        <v>51.390991973677401</v>
      </c>
      <c r="O120" s="58">
        <v>0</v>
      </c>
      <c r="P120" s="98">
        <v>0</v>
      </c>
      <c r="Q120" s="106">
        <v>0</v>
      </c>
    </row>
    <row r="121" spans="1:17" x14ac:dyDescent="0.2">
      <c r="A121" s="28">
        <v>2003.04</v>
      </c>
      <c r="B121" s="28"/>
      <c r="C121" s="55">
        <v>82.495760409602028</v>
      </c>
      <c r="D121" s="56">
        <v>1.3583028045472E-2</v>
      </c>
      <c r="E121" s="56">
        <v>1.4671901625448625E-2</v>
      </c>
      <c r="F121" s="56">
        <v>1.4671901625448625E-2</v>
      </c>
      <c r="G121" s="56">
        <v>5.8494478086750235E-2</v>
      </c>
      <c r="H121" s="56">
        <v>-1.2466324963305526E-2</v>
      </c>
      <c r="I121" s="56">
        <v>5.023126278076611E-2</v>
      </c>
      <c r="J121" s="56">
        <v>1.8882468908730292E-2</v>
      </c>
      <c r="K121" s="55">
        <v>93.755692695489799</v>
      </c>
      <c r="L121" s="56">
        <v>-0.12003687547066422</v>
      </c>
      <c r="M121" s="55">
        <v>84.417800163277349</v>
      </c>
      <c r="N121" s="55">
        <v>53.070848095243022</v>
      </c>
      <c r="O121" s="58">
        <v>0</v>
      </c>
      <c r="P121" s="98">
        <v>0</v>
      </c>
      <c r="Q121" s="106">
        <v>0</v>
      </c>
    </row>
    <row r="122" spans="1:17" x14ac:dyDescent="0.2">
      <c r="A122" s="28">
        <v>2003.05</v>
      </c>
      <c r="B122" s="28"/>
      <c r="C122" s="55">
        <v>84.317653457482905</v>
      </c>
      <c r="D122" s="56">
        <v>2.1844352345490727E-2</v>
      </c>
      <c r="E122" s="56">
        <v>4.8159334096076395E-2</v>
      </c>
      <c r="F122" s="56">
        <v>4.8159334096076395E-2</v>
      </c>
      <c r="G122" s="56">
        <v>9.9511803578609115E-2</v>
      </c>
      <c r="H122" s="56">
        <v>-1.2466324963305526E-2</v>
      </c>
      <c r="I122" s="56">
        <v>5.023126278076611E-2</v>
      </c>
      <c r="J122" s="56">
        <v>1.8882468908730292E-2</v>
      </c>
      <c r="K122" s="55">
        <v>94.107948889310904</v>
      </c>
      <c r="L122" s="56">
        <v>-0.10383089495615194</v>
      </c>
      <c r="M122" s="55">
        <v>86.145728162265172</v>
      </c>
      <c r="N122" s="55">
        <v>59.790272581505477</v>
      </c>
      <c r="O122" s="58">
        <v>0</v>
      </c>
      <c r="P122" s="98">
        <v>0</v>
      </c>
      <c r="Q122" s="106">
        <v>0</v>
      </c>
    </row>
    <row r="123" spans="1:17" x14ac:dyDescent="0.2">
      <c r="A123" s="28">
        <v>2003.06</v>
      </c>
      <c r="B123" s="28"/>
      <c r="C123" s="55">
        <v>86.06071089462209</v>
      </c>
      <c r="D123" s="56">
        <v>2.0461732438618631E-2</v>
      </c>
      <c r="E123" s="56">
        <v>8.18129101007362E-2</v>
      </c>
      <c r="F123" s="56">
        <v>8.18129101007362E-2</v>
      </c>
      <c r="G123" s="56">
        <v>0.13319657583834155</v>
      </c>
      <c r="H123" s="56">
        <v>-1.2466324963305526E-2</v>
      </c>
      <c r="I123" s="56">
        <v>5.023126278076611E-2</v>
      </c>
      <c r="J123" s="56">
        <v>1.8882468908730292E-2</v>
      </c>
      <c r="K123" s="55">
        <v>94.478009442415598</v>
      </c>
      <c r="L123" s="56">
        <v>-8.8748354897086434E-2</v>
      </c>
      <c r="M123" s="55">
        <v>87.787563929896976</v>
      </c>
      <c r="N123" s="55">
        <v>66.509697067767917</v>
      </c>
      <c r="O123" s="58">
        <v>0</v>
      </c>
      <c r="P123" s="98">
        <v>0</v>
      </c>
      <c r="Q123" s="106">
        <v>0</v>
      </c>
    </row>
    <row r="124" spans="1:17" x14ac:dyDescent="0.2">
      <c r="A124" s="28">
        <v>2003.07</v>
      </c>
      <c r="B124" s="28"/>
      <c r="C124" s="55">
        <v>87.670370227469945</v>
      </c>
      <c r="D124" s="56">
        <v>1.8531000728276868E-2</v>
      </c>
      <c r="E124" s="56">
        <v>0.11133965581558725</v>
      </c>
      <c r="F124" s="56">
        <v>0.11133965581558725</v>
      </c>
      <c r="G124" s="56">
        <v>0.15762005444381777</v>
      </c>
      <c r="H124" s="56">
        <v>-1.2466324963305526E-2</v>
      </c>
      <c r="I124" s="56">
        <v>5.023126278076611E-2</v>
      </c>
      <c r="J124" s="56">
        <v>1.8882468908730292E-2</v>
      </c>
      <c r="K124" s="55">
        <v>94.865477676233596</v>
      </c>
      <c r="L124" s="56">
        <v>-7.535730536701557E-2</v>
      </c>
      <c r="M124" s="55">
        <v>89.288133188798284</v>
      </c>
      <c r="N124" s="55">
        <v>69.869409310899144</v>
      </c>
      <c r="O124" s="58">
        <v>0</v>
      </c>
      <c r="P124" s="98">
        <v>0</v>
      </c>
      <c r="Q124" s="106">
        <v>0</v>
      </c>
    </row>
    <row r="125" spans="1:17" x14ac:dyDescent="0.2">
      <c r="A125" s="28">
        <v>2003.08</v>
      </c>
      <c r="B125" s="28"/>
      <c r="C125" s="55">
        <v>89.372467941920249</v>
      </c>
      <c r="D125" s="56">
        <v>1.9228681335033738E-2</v>
      </c>
      <c r="E125" s="56">
        <v>0.12979815046545143</v>
      </c>
      <c r="F125" s="56">
        <v>0.12979815046545143</v>
      </c>
      <c r="G125" s="56">
        <v>0.17868650874942493</v>
      </c>
      <c r="H125" s="56">
        <v>-1.2466324963305526E-2</v>
      </c>
      <c r="I125" s="56">
        <v>5.023126278076611E-2</v>
      </c>
      <c r="J125" s="56">
        <v>1.8882468908730292E-2</v>
      </c>
      <c r="K125" s="55">
        <v>95.2698919688724</v>
      </c>
      <c r="L125" s="56">
        <v>-6.1269177733127234E-2</v>
      </c>
      <c r="M125" s="55">
        <v>90.877733478494406</v>
      </c>
      <c r="N125" s="55">
        <v>78.268689918727205</v>
      </c>
      <c r="O125" s="58">
        <v>0</v>
      </c>
      <c r="P125" s="98">
        <v>0</v>
      </c>
      <c r="Q125" s="106">
        <v>0</v>
      </c>
    </row>
    <row r="126" spans="1:17" x14ac:dyDescent="0.2">
      <c r="A126" s="28">
        <v>2003.09</v>
      </c>
      <c r="B126" s="28"/>
      <c r="C126" s="55">
        <v>91.129629249537288</v>
      </c>
      <c r="D126" s="56">
        <v>1.9470320237730453E-2</v>
      </c>
      <c r="E126" s="56">
        <v>0.14692067042590848</v>
      </c>
      <c r="F126" s="56">
        <v>0.14692067042590848</v>
      </c>
      <c r="G126" s="56">
        <v>0.19720192994596109</v>
      </c>
      <c r="H126" s="56">
        <v>-1.2466324963305526E-2</v>
      </c>
      <c r="I126" s="56">
        <v>5.023126278076611E-2</v>
      </c>
      <c r="J126" s="56">
        <v>1.8882468908730292E-2</v>
      </c>
      <c r="K126" s="55">
        <v>95.690735184021605</v>
      </c>
      <c r="L126" s="56">
        <v>-4.6886351262202641E-2</v>
      </c>
      <c r="M126" s="55">
        <v>92.517986731187833</v>
      </c>
      <c r="N126" s="55">
        <v>84.988114404989659</v>
      </c>
      <c r="O126" s="58">
        <v>0</v>
      </c>
      <c r="P126" s="98">
        <v>0</v>
      </c>
      <c r="Q126" s="106">
        <v>0</v>
      </c>
    </row>
    <row r="127" spans="1:17" x14ac:dyDescent="0.2">
      <c r="A127" s="28">
        <v>2003.1</v>
      </c>
      <c r="B127" s="28"/>
      <c r="C127" s="55">
        <v>92.938043042289038</v>
      </c>
      <c r="D127" s="56">
        <v>1.9650077163703615E-2</v>
      </c>
      <c r="E127" s="56">
        <v>0.15886569176682303</v>
      </c>
      <c r="F127" s="56">
        <v>0.15886569176682303</v>
      </c>
      <c r="G127" s="56">
        <v>0.21316737947876208</v>
      </c>
      <c r="H127" s="56">
        <v>-1.2466324963305526E-2</v>
      </c>
      <c r="I127" s="56">
        <v>5.023126278076611E-2</v>
      </c>
      <c r="J127" s="56">
        <v>1.8882468908730292E-2</v>
      </c>
      <c r="K127" s="55">
        <v>96.127444683020002</v>
      </c>
      <c r="L127" s="56">
        <v>-3.2254581920957093E-2</v>
      </c>
      <c r="M127" s="55">
        <v>94.204777372915999</v>
      </c>
      <c r="N127" s="55">
        <v>86.667970526555251</v>
      </c>
      <c r="O127" s="58">
        <v>0</v>
      </c>
      <c r="P127" s="98">
        <v>0</v>
      </c>
      <c r="Q127" s="106">
        <v>0</v>
      </c>
    </row>
    <row r="128" spans="1:17" x14ac:dyDescent="0.2">
      <c r="A128" s="28">
        <v>2003.11</v>
      </c>
      <c r="B128" s="28"/>
      <c r="C128" s="55">
        <v>94.506664813868696</v>
      </c>
      <c r="D128" s="56">
        <v>1.6737291849151612E-2</v>
      </c>
      <c r="E128" s="56">
        <v>0.16893788470975221</v>
      </c>
      <c r="F128" s="56">
        <v>0.16893788470975221</v>
      </c>
      <c r="G128" s="56">
        <v>0.22043985821339684</v>
      </c>
      <c r="H128" s="56">
        <v>-1.2466324963305526E-2</v>
      </c>
      <c r="I128" s="56">
        <v>5.023126278076611E-2</v>
      </c>
      <c r="J128" s="56">
        <v>1.8882468908730292E-2</v>
      </c>
      <c r="K128" s="55">
        <v>96.579422634559293</v>
      </c>
      <c r="L128" s="56">
        <v>-2.0395695721760032E-2</v>
      </c>
      <c r="M128" s="55">
        <v>95.643327024158921</v>
      </c>
      <c r="N128" s="55">
        <v>84.988114404989659</v>
      </c>
      <c r="O128" s="58">
        <v>0</v>
      </c>
      <c r="P128" s="98">
        <v>0</v>
      </c>
      <c r="Q128" s="106">
        <v>0</v>
      </c>
    </row>
    <row r="129" spans="1:17" x14ac:dyDescent="0.2">
      <c r="A129" s="28">
        <v>2003.12</v>
      </c>
      <c r="B129" s="28"/>
      <c r="C129" s="55">
        <v>95.337928064820318</v>
      </c>
      <c r="D129" s="56">
        <v>8.7573583307973078E-3</v>
      </c>
      <c r="E129" s="56">
        <v>0.16991067638764276</v>
      </c>
      <c r="F129" s="56">
        <v>0.16991067638764276</v>
      </c>
      <c r="G129" s="56">
        <v>0.20795722312294118</v>
      </c>
      <c r="H129" s="56">
        <v>-1.2466324963305526E-2</v>
      </c>
      <c r="I129" s="56">
        <v>5.023126278076611E-2</v>
      </c>
      <c r="J129" s="56">
        <v>1.8882468908730292E-2</v>
      </c>
      <c r="K129" s="55">
        <v>97.046046598271801</v>
      </c>
      <c r="L129" s="56">
        <v>-1.6405229814000721E-2</v>
      </c>
      <c r="M129" s="55">
        <v>96.332045307974269</v>
      </c>
      <c r="N129" s="55">
        <v>81.628402161858418</v>
      </c>
      <c r="O129" s="58">
        <v>0</v>
      </c>
      <c r="P129" s="98">
        <v>0</v>
      </c>
      <c r="Q129" s="106">
        <v>0</v>
      </c>
    </row>
    <row r="130" spans="1:17" x14ac:dyDescent="0.2">
      <c r="A130" s="28">
        <v>2004.01</v>
      </c>
      <c r="B130" s="28"/>
      <c r="C130" s="55">
        <v>95.765721500254742</v>
      </c>
      <c r="D130" s="56">
        <v>4.4770903222147683E-3</v>
      </c>
      <c r="E130" s="56">
        <v>0.16378206990626748</v>
      </c>
      <c r="F130" s="56">
        <v>0.16378206990626748</v>
      </c>
      <c r="G130" s="56">
        <v>0.18620113164206731</v>
      </c>
      <c r="H130" s="56">
        <v>-1.2466324963305526E-2</v>
      </c>
      <c r="I130" s="56">
        <v>5.023126278076611E-2</v>
      </c>
      <c r="J130" s="56">
        <v>1.8882468908730292E-2</v>
      </c>
      <c r="K130" s="55">
        <v>97.526678141334898</v>
      </c>
      <c r="L130" s="56">
        <v>-1.6740902951355885E-2</v>
      </c>
      <c r="M130" s="55">
        <v>96.611314409550587</v>
      </c>
      <c r="N130" s="55">
        <v>78.268689918727205</v>
      </c>
      <c r="O130" s="58">
        <v>0</v>
      </c>
      <c r="P130" s="98">
        <v>0</v>
      </c>
      <c r="Q130" s="106">
        <v>0</v>
      </c>
    </row>
    <row r="131" spans="1:17" x14ac:dyDescent="0.2">
      <c r="A131" s="28">
        <v>2004.02</v>
      </c>
      <c r="B131" s="28"/>
      <c r="C131" s="55">
        <v>97.029570349711861</v>
      </c>
      <c r="D131" s="56">
        <v>1.3110973215806012E-2</v>
      </c>
      <c r="E131" s="56">
        <v>0.17866247466341967</v>
      </c>
      <c r="F131" s="56">
        <v>0.17866247466341967</v>
      </c>
      <c r="G131" s="56">
        <v>0.1848792906204193</v>
      </c>
      <c r="H131" s="56">
        <v>-1.2466324963305526E-2</v>
      </c>
      <c r="I131" s="56">
        <v>5.023126278076611E-2</v>
      </c>
      <c r="J131" s="56">
        <v>1.8882468908730292E-2</v>
      </c>
      <c r="K131" s="55">
        <v>98.020665652129395</v>
      </c>
      <c r="L131" s="56">
        <v>-8.6703940159218451E-3</v>
      </c>
      <c r="M131" s="55">
        <v>97.73156380964258</v>
      </c>
      <c r="N131" s="55">
        <v>74.908977675595992</v>
      </c>
      <c r="O131" s="58">
        <v>0</v>
      </c>
      <c r="P131" s="98">
        <v>0</v>
      </c>
      <c r="Q131" s="106">
        <v>0</v>
      </c>
    </row>
    <row r="132" spans="1:17" x14ac:dyDescent="0.2">
      <c r="A132" s="28">
        <v>2004.03</v>
      </c>
      <c r="B132" s="28"/>
      <c r="C132" s="55">
        <v>98.23022877128534</v>
      </c>
      <c r="D132" s="56">
        <v>1.2298215606589455E-2</v>
      </c>
      <c r="E132" s="56">
        <v>0.1881501216188855</v>
      </c>
      <c r="F132" s="56">
        <v>0.1881501216188855</v>
      </c>
      <c r="G132" s="56">
        <v>0.17934110361420785</v>
      </c>
      <c r="H132" s="56">
        <v>-1.2466324963305526E-2</v>
      </c>
      <c r="I132" s="56">
        <v>5.023126278076611E-2</v>
      </c>
      <c r="J132" s="56">
        <v>1.8882468908730292E-2</v>
      </c>
      <c r="K132" s="55">
        <v>98.527343931679894</v>
      </c>
      <c r="L132" s="56">
        <v>-1.4553517985441689E-3</v>
      </c>
      <c r="M132" s="55">
        <v>98.784482503425792</v>
      </c>
      <c r="N132" s="55">
        <v>73.229121554030371</v>
      </c>
      <c r="O132" s="58">
        <v>0</v>
      </c>
      <c r="P132" s="98">
        <v>0</v>
      </c>
      <c r="Q132" s="106">
        <v>0</v>
      </c>
    </row>
    <row r="133" spans="1:17" x14ac:dyDescent="0.2">
      <c r="A133" s="28">
        <v>2004.04</v>
      </c>
      <c r="B133" s="28"/>
      <c r="C133" s="55">
        <v>99.343156275669841</v>
      </c>
      <c r="D133" s="56">
        <v>1.1266085010302254E-2</v>
      </c>
      <c r="E133" s="56">
        <v>0.18583317858371554</v>
      </c>
      <c r="F133" s="56">
        <v>0.18583317858371554</v>
      </c>
      <c r="G133" s="56">
        <v>0.1701426772641863</v>
      </c>
      <c r="H133" s="56">
        <v>-1.2466324963305526E-2</v>
      </c>
      <c r="I133" s="56">
        <v>5.023126278076611E-2</v>
      </c>
      <c r="J133" s="56">
        <v>1.8882468908730292E-2</v>
      </c>
      <c r="K133" s="55">
        <v>99.046040132565807</v>
      </c>
      <c r="L133" s="56">
        <v>4.6725270280265629E-3</v>
      </c>
      <c r="M133" s="55">
        <v>99.745741120825087</v>
      </c>
      <c r="N133" s="55">
        <v>73.229121554030371</v>
      </c>
      <c r="O133" s="58">
        <v>0</v>
      </c>
      <c r="P133" s="98">
        <v>0</v>
      </c>
      <c r="Q133" s="106">
        <v>0</v>
      </c>
    </row>
    <row r="134" spans="1:17" x14ac:dyDescent="0.2">
      <c r="A134" s="28">
        <v>2004.05</v>
      </c>
      <c r="B134" s="28"/>
      <c r="C134" s="55">
        <v>100.0770271560861</v>
      </c>
      <c r="D134" s="56">
        <v>7.3600794126930952E-3</v>
      </c>
      <c r="E134" s="56">
        <v>0.17134890565091798</v>
      </c>
      <c r="F134" s="56">
        <v>0.17134890565091798</v>
      </c>
      <c r="G134" s="56">
        <v>0.15317804784641109</v>
      </c>
      <c r="H134" s="56">
        <v>-1.2466324963305526E-2</v>
      </c>
      <c r="I134" s="56">
        <v>5.023126278076611E-2</v>
      </c>
      <c r="J134" s="56">
        <v>1.8882468908730292E-2</v>
      </c>
      <c r="K134" s="55">
        <v>99.576079112131794</v>
      </c>
      <c r="L134" s="56">
        <v>6.803333575437831E-3</v>
      </c>
      <c r="M134" s="55">
        <v>100.32372228584227</v>
      </c>
      <c r="N134" s="55">
        <v>69.869409310899144</v>
      </c>
      <c r="O134" s="58">
        <v>0</v>
      </c>
      <c r="P134" s="98">
        <v>0</v>
      </c>
      <c r="Q134" s="106">
        <v>0</v>
      </c>
    </row>
    <row r="135" spans="1:17" x14ac:dyDescent="0.2">
      <c r="A135" s="28">
        <v>2004.06</v>
      </c>
      <c r="B135" s="28"/>
      <c r="C135" s="55">
        <v>100.74092095904884</v>
      </c>
      <c r="D135" s="56">
        <v>6.6119211737841578E-3</v>
      </c>
      <c r="E135" s="56">
        <v>0.15749909438608339</v>
      </c>
      <c r="F135" s="56">
        <v>0.15749909438608339</v>
      </c>
      <c r="G135" s="56">
        <v>0.13739567485887672</v>
      </c>
      <c r="H135" s="56">
        <v>-1.2466324963305526E-2</v>
      </c>
      <c r="I135" s="56">
        <v>5.023126278076611E-2</v>
      </c>
      <c r="J135" s="56">
        <v>1.8882468908730292E-2</v>
      </c>
      <c r="K135" s="55">
        <v>100.116788016521</v>
      </c>
      <c r="L135" s="56">
        <v>8.098082491137637E-3</v>
      </c>
      <c r="M135" s="55">
        <v>100.82958787546251</v>
      </c>
      <c r="N135" s="55">
        <v>68.189553189333523</v>
      </c>
      <c r="O135" s="58">
        <v>0</v>
      </c>
      <c r="P135" s="98">
        <v>0</v>
      </c>
      <c r="Q135" s="106">
        <v>0</v>
      </c>
    </row>
    <row r="136" spans="1:17" x14ac:dyDescent="0.2">
      <c r="A136" s="28">
        <v>2004.07</v>
      </c>
      <c r="B136" s="28"/>
      <c r="C136" s="55">
        <v>100.70976290789109</v>
      </c>
      <c r="D136" s="56">
        <v>-3.0933676479132815E-4</v>
      </c>
      <c r="E136" s="56">
        <v>0.13865875689301524</v>
      </c>
      <c r="F136" s="56">
        <v>0.13865875689301524</v>
      </c>
      <c r="G136" s="56">
        <v>0.10991919296582076</v>
      </c>
      <c r="H136" s="56">
        <v>-1.2466324963305526E-2</v>
      </c>
      <c r="I136" s="56">
        <v>5.023126278076611E-2</v>
      </c>
      <c r="J136" s="56">
        <v>1.8882468908730292E-2</v>
      </c>
      <c r="K136" s="55">
        <v>100.667497853605</v>
      </c>
      <c r="L136" s="56">
        <v>2.3547735002771297E-3</v>
      </c>
      <c r="M136" s="55">
        <v>100.6390393897579</v>
      </c>
      <c r="N136" s="55">
        <v>63.149984824636689</v>
      </c>
      <c r="O136" s="58">
        <v>0</v>
      </c>
      <c r="P136" s="98">
        <v>0</v>
      </c>
      <c r="Q136" s="106">
        <v>0</v>
      </c>
    </row>
    <row r="137" spans="1:17" x14ac:dyDescent="0.2">
      <c r="A137" s="28">
        <v>2004.08</v>
      </c>
      <c r="B137" s="28"/>
      <c r="C137" s="55">
        <v>100.55533296336817</v>
      </c>
      <c r="D137" s="56">
        <v>-1.5345927137635027E-3</v>
      </c>
      <c r="E137" s="56">
        <v>0.11789548284421783</v>
      </c>
      <c r="F137" s="56">
        <v>0.11789548284421783</v>
      </c>
      <c r="G137" s="56">
        <v>8.3825265911554592E-2</v>
      </c>
      <c r="H137" s="56">
        <v>-1.2466324963305526E-2</v>
      </c>
      <c r="I137" s="56">
        <v>5.023126278076611E-2</v>
      </c>
      <c r="J137" s="56">
        <v>1.8882468908730292E-2</v>
      </c>
      <c r="K137" s="55">
        <v>101.227544444804</v>
      </c>
      <c r="L137" s="56">
        <v>-4.6454867469664096E-3</v>
      </c>
      <c r="M137" s="55">
        <v>100.32585082044326</v>
      </c>
      <c r="N137" s="55">
        <v>58.110416459939856</v>
      </c>
      <c r="O137" s="58">
        <v>0</v>
      </c>
      <c r="P137" s="98">
        <v>0</v>
      </c>
      <c r="Q137" s="106">
        <v>0</v>
      </c>
    </row>
    <row r="138" spans="1:17" x14ac:dyDescent="0.2">
      <c r="A138" s="28">
        <v>2004.09</v>
      </c>
      <c r="B138" s="28"/>
      <c r="C138" s="55">
        <v>101.06830249127592</v>
      </c>
      <c r="D138" s="56">
        <v>5.0883978315234791E-3</v>
      </c>
      <c r="E138" s="56">
        <v>0.10351356043801092</v>
      </c>
      <c r="F138" s="56">
        <v>0.10351356043801092</v>
      </c>
      <c r="G138" s="56">
        <v>7.4767872784099909E-2</v>
      </c>
      <c r="H138" s="56">
        <v>-1.2466324963305526E-2</v>
      </c>
      <c r="I138" s="56">
        <v>5.023126278076611E-2</v>
      </c>
      <c r="J138" s="56">
        <v>1.8882468908730292E-2</v>
      </c>
      <c r="K138" s="55">
        <v>101.796263936692</v>
      </c>
      <c r="L138" s="56">
        <v>-5.0905645841434755E-3</v>
      </c>
      <c r="M138" s="55">
        <v>100.67822461493435</v>
      </c>
      <c r="N138" s="55">
        <v>56.430560338374242</v>
      </c>
      <c r="O138" s="58">
        <v>0</v>
      </c>
      <c r="P138" s="98">
        <v>0</v>
      </c>
      <c r="Q138" s="106">
        <v>0</v>
      </c>
    </row>
    <row r="139" spans="1:17" x14ac:dyDescent="0.2">
      <c r="A139" s="28">
        <v>2004.1</v>
      </c>
      <c r="B139" s="28"/>
      <c r="C139" s="55">
        <v>101.42907747947612</v>
      </c>
      <c r="D139" s="56">
        <v>3.5632596330559961E-3</v>
      </c>
      <c r="E139" s="56">
        <v>8.7426742907363256E-2</v>
      </c>
      <c r="F139" s="56">
        <v>8.7426742907363256E-2</v>
      </c>
      <c r="G139" s="56">
        <v>6.5046503996957883E-2</v>
      </c>
      <c r="H139" s="56">
        <v>-1.2466324963305526E-2</v>
      </c>
      <c r="I139" s="56">
        <v>5.023126278076611E-2</v>
      </c>
      <c r="J139" s="56">
        <v>1.8882468908730292E-2</v>
      </c>
      <c r="K139" s="55">
        <v>102.37298729006</v>
      </c>
      <c r="L139" s="56">
        <v>-7.1049282379812562E-3</v>
      </c>
      <c r="M139" s="55">
        <v>100.87786597971778</v>
      </c>
      <c r="N139" s="55">
        <v>49.711135852111795</v>
      </c>
      <c r="O139" s="58">
        <v>0</v>
      </c>
      <c r="P139" s="98">
        <v>0</v>
      </c>
      <c r="Q139" s="106">
        <v>0</v>
      </c>
    </row>
    <row r="140" spans="1:17" x14ac:dyDescent="0.2">
      <c r="A140" s="28">
        <v>2004.11</v>
      </c>
      <c r="B140" s="28"/>
      <c r="C140" s="55">
        <v>102.16257776230525</v>
      </c>
      <c r="D140" s="56">
        <v>7.2056338029898494E-3</v>
      </c>
      <c r="E140" s="56">
        <v>7.7895084861201558E-2</v>
      </c>
      <c r="F140" s="56">
        <v>7.7895084861201558E-2</v>
      </c>
      <c r="G140" s="56">
        <v>6.5072364687303264E-2</v>
      </c>
      <c r="H140" s="56">
        <v>-1.2466324963305526E-2</v>
      </c>
      <c r="I140" s="56">
        <v>5.023126278076611E-2</v>
      </c>
      <c r="J140" s="56">
        <v>1.8882468908730292E-2</v>
      </c>
      <c r="K140" s="55">
        <v>102.957039852016</v>
      </c>
      <c r="L140" s="56">
        <v>-5.5459970836696515E-3</v>
      </c>
      <c r="M140" s="55">
        <v>101.44673807963858</v>
      </c>
      <c r="N140" s="55">
        <v>49.711135852111795</v>
      </c>
      <c r="O140" s="58">
        <v>0</v>
      </c>
      <c r="P140" s="98">
        <v>0</v>
      </c>
      <c r="Q140" s="106">
        <v>0</v>
      </c>
    </row>
    <row r="141" spans="1:17" x14ac:dyDescent="0.2">
      <c r="A141" s="28">
        <v>2004.12</v>
      </c>
      <c r="B141" s="28"/>
      <c r="C141" s="55">
        <v>102.88832138362667</v>
      </c>
      <c r="D141" s="56">
        <v>7.0786975799934657E-3</v>
      </c>
      <c r="E141" s="56">
        <v>7.6216424110397682E-2</v>
      </c>
      <c r="F141" s="56">
        <v>7.6216424110397682E-2</v>
      </c>
      <c r="G141" s="56">
        <v>6.6326954492811119E-2</v>
      </c>
      <c r="H141" s="56">
        <v>-1.2466324963305526E-2</v>
      </c>
      <c r="I141" s="56">
        <v>5.023126278076611E-2</v>
      </c>
      <c r="J141" s="56">
        <v>1.8882468908730292E-2</v>
      </c>
      <c r="K141" s="55">
        <v>103.54773969076</v>
      </c>
      <c r="L141" s="56">
        <v>-4.1501959343741568E-3</v>
      </c>
      <c r="M141" s="55">
        <v>102.00586911075928</v>
      </c>
      <c r="N141" s="55">
        <v>49.711135852111795</v>
      </c>
      <c r="O141" s="58">
        <v>0</v>
      </c>
      <c r="P141" s="98">
        <v>0</v>
      </c>
      <c r="Q141" s="106">
        <v>0</v>
      </c>
    </row>
    <row r="142" spans="1:17" x14ac:dyDescent="0.2">
      <c r="A142" s="28">
        <v>2005.01</v>
      </c>
      <c r="B142" s="28"/>
      <c r="C142" s="55">
        <v>104.30140820273452</v>
      </c>
      <c r="D142" s="56">
        <v>1.3640721795103294E-2</v>
      </c>
      <c r="E142" s="56">
        <v>8.5380055583286249E-2</v>
      </c>
      <c r="F142" s="56">
        <v>8.5380055583286249E-2</v>
      </c>
      <c r="G142" s="56">
        <v>8.0852599473967945E-2</v>
      </c>
      <c r="H142" s="56">
        <v>-1.2466324963305526E-2</v>
      </c>
      <c r="I142" s="56">
        <v>5.023126278076611E-2</v>
      </c>
      <c r="J142" s="56">
        <v>1.8882468908730292E-2</v>
      </c>
      <c r="K142" s="55">
        <v>104.144398747956</v>
      </c>
      <c r="L142" s="56">
        <v>3.7810148953749678E-3</v>
      </c>
      <c r="M142" s="55">
        <v>103.24334920700458</v>
      </c>
      <c r="N142" s="55">
        <v>56.430560338374242</v>
      </c>
      <c r="O142" s="58">
        <v>0</v>
      </c>
      <c r="P142" s="98">
        <v>0</v>
      </c>
      <c r="Q142" s="106">
        <v>0</v>
      </c>
    </row>
    <row r="143" spans="1:17" x14ac:dyDescent="0.2">
      <c r="A143" s="28">
        <v>2005.02</v>
      </c>
      <c r="B143" s="28"/>
      <c r="C143" s="55">
        <v>105.4571937263257</v>
      </c>
      <c r="D143" s="56">
        <v>1.1020260528809762E-2</v>
      </c>
      <c r="E143" s="56">
        <v>8.3289342896290017E-2</v>
      </c>
      <c r="F143" s="56">
        <v>8.3289342896290017E-2</v>
      </c>
      <c r="G143" s="56">
        <v>8.8727875346600094E-2</v>
      </c>
      <c r="H143" s="56">
        <v>-1.2466324963305526E-2</v>
      </c>
      <c r="I143" s="56">
        <v>5.023126278076611E-2</v>
      </c>
      <c r="J143" s="56">
        <v>1.8882468908730292E-2</v>
      </c>
      <c r="K143" s="55">
        <v>104.746323879052</v>
      </c>
      <c r="L143" s="56">
        <v>9.1027380380628298E-3</v>
      </c>
      <c r="M143" s="55">
        <v>104.22237290120493</v>
      </c>
      <c r="N143" s="55">
        <v>63.149984824636689</v>
      </c>
      <c r="O143" s="58">
        <v>0</v>
      </c>
      <c r="P143" s="98">
        <v>0</v>
      </c>
      <c r="Q143" s="106">
        <v>0</v>
      </c>
    </row>
    <row r="144" spans="1:17" x14ac:dyDescent="0.2">
      <c r="A144" s="28">
        <v>2005.03</v>
      </c>
      <c r="B144" s="28"/>
      <c r="C144" s="55">
        <v>106.05606342502479</v>
      </c>
      <c r="D144" s="56">
        <v>5.6627306209482741E-3</v>
      </c>
      <c r="E144" s="56">
        <v>7.6653857910648812E-2</v>
      </c>
      <c r="F144" s="56">
        <v>7.6653857910648812E-2</v>
      </c>
      <c r="G144" s="56">
        <v>8.614516206588152E-2</v>
      </c>
      <c r="H144" s="56">
        <v>-1.2466324963305526E-2</v>
      </c>
      <c r="I144" s="56">
        <v>5.023126278076611E-2</v>
      </c>
      <c r="J144" s="56">
        <v>1.8882468908730292E-2</v>
      </c>
      <c r="K144" s="55">
        <v>105.352823152071</v>
      </c>
      <c r="L144" s="56">
        <v>9.0146900364169724E-3</v>
      </c>
      <c r="M144" s="55">
        <v>104.64851824246098</v>
      </c>
      <c r="N144" s="55">
        <v>63.149984824636689</v>
      </c>
      <c r="O144" s="58">
        <v>0</v>
      </c>
      <c r="P144" s="98">
        <v>0</v>
      </c>
      <c r="Q144" s="106">
        <v>0</v>
      </c>
    </row>
    <row r="145" spans="1:17" x14ac:dyDescent="0.2">
      <c r="A145" s="28">
        <v>2005.04</v>
      </c>
      <c r="B145" s="28"/>
      <c r="C145" s="55">
        <v>107.49730013678595</v>
      </c>
      <c r="D145" s="56">
        <v>1.3497877715970004E-2</v>
      </c>
      <c r="E145" s="56">
        <v>7.8885650616316694E-2</v>
      </c>
      <c r="F145" s="56">
        <v>7.8885650616316694E-2</v>
      </c>
      <c r="G145" s="56">
        <v>0.10045103129962785</v>
      </c>
      <c r="H145" s="56">
        <v>-1.2466324963305526E-2</v>
      </c>
      <c r="I145" s="56">
        <v>5.023126278076611E-2</v>
      </c>
      <c r="J145" s="56">
        <v>1.8882468908730292E-2</v>
      </c>
      <c r="K145" s="55">
        <v>105.963210120686</v>
      </c>
      <c r="L145" s="56">
        <v>1.6852208875603569E-2</v>
      </c>
      <c r="M145" s="55">
        <v>105.90292884345922</v>
      </c>
      <c r="N145" s="55">
        <v>69.869409310899144</v>
      </c>
      <c r="O145" s="58">
        <v>0</v>
      </c>
      <c r="P145" s="98">
        <v>0</v>
      </c>
      <c r="Q145" s="106">
        <v>0</v>
      </c>
    </row>
    <row r="146" spans="1:17" x14ac:dyDescent="0.2">
      <c r="A146" s="28">
        <v>2005.05</v>
      </c>
      <c r="B146" s="28"/>
      <c r="C146" s="55">
        <v>108.34959068527769</v>
      </c>
      <c r="D146" s="56">
        <v>7.8972180209858703E-3</v>
      </c>
      <c r="E146" s="56">
        <v>7.9422789224609477E-2</v>
      </c>
      <c r="F146" s="56">
        <v>7.9422789224609477E-2</v>
      </c>
      <c r="G146" s="56">
        <v>0.10301727471697175</v>
      </c>
      <c r="H146" s="56">
        <v>-1.2466324963305526E-2</v>
      </c>
      <c r="I146" s="56">
        <v>5.023126278076611E-2</v>
      </c>
      <c r="J146" s="56">
        <v>1.8882468908730292E-2</v>
      </c>
      <c r="K146" s="55">
        <v>106.576803765241</v>
      </c>
      <c r="L146" s="56">
        <v>1.9023709473642514E-2</v>
      </c>
      <c r="M146" s="55">
        <v>106.573817649164</v>
      </c>
      <c r="N146" s="55">
        <v>74.908977675595992</v>
      </c>
      <c r="O146" s="58">
        <v>0</v>
      </c>
      <c r="P146" s="98">
        <v>0</v>
      </c>
      <c r="Q146" s="106">
        <v>0</v>
      </c>
    </row>
    <row r="147" spans="1:17" x14ac:dyDescent="0.2">
      <c r="A147" s="28">
        <v>2005.06</v>
      </c>
      <c r="B147" s="28"/>
      <c r="C147" s="55">
        <v>108.87253515022887</v>
      </c>
      <c r="D147" s="56">
        <v>4.8148453866106279E-3</v>
      </c>
      <c r="E147" s="56">
        <v>7.7625713437435961E-2</v>
      </c>
      <c r="F147" s="56">
        <v>7.7625713437435961E-2</v>
      </c>
      <c r="G147" s="56">
        <v>9.9211113796290995E-2</v>
      </c>
      <c r="H147" s="56">
        <v>-1.2466324963305526E-2</v>
      </c>
      <c r="I147" s="56">
        <v>5.023126278076611E-2</v>
      </c>
      <c r="J147" s="56">
        <v>1.8882468908730292E-2</v>
      </c>
      <c r="K147" s="55">
        <v>107.192934904854</v>
      </c>
      <c r="L147" s="56">
        <v>1.8060011082724925E-2</v>
      </c>
      <c r="M147" s="55">
        <v>106.91888421152431</v>
      </c>
      <c r="N147" s="55">
        <v>74.908977675595992</v>
      </c>
      <c r="O147" s="58">
        <v>0</v>
      </c>
      <c r="P147" s="98">
        <v>0</v>
      </c>
      <c r="Q147" s="106">
        <v>0</v>
      </c>
    </row>
    <row r="148" spans="1:17" x14ac:dyDescent="0.2">
      <c r="A148" s="28">
        <v>2005.07</v>
      </c>
      <c r="B148" s="28"/>
      <c r="C148" s="55">
        <v>109.59423551497134</v>
      </c>
      <c r="D148" s="56">
        <v>6.606981811110222E-3</v>
      </c>
      <c r="E148" s="56">
        <v>8.4542032013337459E-2</v>
      </c>
      <c r="F148" s="56">
        <v>8.4542032013337459E-2</v>
      </c>
      <c r="G148" s="56">
        <v>9.936742028949852E-2</v>
      </c>
      <c r="H148" s="56">
        <v>-1.2466324963305526E-2</v>
      </c>
      <c r="I148" s="56">
        <v>5.023126278076611E-2</v>
      </c>
      <c r="J148" s="56">
        <v>1.8882468908730292E-2</v>
      </c>
      <c r="K148" s="55">
        <v>107.810948040811</v>
      </c>
      <c r="L148" s="56">
        <v>1.8931111424232316E-2</v>
      </c>
      <c r="M148" s="55">
        <v>107.45747402931012</v>
      </c>
      <c r="N148" s="55">
        <v>73.229121554030371</v>
      </c>
      <c r="O148" s="58">
        <v>0</v>
      </c>
      <c r="P148" s="98">
        <v>0</v>
      </c>
      <c r="Q148" s="106">
        <v>0</v>
      </c>
    </row>
    <row r="149" spans="1:17" x14ac:dyDescent="0.2">
      <c r="A149" s="28">
        <v>2005.08</v>
      </c>
      <c r="B149" s="28"/>
      <c r="C149" s="55">
        <v>110.32840375780604</v>
      </c>
      <c r="D149" s="56">
        <v>6.6766293141536995E-3</v>
      </c>
      <c r="E149" s="56">
        <v>9.2753254041254646E-2</v>
      </c>
      <c r="F149" s="56">
        <v>9.2753254041254646E-2</v>
      </c>
      <c r="G149" s="56">
        <v>9.8536622604332713E-2</v>
      </c>
      <c r="H149" s="56">
        <v>-1.2466324963305526E-2</v>
      </c>
      <c r="I149" s="56">
        <v>5.023126278076611E-2</v>
      </c>
      <c r="J149" s="56">
        <v>1.8882468908730292E-2</v>
      </c>
      <c r="K149" s="55">
        <v>108.43020063811301</v>
      </c>
      <c r="L149" s="56">
        <v>1.9889666772845649E-2</v>
      </c>
      <c r="M149" s="55">
        <v>108.00629902955977</v>
      </c>
      <c r="N149" s="55">
        <v>69.869409310899144</v>
      </c>
      <c r="O149" s="58">
        <v>0</v>
      </c>
      <c r="P149" s="98">
        <v>0</v>
      </c>
      <c r="Q149" s="106">
        <v>0</v>
      </c>
    </row>
    <row r="150" spans="1:17" x14ac:dyDescent="0.2">
      <c r="A150" s="28">
        <v>2005.09</v>
      </c>
      <c r="B150" s="28"/>
      <c r="C150" s="55">
        <v>111.3828870577024</v>
      </c>
      <c r="D150" s="56">
        <v>9.5122918380434966E-3</v>
      </c>
      <c r="E150" s="56">
        <v>9.7177148047774761E-2</v>
      </c>
      <c r="F150" s="56">
        <v>9.7177148047774761E-2</v>
      </c>
      <c r="G150" s="56">
        <v>0.10214234193086114</v>
      </c>
      <c r="H150" s="56">
        <v>-1.2466324963305526E-2</v>
      </c>
      <c r="I150" s="56">
        <v>5.023126278076611E-2</v>
      </c>
      <c r="J150" s="56">
        <v>1.8882468908730292E-2</v>
      </c>
      <c r="K150" s="55">
        <v>109.05006392431</v>
      </c>
      <c r="L150" s="56">
        <v>2.3769723220653294E-2</v>
      </c>
      <c r="M150" s="55">
        <v>108.86619759625108</v>
      </c>
      <c r="N150" s="55">
        <v>73.229121554030371</v>
      </c>
      <c r="O150" s="58">
        <v>0</v>
      </c>
      <c r="P150" s="98">
        <v>0</v>
      </c>
      <c r="Q150" s="106">
        <v>0</v>
      </c>
    </row>
    <row r="151" spans="1:17" x14ac:dyDescent="0.2">
      <c r="A151" s="28">
        <v>2005.1</v>
      </c>
      <c r="B151" s="28"/>
      <c r="C151" s="55">
        <v>112.28271207398767</v>
      </c>
      <c r="D151" s="56">
        <v>8.0462071452915927E-3</v>
      </c>
      <c r="E151" s="56">
        <v>0.10166009556001045</v>
      </c>
      <c r="F151" s="56">
        <v>0.10166009556001045</v>
      </c>
      <c r="G151" s="56">
        <v>0.10202965563921729</v>
      </c>
      <c r="H151" s="56">
        <v>-1.2466324963305526E-2</v>
      </c>
      <c r="I151" s="56">
        <v>5.023126278076611E-2</v>
      </c>
      <c r="J151" s="56">
        <v>1.8882468908730292E-2</v>
      </c>
      <c r="K151" s="55">
        <v>109.66992377519399</v>
      </c>
      <c r="L151" s="56">
        <v>2.6186486785067409E-2</v>
      </c>
      <c r="M151" s="55">
        <v>109.57218238209839</v>
      </c>
      <c r="N151" s="55">
        <v>73.229121554030371</v>
      </c>
      <c r="O151" s="58">
        <v>0</v>
      </c>
      <c r="P151" s="98">
        <v>0</v>
      </c>
      <c r="Q151" s="106">
        <v>0</v>
      </c>
    </row>
    <row r="152" spans="1:17" x14ac:dyDescent="0.2">
      <c r="A152" s="28">
        <v>2005.11</v>
      </c>
      <c r="B152" s="28"/>
      <c r="C152" s="55">
        <v>112.72751318412267</v>
      </c>
      <c r="D152" s="56">
        <v>3.9536131215124858E-3</v>
      </c>
      <c r="E152" s="56">
        <v>9.8408074878533147E-2</v>
      </c>
      <c r="F152" s="56">
        <v>9.8408074878533147E-2</v>
      </c>
      <c r="G152" s="56">
        <v>9.2910050780886877E-2</v>
      </c>
      <c r="H152" s="56">
        <v>-1.2466324963305526E-2</v>
      </c>
      <c r="I152" s="56">
        <v>5.023126278076611E-2</v>
      </c>
      <c r="J152" s="56">
        <v>1.8882468908730292E-2</v>
      </c>
      <c r="K152" s="55">
        <v>110.289184068628</v>
      </c>
      <c r="L152" s="56">
        <v>2.4440754226908057E-2</v>
      </c>
      <c r="M152" s="55">
        <v>109.83232521560191</v>
      </c>
      <c r="N152" s="55">
        <v>71.54926543246475</v>
      </c>
      <c r="O152" s="58">
        <v>0</v>
      </c>
      <c r="P152" s="98">
        <v>0</v>
      </c>
      <c r="Q152" s="106">
        <v>0</v>
      </c>
    </row>
    <row r="153" spans="1:17" x14ac:dyDescent="0.2">
      <c r="A153" s="28">
        <v>2005.12</v>
      </c>
      <c r="B153" s="28"/>
      <c r="C153" s="55">
        <v>113.57395081351412</v>
      </c>
      <c r="D153" s="56">
        <v>7.4806548898981506E-3</v>
      </c>
      <c r="E153" s="56">
        <v>9.881003218843773E-2</v>
      </c>
      <c r="F153" s="56">
        <v>9.881003218843773E-2</v>
      </c>
      <c r="G153" s="56">
        <v>9.1536728612031659E-2</v>
      </c>
      <c r="H153" s="56">
        <v>-1.2466324963305526E-2</v>
      </c>
      <c r="I153" s="56">
        <v>5.023126278076611E-2</v>
      </c>
      <c r="J153" s="56">
        <v>1.8882468908730292E-2</v>
      </c>
      <c r="K153" s="55">
        <v>110.907268843838</v>
      </c>
      <c r="L153" s="56">
        <v>2.6349547843757648E-2</v>
      </c>
      <c r="M153" s="55">
        <v>110.48207416971211</v>
      </c>
      <c r="N153" s="55">
        <v>73.229121554030371</v>
      </c>
      <c r="O153" s="58">
        <v>0</v>
      </c>
      <c r="P153" s="98">
        <v>0</v>
      </c>
      <c r="Q153" s="106">
        <v>0</v>
      </c>
    </row>
    <row r="154" spans="1:17" x14ac:dyDescent="0.2">
      <c r="A154" s="28">
        <v>2006.01</v>
      </c>
      <c r="B154" s="28"/>
      <c r="C154" s="55">
        <v>114.22855480176234</v>
      </c>
      <c r="D154" s="56">
        <v>5.7471342402687043E-3</v>
      </c>
      <c r="E154" s="56">
        <v>9.0916444633603197E-2</v>
      </c>
      <c r="F154" s="56">
        <v>9.0916444633603197E-2</v>
      </c>
      <c r="G154" s="56">
        <v>8.6629579116560107E-2</v>
      </c>
      <c r="H154" s="56">
        <v>-1.2466324963305526E-2</v>
      </c>
      <c r="I154" s="56">
        <v>5.023126278076611E-2</v>
      </c>
      <c r="J154" s="56">
        <v>1.8882468908730292E-2</v>
      </c>
      <c r="K154" s="55">
        <v>111.52362095332801</v>
      </c>
      <c r="L154" s="56">
        <v>2.6523904019785549E-2</v>
      </c>
      <c r="M154" s="55">
        <v>110.94317784232814</v>
      </c>
      <c r="N154" s="55">
        <v>73.229121554030371</v>
      </c>
      <c r="O154" s="58">
        <v>0</v>
      </c>
      <c r="P154" s="98">
        <v>0</v>
      </c>
      <c r="Q154" s="106">
        <v>0</v>
      </c>
    </row>
    <row r="155" spans="1:17" x14ac:dyDescent="0.2">
      <c r="A155" s="28">
        <v>2006.02</v>
      </c>
      <c r="B155" s="28"/>
      <c r="C155" s="55">
        <v>114.93468501228756</v>
      </c>
      <c r="D155" s="56">
        <v>6.1627025864562169E-3</v>
      </c>
      <c r="E155" s="56">
        <v>8.6058886691249614E-2</v>
      </c>
      <c r="F155" s="56">
        <v>8.6058886691249614E-2</v>
      </c>
      <c r="G155" s="56">
        <v>8.3856158656931301E-2</v>
      </c>
      <c r="H155" s="56">
        <v>-1.2466324963305526E-2</v>
      </c>
      <c r="I155" s="56">
        <v>5.023126278076611E-2</v>
      </c>
      <c r="J155" s="56">
        <v>1.8882468908730292E-2</v>
      </c>
      <c r="K155" s="55">
        <v>112.13770382451</v>
      </c>
      <c r="L155" s="56">
        <v>2.7172643148959841E-2</v>
      </c>
      <c r="M155" s="55">
        <v>111.45251247309504</v>
      </c>
      <c r="N155" s="55">
        <v>74.908977675595992</v>
      </c>
      <c r="O155" s="58">
        <v>0</v>
      </c>
      <c r="P155" s="98">
        <v>0</v>
      </c>
      <c r="Q155" s="106">
        <v>0</v>
      </c>
    </row>
    <row r="156" spans="1:17" x14ac:dyDescent="0.2">
      <c r="A156" s="28">
        <v>2006.03</v>
      </c>
      <c r="B156" s="28"/>
      <c r="C156" s="55">
        <v>115.84033965032393</v>
      </c>
      <c r="D156" s="56">
        <v>7.8488500973489424E-3</v>
      </c>
      <c r="E156" s="56">
        <v>8.8245006167650103E-2</v>
      </c>
      <c r="F156" s="56">
        <v>8.8245006167650103E-2</v>
      </c>
      <c r="G156" s="56">
        <v>8.5250687505378897E-2</v>
      </c>
      <c r="H156" s="56">
        <v>-1.2466324963305526E-2</v>
      </c>
      <c r="I156" s="56">
        <v>5.023126278076611E-2</v>
      </c>
      <c r="J156" s="56">
        <v>1.8882468908730292E-2</v>
      </c>
      <c r="K156" s="55">
        <v>112.749001755465</v>
      </c>
      <c r="L156" s="56">
        <v>2.9608358210185592E-2</v>
      </c>
      <c r="M156" s="55">
        <v>112.15313281830063</v>
      </c>
      <c r="N156" s="55">
        <v>73.229121554030371</v>
      </c>
      <c r="O156" s="58">
        <v>0</v>
      </c>
      <c r="P156" s="98">
        <v>0</v>
      </c>
      <c r="Q156" s="106">
        <v>0</v>
      </c>
    </row>
    <row r="157" spans="1:17" x14ac:dyDescent="0.2">
      <c r="A157" s="28">
        <v>2006.04</v>
      </c>
      <c r="B157" s="28"/>
      <c r="C157" s="55">
        <v>116.85431758326531</v>
      </c>
      <c r="D157" s="56">
        <v>8.7151493974720589E-3</v>
      </c>
      <c r="E157" s="56">
        <v>8.3462277849152181E-2</v>
      </c>
      <c r="F157" s="56">
        <v>8.3462277849152181E-2</v>
      </c>
      <c r="G157" s="56">
        <v>8.8028209318656181E-2</v>
      </c>
      <c r="H157" s="56">
        <v>-1.2466324963305526E-2</v>
      </c>
      <c r="I157" s="56">
        <v>5.023126278076611E-2</v>
      </c>
      <c r="J157" s="56">
        <v>1.8882468908730292E-2</v>
      </c>
      <c r="K157" s="55">
        <v>113.35702062600799</v>
      </c>
      <c r="L157" s="56">
        <v>3.3000582474323137E-2</v>
      </c>
      <c r="M157" s="55">
        <v>112.95596875428019</v>
      </c>
      <c r="N157" s="55">
        <v>71.54926543246475</v>
      </c>
      <c r="O157" s="58">
        <v>0</v>
      </c>
      <c r="P157" s="98">
        <v>0</v>
      </c>
      <c r="Q157" s="106">
        <v>0</v>
      </c>
    </row>
    <row r="158" spans="1:17" x14ac:dyDescent="0.2">
      <c r="A158" s="28">
        <v>2006.05</v>
      </c>
      <c r="B158" s="28"/>
      <c r="C158" s="55">
        <v>117.37156159162491</v>
      </c>
      <c r="D158" s="56">
        <v>4.4166327904447238E-3</v>
      </c>
      <c r="E158" s="56">
        <v>7.9981692618610906E-2</v>
      </c>
      <c r="F158" s="56">
        <v>7.9981692618610906E-2</v>
      </c>
      <c r="G158" s="56">
        <v>8.293023314611192E-2</v>
      </c>
      <c r="H158" s="56">
        <v>-1.2466324963305526E-2</v>
      </c>
      <c r="I158" s="56">
        <v>5.023126278076611E-2</v>
      </c>
      <c r="J158" s="56">
        <v>1.8882468908730292E-2</v>
      </c>
      <c r="K158" s="55">
        <v>113.961290170502</v>
      </c>
      <c r="L158" s="56">
        <v>3.2018542754963297E-2</v>
      </c>
      <c r="M158" s="55">
        <v>113.27658241213088</v>
      </c>
      <c r="N158" s="55">
        <v>68.189553189333523</v>
      </c>
      <c r="O158" s="58">
        <v>0</v>
      </c>
      <c r="P158" s="98">
        <v>0</v>
      </c>
      <c r="Q158" s="106">
        <v>0</v>
      </c>
    </row>
    <row r="159" spans="1:17" x14ac:dyDescent="0.2">
      <c r="A159" s="28">
        <v>2006.06</v>
      </c>
      <c r="B159" s="28"/>
      <c r="C159" s="55">
        <v>117.97048496738189</v>
      </c>
      <c r="D159" s="56">
        <v>5.089822898237009E-3</v>
      </c>
      <c r="E159" s="56">
        <v>8.0256670130237337E-2</v>
      </c>
      <c r="F159" s="56">
        <v>8.0256670130237337E-2</v>
      </c>
      <c r="G159" s="56">
        <v>7.9784071281719049E-2</v>
      </c>
      <c r="H159" s="56">
        <v>-1.2466324963305526E-2</v>
      </c>
      <c r="I159" s="56">
        <v>5.023126278076611E-2</v>
      </c>
      <c r="J159" s="56">
        <v>1.8882468908730292E-2</v>
      </c>
      <c r="K159" s="55">
        <v>114.56136711248401</v>
      </c>
      <c r="L159" s="56">
        <v>3.1795196230550937E-2</v>
      </c>
      <c r="M159" s="55">
        <v>113.67460496572824</v>
      </c>
      <c r="N159" s="55">
        <v>66.509697067767917</v>
      </c>
      <c r="O159" s="58">
        <v>0</v>
      </c>
      <c r="P159" s="98">
        <v>0</v>
      </c>
      <c r="Q159" s="106">
        <v>0</v>
      </c>
    </row>
    <row r="160" spans="1:17" x14ac:dyDescent="0.2">
      <c r="A160" s="28">
        <v>2006.07</v>
      </c>
      <c r="B160" s="28"/>
      <c r="C160" s="55">
        <v>118.70076540006944</v>
      </c>
      <c r="D160" s="56">
        <v>6.1712840006070031E-3</v>
      </c>
      <c r="E160" s="56">
        <v>7.9820972319734201E-2</v>
      </c>
      <c r="F160" s="56">
        <v>7.9820972319734201E-2</v>
      </c>
      <c r="G160" s="56">
        <v>7.8775985579965013E-2</v>
      </c>
      <c r="H160" s="56">
        <v>-1.2466324963305526E-2</v>
      </c>
      <c r="I160" s="56">
        <v>5.023126278076611E-2</v>
      </c>
      <c r="J160" s="56">
        <v>1.8882468908730292E-2</v>
      </c>
      <c r="K160" s="55">
        <v>115.156834493508</v>
      </c>
      <c r="L160" s="56">
        <v>3.2754768424283487E-2</v>
      </c>
      <c r="M160" s="55">
        <v>114.19745941452955</v>
      </c>
      <c r="N160" s="55">
        <v>68.189553189333523</v>
      </c>
      <c r="O160" s="58">
        <v>0</v>
      </c>
      <c r="P160" s="98">
        <v>0</v>
      </c>
      <c r="Q160" s="106">
        <v>0</v>
      </c>
    </row>
    <row r="161" spans="1:17" x14ac:dyDescent="0.2">
      <c r="A161" s="28">
        <v>2006.08</v>
      </c>
      <c r="B161" s="28"/>
      <c r="C161" s="55">
        <v>119.41953416988045</v>
      </c>
      <c r="D161" s="56">
        <v>6.0370405557181326E-3</v>
      </c>
      <c r="E161" s="56">
        <v>7.9181383561298516E-2</v>
      </c>
      <c r="F161" s="56">
        <v>7.9181383561298516E-2</v>
      </c>
      <c r="G161" s="56">
        <v>7.7577469366104657E-2</v>
      </c>
      <c r="H161" s="56">
        <v>-1.2466324963305526E-2</v>
      </c>
      <c r="I161" s="56">
        <v>5.023126278076611E-2</v>
      </c>
      <c r="J161" s="56">
        <v>1.8882468908730292E-2</v>
      </c>
      <c r="K161" s="55">
        <v>115.74730166243801</v>
      </c>
      <c r="L161" s="56">
        <v>3.3646065922426693E-2</v>
      </c>
      <c r="M161" s="55">
        <v>114.70731903034516</v>
      </c>
      <c r="N161" s="55">
        <v>68.189553189333523</v>
      </c>
      <c r="O161" s="58">
        <v>0</v>
      </c>
      <c r="P161" s="98">
        <v>0</v>
      </c>
      <c r="Q161" s="106">
        <v>0</v>
      </c>
    </row>
    <row r="162" spans="1:17" x14ac:dyDescent="0.2">
      <c r="A162" s="28">
        <v>2006.09</v>
      </c>
      <c r="B162" s="28"/>
      <c r="C162" s="55">
        <v>119.74044635208409</v>
      </c>
      <c r="D162" s="56">
        <v>2.6836628277461644E-3</v>
      </c>
      <c r="E162" s="56">
        <v>7.2352754551001208E-2</v>
      </c>
      <c r="F162" s="56">
        <v>7.2352754551001208E-2</v>
      </c>
      <c r="G162" s="56">
        <v>6.9845595091294843E-2</v>
      </c>
      <c r="H162" s="56">
        <v>-1.2466324963305526E-2</v>
      </c>
      <c r="I162" s="56">
        <v>5.023126278076611E-2</v>
      </c>
      <c r="J162" s="56">
        <v>1.8882468908730292E-2</v>
      </c>
      <c r="K162" s="55">
        <v>116.332405314241</v>
      </c>
      <c r="L162" s="56">
        <v>3.1146745772926199E-2</v>
      </c>
      <c r="M162" s="55">
        <v>114.83372777802424</v>
      </c>
      <c r="N162" s="55">
        <v>64.82984094620231</v>
      </c>
      <c r="O162" s="58">
        <v>0</v>
      </c>
      <c r="P162" s="98">
        <v>0</v>
      </c>
      <c r="Q162" s="106">
        <v>0</v>
      </c>
    </row>
    <row r="163" spans="1:17" x14ac:dyDescent="0.2">
      <c r="A163" s="28">
        <v>2006.1</v>
      </c>
      <c r="B163" s="28"/>
      <c r="C163" s="55">
        <v>119.91890107487058</v>
      </c>
      <c r="D163" s="56">
        <v>1.4892367661366701E-3</v>
      </c>
      <c r="E163" s="56">
        <v>6.5795784171846214E-2</v>
      </c>
      <c r="F163" s="56">
        <v>6.5795784171846214E-2</v>
      </c>
      <c r="G163" s="56">
        <v>6.0944077589252021E-2</v>
      </c>
      <c r="H163" s="56">
        <v>-1.2466324963305526E-2</v>
      </c>
      <c r="I163" s="56">
        <v>5.023126278076611E-2</v>
      </c>
      <c r="J163" s="56">
        <v>1.8882468908730292E-2</v>
      </c>
      <c r="K163" s="55">
        <v>116.911810479455</v>
      </c>
      <c r="L163" s="56">
        <v>2.7499571817890311E-2</v>
      </c>
      <c r="M163" s="55">
        <v>114.82304625166259</v>
      </c>
      <c r="N163" s="55">
        <v>63.149984824636689</v>
      </c>
      <c r="O163" s="58">
        <v>0</v>
      </c>
      <c r="P163" s="98">
        <v>0</v>
      </c>
      <c r="Q163" s="106">
        <v>0</v>
      </c>
    </row>
    <row r="164" spans="1:17" x14ac:dyDescent="0.2">
      <c r="A164" s="28">
        <v>2006.11</v>
      </c>
      <c r="B164" s="28"/>
      <c r="C164" s="55">
        <v>120.03367610509453</v>
      </c>
      <c r="D164" s="56">
        <v>9.5664768702310445E-4</v>
      </c>
      <c r="E164" s="56">
        <v>6.2798818737356807E-2</v>
      </c>
      <c r="F164" s="56">
        <v>6.2798818737356807E-2</v>
      </c>
      <c r="G164" s="56">
        <v>5.2151656134635793E-2</v>
      </c>
      <c r="H164" s="56">
        <v>-1.2466324963305526E-2</v>
      </c>
      <c r="I164" s="56">
        <v>5.023126278076611E-2</v>
      </c>
      <c r="J164" s="56">
        <v>1.8882468908730292E-2</v>
      </c>
      <c r="K164" s="55">
        <v>117.485208485737</v>
      </c>
      <c r="L164" s="56">
        <v>2.3395868526661534E-2</v>
      </c>
      <c r="M164" s="55">
        <v>114.75123418717696</v>
      </c>
      <c r="N164" s="55">
        <v>63.149984824636689</v>
      </c>
      <c r="O164" s="58">
        <v>0</v>
      </c>
      <c r="P164" s="98">
        <v>0</v>
      </c>
      <c r="Q164" s="106">
        <v>0</v>
      </c>
    </row>
    <row r="165" spans="1:17" x14ac:dyDescent="0.2">
      <c r="A165" s="28">
        <v>2006.12</v>
      </c>
      <c r="B165" s="28"/>
      <c r="C165" s="55">
        <v>120.68165659491585</v>
      </c>
      <c r="D165" s="56">
        <v>5.3838037462242104E-3</v>
      </c>
      <c r="E165" s="56">
        <v>6.0701967593682855E-2</v>
      </c>
      <c r="F165" s="56">
        <v>6.0701967593682855E-2</v>
      </c>
      <c r="G165" s="56">
        <v>5.2508021546428862E-2</v>
      </c>
      <c r="H165" s="56">
        <v>-1.2466324963305526E-2</v>
      </c>
      <c r="I165" s="56">
        <v>5.023126278076611E-2</v>
      </c>
      <c r="J165" s="56">
        <v>1.8882468908730292E-2</v>
      </c>
      <c r="K165" s="55">
        <v>118.052313864187</v>
      </c>
      <c r="L165" s="56">
        <v>2.3908729784119398E-2</v>
      </c>
      <c r="M165" s="55">
        <v>115.18829643489426</v>
      </c>
      <c r="N165" s="55">
        <v>63.149984824636689</v>
      </c>
      <c r="O165" s="58">
        <v>0</v>
      </c>
      <c r="P165" s="98">
        <v>0</v>
      </c>
      <c r="Q165" s="106">
        <v>0</v>
      </c>
    </row>
    <row r="166" spans="1:17" x14ac:dyDescent="0.2">
      <c r="A166" s="28">
        <v>2007.01</v>
      </c>
      <c r="B166" s="28"/>
      <c r="C166" s="55">
        <v>121.56734759678992</v>
      </c>
      <c r="D166" s="56">
        <v>7.312269053604911E-3</v>
      </c>
      <c r="E166" s="56">
        <v>6.2267102407018993E-2</v>
      </c>
      <c r="F166" s="56">
        <v>6.2267102407018993E-2</v>
      </c>
      <c r="G166" s="56">
        <v>5.6945608337274134E-2</v>
      </c>
      <c r="H166" s="56">
        <v>-1.2466324963305526E-2</v>
      </c>
      <c r="I166" s="56">
        <v>5.023126278076611E-2</v>
      </c>
      <c r="J166" s="56">
        <v>1.8882468908730292E-2</v>
      </c>
      <c r="K166" s="55">
        <v>118.612860810877</v>
      </c>
      <c r="L166" s="56">
        <v>2.6478623264555523E-2</v>
      </c>
      <c r="M166" s="55">
        <v>115.85022120533995</v>
      </c>
      <c r="N166" s="55">
        <v>61.470128703071069</v>
      </c>
      <c r="O166" s="58">
        <v>0</v>
      </c>
      <c r="P166" s="98">
        <v>0</v>
      </c>
      <c r="Q166" s="106">
        <v>0</v>
      </c>
    </row>
    <row r="167" spans="1:17" x14ac:dyDescent="0.2">
      <c r="A167" s="28">
        <v>2007.02</v>
      </c>
      <c r="B167" s="28"/>
      <c r="C167" s="55">
        <v>122.68265975497111</v>
      </c>
      <c r="D167" s="56">
        <v>9.1326090189739334E-3</v>
      </c>
      <c r="E167" s="56">
        <v>6.5237008839536662E-2</v>
      </c>
      <c r="F167" s="56">
        <v>6.5237008839536662E-2</v>
      </c>
      <c r="G167" s="56">
        <v>6.4705173181658804E-2</v>
      </c>
      <c r="H167" s="56">
        <v>-1.2466324963305526E-2</v>
      </c>
      <c r="I167" s="56">
        <v>5.023126278076611E-2</v>
      </c>
      <c r="J167" s="56">
        <v>1.8882468908730292E-2</v>
      </c>
      <c r="K167" s="55">
        <v>119.166603811727</v>
      </c>
      <c r="L167" s="56">
        <v>3.1010950335292664E-2</v>
      </c>
      <c r="M167" s="55">
        <v>116.72824150188468</v>
      </c>
      <c r="N167" s="55">
        <v>63.149984824636689</v>
      </c>
      <c r="O167" s="58">
        <v>0</v>
      </c>
      <c r="P167" s="98">
        <v>0</v>
      </c>
      <c r="Q167" s="106">
        <v>0</v>
      </c>
    </row>
    <row r="168" spans="1:17" x14ac:dyDescent="0.2">
      <c r="A168" s="28">
        <v>2007.03</v>
      </c>
      <c r="B168" s="28"/>
      <c r="C168" s="55">
        <v>122.98746657779081</v>
      </c>
      <c r="D168" s="56">
        <v>2.4814329993959046E-3</v>
      </c>
      <c r="E168" s="56">
        <v>5.9869591741583565E-2</v>
      </c>
      <c r="F168" s="56">
        <v>5.9869591741583565E-2</v>
      </c>
      <c r="G168" s="56">
        <v>5.8925345322215161E-2</v>
      </c>
      <c r="H168" s="56">
        <v>-1.2466324963305526E-2</v>
      </c>
      <c r="I168" s="56">
        <v>5.023126278076611E-2</v>
      </c>
      <c r="J168" s="56">
        <v>1.8882468908730292E-2</v>
      </c>
      <c r="K168" s="55">
        <v>119.713320150925</v>
      </c>
      <c r="L168" s="56">
        <v>2.87804780593377E-2</v>
      </c>
      <c r="M168" s="55">
        <v>116.83324777185308</v>
      </c>
      <c r="N168" s="55">
        <v>64.82984094620231</v>
      </c>
      <c r="O168" s="58">
        <v>0</v>
      </c>
      <c r="P168" s="98">
        <v>0</v>
      </c>
      <c r="Q168" s="106">
        <v>0</v>
      </c>
    </row>
    <row r="169" spans="1:17" x14ac:dyDescent="0.2">
      <c r="A169" s="28">
        <v>2007.04</v>
      </c>
      <c r="B169" s="28"/>
      <c r="C169" s="55">
        <v>123.39797068603215</v>
      </c>
      <c r="D169" s="56">
        <v>3.3322138892718659E-3</v>
      </c>
      <c r="E169" s="56">
        <v>5.4486656233383515E-2</v>
      </c>
      <c r="F169" s="56">
        <v>5.4486656233383515E-2</v>
      </c>
      <c r="G169" s="56">
        <v>5.5703412013658804E-2</v>
      </c>
      <c r="H169" s="56">
        <v>-1.2466324963305526E-2</v>
      </c>
      <c r="I169" s="56">
        <v>5.023126278076611E-2</v>
      </c>
      <c r="J169" s="56">
        <v>1.8882468908730292E-2</v>
      </c>
      <c r="K169" s="55">
        <v>120.25281424355001</v>
      </c>
      <c r="L169" s="56">
        <v>2.7511451685381605E-2</v>
      </c>
      <c r="M169" s="55">
        <v>117.03787974909005</v>
      </c>
      <c r="N169" s="55">
        <v>64.82984094620231</v>
      </c>
      <c r="O169" s="58">
        <v>0</v>
      </c>
      <c r="P169" s="98">
        <v>0</v>
      </c>
      <c r="Q169" s="106">
        <v>0</v>
      </c>
    </row>
    <row r="170" spans="1:17" x14ac:dyDescent="0.2">
      <c r="A170" s="28">
        <v>2007.05</v>
      </c>
      <c r="B170" s="28"/>
      <c r="C170" s="55">
        <v>124.13769619569696</v>
      </c>
      <c r="D170" s="56">
        <v>5.9767363708288276E-3</v>
      </c>
      <c r="E170" s="56">
        <v>5.6046759813767479E-2</v>
      </c>
      <c r="F170" s="56">
        <v>5.6046759813767479E-2</v>
      </c>
      <c r="G170" s="56">
        <v>5.8506483336978832E-2</v>
      </c>
      <c r="H170" s="56">
        <v>-1.2466324963305526E-2</v>
      </c>
      <c r="I170" s="56">
        <v>5.023126278076611E-2</v>
      </c>
      <c r="J170" s="56">
        <v>1.8882468908730292E-2</v>
      </c>
      <c r="K170" s="55">
        <v>120.784915769815</v>
      </c>
      <c r="L170" s="56">
        <v>2.9045215196366048E-2</v>
      </c>
      <c r="M170" s="55">
        <v>117.55333187314969</v>
      </c>
      <c r="N170" s="55">
        <v>66.509697067767917</v>
      </c>
      <c r="O170" s="58">
        <v>0</v>
      </c>
      <c r="P170" s="98">
        <v>0</v>
      </c>
      <c r="Q170" s="106">
        <v>0</v>
      </c>
    </row>
    <row r="171" spans="1:17" x14ac:dyDescent="0.2">
      <c r="A171" s="28">
        <v>2007.06</v>
      </c>
      <c r="B171" s="28"/>
      <c r="C171" s="55">
        <v>124.69865698287065</v>
      </c>
      <c r="D171" s="56">
        <v>4.5086799439427727E-3</v>
      </c>
      <c r="E171" s="56">
        <v>5.5465616859473321E-2</v>
      </c>
      <c r="F171" s="56">
        <v>5.5465616859473321E-2</v>
      </c>
      <c r="G171" s="56">
        <v>5.8184994344451679E-2</v>
      </c>
      <c r="H171" s="56">
        <v>-1.2466324963305526E-2</v>
      </c>
      <c r="I171" s="56">
        <v>5.023126278076611E-2</v>
      </c>
      <c r="J171" s="56">
        <v>1.8882468908730292E-2</v>
      </c>
      <c r="K171" s="55">
        <v>121.30947867989499</v>
      </c>
      <c r="L171" s="56">
        <v>2.9153641812249775E-2</v>
      </c>
      <c r="M171" s="55">
        <v>117.89784632524538</v>
      </c>
      <c r="N171" s="55">
        <v>66.509697067767917</v>
      </c>
      <c r="O171" s="58">
        <v>0</v>
      </c>
      <c r="P171" s="98">
        <v>0</v>
      </c>
      <c r="Q171" s="106">
        <v>0</v>
      </c>
    </row>
    <row r="172" spans="1:17" x14ac:dyDescent="0.2">
      <c r="A172" s="28">
        <v>2007.07</v>
      </c>
      <c r="B172" s="28"/>
      <c r="C172" s="55">
        <v>125.07881313235671</v>
      </c>
      <c r="D172" s="56">
        <v>3.043961033355171E-3</v>
      </c>
      <c r="E172" s="56">
        <v>5.2338293892221471E-2</v>
      </c>
      <c r="F172" s="56">
        <v>5.2338293892221471E-2</v>
      </c>
      <c r="G172" s="56">
        <v>5.5099957889082285E-2</v>
      </c>
      <c r="H172" s="56">
        <v>-1.2466324963305526E-2</v>
      </c>
      <c r="I172" s="56">
        <v>5.023126278076611E-2</v>
      </c>
      <c r="J172" s="56">
        <v>1.8882468908730292E-2</v>
      </c>
      <c r="K172" s="55">
        <v>121.826382794441</v>
      </c>
      <c r="L172" s="56">
        <v>2.7839991276531917E-2</v>
      </c>
      <c r="M172" s="55">
        <v>118.07030392558879</v>
      </c>
      <c r="N172" s="55">
        <v>66.509697067767917</v>
      </c>
      <c r="O172" s="58">
        <v>0</v>
      </c>
      <c r="P172" s="98">
        <v>0</v>
      </c>
      <c r="Q172" s="106">
        <v>0</v>
      </c>
    </row>
    <row r="173" spans="1:17" x14ac:dyDescent="0.2">
      <c r="A173" s="28">
        <v>2007.08</v>
      </c>
      <c r="B173" s="28"/>
      <c r="C173" s="55">
        <v>125.76451621089201</v>
      </c>
      <c r="D173" s="56">
        <v>5.467195705900648E-3</v>
      </c>
      <c r="E173" s="56">
        <v>5.1768449042403977E-2</v>
      </c>
      <c r="F173" s="56">
        <v>5.1768449042403977E-2</v>
      </c>
      <c r="G173" s="56">
        <v>5.7248934525933493E-2</v>
      </c>
      <c r="H173" s="56">
        <v>-1.2466324963305526E-2</v>
      </c>
      <c r="I173" s="56">
        <v>5.023126278076611E-2</v>
      </c>
      <c r="J173" s="56">
        <v>1.8882468908730292E-2</v>
      </c>
      <c r="K173" s="55">
        <v>122.335534084985</v>
      </c>
      <c r="L173" s="56">
        <v>2.9103107150558971E-2</v>
      </c>
      <c r="M173" s="55">
        <v>118.52989180878652</v>
      </c>
      <c r="N173" s="55">
        <v>64.82984094620231</v>
      </c>
      <c r="O173" s="58">
        <v>0</v>
      </c>
      <c r="P173" s="98">
        <v>0</v>
      </c>
      <c r="Q173" s="106">
        <v>0</v>
      </c>
    </row>
    <row r="174" spans="1:17" x14ac:dyDescent="0.2">
      <c r="A174" s="28">
        <v>2007.09</v>
      </c>
      <c r="B174" s="28"/>
      <c r="C174" s="55">
        <v>126.55313322495684</v>
      </c>
      <c r="D174" s="56">
        <v>6.2510060930389454E-3</v>
      </c>
      <c r="E174" s="56">
        <v>5.5335792307696738E-2</v>
      </c>
      <c r="F174" s="56">
        <v>5.5335792307696738E-2</v>
      </c>
      <c r="G174" s="56">
        <v>6.1017586525599521E-2</v>
      </c>
      <c r="H174" s="56">
        <v>-1.2466324963305526E-2</v>
      </c>
      <c r="I174" s="56">
        <v>5.023126278076611E-2</v>
      </c>
      <c r="J174" s="56">
        <v>1.8882468908730292E-2</v>
      </c>
      <c r="K174" s="55">
        <v>122.836863620042</v>
      </c>
      <c r="L174" s="56">
        <v>3.1260297044755081E-2</v>
      </c>
      <c r="M174" s="55">
        <v>119.08457178835195</v>
      </c>
      <c r="N174" s="55">
        <v>64.82984094620231</v>
      </c>
      <c r="O174" s="58">
        <v>0</v>
      </c>
      <c r="P174" s="98">
        <v>0</v>
      </c>
      <c r="Q174" s="106">
        <v>0</v>
      </c>
    </row>
    <row r="175" spans="1:17" x14ac:dyDescent="0.2">
      <c r="A175" s="28">
        <v>2007.1</v>
      </c>
      <c r="B175" s="28"/>
      <c r="C175" s="55">
        <v>127.73814637583908</v>
      </c>
      <c r="D175" s="56">
        <v>9.3201916388175737E-3</v>
      </c>
      <c r="E175" s="56">
        <v>6.3166747180377403E-2</v>
      </c>
      <c r="F175" s="56">
        <v>6.3166747180377403E-2</v>
      </c>
      <c r="G175" s="56">
        <v>7.0261207263583536E-2</v>
      </c>
      <c r="H175" s="56">
        <v>-1.2466324963305526E-2</v>
      </c>
      <c r="I175" s="56">
        <v>5.023126278076611E-2</v>
      </c>
      <c r="J175" s="56">
        <v>1.8882468908730292E-2</v>
      </c>
      <c r="K175" s="55">
        <v>123.330328928854</v>
      </c>
      <c r="L175" s="56">
        <v>3.6683328604047993E-2</v>
      </c>
      <c r="M175" s="55">
        <v>120.00961459646329</v>
      </c>
      <c r="N175" s="55">
        <v>68.189553189333523</v>
      </c>
      <c r="O175" s="58">
        <v>0</v>
      </c>
      <c r="P175" s="98">
        <v>0</v>
      </c>
      <c r="Q175" s="106">
        <v>0</v>
      </c>
    </row>
    <row r="176" spans="1:17" x14ac:dyDescent="0.2">
      <c r="A176" s="28">
        <v>2007.11</v>
      </c>
      <c r="B176" s="28"/>
      <c r="C176" s="55">
        <v>129.74134091555419</v>
      </c>
      <c r="D176" s="56">
        <v>1.5560346023235829E-2</v>
      </c>
      <c r="E176" s="56">
        <v>7.7770445516590278E-2</v>
      </c>
      <c r="F176" s="56">
        <v>7.7770445516590278E-2</v>
      </c>
      <c r="G176" s="56">
        <v>9.0771308861447464E-2</v>
      </c>
      <c r="H176" s="56">
        <v>-1.2466324963305526E-2</v>
      </c>
      <c r="I176" s="56">
        <v>5.023126278076611E-2</v>
      </c>
      <c r="J176" s="56">
        <v>1.8882468908730292E-2</v>
      </c>
      <c r="K176" s="55">
        <v>123.815916218193</v>
      </c>
      <c r="L176" s="56">
        <v>4.8743373495722331E-2</v>
      </c>
      <c r="M176" s="55">
        <v>121.69889847641664</v>
      </c>
      <c r="N176" s="55">
        <v>71.54926543246475</v>
      </c>
      <c r="O176" s="58">
        <v>0</v>
      </c>
      <c r="P176" s="98">
        <v>0</v>
      </c>
      <c r="Q176" s="106">
        <v>0</v>
      </c>
    </row>
    <row r="177" spans="1:17" x14ac:dyDescent="0.2">
      <c r="A177" s="28">
        <v>2007.12</v>
      </c>
      <c r="B177" s="28"/>
      <c r="C177" s="55">
        <v>130.93135803693562</v>
      </c>
      <c r="D177" s="56">
        <v>9.130418285108759E-3</v>
      </c>
      <c r="E177" s="56">
        <v>8.1517060055474988E-2</v>
      </c>
      <c r="F177" s="56">
        <v>8.1517060055474988E-2</v>
      </c>
      <c r="G177" s="56">
        <v>9.6051874200420384E-2</v>
      </c>
      <c r="H177" s="56">
        <v>-1.2466324963305526E-2</v>
      </c>
      <c r="I177" s="56">
        <v>5.023126278076611E-2</v>
      </c>
      <c r="J177" s="56">
        <v>1.8882468908730292E-2</v>
      </c>
      <c r="K177" s="55">
        <v>124.293645709475</v>
      </c>
      <c r="L177" s="56">
        <v>5.4228470818540764E-2</v>
      </c>
      <c r="M177" s="55">
        <v>122.6209768371441</v>
      </c>
      <c r="N177" s="55">
        <v>74.908977675595992</v>
      </c>
      <c r="O177" s="58">
        <v>0</v>
      </c>
      <c r="P177" s="98">
        <v>0</v>
      </c>
      <c r="Q177" s="106">
        <v>0</v>
      </c>
    </row>
    <row r="178" spans="1:17" x14ac:dyDescent="0.2">
      <c r="A178" s="28">
        <f t="shared" ref="A178:A241" si="0">A166+1</f>
        <v>2008.01</v>
      </c>
      <c r="B178" s="28"/>
      <c r="C178" s="55">
        <v>131.38586793090062</v>
      </c>
      <c r="D178" s="56">
        <v>3.465348850996672E-3</v>
      </c>
      <c r="E178" s="56">
        <v>7.7670139852866998E-2</v>
      </c>
      <c r="F178" s="56">
        <v>7.7670139852866998E-2</v>
      </c>
      <c r="G178" s="56">
        <v>8.9259726934866501E-2</v>
      </c>
      <c r="H178" s="56">
        <v>-1.2466324963305526E-2</v>
      </c>
      <c r="I178" s="56">
        <v>5.023126278076611E-2</v>
      </c>
      <c r="J178" s="56">
        <v>1.8882468908730292E-2</v>
      </c>
      <c r="K178" s="55">
        <v>124.763583352094</v>
      </c>
      <c r="L178" s="56">
        <v>5.3839112036732306E-2</v>
      </c>
      <c r="M178" s="55">
        <v>122.85210077070992</v>
      </c>
      <c r="N178" s="55">
        <v>73.229121554030371</v>
      </c>
      <c r="O178" s="58">
        <v>0</v>
      </c>
      <c r="P178" s="98">
        <v>0</v>
      </c>
      <c r="Q178" s="106">
        <v>0</v>
      </c>
    </row>
    <row r="179" spans="1:17" x14ac:dyDescent="0.2">
      <c r="A179" s="28">
        <f t="shared" si="0"/>
        <v>2008.02</v>
      </c>
      <c r="B179" s="28"/>
      <c r="C179" s="55">
        <v>131.17287631867796</v>
      </c>
      <c r="D179" s="56">
        <v>-1.622430512093964E-3</v>
      </c>
      <c r="E179" s="56">
        <v>6.6915100321799037E-2</v>
      </c>
      <c r="F179" s="56">
        <v>6.6915100321799037E-2</v>
      </c>
      <c r="G179" s="56">
        <v>7.3044795387578132E-2</v>
      </c>
      <c r="H179" s="56">
        <v>-1.2466324963305526E-2</v>
      </c>
      <c r="I179" s="56">
        <v>5.023126278076611E-2</v>
      </c>
      <c r="J179" s="56">
        <v>1.8882468908730292E-2</v>
      </c>
      <c r="K179" s="55">
        <v>125.225846320643</v>
      </c>
      <c r="L179" s="56">
        <v>4.8185101580992873E-2</v>
      </c>
      <c r="M179" s="55">
        <v>122.45902817729406</v>
      </c>
      <c r="N179" s="55">
        <v>69.869409310899144</v>
      </c>
      <c r="O179" s="58">
        <v>0</v>
      </c>
      <c r="P179" s="98">
        <v>1</v>
      </c>
      <c r="Q179" s="106">
        <v>0</v>
      </c>
    </row>
    <row r="180" spans="1:17" x14ac:dyDescent="0.2">
      <c r="A180" s="28">
        <f t="shared" si="0"/>
        <v>2008.03</v>
      </c>
      <c r="B180" s="28"/>
      <c r="C180" s="55">
        <v>131.54182562449881</v>
      </c>
      <c r="D180" s="56">
        <v>2.808746869871336E-3</v>
      </c>
      <c r="E180" s="56">
        <v>6.7242414192274655E-2</v>
      </c>
      <c r="F180" s="56">
        <v>6.7242414192274655E-2</v>
      </c>
      <c r="G180" s="56">
        <v>6.7552983007850953E-2</v>
      </c>
      <c r="H180" s="56">
        <v>-1.2466324963305526E-2</v>
      </c>
      <c r="I180" s="56">
        <v>5.023126278076611E-2</v>
      </c>
      <c r="J180" s="56">
        <v>1.8882468908730292E-2</v>
      </c>
      <c r="K180" s="55">
        <v>125.680602897353</v>
      </c>
      <c r="L180" s="56">
        <v>4.7270657707817465E-2</v>
      </c>
      <c r="M180" s="55">
        <v>122.60931490467229</v>
      </c>
      <c r="N180" s="55">
        <v>68.189553189333523</v>
      </c>
      <c r="O180" s="58">
        <v>0</v>
      </c>
      <c r="P180" s="98">
        <v>1</v>
      </c>
      <c r="Q180" s="106">
        <v>0</v>
      </c>
    </row>
    <row r="181" spans="1:17" x14ac:dyDescent="0.2">
      <c r="A181" s="28">
        <f t="shared" si="0"/>
        <v>2008.04</v>
      </c>
      <c r="B181" s="28"/>
      <c r="C181" s="55">
        <v>131.35783486379319</v>
      </c>
      <c r="D181" s="56">
        <v>-1.3997035249340849E-3</v>
      </c>
      <c r="E181" s="56">
        <v>6.2510496778068636E-2</v>
      </c>
      <c r="F181" s="56">
        <v>6.2510496778068636E-2</v>
      </c>
      <c r="G181" s="56">
        <v>5.3848368865475171E-2</v>
      </c>
      <c r="H181" s="56">
        <v>-1.2466324963305526E-2</v>
      </c>
      <c r="I181" s="56">
        <v>5.023126278076611E-2</v>
      </c>
      <c r="J181" s="56">
        <v>1.8882468908730292E-2</v>
      </c>
      <c r="K181" s="55">
        <v>126.128067263772</v>
      </c>
      <c r="L181" s="56">
        <v>4.2039155166342823E-2</v>
      </c>
      <c r="M181" s="55">
        <v>122.24424317915739</v>
      </c>
      <c r="N181" s="55">
        <v>61.470128703071069</v>
      </c>
      <c r="O181" s="58">
        <v>0</v>
      </c>
      <c r="P181" s="98">
        <v>1</v>
      </c>
      <c r="Q181" s="106">
        <v>0</v>
      </c>
    </row>
    <row r="182" spans="1:17" x14ac:dyDescent="0.2">
      <c r="A182" s="28">
        <f t="shared" si="0"/>
        <v>2008.05</v>
      </c>
      <c r="B182" s="28"/>
      <c r="C182" s="55">
        <v>131.32863409913944</v>
      </c>
      <c r="D182" s="56">
        <v>-2.2232408764192487E-4</v>
      </c>
      <c r="E182" s="56">
        <v>5.6311436319598028E-2</v>
      </c>
      <c r="F182" s="56">
        <v>5.6311436319598028E-2</v>
      </c>
      <c r="G182" s="56">
        <v>4.3386556869445148E-2</v>
      </c>
      <c r="H182" s="56">
        <v>-1.2466324963305526E-2</v>
      </c>
      <c r="I182" s="56">
        <v>5.023126278076611E-2</v>
      </c>
      <c r="J182" s="56">
        <v>1.8882468908730292E-2</v>
      </c>
      <c r="K182" s="55">
        <v>126.56849883646601</v>
      </c>
      <c r="L182" s="56">
        <v>3.8128683917881601E-2</v>
      </c>
      <c r="M182" s="55">
        <v>122.02384228197749</v>
      </c>
      <c r="N182" s="55">
        <v>51.390991973677401</v>
      </c>
      <c r="O182" s="58">
        <v>0</v>
      </c>
      <c r="P182" s="98">
        <v>1</v>
      </c>
      <c r="Q182" s="106">
        <v>0</v>
      </c>
    </row>
    <row r="183" spans="1:17" x14ac:dyDescent="0.2">
      <c r="A183" s="28">
        <f t="shared" si="0"/>
        <v>2008.06</v>
      </c>
      <c r="B183" s="28"/>
      <c r="C183" s="55">
        <v>131.31795322803578</v>
      </c>
      <c r="D183" s="56">
        <v>-8.1332647176092894E-5</v>
      </c>
      <c r="E183" s="56">
        <v>5.1721423728479092E-2</v>
      </c>
      <c r="F183" s="56">
        <v>5.1721423728479092E-2</v>
      </c>
      <c r="G183" s="56">
        <v>3.4296724658835487E-2</v>
      </c>
      <c r="H183" s="56">
        <v>-1.2466324963305526E-2</v>
      </c>
      <c r="I183" s="56">
        <v>5.023126278076611E-2</v>
      </c>
      <c r="J183" s="56">
        <v>1.8882468908730292E-2</v>
      </c>
      <c r="K183" s="55">
        <v>127.002197390723</v>
      </c>
      <c r="L183" s="56">
        <v>3.4448885388743244E-2</v>
      </c>
      <c r="M183" s="55">
        <v>121.82101326712879</v>
      </c>
      <c r="N183" s="55">
        <v>46.351423608980575</v>
      </c>
      <c r="O183" s="58">
        <v>0</v>
      </c>
      <c r="P183" s="98">
        <v>1</v>
      </c>
      <c r="Q183" s="106">
        <v>0</v>
      </c>
    </row>
    <row r="184" spans="1:17" x14ac:dyDescent="0.2">
      <c r="A184" s="28">
        <f t="shared" si="0"/>
        <v>2008.07</v>
      </c>
      <c r="B184" s="28"/>
      <c r="C184" s="55">
        <v>131.74537509076436</v>
      </c>
      <c r="D184" s="56">
        <v>3.2495767584360831E-3</v>
      </c>
      <c r="E184" s="56">
        <v>5.1927039453560114E-2</v>
      </c>
      <c r="F184" s="56">
        <v>5.1927039453560114E-2</v>
      </c>
      <c r="G184" s="56">
        <v>3.2352262254726538E-2</v>
      </c>
      <c r="H184" s="56">
        <v>-1.2466324963305526E-2</v>
      </c>
      <c r="I184" s="56">
        <v>5.023126278076611E-2</v>
      </c>
      <c r="J184" s="56">
        <v>1.8882468908730292E-2</v>
      </c>
      <c r="K184" s="55">
        <v>127.429499437159</v>
      </c>
      <c r="L184" s="56">
        <v>3.4288186136178567E-2</v>
      </c>
      <c r="M184" s="55">
        <v>122.02429709900056</v>
      </c>
      <c r="N184" s="55">
        <v>46.351423608980575</v>
      </c>
      <c r="O184" s="58">
        <v>0</v>
      </c>
      <c r="P184" s="98">
        <v>1</v>
      </c>
      <c r="Q184" s="106">
        <v>0</v>
      </c>
    </row>
    <row r="185" spans="1:17" x14ac:dyDescent="0.2">
      <c r="A185" s="28">
        <f t="shared" si="0"/>
        <v>2008.08</v>
      </c>
      <c r="B185" s="28"/>
      <c r="C185" s="55">
        <v>131.69432032376668</v>
      </c>
      <c r="D185" s="56">
        <v>-3.8760117420064876E-4</v>
      </c>
      <c r="E185" s="56">
        <v>4.6072242573458863E-2</v>
      </c>
      <c r="F185" s="56">
        <v>4.6072242573458863E-2</v>
      </c>
      <c r="G185" s="56">
        <v>2.3492693835785783E-2</v>
      </c>
      <c r="H185" s="56">
        <v>-1.2466324963305526E-2</v>
      </c>
      <c r="I185" s="56">
        <v>5.023126278076611E-2</v>
      </c>
      <c r="J185" s="56">
        <v>1.8882468908730292E-2</v>
      </c>
      <c r="K185" s="55">
        <v>127.85077479668099</v>
      </c>
      <c r="L185" s="56">
        <v>3.0436183469937594E-2</v>
      </c>
      <c r="M185" s="55">
        <v>121.7841629596614</v>
      </c>
      <c r="N185" s="55">
        <v>46.351423608980575</v>
      </c>
      <c r="O185" s="58">
        <v>1</v>
      </c>
      <c r="P185" s="98">
        <v>1</v>
      </c>
      <c r="Q185" s="106">
        <v>0</v>
      </c>
    </row>
    <row r="186" spans="1:17" x14ac:dyDescent="0.2">
      <c r="A186" s="28">
        <f t="shared" si="0"/>
        <v>2008.09</v>
      </c>
      <c r="B186" s="28"/>
      <c r="C186" s="55">
        <v>131.07922708401071</v>
      </c>
      <c r="D186" s="56">
        <v>-4.6815546636072552E-3</v>
      </c>
      <c r="E186" s="56">
        <v>3.51396818168127E-2</v>
      </c>
      <c r="F186" s="56">
        <v>3.51396818168127E-2</v>
      </c>
      <c r="G186" s="56">
        <v>7.6052689131493878E-3</v>
      </c>
      <c r="H186" s="56">
        <v>-1.2466324963305526E-2</v>
      </c>
      <c r="I186" s="56">
        <v>5.023126278076611E-2</v>
      </c>
      <c r="J186" s="56">
        <v>1.8882468908730292E-2</v>
      </c>
      <c r="K186" s="55">
        <v>128.26642660381199</v>
      </c>
      <c r="L186" s="56">
        <v>2.2258753981724055E-2</v>
      </c>
      <c r="M186" s="55">
        <v>121.02371386830197</v>
      </c>
      <c r="N186" s="55">
        <v>41.311855244283734</v>
      </c>
      <c r="O186" s="58">
        <v>1</v>
      </c>
      <c r="P186" s="98">
        <v>1</v>
      </c>
      <c r="Q186" s="106">
        <v>0</v>
      </c>
    </row>
    <row r="187" spans="1:17" x14ac:dyDescent="0.2">
      <c r="A187" s="28">
        <f t="shared" si="0"/>
        <v>2008.1</v>
      </c>
      <c r="B187" s="28"/>
      <c r="C187" s="55">
        <v>130.02712700376256</v>
      </c>
      <c r="D187" s="56">
        <v>-8.0588293452099145E-3</v>
      </c>
      <c r="E187" s="56">
        <v>1.7760660832785144E-2</v>
      </c>
      <c r="F187" s="56">
        <v>1.7760660832785144E-2</v>
      </c>
      <c r="G187" s="56">
        <v>-1.2548327151545746E-2</v>
      </c>
      <c r="H187" s="56">
        <v>-1.2466324963305526E-2</v>
      </c>
      <c r="I187" s="56">
        <v>5.023126278076611E-2</v>
      </c>
      <c r="J187" s="56">
        <v>1.8882468908730292E-2</v>
      </c>
      <c r="K187" s="55">
        <v>128.676887659839</v>
      </c>
      <c r="L187" s="56">
        <v>1.0781365185466685E-2</v>
      </c>
      <c r="M187" s="55">
        <v>119.86252020081665</v>
      </c>
      <c r="N187" s="55">
        <v>37.952143001152507</v>
      </c>
      <c r="O187" s="58">
        <v>1</v>
      </c>
      <c r="P187" s="98">
        <v>1</v>
      </c>
      <c r="Q187" s="106">
        <v>0</v>
      </c>
    </row>
    <row r="188" spans="1:17" x14ac:dyDescent="0.2">
      <c r="A188" s="28">
        <f t="shared" si="0"/>
        <v>2008.11</v>
      </c>
      <c r="B188" s="28"/>
      <c r="C188" s="55">
        <v>128.7378695787541</v>
      </c>
      <c r="D188" s="56">
        <v>-9.9647797057805191E-3</v>
      </c>
      <c r="E188" s="56">
        <v>-7.7644648962312077E-3</v>
      </c>
      <c r="F188" s="56">
        <v>-7.7644648962312077E-3</v>
      </c>
      <c r="G188" s="56">
        <v>-3.3150186331739606E-2</v>
      </c>
      <c r="H188" s="56">
        <v>-1.2466324963305526E-2</v>
      </c>
      <c r="I188" s="56">
        <v>5.023126278076611E-2</v>
      </c>
      <c r="J188" s="56">
        <v>1.8882468908730292E-2</v>
      </c>
      <c r="K188" s="55">
        <v>129.082612475768</v>
      </c>
      <c r="L188" s="56">
        <v>-2.4204582295453969E-3</v>
      </c>
      <c r="M188" s="55">
        <v>118.48642332189162</v>
      </c>
      <c r="N188" s="55">
        <v>34.59243075802128</v>
      </c>
      <c r="O188" s="58">
        <v>1</v>
      </c>
      <c r="P188" s="98">
        <v>1</v>
      </c>
      <c r="Q188" s="106">
        <v>0</v>
      </c>
    </row>
    <row r="189" spans="1:17" x14ac:dyDescent="0.2">
      <c r="A189" s="28">
        <f t="shared" si="0"/>
        <v>2008.12</v>
      </c>
      <c r="B189" s="28"/>
      <c r="C189" s="55">
        <v>127.82519891547125</v>
      </c>
      <c r="D189" s="56">
        <v>-7.1146211215857491E-3</v>
      </c>
      <c r="E189" s="56">
        <v>-2.4009504302925679E-2</v>
      </c>
      <c r="F189" s="56">
        <v>-2.4009504302925679E-2</v>
      </c>
      <c r="G189" s="56">
        <v>-4.4641802939081932E-2</v>
      </c>
      <c r="H189" s="56">
        <v>-1.2466324963305526E-2</v>
      </c>
      <c r="I189" s="56">
        <v>5.023126278076611E-2</v>
      </c>
      <c r="J189" s="56">
        <v>1.8882468908730292E-2</v>
      </c>
      <c r="K189" s="55">
        <v>129.48406598622699</v>
      </c>
      <c r="L189" s="56">
        <v>-1.2594433899185131E-2</v>
      </c>
      <c r="M189" s="55">
        <v>117.46042911188806</v>
      </c>
      <c r="N189" s="55">
        <v>27.873006271758836</v>
      </c>
      <c r="O189" s="58">
        <v>1</v>
      </c>
      <c r="P189" s="98">
        <v>1</v>
      </c>
      <c r="Q189" s="106">
        <v>0</v>
      </c>
    </row>
    <row r="190" spans="1:17" x14ac:dyDescent="0.2">
      <c r="A190" s="28">
        <f t="shared" si="0"/>
        <v>2009.01</v>
      </c>
      <c r="B190" s="28"/>
      <c r="C190" s="55">
        <v>127.44085986695895</v>
      </c>
      <c r="D190" s="56">
        <v>-3.0112843107488883E-3</v>
      </c>
      <c r="E190" s="56">
        <v>-3.0486137464671392E-2</v>
      </c>
      <c r="F190" s="56">
        <v>-3.0486137464671392E-2</v>
      </c>
      <c r="G190" s="56">
        <v>-4.6463424849313206E-2</v>
      </c>
      <c r="H190" s="56">
        <v>-1.2466324963305526E-2</v>
      </c>
      <c r="I190" s="56">
        <v>5.023126278076611E-2</v>
      </c>
      <c r="J190" s="56">
        <v>1.8882468908730292E-2</v>
      </c>
      <c r="K190" s="55">
        <v>129.88171047023701</v>
      </c>
      <c r="L190" s="56">
        <v>-1.8604943840823673E-2</v>
      </c>
      <c r="M190" s="55">
        <v>116.92210696117283</v>
      </c>
      <c r="N190" s="55">
        <v>21.153581785496385</v>
      </c>
      <c r="O190" s="58">
        <v>1</v>
      </c>
      <c r="P190" s="98">
        <v>1</v>
      </c>
      <c r="Q190" s="106">
        <v>0</v>
      </c>
    </row>
    <row r="191" spans="1:17" x14ac:dyDescent="0.2">
      <c r="A191" s="28">
        <f t="shared" si="0"/>
        <v>2009.02</v>
      </c>
      <c r="B191" s="28"/>
      <c r="C191" s="55">
        <v>126.97296713826064</v>
      </c>
      <c r="D191" s="56">
        <v>-3.6782061865409266E-3</v>
      </c>
      <c r="E191" s="56">
        <v>-3.2541913139118341E-2</v>
      </c>
      <c r="F191" s="56">
        <v>-3.2541913139118341E-2</v>
      </c>
      <c r="G191" s="56">
        <v>-4.8505099102300275E-2</v>
      </c>
      <c r="H191" s="56">
        <v>-1.2466324963305526E-2</v>
      </c>
      <c r="I191" s="56">
        <v>5.023126278076611E-2</v>
      </c>
      <c r="J191" s="56">
        <v>1.8882468908730292E-2</v>
      </c>
      <c r="K191" s="55">
        <v>130.27599540932201</v>
      </c>
      <c r="L191" s="56">
        <v>-2.51920640288813E-2</v>
      </c>
      <c r="M191" s="55">
        <v>116.30865728567635</v>
      </c>
      <c r="N191" s="55">
        <v>16.114013420799552</v>
      </c>
      <c r="O191" s="58">
        <v>1</v>
      </c>
      <c r="P191" s="98">
        <v>1</v>
      </c>
      <c r="Q191" s="106">
        <v>0</v>
      </c>
    </row>
    <row r="192" spans="1:17" x14ac:dyDescent="0.2">
      <c r="A192" s="28">
        <f t="shared" si="0"/>
        <v>2009.03</v>
      </c>
      <c r="B192" s="28"/>
      <c r="C192" s="55">
        <v>126.53267308218933</v>
      </c>
      <c r="D192" s="56">
        <v>-3.4736465698522222E-3</v>
      </c>
      <c r="E192" s="56">
        <v>-3.882430657884206E-2</v>
      </c>
      <c r="F192" s="56">
        <v>-3.882430657884206E-2</v>
      </c>
      <c r="G192" s="56">
        <v>-4.9886287587488032E-2</v>
      </c>
      <c r="H192" s="56">
        <v>-1.2466324963305526E-2</v>
      </c>
      <c r="I192" s="56">
        <v>5.023126278076611E-2</v>
      </c>
      <c r="J192" s="56">
        <v>1.8882468908730292E-2</v>
      </c>
      <c r="K192" s="55">
        <v>130.667351452406</v>
      </c>
      <c r="L192" s="56">
        <v>-3.1503557347114075E-2</v>
      </c>
      <c r="M192" s="55">
        <v>115.72209581406226</v>
      </c>
      <c r="N192" s="55">
        <v>16.114013420799552</v>
      </c>
      <c r="O192" s="58">
        <v>1</v>
      </c>
      <c r="P192" s="98">
        <v>1</v>
      </c>
      <c r="Q192" s="106">
        <v>0</v>
      </c>
    </row>
    <row r="193" spans="1:17" x14ac:dyDescent="0.2">
      <c r="A193" s="28">
        <f t="shared" si="0"/>
        <v>2009.04</v>
      </c>
      <c r="B193" s="28"/>
      <c r="C193" s="55">
        <v>126.12537177614536</v>
      </c>
      <c r="D193" s="56">
        <v>-3.2241337029132486E-3</v>
      </c>
      <c r="E193" s="56">
        <v>-4.0648736756821131E-2</v>
      </c>
      <c r="F193" s="56">
        <v>-4.0648736756821131E-2</v>
      </c>
      <c r="G193" s="56">
        <v>-4.9904141084412212E-2</v>
      </c>
      <c r="H193" s="56">
        <v>-1.2466324963305526E-2</v>
      </c>
      <c r="I193" s="56">
        <v>5.023126278076611E-2</v>
      </c>
      <c r="J193" s="56">
        <v>1.8882468908730292E-2</v>
      </c>
      <c r="K193" s="55">
        <v>131.05618376331401</v>
      </c>
      <c r="L193" s="56">
        <v>-3.750426635822679E-2</v>
      </c>
      <c r="M193" s="55">
        <v>115.1672245769596</v>
      </c>
      <c r="N193" s="55">
        <v>19.473725663930779</v>
      </c>
      <c r="O193" s="58">
        <v>1</v>
      </c>
      <c r="P193" s="98">
        <v>1</v>
      </c>
      <c r="Q193" s="106">
        <v>0</v>
      </c>
    </row>
    <row r="194" spans="1:17" x14ac:dyDescent="0.2">
      <c r="A194" s="28">
        <f t="shared" si="0"/>
        <v>2009.05</v>
      </c>
      <c r="B194" s="28"/>
      <c r="C194" s="55">
        <v>125.81734473613808</v>
      </c>
      <c r="D194" s="56">
        <v>-2.4452161010878651E-3</v>
      </c>
      <c r="E194" s="56">
        <v>-4.2871628770267178E-2</v>
      </c>
      <c r="F194" s="56">
        <v>-4.2871628770267178E-2</v>
      </c>
      <c r="G194" s="56">
        <v>-4.8283646508479827E-2</v>
      </c>
      <c r="H194" s="56">
        <v>-1.2466324963305526E-2</v>
      </c>
      <c r="I194" s="56">
        <v>5.023126278076611E-2</v>
      </c>
      <c r="J194" s="56">
        <v>1.8882468908730292E-2</v>
      </c>
      <c r="K194" s="55">
        <v>131.44286560558001</v>
      </c>
      <c r="L194" s="56">
        <v>-4.269585027184708E-2</v>
      </c>
      <c r="M194" s="55">
        <v>114.70432429965707</v>
      </c>
      <c r="N194" s="55">
        <v>24.513294028627616</v>
      </c>
      <c r="O194" s="58">
        <v>1</v>
      </c>
      <c r="P194" s="98">
        <v>1</v>
      </c>
      <c r="Q194" s="106">
        <v>0</v>
      </c>
    </row>
    <row r="195" spans="1:17" x14ac:dyDescent="0.2">
      <c r="A195" s="28">
        <f t="shared" si="0"/>
        <v>2009.06</v>
      </c>
      <c r="B195" s="28"/>
      <c r="C195" s="55">
        <v>125.75248538781688</v>
      </c>
      <c r="D195" s="56">
        <v>-5.1563694840775975E-4</v>
      </c>
      <c r="E195" s="56">
        <v>-4.3305933071498798E-2</v>
      </c>
      <c r="F195" s="56">
        <v>-4.3305933071498798E-2</v>
      </c>
      <c r="G195" s="56">
        <v>-4.2919414119369392E-2</v>
      </c>
      <c r="H195" s="56">
        <v>-1.2466324963305526E-2</v>
      </c>
      <c r="I195" s="56">
        <v>5.023126278076611E-2</v>
      </c>
      <c r="J195" s="56">
        <v>1.8882468908730292E-2</v>
      </c>
      <c r="K195" s="55">
        <v>131.82773220186399</v>
      </c>
      <c r="L195" s="56">
        <v>-4.5996665203996812E-2</v>
      </c>
      <c r="M195" s="55">
        <v>114.46393886897896</v>
      </c>
      <c r="N195" s="55">
        <v>31.232718514890063</v>
      </c>
      <c r="O195" s="58">
        <v>0</v>
      </c>
      <c r="P195" s="98">
        <v>1</v>
      </c>
      <c r="Q195" s="106">
        <v>0</v>
      </c>
    </row>
    <row r="196" spans="1:17" x14ac:dyDescent="0.2">
      <c r="A196" s="28">
        <f t="shared" si="0"/>
        <v>2009.07</v>
      </c>
      <c r="B196" s="28"/>
      <c r="C196" s="55">
        <v>125.81838291940835</v>
      </c>
      <c r="D196" s="56">
        <v>5.2388842589016788E-4</v>
      </c>
      <c r="E196" s="56">
        <v>-4.603162140404464E-2</v>
      </c>
      <c r="F196" s="56">
        <v>-4.603162140404464E-2</v>
      </c>
      <c r="G196" s="56">
        <v>-3.5590775065260094E-2</v>
      </c>
      <c r="H196" s="56">
        <v>-1.2466324963305526E-2</v>
      </c>
      <c r="I196" s="56">
        <v>5.023126278076611E-2</v>
      </c>
      <c r="J196" s="56">
        <v>1.8882468908730292E-2</v>
      </c>
      <c r="K196" s="55">
        <v>132.211075374161</v>
      </c>
      <c r="L196" s="56">
        <v>-4.8275994576200909E-2</v>
      </c>
      <c r="M196" s="55">
        <v>114.34285775638384</v>
      </c>
      <c r="N196" s="55">
        <v>34.59243075802128</v>
      </c>
      <c r="O196" s="58">
        <v>0</v>
      </c>
      <c r="P196" s="98">
        <v>1</v>
      </c>
      <c r="Q196" s="106">
        <v>0</v>
      </c>
    </row>
    <row r="197" spans="1:17" x14ac:dyDescent="0.2">
      <c r="A197" s="28">
        <f t="shared" si="0"/>
        <v>2009.08</v>
      </c>
      <c r="B197" s="28"/>
      <c r="C197" s="55">
        <v>125.67142398617074</v>
      </c>
      <c r="D197" s="56">
        <v>-1.1687070086311671E-3</v>
      </c>
      <c r="E197" s="56">
        <v>-4.6812727238475217E-2</v>
      </c>
      <c r="F197" s="56">
        <v>-4.6812727238475217E-2</v>
      </c>
      <c r="G197" s="56">
        <v>-3.0792965818603801E-2</v>
      </c>
      <c r="H197" s="56">
        <v>-1.2466324963305526E-2</v>
      </c>
      <c r="I197" s="56">
        <v>5.023126278076611E-2</v>
      </c>
      <c r="J197" s="56">
        <v>1.8882468908730292E-2</v>
      </c>
      <c r="K197" s="55">
        <v>132.59314007254</v>
      </c>
      <c r="L197" s="56">
        <v>-5.21363877373755E-2</v>
      </c>
      <c r="M197" s="55">
        <v>114.02873677386812</v>
      </c>
      <c r="N197" s="55">
        <v>36.2722868795869</v>
      </c>
      <c r="O197" s="58">
        <v>0</v>
      </c>
      <c r="P197" s="98">
        <v>1</v>
      </c>
      <c r="Q197" s="106">
        <v>0</v>
      </c>
    </row>
    <row r="198" spans="1:17" x14ac:dyDescent="0.2">
      <c r="A198" s="28">
        <f t="shared" si="0"/>
        <v>2009.09</v>
      </c>
      <c r="B198" s="28"/>
      <c r="C198" s="55">
        <v>125.58205948140892</v>
      </c>
      <c r="D198" s="56">
        <v>-7.1134940934411471E-4</v>
      </c>
      <c r="E198" s="56">
        <v>-4.2842521984212137E-2</v>
      </c>
      <c r="F198" s="56">
        <v>-4.2842521984212137E-2</v>
      </c>
      <c r="G198" s="56">
        <v>-2.5008663428004341E-2</v>
      </c>
      <c r="H198" s="56">
        <v>-1.2466324963305526E-2</v>
      </c>
      <c r="I198" s="56">
        <v>5.023126278076611E-2</v>
      </c>
      <c r="J198" s="56">
        <v>1.8882468908730292E-2</v>
      </c>
      <c r="K198" s="55">
        <v>132.974121925579</v>
      </c>
      <c r="L198" s="56">
        <v>-5.5531848774985626E-2</v>
      </c>
      <c r="M198" s="55">
        <v>113.76749927324508</v>
      </c>
      <c r="N198" s="55">
        <v>36.2722868795869</v>
      </c>
      <c r="O198" s="58">
        <v>0</v>
      </c>
      <c r="P198" s="98">
        <v>1</v>
      </c>
      <c r="Q198" s="106">
        <v>0</v>
      </c>
    </row>
    <row r="199" spans="1:17" x14ac:dyDescent="0.2">
      <c r="A199" s="28">
        <f t="shared" si="0"/>
        <v>2009.1</v>
      </c>
      <c r="B199" s="28"/>
      <c r="C199" s="55">
        <v>126.36872174243415</v>
      </c>
      <c r="D199" s="56">
        <v>6.244591213582667E-3</v>
      </c>
      <c r="E199" s="56">
        <v>-2.8539101425419454E-2</v>
      </c>
      <c r="F199" s="56">
        <v>-2.8539101425419454E-2</v>
      </c>
      <c r="G199" s="56">
        <v>-7.1181529167374524E-3</v>
      </c>
      <c r="H199" s="56">
        <v>-1.2466324963305526E-2</v>
      </c>
      <c r="I199" s="56">
        <v>5.023126278076611E-2</v>
      </c>
      <c r="J199" s="56">
        <v>1.8882468908730292E-2</v>
      </c>
      <c r="K199" s="55">
        <v>133.35416315981499</v>
      </c>
      <c r="L199" s="56">
        <v>-5.2330009094953445E-2</v>
      </c>
      <c r="M199" s="55">
        <v>114.29915964176325</v>
      </c>
      <c r="N199" s="55">
        <v>44.671567487414954</v>
      </c>
      <c r="O199" s="58">
        <v>0</v>
      </c>
      <c r="P199" s="98">
        <v>0</v>
      </c>
      <c r="Q199" s="106">
        <v>0</v>
      </c>
    </row>
    <row r="200" spans="1:17" x14ac:dyDescent="0.2">
      <c r="A200" s="28">
        <f t="shared" si="0"/>
        <v>2009.11</v>
      </c>
      <c r="B200" s="28"/>
      <c r="C200" s="55">
        <v>126.81404434080956</v>
      </c>
      <c r="D200" s="56">
        <v>3.5177991338044782E-3</v>
      </c>
      <c r="E200" s="56">
        <v>-1.5056522585834488E-2</v>
      </c>
      <c r="F200" s="56">
        <v>-1.5056522585834488E-2</v>
      </c>
      <c r="G200" s="56">
        <v>3.8000148785675147E-3</v>
      </c>
      <c r="H200" s="56">
        <v>-1.2466324963305526E-2</v>
      </c>
      <c r="I200" s="56">
        <v>5.023126278076611E-2</v>
      </c>
      <c r="J200" s="56">
        <v>1.8882468908730292E-2</v>
      </c>
      <c r="K200" s="55">
        <v>133.73334897158199</v>
      </c>
      <c r="L200" s="56">
        <v>-5.1691325575132563E-2</v>
      </c>
      <c r="M200" s="55">
        <v>114.52060455759603</v>
      </c>
      <c r="N200" s="55">
        <v>46.351423608980575</v>
      </c>
      <c r="O200" s="58">
        <v>0</v>
      </c>
      <c r="P200" s="98">
        <v>0</v>
      </c>
      <c r="Q200" s="106">
        <v>0</v>
      </c>
    </row>
    <row r="201" spans="1:17" x14ac:dyDescent="0.2">
      <c r="A201" s="28">
        <f t="shared" si="0"/>
        <v>2009.12</v>
      </c>
      <c r="B201" s="28"/>
      <c r="C201" s="55">
        <v>127.06483663505841</v>
      </c>
      <c r="D201" s="56">
        <v>1.9756852154221736E-3</v>
      </c>
      <c r="E201" s="56">
        <v>-5.9662162488264853E-3</v>
      </c>
      <c r="F201" s="56">
        <v>-5.9662162488264853E-3</v>
      </c>
      <c r="G201" s="56">
        <v>9.8284133521693295E-3</v>
      </c>
      <c r="H201" s="56">
        <v>-1.2466324963305526E-2</v>
      </c>
      <c r="I201" s="56">
        <v>5.023126278076611E-2</v>
      </c>
      <c r="J201" s="56">
        <v>1.8882468908730292E-2</v>
      </c>
      <c r="K201" s="55">
        <v>134.111710664957</v>
      </c>
      <c r="L201" s="56">
        <v>-5.2499659388075437E-2</v>
      </c>
      <c r="M201" s="55">
        <v>114.56566889633582</v>
      </c>
      <c r="N201" s="55">
        <v>46.351423608980575</v>
      </c>
      <c r="O201" s="58">
        <v>0</v>
      </c>
      <c r="P201" s="98">
        <v>0</v>
      </c>
      <c r="Q201" s="106">
        <v>0</v>
      </c>
    </row>
    <row r="202" spans="1:17" x14ac:dyDescent="0.2">
      <c r="A202" s="28">
        <f t="shared" si="0"/>
        <v>2010.01</v>
      </c>
      <c r="B202" s="28"/>
      <c r="C202" s="55">
        <v>127.59736233288714</v>
      </c>
      <c r="D202" s="56">
        <v>4.1822184539759884E-3</v>
      </c>
      <c r="E202" s="56">
        <v>1.2272865158983713E-3</v>
      </c>
      <c r="F202" s="56">
        <v>1.2272865158983713E-3</v>
      </c>
      <c r="G202" s="56">
        <v>1.8598020962966366E-2</v>
      </c>
      <c r="H202" s="56">
        <v>-1.2466324963305526E-2</v>
      </c>
      <c r="I202" s="56">
        <v>5.023126278076611E-2</v>
      </c>
      <c r="J202" s="56">
        <v>1.8882468908730292E-2</v>
      </c>
      <c r="K202" s="55">
        <v>134.48922616229601</v>
      </c>
      <c r="L202" s="56">
        <v>-5.1201372519227517E-2</v>
      </c>
      <c r="M202" s="55">
        <v>114.86392261269332</v>
      </c>
      <c r="N202" s="55">
        <v>48.031279730546181</v>
      </c>
      <c r="O202" s="58">
        <v>0</v>
      </c>
      <c r="P202" s="98">
        <v>0</v>
      </c>
      <c r="Q202" s="106">
        <v>0</v>
      </c>
    </row>
    <row r="203" spans="1:17" x14ac:dyDescent="0.2">
      <c r="A203" s="28">
        <f t="shared" si="0"/>
        <v>2010.02</v>
      </c>
      <c r="B203" s="28"/>
      <c r="C203" s="55">
        <v>128.5927746406031</v>
      </c>
      <c r="D203" s="56">
        <v>7.7709261461678314E-3</v>
      </c>
      <c r="E203" s="56">
        <v>1.2676418848607204E-2</v>
      </c>
      <c r="F203" s="56">
        <v>1.2676418848607204E-2</v>
      </c>
      <c r="G203" s="56">
        <v>3.311957364434881E-2</v>
      </c>
      <c r="H203" s="56">
        <v>-1.2466324963305526E-2</v>
      </c>
      <c r="I203" s="56">
        <v>5.023126278076611E-2</v>
      </c>
      <c r="J203" s="56">
        <v>1.8882468908730292E-2</v>
      </c>
      <c r="K203" s="55">
        <v>134.86581902028701</v>
      </c>
      <c r="L203" s="56">
        <v>-4.6470493083598075E-2</v>
      </c>
      <c r="M203" s="55">
        <v>115.57698142979187</v>
      </c>
      <c r="N203" s="55">
        <v>54.750704216808636</v>
      </c>
      <c r="O203" s="58">
        <v>0</v>
      </c>
      <c r="P203" s="98">
        <v>0</v>
      </c>
      <c r="Q203" s="106">
        <v>0</v>
      </c>
    </row>
    <row r="204" spans="1:17" x14ac:dyDescent="0.2">
      <c r="A204" s="28">
        <f t="shared" si="0"/>
        <v>2010.03</v>
      </c>
      <c r="B204" s="28"/>
      <c r="C204" s="55">
        <v>130.21785039218116</v>
      </c>
      <c r="D204" s="56">
        <v>1.2558194692645805E-2</v>
      </c>
      <c r="E204" s="56">
        <v>2.870826011110527E-2</v>
      </c>
      <c r="F204" s="56">
        <v>2.870826011110527E-2</v>
      </c>
      <c r="G204" s="56">
        <v>5.5269235762883673E-2</v>
      </c>
      <c r="H204" s="56">
        <v>-1.2466324963305526E-2</v>
      </c>
      <c r="I204" s="56">
        <v>5.023126278076611E-2</v>
      </c>
      <c r="J204" s="56">
        <v>1.8882468908730292E-2</v>
      </c>
      <c r="K204" s="55">
        <v>135.241359625462</v>
      </c>
      <c r="L204" s="56">
        <v>-3.7101600425812453E-2</v>
      </c>
      <c r="M204" s="55">
        <v>116.85253440112707</v>
      </c>
      <c r="N204" s="55">
        <v>64.82984094620231</v>
      </c>
      <c r="O204" s="58">
        <v>0</v>
      </c>
      <c r="P204" s="98">
        <v>0</v>
      </c>
      <c r="Q204" s="106">
        <v>0</v>
      </c>
    </row>
    <row r="205" spans="1:17" x14ac:dyDescent="0.2">
      <c r="A205" s="28">
        <f t="shared" si="0"/>
        <v>2010.04</v>
      </c>
      <c r="B205" s="28"/>
      <c r="C205" s="55">
        <v>131.6889038238111</v>
      </c>
      <c r="D205" s="56">
        <v>1.1233531610342577E-2</v>
      </c>
      <c r="E205" s="56">
        <v>4.3165925424361193E-2</v>
      </c>
      <c r="F205" s="56">
        <v>4.3165925424361193E-2</v>
      </c>
      <c r="G205" s="56">
        <v>7.2569958192092887E-2</v>
      </c>
      <c r="H205" s="56">
        <v>-1.2466324963305526E-2</v>
      </c>
      <c r="I205" s="56">
        <v>5.023126278076611E-2</v>
      </c>
      <c r="J205" s="56">
        <v>1.8882468908730292E-2</v>
      </c>
      <c r="K205" s="55">
        <v>135.61566996725</v>
      </c>
      <c r="L205" s="56">
        <v>-2.8910848067061456E-2</v>
      </c>
      <c r="M205" s="55">
        <v>117.98576992006009</v>
      </c>
      <c r="N205" s="55">
        <v>63.149984824636689</v>
      </c>
      <c r="O205" s="58">
        <v>0</v>
      </c>
      <c r="P205" s="98">
        <v>0</v>
      </c>
      <c r="Q205" s="106">
        <v>0</v>
      </c>
    </row>
    <row r="206" spans="1:17" x14ac:dyDescent="0.2">
      <c r="A206" s="28">
        <f t="shared" si="0"/>
        <v>2010.05</v>
      </c>
      <c r="B206" s="28"/>
      <c r="C206" s="55">
        <v>133.04221694571683</v>
      </c>
      <c r="D206" s="56">
        <v>1.0224146725134352E-2</v>
      </c>
      <c r="E206" s="56">
        <v>5.5835288250583405E-2</v>
      </c>
      <c r="F206" s="56">
        <v>5.5835288250583405E-2</v>
      </c>
      <c r="G206" s="56">
        <v>8.5666682696757368E-2</v>
      </c>
      <c r="H206" s="56">
        <v>-1.2466324963305526E-2</v>
      </c>
      <c r="I206" s="56">
        <v>5.023126278076611E-2</v>
      </c>
      <c r="J206" s="56">
        <v>1.8882468908730292E-2</v>
      </c>
      <c r="K206" s="55">
        <v>135.988533277904</v>
      </c>
      <c r="L206" s="56">
        <v>-2.162004850353394E-2</v>
      </c>
      <c r="M206" s="55">
        <v>119.00980820453198</v>
      </c>
      <c r="N206" s="55">
        <v>68.189553189333523</v>
      </c>
      <c r="O206" s="58">
        <v>0</v>
      </c>
      <c r="P206" s="98">
        <v>0</v>
      </c>
      <c r="Q206" s="106">
        <v>0</v>
      </c>
    </row>
    <row r="207" spans="1:17" x14ac:dyDescent="0.2">
      <c r="A207" s="28">
        <f t="shared" si="0"/>
        <v>2010.06</v>
      </c>
      <c r="B207" s="28"/>
      <c r="C207" s="55">
        <v>134.30456766398206</v>
      </c>
      <c r="D207" s="56">
        <v>9.4436153527022153E-3</v>
      </c>
      <c r="E207" s="56">
        <v>6.5794540551693176E-2</v>
      </c>
      <c r="F207" s="56">
        <v>6.5794540551693176E-2</v>
      </c>
      <c r="G207" s="56">
        <v>9.5175055006882836E-2</v>
      </c>
      <c r="H207" s="56">
        <v>-1.2466324963305526E-2</v>
      </c>
      <c r="I207" s="56">
        <v>5.023126278076611E-2</v>
      </c>
      <c r="J207" s="56">
        <v>1.8882468908730292E-2</v>
      </c>
      <c r="K207" s="55">
        <v>136.35970249395999</v>
      </c>
      <c r="L207" s="56">
        <v>-1.5023551048556683E-2</v>
      </c>
      <c r="M207" s="55">
        <v>119.94907389958088</v>
      </c>
      <c r="N207" s="55">
        <v>71.54926543246475</v>
      </c>
      <c r="O207" s="58">
        <v>0</v>
      </c>
      <c r="P207" s="98">
        <v>0</v>
      </c>
      <c r="Q207" s="106">
        <v>0</v>
      </c>
    </row>
    <row r="208" spans="1:17" x14ac:dyDescent="0.2">
      <c r="A208" s="28">
        <f t="shared" si="0"/>
        <v>2010.07</v>
      </c>
      <c r="B208" s="28"/>
      <c r="C208" s="55">
        <v>135.44659888110115</v>
      </c>
      <c r="D208" s="56">
        <v>8.4673445901018076E-3</v>
      </c>
      <c r="E208" s="56">
        <v>7.3737996715904877E-2</v>
      </c>
      <c r="F208" s="56">
        <v>7.3737996715904877E-2</v>
      </c>
      <c r="G208" s="56">
        <v>0.10107159649904895</v>
      </c>
      <c r="H208" s="56">
        <v>-1.2466324963305526E-2</v>
      </c>
      <c r="I208" s="56">
        <v>5.023126278076611E-2</v>
      </c>
      <c r="J208" s="56">
        <v>1.8882468908730292E-2</v>
      </c>
      <c r="K208" s="55">
        <v>136.72890782023299</v>
      </c>
      <c r="L208" s="56">
        <v>-9.3283510342910825E-3</v>
      </c>
      <c r="M208" s="55">
        <v>120.77778320328866</v>
      </c>
      <c r="N208" s="55">
        <v>74.908977675595992</v>
      </c>
      <c r="O208" s="58">
        <v>0</v>
      </c>
      <c r="P208" s="98">
        <v>0</v>
      </c>
      <c r="Q208" s="106">
        <v>0</v>
      </c>
    </row>
    <row r="209" spans="1:17" x14ac:dyDescent="0.2">
      <c r="A209" s="28">
        <f t="shared" si="0"/>
        <v>2010.08</v>
      </c>
      <c r="B209" s="28"/>
      <c r="C209" s="55">
        <v>136.16720506084835</v>
      </c>
      <c r="D209" s="56">
        <v>5.3061211175992346E-3</v>
      </c>
      <c r="E209" s="56">
        <v>8.0212824842135225E-2</v>
      </c>
      <c r="F209" s="56">
        <v>8.0212824842135225E-2</v>
      </c>
      <c r="G209" s="56">
        <v>9.9212440050570949E-2</v>
      </c>
      <c r="H209" s="56">
        <v>-1.2466324963305526E-2</v>
      </c>
      <c r="I209" s="56">
        <v>5.023126278076611E-2</v>
      </c>
      <c r="J209" s="56">
        <v>1.8882468908730292E-2</v>
      </c>
      <c r="K209" s="55">
        <v>137.095863605066</v>
      </c>
      <c r="L209" s="56">
        <v>-6.7214006445958097E-3</v>
      </c>
      <c r="M209" s="55">
        <v>121.22838154743786</v>
      </c>
      <c r="N209" s="55">
        <v>73.229121554030371</v>
      </c>
      <c r="O209" s="58">
        <v>0</v>
      </c>
      <c r="P209" s="98">
        <v>0</v>
      </c>
      <c r="Q209" s="106">
        <v>0</v>
      </c>
    </row>
    <row r="210" spans="1:17" x14ac:dyDescent="0.2">
      <c r="A210" s="28">
        <f t="shared" si="0"/>
        <v>2010.09</v>
      </c>
      <c r="B210" s="28"/>
      <c r="C210" s="55">
        <v>136.81189819301343</v>
      </c>
      <c r="D210" s="56">
        <v>4.7233969420934756E-3</v>
      </c>
      <c r="E210" s="56">
        <v>8.5647571193572691E-2</v>
      </c>
      <c r="F210" s="56">
        <v>8.5647571193572691E-2</v>
      </c>
      <c r="G210" s="56">
        <v>9.5131187691776864E-2</v>
      </c>
      <c r="H210" s="56">
        <v>-1.2466324963305526E-2</v>
      </c>
      <c r="I210" s="56">
        <v>5.023126278076611E-2</v>
      </c>
      <c r="J210" s="56">
        <v>1.8882468908730292E-2</v>
      </c>
      <c r="K210" s="55">
        <v>137.46027430273301</v>
      </c>
      <c r="L210" s="56">
        <v>-4.6621545334509795E-3</v>
      </c>
      <c r="M210" s="55">
        <v>121.6097753786291</v>
      </c>
      <c r="N210" s="55">
        <v>69.869409310899144</v>
      </c>
      <c r="O210" s="58">
        <v>0</v>
      </c>
      <c r="P210" s="98">
        <v>0</v>
      </c>
      <c r="Q210" s="106">
        <v>0</v>
      </c>
    </row>
    <row r="211" spans="1:17" x14ac:dyDescent="0.2">
      <c r="A211" s="28">
        <f t="shared" si="0"/>
        <v>2010.1</v>
      </c>
      <c r="B211" s="28"/>
      <c r="C211" s="55">
        <v>137.34918171784821</v>
      </c>
      <c r="D211" s="56">
        <v>3.9194783799047107E-3</v>
      </c>
      <c r="E211" s="56">
        <v>8.3322458359894713E-2</v>
      </c>
      <c r="F211" s="56">
        <v>8.3322458359894713E-2</v>
      </c>
      <c r="G211" s="56">
        <v>8.8599875801355532E-2</v>
      </c>
      <c r="H211" s="56">
        <v>-1.2466324963305526E-2</v>
      </c>
      <c r="I211" s="56">
        <v>5.023126278076611E-2</v>
      </c>
      <c r="J211" s="56">
        <v>1.8882468908730292E-2</v>
      </c>
      <c r="K211" s="55">
        <v>137.82183720213101</v>
      </c>
      <c r="L211" s="56">
        <v>-3.3726098455689746E-3</v>
      </c>
      <c r="M211" s="55">
        <v>121.89433658459916</v>
      </c>
      <c r="N211" s="55">
        <v>63.149984824636689</v>
      </c>
      <c r="O211" s="58">
        <v>0</v>
      </c>
      <c r="P211" s="98">
        <v>0</v>
      </c>
      <c r="Q211" s="106">
        <v>0</v>
      </c>
    </row>
    <row r="212" spans="1:17" x14ac:dyDescent="0.2">
      <c r="A212" s="28">
        <f t="shared" si="0"/>
        <v>2010.11</v>
      </c>
      <c r="B212" s="28"/>
      <c r="C212" s="55">
        <v>138.43254364168894</v>
      </c>
      <c r="D212" s="56">
        <v>7.8567025803908119E-3</v>
      </c>
      <c r="E212" s="56">
        <v>8.7661361806481056E-2</v>
      </c>
      <c r="F212" s="56">
        <v>8.7661361806481056E-2</v>
      </c>
      <c r="G212" s="56">
        <v>9.0420775504047368E-2</v>
      </c>
      <c r="H212" s="56">
        <v>-1.2466324963305526E-2</v>
      </c>
      <c r="I212" s="56">
        <v>5.023126278076611E-2</v>
      </c>
      <c r="J212" s="56">
        <v>1.8882468908730292E-2</v>
      </c>
      <c r="K212" s="55">
        <v>138.18024459057301</v>
      </c>
      <c r="L212" s="56">
        <v>1.8850080903183297E-3</v>
      </c>
      <c r="M212" s="55">
        <v>122.66156022698134</v>
      </c>
      <c r="N212" s="55">
        <v>61.470128703071069</v>
      </c>
      <c r="O212" s="58">
        <v>0</v>
      </c>
      <c r="P212" s="98">
        <v>0</v>
      </c>
      <c r="Q212" s="106">
        <v>0</v>
      </c>
    </row>
    <row r="213" spans="1:17" x14ac:dyDescent="0.2">
      <c r="A213" s="28">
        <f t="shared" si="0"/>
        <v>2010.12</v>
      </c>
      <c r="B213" s="28"/>
      <c r="C213" s="55">
        <v>139.63300453940997</v>
      </c>
      <c r="D213" s="56">
        <v>8.6344271252658828E-3</v>
      </c>
      <c r="E213" s="56">
        <v>9.4320103716324585E-2</v>
      </c>
      <c r="F213" s="56">
        <v>9.4320103716324585E-2</v>
      </c>
      <c r="G213" s="56">
        <v>9.3104145436531116E-2</v>
      </c>
      <c r="H213" s="56">
        <v>-1.2466324963305526E-2</v>
      </c>
      <c r="I213" s="56">
        <v>5.023126278076611E-2</v>
      </c>
      <c r="J213" s="56">
        <v>1.8882468908730292E-2</v>
      </c>
      <c r="K213" s="55">
        <v>138.53518511022901</v>
      </c>
      <c r="L213" s="56">
        <v>7.9857555538409564E-3</v>
      </c>
      <c r="M213" s="55">
        <v>123.52964759502801</v>
      </c>
      <c r="N213" s="55">
        <v>63.149984824636689</v>
      </c>
      <c r="O213" s="58">
        <v>0</v>
      </c>
      <c r="P213" s="98">
        <v>0</v>
      </c>
      <c r="Q213" s="106">
        <v>0</v>
      </c>
    </row>
    <row r="214" spans="1:17" x14ac:dyDescent="0.2">
      <c r="A214" s="28">
        <f t="shared" si="0"/>
        <v>2011.01</v>
      </c>
      <c r="B214" s="28"/>
      <c r="C214" s="55">
        <v>140.69241719370794</v>
      </c>
      <c r="D214" s="56">
        <v>7.5584846461038378E-3</v>
      </c>
      <c r="E214" s="56">
        <v>9.7696369908452596E-2</v>
      </c>
      <c r="F214" s="56">
        <v>9.7696369908452596E-2</v>
      </c>
      <c r="G214" s="56">
        <v>9.2535288232855617E-2</v>
      </c>
      <c r="H214" s="56">
        <v>-1.2466324963305526E-2</v>
      </c>
      <c r="I214" s="56">
        <v>5.023126278076611E-2</v>
      </c>
      <c r="J214" s="56">
        <v>1.8882468908730292E-2</v>
      </c>
      <c r="K214" s="55">
        <v>138.88634935205101</v>
      </c>
      <c r="L214" s="56">
        <v>1.3067017126207281E-2</v>
      </c>
      <c r="M214" s="55">
        <v>124.27009906375461</v>
      </c>
      <c r="N214" s="55">
        <v>63.149984824636689</v>
      </c>
      <c r="O214" s="58">
        <v>0</v>
      </c>
      <c r="P214" s="98">
        <v>0</v>
      </c>
      <c r="Q214" s="106">
        <v>0</v>
      </c>
    </row>
    <row r="215" spans="1:17" x14ac:dyDescent="0.2">
      <c r="A215" s="28">
        <f t="shared" si="0"/>
        <v>2011.02</v>
      </c>
      <c r="B215" s="28"/>
      <c r="C215" s="55">
        <v>141.37061048679823</v>
      </c>
      <c r="D215" s="56">
        <v>4.8088159982219696E-3</v>
      </c>
      <c r="E215" s="56">
        <v>9.4734259760506562E-2</v>
      </c>
      <c r="F215" s="56">
        <v>9.4734259760506562E-2</v>
      </c>
      <c r="G215" s="56">
        <v>8.5908586492726702E-2</v>
      </c>
      <c r="H215" s="56">
        <v>-1.2466324963305526E-2</v>
      </c>
      <c r="I215" s="56">
        <v>5.023126278076611E-2</v>
      </c>
      <c r="J215" s="56">
        <v>1.8882468908730292E-2</v>
      </c>
      <c r="K215" s="55">
        <v>139.233436380363</v>
      </c>
      <c r="L215" s="56">
        <v>1.5414000326601673E-2</v>
      </c>
      <c r="M215" s="55">
        <v>124.67171125775785</v>
      </c>
      <c r="N215" s="55">
        <v>64.82984094620231</v>
      </c>
      <c r="O215" s="58">
        <v>0</v>
      </c>
      <c r="P215" s="98">
        <v>0</v>
      </c>
      <c r="Q215" s="106">
        <v>0</v>
      </c>
    </row>
    <row r="216" spans="1:17" x14ac:dyDescent="0.2">
      <c r="A216" s="28">
        <f t="shared" si="0"/>
        <v>2011.03</v>
      </c>
      <c r="B216" s="28"/>
      <c r="C216" s="55">
        <v>142.4336051536375</v>
      </c>
      <c r="D216" s="56">
        <v>7.4910771524252309E-3</v>
      </c>
      <c r="E216" s="56">
        <v>8.9667142220285836E-2</v>
      </c>
      <c r="F216" s="56">
        <v>8.9667142220285836E-2</v>
      </c>
      <c r="G216" s="56">
        <v>8.519902445979044E-2</v>
      </c>
      <c r="H216" s="56">
        <v>-1.2466324963305526E-2</v>
      </c>
      <c r="I216" s="56">
        <v>5.023126278076611E-2</v>
      </c>
      <c r="J216" s="56">
        <v>1.8882468908730292E-2</v>
      </c>
      <c r="K216" s="55">
        <v>139.57615919721499</v>
      </c>
      <c r="L216" s="56">
        <v>2.0537894210394203E-2</v>
      </c>
      <c r="M216" s="55">
        <v>125.41055449646431</v>
      </c>
      <c r="N216" s="55">
        <v>64.82984094620231</v>
      </c>
      <c r="O216" s="58">
        <v>0</v>
      </c>
      <c r="P216" s="98">
        <v>0</v>
      </c>
      <c r="Q216" s="106">
        <v>0</v>
      </c>
    </row>
    <row r="217" spans="1:17" x14ac:dyDescent="0.2">
      <c r="A217" s="28">
        <f t="shared" si="0"/>
        <v>2011.04</v>
      </c>
      <c r="B217" s="28"/>
      <c r="C217" s="55">
        <v>143.49423876124254</v>
      </c>
      <c r="D217" s="56">
        <v>7.4189240046690901E-3</v>
      </c>
      <c r="E217" s="56">
        <v>8.5852534614612355E-2</v>
      </c>
      <c r="F217" s="56">
        <v>8.5852534614612355E-2</v>
      </c>
      <c r="G217" s="56">
        <v>8.5150941137572822E-2</v>
      </c>
      <c r="H217" s="56">
        <v>-1.2466324963305526E-2</v>
      </c>
      <c r="I217" s="56">
        <v>5.023126278076611E-2</v>
      </c>
      <c r="J217" s="56">
        <v>1.8882468908730292E-2</v>
      </c>
      <c r="K217" s="55">
        <v>139.91424729583599</v>
      </c>
      <c r="L217" s="56">
        <v>2.5653418514271609E-2</v>
      </c>
      <c r="M217" s="55">
        <v>126.14467428573025</v>
      </c>
      <c r="N217" s="55">
        <v>73.229121554030371</v>
      </c>
      <c r="O217" s="58">
        <v>0</v>
      </c>
      <c r="P217" s="98">
        <v>0</v>
      </c>
      <c r="Q217" s="106">
        <v>0</v>
      </c>
    </row>
    <row r="218" spans="1:17" x14ac:dyDescent="0.2">
      <c r="A218" s="28">
        <f t="shared" si="0"/>
        <v>2011.05</v>
      </c>
      <c r="B218" s="28"/>
      <c r="C218" s="55">
        <v>143.91706007459194</v>
      </c>
      <c r="D218" s="56">
        <v>2.9422755479121872E-3</v>
      </c>
      <c r="E218" s="56">
        <v>7.8570663437390248E-2</v>
      </c>
      <c r="F218" s="56">
        <v>7.8570663437390248E-2</v>
      </c>
      <c r="G218" s="56">
        <v>7.6772707156348874E-2</v>
      </c>
      <c r="H218" s="56">
        <v>-1.2466324963305526E-2</v>
      </c>
      <c r="I218" s="56">
        <v>5.023126278076611E-2</v>
      </c>
      <c r="J218" s="56">
        <v>1.8882468908730292E-2</v>
      </c>
      <c r="K218" s="55">
        <v>140.24745221723799</v>
      </c>
      <c r="L218" s="56">
        <v>2.6231726458729065E-2</v>
      </c>
      <c r="M218" s="55">
        <v>126.31634991790351</v>
      </c>
      <c r="N218" s="55">
        <v>69.869409310899144</v>
      </c>
      <c r="O218" s="58">
        <v>0</v>
      </c>
      <c r="P218" s="98">
        <v>0</v>
      </c>
      <c r="Q218" s="106">
        <v>0</v>
      </c>
    </row>
    <row r="219" spans="1:17" x14ac:dyDescent="0.2">
      <c r="A219" s="28">
        <f t="shared" si="0"/>
        <v>2011.06</v>
      </c>
      <c r="B219" s="28"/>
      <c r="C219" s="55">
        <v>144.57157173475991</v>
      </c>
      <c r="D219" s="56">
        <v>4.5375291154474999E-3</v>
      </c>
      <c r="E219" s="56">
        <v>7.3664577200135681E-2</v>
      </c>
      <c r="F219" s="56">
        <v>7.3664577200135681E-2</v>
      </c>
      <c r="G219" s="56">
        <v>7.281329316572771E-2</v>
      </c>
      <c r="H219" s="56">
        <v>-1.2466324963305526E-2</v>
      </c>
      <c r="I219" s="56">
        <v>5.023126278076611E-2</v>
      </c>
      <c r="J219" s="56">
        <v>1.8882468908730292E-2</v>
      </c>
      <c r="K219" s="55">
        <v>140.575553125336</v>
      </c>
      <c r="L219" s="56">
        <v>2.8492447187301373E-2</v>
      </c>
      <c r="M219" s="55">
        <v>126.69020106886916</v>
      </c>
      <c r="N219" s="55">
        <v>68.189553189333523</v>
      </c>
      <c r="O219" s="58">
        <v>0</v>
      </c>
      <c r="P219" s="98">
        <v>0</v>
      </c>
      <c r="Q219" s="106">
        <v>0</v>
      </c>
    </row>
    <row r="220" spans="1:17" x14ac:dyDescent="0.2">
      <c r="A220" s="28">
        <f t="shared" si="0"/>
        <v>2011.07</v>
      </c>
      <c r="B220" s="28"/>
      <c r="C220" s="55">
        <v>144.94172287426323</v>
      </c>
      <c r="D220" s="56">
        <v>2.55705936883408E-3</v>
      </c>
      <c r="E220" s="56">
        <v>6.7754291978867787E-2</v>
      </c>
      <c r="F220" s="56">
        <v>6.7754291978867787E-2</v>
      </c>
      <c r="G220" s="56">
        <v>6.5762272569474645E-2</v>
      </c>
      <c r="H220" s="56">
        <v>-1.2466324963305526E-2</v>
      </c>
      <c r="I220" s="56">
        <v>5.023126278076611E-2</v>
      </c>
      <c r="J220" s="56">
        <v>1.8882468908730292E-2</v>
      </c>
      <c r="K220" s="55">
        <v>140.89835749941099</v>
      </c>
      <c r="L220" s="56">
        <v>2.8762676457251279E-2</v>
      </c>
      <c r="M220" s="55">
        <v>126.81375900960563</v>
      </c>
      <c r="N220" s="55">
        <v>66.509697067767917</v>
      </c>
      <c r="O220" s="58">
        <v>0</v>
      </c>
      <c r="P220" s="98">
        <v>0</v>
      </c>
      <c r="Q220" s="106">
        <v>0</v>
      </c>
    </row>
    <row r="221" spans="1:17" x14ac:dyDescent="0.2">
      <c r="A221" s="28">
        <f t="shared" si="0"/>
        <v>2011.08</v>
      </c>
      <c r="B221" s="28"/>
      <c r="C221" s="55">
        <v>145.39694519171854</v>
      </c>
      <c r="D221" s="56">
        <v>3.1358047725069346E-3</v>
      </c>
      <c r="E221" s="56">
        <v>6.5583975633775576E-2</v>
      </c>
      <c r="F221" s="56">
        <v>6.5583975633775576E-2</v>
      </c>
      <c r="G221" s="56">
        <v>6.0856519488744043E-2</v>
      </c>
      <c r="H221" s="56">
        <v>-1.2466324963305526E-2</v>
      </c>
      <c r="I221" s="56">
        <v>5.023126278076611E-2</v>
      </c>
      <c r="J221" s="56">
        <v>1.8882468908730292E-2</v>
      </c>
      <c r="K221" s="55">
        <v>141.21570365314301</v>
      </c>
      <c r="L221" s="56">
        <v>2.9673532419892901E-2</v>
      </c>
      <c r="M221" s="55">
        <v>127.01092317465451</v>
      </c>
      <c r="N221" s="55">
        <v>66.509697067767917</v>
      </c>
      <c r="O221" s="58">
        <v>0</v>
      </c>
      <c r="P221" s="98">
        <v>0</v>
      </c>
      <c r="Q221" s="106">
        <v>0</v>
      </c>
    </row>
    <row r="222" spans="1:17" x14ac:dyDescent="0.2">
      <c r="A222" s="28">
        <f t="shared" si="0"/>
        <v>2011.09</v>
      </c>
      <c r="B222" s="28"/>
      <c r="C222" s="55">
        <v>146.1864290930377</v>
      </c>
      <c r="D222" s="56">
        <v>5.4151635530664552E-3</v>
      </c>
      <c r="E222" s="56">
        <v>6.6275742244748456E-2</v>
      </c>
      <c r="F222" s="56">
        <v>6.6275742244748456E-2</v>
      </c>
      <c r="G222" s="56">
        <v>6.0793934732080723E-2</v>
      </c>
      <c r="H222" s="56">
        <v>-1.2466324963305526E-2</v>
      </c>
      <c r="I222" s="56">
        <v>5.023126278076611E-2</v>
      </c>
      <c r="J222" s="56">
        <v>1.8882468908730292E-2</v>
      </c>
      <c r="K222" s="55">
        <v>141.52746109930899</v>
      </c>
      <c r="L222" s="56">
        <v>3.298260680304943E-2</v>
      </c>
      <c r="M222" s="55">
        <v>127.49867815630427</v>
      </c>
      <c r="N222" s="55">
        <v>66.509697067767917</v>
      </c>
      <c r="O222" s="58">
        <v>0</v>
      </c>
      <c r="P222" s="98">
        <v>0</v>
      </c>
      <c r="Q222" s="106">
        <v>0</v>
      </c>
    </row>
    <row r="223" spans="1:17" x14ac:dyDescent="0.2">
      <c r="A223" s="28">
        <f t="shared" si="0"/>
        <v>2011.1</v>
      </c>
      <c r="B223" s="28"/>
      <c r="C223" s="55">
        <v>146.50973887634768</v>
      </c>
      <c r="D223" s="56">
        <v>2.2091844730707535E-3</v>
      </c>
      <c r="E223" s="56">
        <v>6.4565448337914694E-2</v>
      </c>
      <c r="F223" s="56">
        <v>6.4565448337914694E-2</v>
      </c>
      <c r="G223" s="56">
        <v>5.4364173532797766E-2</v>
      </c>
      <c r="H223" s="56">
        <v>-1.2466324963305526E-2</v>
      </c>
      <c r="I223" s="56">
        <v>5.023126278076611E-2</v>
      </c>
      <c r="J223" s="56">
        <v>1.8882468908730292E-2</v>
      </c>
      <c r="K223" s="55">
        <v>141.833531613307</v>
      </c>
      <c r="L223" s="56">
        <v>3.3031381549941674E-2</v>
      </c>
      <c r="M223" s="55">
        <v>127.57863546052469</v>
      </c>
      <c r="N223" s="55">
        <v>61.470128703071069</v>
      </c>
      <c r="O223" s="58">
        <v>0</v>
      </c>
      <c r="P223" s="98">
        <v>1</v>
      </c>
      <c r="Q223" s="106">
        <v>0</v>
      </c>
    </row>
    <row r="224" spans="1:17" x14ac:dyDescent="0.2">
      <c r="A224" s="28">
        <f t="shared" si="0"/>
        <v>2011.11</v>
      </c>
      <c r="B224" s="28"/>
      <c r="C224" s="55">
        <v>146.23844399936092</v>
      </c>
      <c r="D224" s="56">
        <v>-1.8534356181820972E-3</v>
      </c>
      <c r="E224" s="56">
        <v>5.4855310139341723E-2</v>
      </c>
      <c r="F224" s="56">
        <v>5.4855310139341723E-2</v>
      </c>
      <c r="G224" s="56">
        <v>4.0439825810625329E-2</v>
      </c>
      <c r="H224" s="56">
        <v>-1.2466324963305526E-2</v>
      </c>
      <c r="I224" s="56">
        <v>5.023126278076611E-2</v>
      </c>
      <c r="J224" s="56">
        <v>1.8882468908730292E-2</v>
      </c>
      <c r="K224" s="55">
        <v>142.13385291963399</v>
      </c>
      <c r="L224" s="56">
        <v>2.8937776670101778E-2</v>
      </c>
      <c r="M224" s="55">
        <v>127.14106641049581</v>
      </c>
      <c r="N224" s="55">
        <v>58.110416459939856</v>
      </c>
      <c r="O224" s="58">
        <v>1</v>
      </c>
      <c r="P224" s="98">
        <v>1</v>
      </c>
      <c r="Q224" s="106">
        <v>0</v>
      </c>
    </row>
    <row r="225" spans="1:17" x14ac:dyDescent="0.2">
      <c r="A225" s="28">
        <f t="shared" si="0"/>
        <v>2011.12</v>
      </c>
      <c r="B225" s="28"/>
      <c r="C225" s="55">
        <v>146.05528041369988</v>
      </c>
      <c r="D225" s="56">
        <v>-1.2532845855912256E-3</v>
      </c>
      <c r="E225" s="56">
        <v>4.4967598428484634E-2</v>
      </c>
      <c r="F225" s="56">
        <v>4.4967598428484634E-2</v>
      </c>
      <c r="G225" s="56">
        <v>2.9381929297509046E-2</v>
      </c>
      <c r="H225" s="56">
        <v>-1.2466324963305526E-2</v>
      </c>
      <c r="I225" s="56">
        <v>5.023126278076611E-2</v>
      </c>
      <c r="J225" s="56">
        <v>1.8882468908730292E-2</v>
      </c>
      <c r="K225" s="55">
        <v>142.42839882507801</v>
      </c>
      <c r="L225" s="56">
        <v>2.5521546023641095E-2</v>
      </c>
      <c r="M225" s="55">
        <v>126.78106309268024</v>
      </c>
      <c r="N225" s="55">
        <v>51.390991973677401</v>
      </c>
      <c r="O225" s="58">
        <v>1</v>
      </c>
      <c r="P225" s="98">
        <v>1</v>
      </c>
      <c r="Q225" s="106">
        <v>0</v>
      </c>
    </row>
    <row r="226" spans="1:17" x14ac:dyDescent="0.2">
      <c r="A226" s="28">
        <f t="shared" si="0"/>
        <v>2012.01</v>
      </c>
      <c r="B226" s="28"/>
      <c r="C226" s="55">
        <v>145.81226073964237</v>
      </c>
      <c r="D226" s="56">
        <v>-1.6652741120700195E-3</v>
      </c>
      <c r="E226" s="56">
        <v>3.5743839670310716E-2</v>
      </c>
      <c r="F226" s="56">
        <v>3.5743839670310716E-2</v>
      </c>
      <c r="G226" s="56">
        <v>1.9207288439077264E-2</v>
      </c>
      <c r="H226" s="56">
        <v>-1.2466324963305526E-2</v>
      </c>
      <c r="I226" s="56">
        <v>5.023126278076611E-2</v>
      </c>
      <c r="J226" s="56">
        <v>1.8882468908730292E-2</v>
      </c>
      <c r="K226" s="55">
        <v>142.71717480714199</v>
      </c>
      <c r="L226" s="56">
        <v>2.1741082894509267E-2</v>
      </c>
      <c r="M226" s="55">
        <v>126.37000528901018</v>
      </c>
      <c r="N226" s="55">
        <v>48.031279730546181</v>
      </c>
      <c r="O226" s="58">
        <v>1</v>
      </c>
      <c r="P226" s="98">
        <v>1</v>
      </c>
      <c r="Q226" s="106">
        <v>0</v>
      </c>
    </row>
    <row r="227" spans="1:17" x14ac:dyDescent="0.2">
      <c r="A227" s="28">
        <f t="shared" si="0"/>
        <v>2012.02</v>
      </c>
      <c r="B227" s="28"/>
      <c r="C227" s="55">
        <v>145.47917862736921</v>
      </c>
      <c r="D227" s="56">
        <v>-2.2869347493849439E-3</v>
      </c>
      <c r="E227" s="56">
        <v>2.8648088922703888E-2</v>
      </c>
      <c r="F227" s="56">
        <v>2.8648088922703888E-2</v>
      </c>
      <c r="G227" s="56">
        <v>9.3971635585161639E-3</v>
      </c>
      <c r="H227" s="56">
        <v>-1.2466324963305526E-2</v>
      </c>
      <c r="I227" s="56">
        <v>5.023126278076611E-2</v>
      </c>
      <c r="J227" s="56">
        <v>1.8882468908730292E-2</v>
      </c>
      <c r="K227" s="55">
        <v>143.00021432689101</v>
      </c>
      <c r="L227" s="56">
        <v>1.7386683698674466E-2</v>
      </c>
      <c r="M227" s="55">
        <v>125.88200002996248</v>
      </c>
      <c r="N227" s="55">
        <v>41.311855244283734</v>
      </c>
      <c r="O227" s="58">
        <v>1</v>
      </c>
      <c r="P227" s="98">
        <v>1</v>
      </c>
      <c r="Q227" s="106">
        <v>0</v>
      </c>
    </row>
    <row r="228" spans="1:17" x14ac:dyDescent="0.2">
      <c r="A228" s="28">
        <f t="shared" si="0"/>
        <v>2012.03</v>
      </c>
      <c r="B228" s="28"/>
      <c r="C228" s="55">
        <v>145.38821809796517</v>
      </c>
      <c r="D228" s="56">
        <v>-6.2544330092172769E-4</v>
      </c>
      <c r="E228" s="56">
        <v>2.0531568469356949E-2</v>
      </c>
      <c r="F228" s="56">
        <v>2.0531568469356949E-2</v>
      </c>
      <c r="G228" s="56">
        <v>3.8442135146328216E-3</v>
      </c>
      <c r="H228" s="56">
        <v>-1.2466324963305526E-2</v>
      </c>
      <c r="I228" s="56">
        <v>5.023126278076611E-2</v>
      </c>
      <c r="J228" s="56">
        <v>1.8882468908730292E-2</v>
      </c>
      <c r="K228" s="55">
        <v>143.27757472606501</v>
      </c>
      <c r="L228" s="56">
        <v>1.477942471236382E-2</v>
      </c>
      <c r="M228" s="55">
        <v>125.60439666743669</v>
      </c>
      <c r="N228" s="55">
        <v>37.952143001152507</v>
      </c>
      <c r="O228" s="58">
        <v>1</v>
      </c>
      <c r="P228" s="98">
        <v>1</v>
      </c>
      <c r="Q228" s="106">
        <v>0</v>
      </c>
    </row>
    <row r="229" spans="1:17" x14ac:dyDescent="0.2">
      <c r="A229" s="28">
        <f t="shared" si="0"/>
        <v>2012.04</v>
      </c>
      <c r="B229" s="28"/>
      <c r="C229" s="55">
        <v>144.37132923848606</v>
      </c>
      <c r="D229" s="56">
        <v>-7.0188750882754303E-3</v>
      </c>
      <c r="E229" s="56">
        <v>6.0937693764123351E-3</v>
      </c>
      <c r="F229" s="56">
        <v>6.0937693764123351E-3</v>
      </c>
      <c r="G229" s="56">
        <v>-1.2176682838625941E-2</v>
      </c>
      <c r="H229" s="56">
        <v>-1.2466324963305526E-2</v>
      </c>
      <c r="I229" s="56">
        <v>5.023126278076611E-2</v>
      </c>
      <c r="J229" s="56">
        <v>1.8882468908730292E-2</v>
      </c>
      <c r="K229" s="55">
        <v>143.54933247493</v>
      </c>
      <c r="L229" s="56">
        <v>5.7710465733540328E-3</v>
      </c>
      <c r="M229" s="55">
        <v>124.52868926575569</v>
      </c>
      <c r="N229" s="55">
        <v>32.912574636455673</v>
      </c>
      <c r="O229" s="58">
        <v>1</v>
      </c>
      <c r="P229" s="98">
        <v>1</v>
      </c>
      <c r="Q229" s="106">
        <v>0</v>
      </c>
    </row>
    <row r="230" spans="1:17" x14ac:dyDescent="0.2">
      <c r="A230" s="28">
        <f t="shared" si="0"/>
        <v>2012.05</v>
      </c>
      <c r="B230" s="28"/>
      <c r="C230" s="55">
        <v>143.89198387127158</v>
      </c>
      <c r="D230" s="56">
        <v>-3.3257496686921722E-3</v>
      </c>
      <c r="E230" s="56">
        <v>-1.7425584019196977E-4</v>
      </c>
      <c r="F230" s="56">
        <v>-1.7425584019196977E-4</v>
      </c>
      <c r="G230" s="56">
        <v>-1.9134082800391861E-2</v>
      </c>
      <c r="H230" s="56">
        <v>-1.2466324963305526E-2</v>
      </c>
      <c r="I230" s="56">
        <v>5.023126278076611E-2</v>
      </c>
      <c r="J230" s="56">
        <v>1.8882468908730292E-2</v>
      </c>
      <c r="K230" s="55">
        <v>143.81558033280101</v>
      </c>
      <c r="L230" s="56">
        <v>5.7267127327476075E-4</v>
      </c>
      <c r="M230" s="55">
        <v>123.91899885827937</v>
      </c>
      <c r="N230" s="55">
        <v>36.2722868795869</v>
      </c>
      <c r="O230" s="58">
        <v>1</v>
      </c>
      <c r="P230" s="98">
        <v>1</v>
      </c>
      <c r="Q230" s="106">
        <v>0</v>
      </c>
    </row>
    <row r="231" spans="1:17" x14ac:dyDescent="0.2">
      <c r="A231" s="28">
        <f t="shared" si="0"/>
        <v>2012.06</v>
      </c>
      <c r="B231" s="28"/>
      <c r="C231" s="55">
        <v>143.19704930092254</v>
      </c>
      <c r="D231" s="56">
        <v>-4.8412572223996263E-3</v>
      </c>
      <c r="E231" s="56">
        <v>-9.5530421780390656E-3</v>
      </c>
      <c r="F231" s="56">
        <v>-9.5530421780390656E-3</v>
      </c>
      <c r="G231" s="56">
        <v>-2.7835919922204022E-2</v>
      </c>
      <c r="H231" s="56">
        <v>-1.2466324963305526E-2</v>
      </c>
      <c r="I231" s="56">
        <v>5.023126278076611E-2</v>
      </c>
      <c r="J231" s="56">
        <v>1.8882468908730292E-2</v>
      </c>
      <c r="K231" s="55">
        <v>144.076417406556</v>
      </c>
      <c r="L231" s="56">
        <v>-6.0656470173812149E-3</v>
      </c>
      <c r="M231" s="55">
        <v>123.12555431079032</v>
      </c>
      <c r="N231" s="55">
        <v>34.59243075802128</v>
      </c>
      <c r="O231" s="58">
        <v>1</v>
      </c>
      <c r="P231" s="98">
        <v>1</v>
      </c>
      <c r="Q231" s="106">
        <v>0</v>
      </c>
    </row>
    <row r="232" spans="1:17" x14ac:dyDescent="0.2">
      <c r="A232" s="28">
        <f t="shared" si="0"/>
        <v>2012.07</v>
      </c>
      <c r="B232" s="28"/>
      <c r="C232" s="55">
        <v>142.38982340410973</v>
      </c>
      <c r="D232" s="56">
        <v>-5.6531173084044114E-3</v>
      </c>
      <c r="E232" s="56">
        <v>-1.7763218855277658E-2</v>
      </c>
      <c r="F232" s="56">
        <v>-1.7763218855277658E-2</v>
      </c>
      <c r="G232" s="56">
        <v>-3.6528433271803218E-2</v>
      </c>
      <c r="H232" s="56">
        <v>-1.2466324963305526E-2</v>
      </c>
      <c r="I232" s="56">
        <v>5.023126278076611E-2</v>
      </c>
      <c r="J232" s="56">
        <v>1.8882468908730292E-2</v>
      </c>
      <c r="K232" s="55">
        <v>144.331943398677</v>
      </c>
      <c r="L232" s="56">
        <v>-1.3421788862044592E-2</v>
      </c>
      <c r="M232" s="55">
        <v>122.23790975701668</v>
      </c>
      <c r="N232" s="55">
        <v>32.912574636455673</v>
      </c>
      <c r="O232" s="58">
        <v>1</v>
      </c>
      <c r="P232" s="98">
        <v>1</v>
      </c>
      <c r="Q232" s="106">
        <v>0</v>
      </c>
    </row>
    <row r="233" spans="1:17" x14ac:dyDescent="0.2">
      <c r="A233" s="28">
        <f t="shared" si="0"/>
        <v>2012.08</v>
      </c>
      <c r="B233" s="28"/>
      <c r="C233" s="55">
        <v>141.78988735170765</v>
      </c>
      <c r="D233" s="56">
        <v>-4.2222362889677758E-3</v>
      </c>
      <c r="E233" s="56">
        <v>-2.5121259916752396E-2</v>
      </c>
      <c r="F233" s="56">
        <v>-2.5121259916752396E-2</v>
      </c>
      <c r="G233" s="56">
        <v>-4.1420733303267676E-2</v>
      </c>
      <c r="H233" s="56">
        <v>-1.2466324963305526E-2</v>
      </c>
      <c r="I233" s="56">
        <v>5.023126278076611E-2</v>
      </c>
      <c r="J233" s="56">
        <v>1.8882468908730292E-2</v>
      </c>
      <c r="K233" s="55">
        <v>144.58225123380299</v>
      </c>
      <c r="L233" s="56">
        <v>-1.9282935805146617E-2</v>
      </c>
      <c r="M233" s="55">
        <v>121.53043570775162</v>
      </c>
      <c r="N233" s="55">
        <v>32.912574636455673</v>
      </c>
      <c r="O233" s="58">
        <v>1</v>
      </c>
      <c r="P233" s="98">
        <v>1</v>
      </c>
      <c r="Q233" s="106">
        <v>0</v>
      </c>
    </row>
    <row r="234" spans="1:17" x14ac:dyDescent="0.2">
      <c r="A234" s="28">
        <f t="shared" si="0"/>
        <v>2012.09</v>
      </c>
      <c r="B234" s="28"/>
      <c r="C234" s="55">
        <v>141.79996610296789</v>
      </c>
      <c r="D234" s="56">
        <v>7.1079773424299135E-5</v>
      </c>
      <c r="E234" s="56">
        <v>-3.0465343696394524E-2</v>
      </c>
      <c r="F234" s="56">
        <v>-3.0465343696394524E-2</v>
      </c>
      <c r="G234" s="56">
        <v>-3.7616950264930726E-2</v>
      </c>
      <c r="H234" s="56">
        <v>-1.2466324963305526E-2</v>
      </c>
      <c r="I234" s="56">
        <v>5.023126278076611E-2</v>
      </c>
      <c r="J234" s="56">
        <v>1.8882468908730292E-2</v>
      </c>
      <c r="K234" s="55">
        <v>144.82741885948701</v>
      </c>
      <c r="L234" s="56">
        <v>-2.0877220801660101E-2</v>
      </c>
      <c r="M234" s="55">
        <v>121.34692020578593</v>
      </c>
      <c r="N234" s="55">
        <v>32.912574636455673</v>
      </c>
      <c r="O234" s="58">
        <v>1</v>
      </c>
      <c r="P234" s="98">
        <v>1</v>
      </c>
      <c r="Q234" s="106">
        <v>0</v>
      </c>
    </row>
    <row r="235" spans="1:17" x14ac:dyDescent="0.2">
      <c r="A235" s="28">
        <f t="shared" si="0"/>
        <v>2012.1</v>
      </c>
      <c r="B235" s="28"/>
      <c r="C235" s="55">
        <v>142.14159193795479</v>
      </c>
      <c r="D235" s="56">
        <v>2.406312074837181E-3</v>
      </c>
      <c r="E235" s="56">
        <v>-3.0268216094628247E-2</v>
      </c>
      <c r="F235" s="56">
        <v>-3.0268216094628247E-2</v>
      </c>
      <c r="G235" s="56">
        <v>-2.8809976272390347E-2</v>
      </c>
      <c r="H235" s="56">
        <v>-1.2466324963305526E-2</v>
      </c>
      <c r="I235" s="56">
        <v>5.023126278076611E-2</v>
      </c>
      <c r="J235" s="56">
        <v>1.8882468908730292E-2</v>
      </c>
      <c r="K235" s="55">
        <v>145.06750268528199</v>
      </c>
      <c r="L235" s="56">
        <v>-2.0146505475882814E-2</v>
      </c>
      <c r="M235" s="55">
        <v>121.44695779149978</v>
      </c>
      <c r="N235" s="55">
        <v>36.2722868795869</v>
      </c>
      <c r="O235" s="58">
        <v>0</v>
      </c>
      <c r="P235" s="98">
        <v>0</v>
      </c>
      <c r="Q235" s="106">
        <v>0</v>
      </c>
    </row>
    <row r="236" spans="1:17" x14ac:dyDescent="0.2">
      <c r="A236" s="28">
        <f t="shared" si="0"/>
        <v>2012.11</v>
      </c>
      <c r="B236" s="28"/>
      <c r="C236" s="55">
        <v>142.7194643349537</v>
      </c>
      <c r="D236" s="56">
        <v>4.057228441549255E-3</v>
      </c>
      <c r="E236" s="56">
        <v>-2.4357552034896875E-2</v>
      </c>
      <c r="F236" s="56">
        <v>-2.4357552034896875E-2</v>
      </c>
      <c r="G236" s="56">
        <v>-1.6938328333981345E-2</v>
      </c>
      <c r="H236" s="56">
        <v>-1.2466324963305526E-2</v>
      </c>
      <c r="I236" s="56">
        <v>5.023126278076611E-2</v>
      </c>
      <c r="J236" s="56">
        <v>1.8882468908730292E-2</v>
      </c>
      <c r="K236" s="55">
        <v>145.30253576777099</v>
      </c>
      <c r="L236" s="56">
        <v>-1.7758392888949315E-2</v>
      </c>
      <c r="M236" s="55">
        <v>121.74790763865236</v>
      </c>
      <c r="N236" s="55">
        <v>37.952143001152507</v>
      </c>
      <c r="O236" s="58">
        <v>0</v>
      </c>
      <c r="P236" s="98">
        <v>0</v>
      </c>
      <c r="Q236" s="106">
        <v>0</v>
      </c>
    </row>
    <row r="237" spans="1:17" x14ac:dyDescent="0.2">
      <c r="A237" s="28">
        <f t="shared" si="0"/>
        <v>2012.12</v>
      </c>
      <c r="B237" s="28"/>
      <c r="C237" s="55">
        <v>143.4096676227143</v>
      </c>
      <c r="D237" s="56">
        <v>4.8244275006206847E-3</v>
      </c>
      <c r="E237" s="56">
        <v>-1.8279839948684842E-2</v>
      </c>
      <c r="F237" s="56">
        <v>-1.8279839948684842E-2</v>
      </c>
      <c r="G237" s="56">
        <v>-4.4048399536412708E-3</v>
      </c>
      <c r="H237" s="56">
        <v>-1.2466324963305526E-2</v>
      </c>
      <c r="I237" s="56">
        <v>5.023126278076611E-2</v>
      </c>
      <c r="J237" s="56">
        <v>1.8882468908730292E-2</v>
      </c>
      <c r="K237" s="55">
        <v>145.532528592528</v>
      </c>
      <c r="L237" s="56">
        <v>-1.4572249920167146E-2</v>
      </c>
      <c r="M237" s="55">
        <v>122.14327551896365</v>
      </c>
      <c r="N237" s="55">
        <v>44.671567487414954</v>
      </c>
      <c r="O237" s="58">
        <v>0</v>
      </c>
      <c r="P237" s="98">
        <v>0</v>
      </c>
      <c r="Q237" s="106">
        <v>0</v>
      </c>
    </row>
    <row r="238" spans="1:17" x14ac:dyDescent="0.2">
      <c r="A238" s="28">
        <f t="shared" si="0"/>
        <v>2013.01</v>
      </c>
      <c r="B238" s="28"/>
      <c r="C238" s="55">
        <v>144.37357798879648</v>
      </c>
      <c r="D238" s="56">
        <v>6.6988887324783038E-3</v>
      </c>
      <c r="E238" s="56">
        <v>-9.9156771041365947E-3</v>
      </c>
      <c r="F238" s="56">
        <v>-9.9156771041365947E-3</v>
      </c>
      <c r="G238" s="56">
        <v>1.0844528876494897E-2</v>
      </c>
      <c r="H238" s="56">
        <v>-1.2466324963305526E-2</v>
      </c>
      <c r="I238" s="56">
        <v>5.023126278076611E-2</v>
      </c>
      <c r="J238" s="56">
        <v>1.8882468908730292E-2</v>
      </c>
      <c r="K238" s="55">
        <v>145.75747171856199</v>
      </c>
      <c r="L238" s="56">
        <v>-9.484322170303594E-3</v>
      </c>
      <c r="M238" s="55">
        <v>122.76983908517778</v>
      </c>
      <c r="N238" s="55">
        <v>51.390991973677401</v>
      </c>
      <c r="O238" s="58">
        <v>0</v>
      </c>
      <c r="P238" s="98">
        <v>0</v>
      </c>
      <c r="Q238" s="106">
        <v>0</v>
      </c>
    </row>
    <row r="239" spans="1:17" x14ac:dyDescent="0.2">
      <c r="A239" s="28">
        <f t="shared" si="0"/>
        <v>2013.02</v>
      </c>
      <c r="B239" s="28"/>
      <c r="C239" s="55">
        <v>145.61192544850553</v>
      </c>
      <c r="D239" s="56">
        <v>8.5408061621288743E-3</v>
      </c>
      <c r="E239" s="56">
        <v>9.1206380737724618E-4</v>
      </c>
      <c r="F239" s="56">
        <v>9.1206380737724618E-4</v>
      </c>
      <c r="G239" s="56">
        <v>2.8494924645698916E-2</v>
      </c>
      <c r="H239" s="56">
        <v>-1.2466324963305526E-2</v>
      </c>
      <c r="I239" s="56">
        <v>5.023126278076611E-2</v>
      </c>
      <c r="J239" s="56">
        <v>1.8882468908730292E-2</v>
      </c>
      <c r="K239" s="55">
        <v>145.97733932901099</v>
      </c>
      <c r="L239" s="56">
        <v>-2.4977424445181695E-3</v>
      </c>
      <c r="M239" s="55">
        <v>123.62711812118708</v>
      </c>
      <c r="N239" s="55">
        <v>59.790272581505477</v>
      </c>
      <c r="O239" s="58">
        <v>0</v>
      </c>
      <c r="P239" s="98">
        <v>0</v>
      </c>
      <c r="Q239" s="106">
        <v>0</v>
      </c>
    </row>
    <row r="240" spans="1:17" x14ac:dyDescent="0.2">
      <c r="A240" s="28">
        <f t="shared" si="0"/>
        <v>2013.03</v>
      </c>
      <c r="B240" s="28"/>
      <c r="C240" s="55">
        <v>146.28713614214405</v>
      </c>
      <c r="D240" s="56">
        <v>4.626338257159965E-3</v>
      </c>
      <c r="E240" s="56">
        <v>6.1638453654589255E-3</v>
      </c>
      <c r="F240" s="56">
        <v>6.1638453654589255E-3</v>
      </c>
      <c r="G240" s="56">
        <v>3.7169147893882482E-2</v>
      </c>
      <c r="H240" s="56">
        <v>-1.2466324963305526E-2</v>
      </c>
      <c r="I240" s="56">
        <v>5.023126278076611E-2</v>
      </c>
      <c r="J240" s="56">
        <v>1.8882468908730292E-2</v>
      </c>
      <c r="K240" s="55">
        <v>146.19209493278001</v>
      </c>
      <c r="L240" s="56">
        <v>6.5058085150604406E-4</v>
      </c>
      <c r="M240" s="55">
        <v>124.00402231107152</v>
      </c>
      <c r="N240" s="55">
        <v>59.790272581505477</v>
      </c>
      <c r="O240" s="58">
        <v>0</v>
      </c>
      <c r="P240" s="98">
        <v>0</v>
      </c>
      <c r="Q240" s="106">
        <v>0</v>
      </c>
    </row>
    <row r="241" spans="1:17" x14ac:dyDescent="0.2">
      <c r="A241" s="28">
        <f t="shared" si="0"/>
        <v>2013.04</v>
      </c>
      <c r="B241" s="28"/>
      <c r="C241" s="55">
        <v>147.24301659158186</v>
      </c>
      <c r="D241" s="56">
        <v>6.5130196644169634E-3</v>
      </c>
      <c r="E241" s="56">
        <v>1.9695740118151166E-2</v>
      </c>
      <c r="F241" s="56">
        <v>1.9695740118151166E-2</v>
      </c>
      <c r="G241" s="56">
        <v>4.8703957155229016E-2</v>
      </c>
      <c r="H241" s="56">
        <v>-1.2466324963305526E-2</v>
      </c>
      <c r="I241" s="56">
        <v>5.023126278076611E-2</v>
      </c>
      <c r="J241" s="56">
        <v>1.8882468908730292E-2</v>
      </c>
      <c r="K241" s="55">
        <v>146.40169922467101</v>
      </c>
      <c r="L241" s="56">
        <v>5.7417875036060995E-3</v>
      </c>
      <c r="M241" s="55">
        <v>124.61696643727048</v>
      </c>
      <c r="N241" s="55">
        <v>61.470128703071069</v>
      </c>
      <c r="O241" s="58">
        <v>0</v>
      </c>
      <c r="P241" s="98">
        <v>0</v>
      </c>
      <c r="Q241" s="106">
        <v>0</v>
      </c>
    </row>
    <row r="242" spans="1:17" x14ac:dyDescent="0.2">
      <c r="A242" s="28">
        <f t="shared" ref="A242:A306" si="1">A230+1</f>
        <v>2013.05</v>
      </c>
      <c r="B242" s="28"/>
      <c r="C242" s="55">
        <v>147.94379927270103</v>
      </c>
      <c r="D242" s="56">
        <v>4.7480711197373055E-3</v>
      </c>
      <c r="E242" s="56">
        <v>2.776956090658082E-2</v>
      </c>
      <c r="F242" s="56">
        <v>2.776956090658082E-2</v>
      </c>
      <c r="G242" s="56">
        <v>5.4687534847095431E-2</v>
      </c>
      <c r="H242" s="56">
        <v>-1.2466324963305526E-2</v>
      </c>
      <c r="I242" s="56">
        <v>5.023126278076611E-2</v>
      </c>
      <c r="J242" s="56">
        <v>1.8882468908730292E-2</v>
      </c>
      <c r="K242" s="55">
        <v>146.606113639478</v>
      </c>
      <c r="L242" s="56">
        <v>9.1138664192413898E-3</v>
      </c>
      <c r="M242" s="55">
        <v>125.01210555052263</v>
      </c>
      <c r="N242" s="55">
        <v>61.470128703071069</v>
      </c>
      <c r="O242" s="58">
        <v>0</v>
      </c>
      <c r="P242" s="98">
        <v>0</v>
      </c>
      <c r="Q242" s="106">
        <v>0</v>
      </c>
    </row>
    <row r="243" spans="1:17" x14ac:dyDescent="0.2">
      <c r="A243" s="28">
        <f t="shared" si="1"/>
        <v>2013.06</v>
      </c>
      <c r="B243" s="28"/>
      <c r="C243" s="55">
        <v>148.51101554022705</v>
      </c>
      <c r="D243" s="56">
        <v>3.8266672109709418E-3</v>
      </c>
      <c r="E243" s="56">
        <v>3.643748533995151E-2</v>
      </c>
      <c r="F243" s="56">
        <v>3.643748533995151E-2</v>
      </c>
      <c r="G243" s="56">
        <v>5.7573882019547273E-2</v>
      </c>
      <c r="H243" s="56">
        <v>-1.2466324963305526E-2</v>
      </c>
      <c r="I243" s="56">
        <v>5.023126278076611E-2</v>
      </c>
      <c r="J243" s="56">
        <v>1.8882468908730292E-2</v>
      </c>
      <c r="K243" s="55">
        <v>146.8053061091</v>
      </c>
      <c r="L243" s="56">
        <v>1.1602416039755203E-2</v>
      </c>
      <c r="M243" s="55">
        <v>125.29299892116987</v>
      </c>
      <c r="N243" s="55">
        <v>61.470128703071069</v>
      </c>
      <c r="O243" s="58">
        <v>0</v>
      </c>
      <c r="P243" s="98">
        <v>0</v>
      </c>
      <c r="Q243" s="106">
        <v>0</v>
      </c>
    </row>
    <row r="244" spans="1:17" x14ac:dyDescent="0.2">
      <c r="A244" s="28">
        <f t="shared" si="1"/>
        <v>2013.07</v>
      </c>
      <c r="B244" s="28"/>
      <c r="C244" s="55">
        <v>148.68278990801321</v>
      </c>
      <c r="D244" s="56">
        <v>1.1559755537656044E-3</v>
      </c>
      <c r="E244" s="56">
        <v>4.3246578202121556E-2</v>
      </c>
      <c r="F244" s="56">
        <v>4.3246578202121556E-2</v>
      </c>
      <c r="G244" s="56">
        <v>5.3845620415085893E-2</v>
      </c>
      <c r="H244" s="56">
        <v>-1.2466324963305526E-2</v>
      </c>
      <c r="I244" s="56">
        <v>5.023126278076611E-2</v>
      </c>
      <c r="J244" s="56">
        <v>1.8882468908730292E-2</v>
      </c>
      <c r="K244" s="55">
        <v>146.999254891763</v>
      </c>
      <c r="L244" s="56">
        <v>1.1430008179391216E-2</v>
      </c>
      <c r="M244" s="55">
        <v>125.2396000449027</v>
      </c>
      <c r="N244" s="55">
        <v>58.110416459939856</v>
      </c>
      <c r="O244" s="58">
        <v>0</v>
      </c>
      <c r="P244" s="98">
        <v>0</v>
      </c>
      <c r="Q244" s="106">
        <v>0</v>
      </c>
    </row>
    <row r="245" spans="1:17" x14ac:dyDescent="0.2">
      <c r="A245" s="28">
        <f t="shared" si="1"/>
        <v>2013.08</v>
      </c>
      <c r="B245" s="28"/>
      <c r="C245" s="55">
        <v>148.996028799757</v>
      </c>
      <c r="D245" s="56">
        <v>2.1045434721725393E-3</v>
      </c>
      <c r="E245" s="56">
        <v>4.9573357963261747E-2</v>
      </c>
      <c r="F245" s="56">
        <v>4.9573357963261747E-2</v>
      </c>
      <c r="G245" s="56">
        <v>5.0897191946368325E-2</v>
      </c>
      <c r="H245" s="56">
        <v>-1.2466324963305526E-2</v>
      </c>
      <c r="I245" s="56">
        <v>5.023126278076611E-2</v>
      </c>
      <c r="J245" s="56">
        <v>1.8882468908730292E-2</v>
      </c>
      <c r="K245" s="55">
        <v>147.18795141146401</v>
      </c>
      <c r="L245" s="56">
        <v>1.2254893737433603E-2</v>
      </c>
      <c r="M245" s="55">
        <v>125.30502790056484</v>
      </c>
      <c r="N245" s="55">
        <v>51.390991973677401</v>
      </c>
      <c r="O245" s="58">
        <v>0</v>
      </c>
      <c r="P245" s="98">
        <v>0</v>
      </c>
      <c r="Q245" s="106">
        <v>0</v>
      </c>
    </row>
    <row r="246" spans="1:17" x14ac:dyDescent="0.2">
      <c r="A246" s="28">
        <f t="shared" si="1"/>
        <v>2013.09</v>
      </c>
      <c r="B246" s="28"/>
      <c r="C246" s="55">
        <v>149.34328505323495</v>
      </c>
      <c r="D246" s="56">
        <v>2.327929268293184E-3</v>
      </c>
      <c r="E246" s="56">
        <v>5.1830207458130696E-2</v>
      </c>
      <c r="F246" s="56">
        <v>5.1830207458130696E-2</v>
      </c>
      <c r="G246" s="56">
        <v>4.7403502280549015E-2</v>
      </c>
      <c r="H246" s="56">
        <v>-1.2466324963305526E-2</v>
      </c>
      <c r="I246" s="56">
        <v>5.023126278076611E-2</v>
      </c>
      <c r="J246" s="56">
        <v>1.8882468908730292E-2</v>
      </c>
      <c r="K246" s="55">
        <v>147.37140008561099</v>
      </c>
      <c r="L246" s="56">
        <v>1.3344201232705188E-2</v>
      </c>
      <c r="M246" s="55">
        <v>125.39849905215075</v>
      </c>
      <c r="N246" s="55">
        <v>49.711135852111795</v>
      </c>
      <c r="O246" s="58">
        <v>0</v>
      </c>
      <c r="P246" s="98">
        <v>0</v>
      </c>
      <c r="Q246" s="106">
        <v>0</v>
      </c>
    </row>
    <row r="247" spans="1:17" x14ac:dyDescent="0.2">
      <c r="A247" s="28">
        <f t="shared" si="1"/>
        <v>2013.1</v>
      </c>
      <c r="B247" s="28"/>
      <c r="C247" s="55">
        <v>149.18467923979736</v>
      </c>
      <c r="D247" s="56">
        <v>-1.0625860712013113E-3</v>
      </c>
      <c r="E247" s="56">
        <v>4.8361309312092322E-2</v>
      </c>
      <c r="F247" s="56">
        <v>4.8361309312092322E-2</v>
      </c>
      <c r="G247" s="56">
        <v>3.7072175516437378E-2</v>
      </c>
      <c r="H247" s="56">
        <v>-1.2466324963305526E-2</v>
      </c>
      <c r="I247" s="56">
        <v>5.023126278076611E-2</v>
      </c>
      <c r="J247" s="56">
        <v>1.8882468908730292E-2</v>
      </c>
      <c r="K247" s="55">
        <v>147.54961928615899</v>
      </c>
      <c r="L247" s="56">
        <v>1.1038101701952963E-2</v>
      </c>
      <c r="M247" s="55">
        <v>125.06727773036229</v>
      </c>
      <c r="N247" s="55">
        <v>44.671567487414954</v>
      </c>
      <c r="O247" s="58">
        <v>1</v>
      </c>
      <c r="P247" s="98">
        <v>1</v>
      </c>
      <c r="Q247" s="106">
        <v>0</v>
      </c>
    </row>
    <row r="248" spans="1:17" x14ac:dyDescent="0.2">
      <c r="A248" s="28">
        <f t="shared" si="1"/>
        <v>2013.11</v>
      </c>
      <c r="B248" s="28"/>
      <c r="C248" s="55">
        <v>148.60076361603882</v>
      </c>
      <c r="D248" s="56">
        <v>-3.9217254311712142E-3</v>
      </c>
      <c r="E248" s="56">
        <v>4.0382355439371832E-2</v>
      </c>
      <c r="F248" s="56">
        <v>4.0382355439371832E-2</v>
      </c>
      <c r="G248" s="56">
        <v>2.2007111963424864E-2</v>
      </c>
      <c r="H248" s="56">
        <v>-1.2466324963305526E-2</v>
      </c>
      <c r="I248" s="56">
        <v>5.023126278076611E-2</v>
      </c>
      <c r="J248" s="56">
        <v>1.8882468908730292E-2</v>
      </c>
      <c r="K248" s="55">
        <v>147.72264260476601</v>
      </c>
      <c r="L248" s="56">
        <v>5.8937366809936886E-3</v>
      </c>
      <c r="M248" s="55">
        <v>124.38080036669822</v>
      </c>
      <c r="N248" s="55">
        <v>41.311855244283734</v>
      </c>
      <c r="O248" s="58">
        <v>1</v>
      </c>
      <c r="P248" s="98">
        <v>1</v>
      </c>
      <c r="Q248" s="106">
        <v>0</v>
      </c>
    </row>
    <row r="249" spans="1:17" x14ac:dyDescent="0.2">
      <c r="A249" s="28">
        <f t="shared" si="1"/>
        <v>2013.12</v>
      </c>
      <c r="B249" s="28"/>
      <c r="C249" s="55">
        <v>148.24643250809993</v>
      </c>
      <c r="D249" s="56">
        <v>-2.3872974435912991E-3</v>
      </c>
      <c r="E249" s="56">
        <v>3.3170630495159885E-2</v>
      </c>
      <c r="F249" s="56">
        <v>3.3170630495159885E-2</v>
      </c>
      <c r="G249" s="56">
        <v>1.1273339420448503E-2</v>
      </c>
      <c r="H249" s="56">
        <v>-1.2466324963305526E-2</v>
      </c>
      <c r="I249" s="56">
        <v>5.023126278076611E-2</v>
      </c>
      <c r="J249" s="56">
        <v>1.8882468908730292E-2</v>
      </c>
      <c r="K249" s="55">
        <v>147.89051625394899</v>
      </c>
      <c r="L249" s="56">
        <v>2.3482455928867108E-3</v>
      </c>
      <c r="M249" s="55">
        <v>123.88804249339383</v>
      </c>
      <c r="N249" s="55">
        <v>37.952143001152507</v>
      </c>
      <c r="O249" s="58">
        <v>1</v>
      </c>
      <c r="P249" s="98">
        <v>1</v>
      </c>
      <c r="Q249" s="106">
        <v>0</v>
      </c>
    </row>
    <row r="250" spans="1:17" x14ac:dyDescent="0.2">
      <c r="A250" s="28">
        <f t="shared" si="1"/>
        <v>2014.01</v>
      </c>
      <c r="B250" s="28"/>
      <c r="C250" s="55">
        <v>147.61828577285524</v>
      </c>
      <c r="D250" s="56">
        <v>-4.2461817190482479E-3</v>
      </c>
      <c r="E250" s="56">
        <v>2.2225560043633352E-2</v>
      </c>
      <c r="F250" s="56">
        <v>2.2225560043633352E-2</v>
      </c>
      <c r="G250" s="56">
        <v>-1.670580739137284E-3</v>
      </c>
      <c r="H250" s="56">
        <v>-1.2466324963305526E-2</v>
      </c>
      <c r="I250" s="56">
        <v>5.023126278076611E-2</v>
      </c>
      <c r="J250" s="56">
        <v>1.8882468908730292E-2</v>
      </c>
      <c r="K250" s="55">
        <v>148.05329322592999</v>
      </c>
      <c r="L250" s="56">
        <v>-3.0044935139373896E-3</v>
      </c>
      <c r="M250" s="55">
        <v>123.16806865426526</v>
      </c>
      <c r="N250" s="55">
        <v>36.2722868795869</v>
      </c>
      <c r="O250" s="58">
        <v>1</v>
      </c>
      <c r="P250" s="98">
        <v>1</v>
      </c>
      <c r="Q250" s="106">
        <v>0</v>
      </c>
    </row>
    <row r="251" spans="1:17" x14ac:dyDescent="0.2">
      <c r="A251" s="28">
        <f t="shared" si="1"/>
        <v>2014.02</v>
      </c>
      <c r="B251" s="28"/>
      <c r="C251" s="55">
        <v>146.82401913823873</v>
      </c>
      <c r="D251" s="56">
        <v>-5.3950709386102027E-3</v>
      </c>
      <c r="E251" s="56">
        <v>8.2896829428940732E-3</v>
      </c>
      <c r="F251" s="56">
        <v>8.2896829428940732E-3</v>
      </c>
      <c r="G251" s="56">
        <v>-1.4895506441000128E-2</v>
      </c>
      <c r="H251" s="56">
        <v>-1.2466324963305526E-2</v>
      </c>
      <c r="I251" s="56">
        <v>5.023126278076611E-2</v>
      </c>
      <c r="J251" s="56">
        <v>1.8882468908730292E-2</v>
      </c>
      <c r="K251" s="55">
        <v>148.21102926546399</v>
      </c>
      <c r="L251" s="56">
        <v>-9.4328382285367995E-3</v>
      </c>
      <c r="M251" s="55">
        <v>122.31167561537639</v>
      </c>
      <c r="N251" s="55">
        <v>31.232718514890063</v>
      </c>
      <c r="O251" s="58">
        <v>1</v>
      </c>
      <c r="P251" s="98">
        <v>1</v>
      </c>
      <c r="Q251" s="106">
        <v>0</v>
      </c>
    </row>
    <row r="252" spans="1:17" x14ac:dyDescent="0.2">
      <c r="A252" s="28">
        <f t="shared" si="1"/>
        <v>2014.03</v>
      </c>
      <c r="B252" s="28"/>
      <c r="C252" s="55">
        <v>145.84589149186451</v>
      </c>
      <c r="D252" s="56">
        <v>-6.6841943952143813E-3</v>
      </c>
      <c r="E252" s="56">
        <v>-3.0208497094801412E-3</v>
      </c>
      <c r="F252" s="56">
        <v>-3.0208497094801412E-3</v>
      </c>
      <c r="G252" s="56">
        <v>-2.8201656803223507E-2</v>
      </c>
      <c r="H252" s="56">
        <v>-1.2466324963305526E-2</v>
      </c>
      <c r="I252" s="56">
        <v>5.023126278076611E-2</v>
      </c>
      <c r="J252" s="56">
        <v>1.8882468908730292E-2</v>
      </c>
      <c r="K252" s="55">
        <v>148.36377677053301</v>
      </c>
      <c r="L252" s="56">
        <v>-1.705391673077683E-2</v>
      </c>
      <c r="M252" s="55">
        <v>121.3047594665737</v>
      </c>
      <c r="N252" s="55">
        <v>29.552862393324446</v>
      </c>
      <c r="O252" s="58">
        <v>1</v>
      </c>
      <c r="P252" s="98">
        <v>1</v>
      </c>
      <c r="Q252" s="106">
        <v>0</v>
      </c>
    </row>
    <row r="253" spans="1:17" x14ac:dyDescent="0.2">
      <c r="A253" s="28">
        <f t="shared" si="1"/>
        <v>2014.04</v>
      </c>
      <c r="B253" s="28"/>
      <c r="C253" s="55">
        <v>145.74614126464616</v>
      </c>
      <c r="D253" s="56">
        <v>-6.8417665713601768E-4</v>
      </c>
      <c r="E253" s="56">
        <v>-1.0218046031033087E-2</v>
      </c>
      <c r="F253" s="56">
        <v>-1.0218046031033087E-2</v>
      </c>
      <c r="G253" s="56">
        <v>-2.8983393462791995E-2</v>
      </c>
      <c r="H253" s="56">
        <v>-1.2466324963305526E-2</v>
      </c>
      <c r="I253" s="56">
        <v>5.023126278076611E-2</v>
      </c>
      <c r="J253" s="56">
        <v>1.8882468908730292E-2</v>
      </c>
      <c r="K253" s="55">
        <v>148.51157744653801</v>
      </c>
      <c r="L253" s="56">
        <v>-1.8713182026852793E-2</v>
      </c>
      <c r="M253" s="55">
        <v>121.03014142433693</v>
      </c>
      <c r="N253" s="55">
        <v>31.232718514890063</v>
      </c>
      <c r="O253" s="58">
        <v>1</v>
      </c>
      <c r="P253" s="98">
        <v>1</v>
      </c>
      <c r="Q253" s="106">
        <v>0</v>
      </c>
    </row>
    <row r="254" spans="1:17" x14ac:dyDescent="0.2">
      <c r="A254" s="28">
        <f t="shared" si="1"/>
        <v>2014.05</v>
      </c>
      <c r="B254" s="28"/>
      <c r="C254" s="55">
        <v>145.85617679888639</v>
      </c>
      <c r="D254" s="56">
        <v>7.5469591732784151E-4</v>
      </c>
      <c r="E254" s="56">
        <v>-1.4211421233442455E-2</v>
      </c>
      <c r="F254" s="56">
        <v>-1.4211421233442455E-2</v>
      </c>
      <c r="G254" s="56">
        <v>-2.6115607013267983E-2</v>
      </c>
      <c r="H254" s="56">
        <v>-1.2466324963305526E-2</v>
      </c>
      <c r="I254" s="56">
        <v>5.023126278076611E-2</v>
      </c>
      <c r="J254" s="56">
        <v>1.8882468908730292E-2</v>
      </c>
      <c r="K254" s="55">
        <v>148.654453578432</v>
      </c>
      <c r="L254" s="56">
        <v>-1.8926081706585718E-2</v>
      </c>
      <c r="M254" s="55">
        <v>120.93002285061033</v>
      </c>
      <c r="N254" s="55">
        <v>31.232718514890063</v>
      </c>
      <c r="O254" s="58">
        <v>0</v>
      </c>
      <c r="P254" s="98">
        <v>0</v>
      </c>
      <c r="Q254" s="106">
        <v>0</v>
      </c>
    </row>
    <row r="255" spans="1:17" x14ac:dyDescent="0.2">
      <c r="A255" s="28">
        <f t="shared" si="1"/>
        <v>2014.06</v>
      </c>
      <c r="B255" s="28"/>
      <c r="C255" s="55">
        <v>146.2132831998577</v>
      </c>
      <c r="D255" s="56">
        <v>2.4453537793617235E-3</v>
      </c>
      <c r="E255" s="56">
        <v>-1.5592734665051872E-2</v>
      </c>
      <c r="F255" s="56">
        <v>-1.5592734665051872E-2</v>
      </c>
      <c r="G255" s="56">
        <v>-1.958198753079532E-2</v>
      </c>
      <c r="H255" s="56">
        <v>-1.2466324963305526E-2</v>
      </c>
      <c r="I255" s="56">
        <v>5.023126278076611E-2</v>
      </c>
      <c r="J255" s="56">
        <v>1.8882468908730292E-2</v>
      </c>
      <c r="K255" s="55">
        <v>148.79240611957701</v>
      </c>
      <c r="L255" s="56">
        <v>-1.7446325201042168E-2</v>
      </c>
      <c r="M255" s="55">
        <v>121.0344420476269</v>
      </c>
      <c r="N255" s="55">
        <v>32.912574636455673</v>
      </c>
      <c r="O255" s="58">
        <v>0</v>
      </c>
      <c r="P255" s="98">
        <v>0</v>
      </c>
      <c r="Q255" s="106">
        <v>0</v>
      </c>
    </row>
    <row r="256" spans="1:17" x14ac:dyDescent="0.2">
      <c r="A256" s="28">
        <f t="shared" si="1"/>
        <v>2014.07</v>
      </c>
      <c r="B256" s="28"/>
      <c r="C256" s="55">
        <v>146.73019190160809</v>
      </c>
      <c r="D256" s="56">
        <v>3.5290715251549273E-3</v>
      </c>
      <c r="E256" s="56">
        <v>-1.3219638693662463E-2</v>
      </c>
      <c r="F256" s="56">
        <v>-1.3219638693662463E-2</v>
      </c>
      <c r="G256" s="56">
        <v>-1.0808734281580579E-2</v>
      </c>
      <c r="H256" s="56">
        <v>-1.2466324963305526E-2</v>
      </c>
      <c r="I256" s="56">
        <v>5.023126278076611E-2</v>
      </c>
      <c r="J256" s="56">
        <v>1.8882468908730292E-2</v>
      </c>
      <c r="K256" s="55">
        <v>148.92541443817299</v>
      </c>
      <c r="L256" s="56">
        <v>-1.4864331521097784E-2</v>
      </c>
      <c r="M256" s="55">
        <v>121.27030299978911</v>
      </c>
      <c r="N256" s="55">
        <v>36.2722868795869</v>
      </c>
      <c r="O256" s="58">
        <v>0</v>
      </c>
      <c r="P256" s="98">
        <v>0</v>
      </c>
      <c r="Q256" s="106">
        <v>0</v>
      </c>
    </row>
    <row r="257" spans="1:17" x14ac:dyDescent="0.2">
      <c r="A257" s="28">
        <f t="shared" si="1"/>
        <v>2014.08</v>
      </c>
      <c r="B257" s="28"/>
      <c r="C257" s="55">
        <v>147.56292705943383</v>
      </c>
      <c r="D257" s="56">
        <v>5.6592378596093309E-3</v>
      </c>
      <c r="E257" s="56">
        <v>-9.6649443062255726E-3</v>
      </c>
      <c r="F257" s="56">
        <v>-9.6649443062255726E-3</v>
      </c>
      <c r="G257" s="56">
        <v>1.6179577136565815E-3</v>
      </c>
      <c r="H257" s="56">
        <v>-1.2466324963305526E-2</v>
      </c>
      <c r="I257" s="56">
        <v>5.023126278076611E-2</v>
      </c>
      <c r="J257" s="56">
        <v>1.8882468908730292E-2</v>
      </c>
      <c r="K257" s="55">
        <v>149.053438008211</v>
      </c>
      <c r="L257" s="56">
        <v>-1.0135970482123779E-2</v>
      </c>
      <c r="M257" s="55">
        <v>121.76572876595563</v>
      </c>
      <c r="N257" s="55">
        <v>46.351423608980575</v>
      </c>
      <c r="O257" s="58">
        <v>0</v>
      </c>
      <c r="P257" s="98">
        <v>0</v>
      </c>
      <c r="Q257" s="106">
        <v>0</v>
      </c>
    </row>
    <row r="258" spans="1:17" x14ac:dyDescent="0.2">
      <c r="A258" s="28">
        <f t="shared" si="1"/>
        <v>2014.09</v>
      </c>
      <c r="B258" s="28"/>
      <c r="C258" s="55">
        <v>147.81925507125109</v>
      </c>
      <c r="D258" s="56">
        <v>1.7355689792178464E-3</v>
      </c>
      <c r="E258" s="56">
        <v>-1.0257304595300939E-2</v>
      </c>
      <c r="F258" s="56">
        <v>-1.0257304595300939E-2</v>
      </c>
      <c r="G258" s="56">
        <v>6.3368088707025372E-3</v>
      </c>
      <c r="H258" s="56">
        <v>-1.2466324963305526E-2</v>
      </c>
      <c r="I258" s="56">
        <v>5.023126278076611E-2</v>
      </c>
      <c r="J258" s="56">
        <v>1.8882468908730292E-2</v>
      </c>
      <c r="K258" s="55">
        <v>149.176419369423</v>
      </c>
      <c r="L258" s="56">
        <v>-9.2461852248022502E-3</v>
      </c>
      <c r="M258" s="55">
        <v>121.7843981691054</v>
      </c>
      <c r="N258" s="55">
        <v>49.711135852111795</v>
      </c>
      <c r="O258" s="58">
        <v>0</v>
      </c>
      <c r="P258" s="98">
        <v>0</v>
      </c>
      <c r="Q258" s="106">
        <v>0</v>
      </c>
    </row>
    <row r="259" spans="1:17" x14ac:dyDescent="0.2">
      <c r="A259" s="28">
        <f t="shared" si="1"/>
        <v>2014.1</v>
      </c>
      <c r="B259" s="28"/>
      <c r="C259" s="55">
        <v>148.49890034935143</v>
      </c>
      <c r="D259" s="56">
        <v>4.5872752478172624E-3</v>
      </c>
      <c r="E259" s="56">
        <v>-4.6074432762824146E-3</v>
      </c>
      <c r="F259" s="56">
        <v>-4.6074432762824146E-3</v>
      </c>
      <c r="G259" s="56">
        <v>1.6512775797581591E-2</v>
      </c>
      <c r="H259" s="56">
        <v>-1.2466324963305526E-2</v>
      </c>
      <c r="I259" s="56">
        <v>5.023126278076611E-2</v>
      </c>
      <c r="J259" s="56">
        <v>1.8882468908730292E-2</v>
      </c>
      <c r="K259" s="55">
        <v>149.29428956238399</v>
      </c>
      <c r="L259" s="56">
        <v>-5.4895802170940033E-3</v>
      </c>
      <c r="M259" s="55">
        <v>122.15091275051299</v>
      </c>
      <c r="N259" s="55">
        <v>53.070848095243022</v>
      </c>
      <c r="O259" s="58">
        <v>0</v>
      </c>
      <c r="P259" s="98">
        <v>0</v>
      </c>
      <c r="Q259" s="106">
        <v>0</v>
      </c>
    </row>
    <row r="260" spans="1:17" x14ac:dyDescent="0.2">
      <c r="A260" s="28">
        <f t="shared" si="1"/>
        <v>2014.11</v>
      </c>
      <c r="B260" s="28"/>
      <c r="C260" s="55">
        <v>148.73121819001904</v>
      </c>
      <c r="D260" s="56">
        <v>1.5632190244913643E-3</v>
      </c>
      <c r="E260" s="56">
        <v>8.7750117938020311E-4</v>
      </c>
      <c r="F260" s="56">
        <v>8.7750117938020311E-4</v>
      </c>
      <c r="G260" s="56">
        <v>2.0181760761959211E-2</v>
      </c>
      <c r="H260" s="56">
        <v>-1.2466324963305526E-2</v>
      </c>
      <c r="I260" s="56">
        <v>5.023126278076611E-2</v>
      </c>
      <c r="J260" s="56">
        <v>1.8882468908730292E-2</v>
      </c>
      <c r="K260" s="55">
        <v>149.40696915813501</v>
      </c>
      <c r="L260" s="56">
        <v>-4.6984674052844566E-3</v>
      </c>
      <c r="M260" s="55">
        <v>122.14858709322068</v>
      </c>
      <c r="N260" s="55">
        <v>51.390991973677401</v>
      </c>
      <c r="O260" s="58">
        <v>0</v>
      </c>
      <c r="P260" s="98">
        <v>0</v>
      </c>
      <c r="Q260" s="106">
        <v>0</v>
      </c>
    </row>
    <row r="261" spans="1:17" x14ac:dyDescent="0.2">
      <c r="A261" s="28">
        <f t="shared" si="1"/>
        <v>2014.12</v>
      </c>
      <c r="B261" s="28"/>
      <c r="C261" s="55">
        <v>148.71911197562332</v>
      </c>
      <c r="D261" s="56">
        <v>-8.139990562895804E-5</v>
      </c>
      <c r="E261" s="56">
        <v>3.1833987173426042E-3</v>
      </c>
      <c r="F261" s="56">
        <v>3.1833987173426042E-3</v>
      </c>
      <c r="G261" s="56">
        <v>1.988933588517261E-2</v>
      </c>
      <c r="H261" s="56">
        <v>-1.2466324963305526E-2</v>
      </c>
      <c r="I261" s="56">
        <v>5.023126278076611E-2</v>
      </c>
      <c r="J261" s="56">
        <v>1.8882468908730292E-2</v>
      </c>
      <c r="K261" s="55">
        <v>149.51437259552799</v>
      </c>
      <c r="L261" s="56">
        <v>-5.5085613706993275E-3</v>
      </c>
      <c r="M261" s="55">
        <v>121.94554252467179</v>
      </c>
      <c r="N261" s="55">
        <v>49.711135852111795</v>
      </c>
      <c r="O261" s="58">
        <v>0</v>
      </c>
      <c r="P261" s="98">
        <v>0</v>
      </c>
      <c r="Q261" s="106">
        <v>0</v>
      </c>
    </row>
    <row r="262" spans="1:17" x14ac:dyDescent="0.2">
      <c r="A262" s="28">
        <f t="shared" si="1"/>
        <v>2015.01</v>
      </c>
      <c r="B262" s="28"/>
      <c r="C262" s="55">
        <v>148.96229717836846</v>
      </c>
      <c r="D262" s="56">
        <v>1.6338625749924411E-3</v>
      </c>
      <c r="E262" s="56">
        <v>9.0634430113831106E-3</v>
      </c>
      <c r="F262" s="56">
        <v>9.0634430113831106E-3</v>
      </c>
      <c r="G262" s="56">
        <v>2.2464956448940976E-2</v>
      </c>
      <c r="H262" s="56">
        <v>-1.2466324963305526E-2</v>
      </c>
      <c r="I262" s="56">
        <v>5.023126278076611E-2</v>
      </c>
      <c r="J262" s="56">
        <v>1.8882468908730292E-2</v>
      </c>
      <c r="K262" s="55">
        <v>149.61640910730901</v>
      </c>
      <c r="L262" s="56">
        <v>-4.5765451868629015E-3</v>
      </c>
      <c r="M262" s="55">
        <v>121.95183558382895</v>
      </c>
      <c r="N262" s="55">
        <v>48.031279730546181</v>
      </c>
      <c r="O262" s="58">
        <v>0</v>
      </c>
      <c r="P262" s="98">
        <v>0</v>
      </c>
      <c r="Q262" s="106">
        <v>0</v>
      </c>
    </row>
    <row r="263" spans="1:17" x14ac:dyDescent="0.2">
      <c r="A263" s="28">
        <f t="shared" si="1"/>
        <v>2015.02</v>
      </c>
      <c r="B263" s="28"/>
      <c r="C263" s="55">
        <v>149.83936440969271</v>
      </c>
      <c r="D263" s="56">
        <v>5.8705814792228035E-3</v>
      </c>
      <c r="E263" s="56">
        <v>2.032909542921614E-2</v>
      </c>
      <c r="F263" s="56">
        <v>2.032909542921614E-2</v>
      </c>
      <c r="G263" s="56">
        <v>3.2156172956491869E-2</v>
      </c>
      <c r="H263" s="56">
        <v>-1.2466324963305526E-2</v>
      </c>
      <c r="I263" s="56">
        <v>5.023126278076611E-2</v>
      </c>
      <c r="J263" s="56">
        <v>1.8882468908730292E-2</v>
      </c>
      <c r="K263" s="55">
        <v>149.71298179919</v>
      </c>
      <c r="L263" s="56">
        <v>6.2289881269417258E-4</v>
      </c>
      <c r="M263" s="55">
        <v>122.4759273869095</v>
      </c>
      <c r="N263" s="55">
        <v>49.711135852111795</v>
      </c>
      <c r="O263" s="58">
        <v>0</v>
      </c>
      <c r="P263" s="98">
        <v>0</v>
      </c>
      <c r="Q263" s="106">
        <v>0</v>
      </c>
    </row>
    <row r="264" spans="1:17" x14ac:dyDescent="0.2">
      <c r="A264" s="28">
        <f t="shared" si="1"/>
        <v>2015.03</v>
      </c>
      <c r="B264" s="28"/>
      <c r="C264" s="55">
        <v>150.43467151175639</v>
      </c>
      <c r="D264" s="56">
        <v>3.9650972831401518E-3</v>
      </c>
      <c r="E264" s="56">
        <v>3.0978387107570605E-2</v>
      </c>
      <c r="F264" s="56">
        <v>3.0978387107570605E-2</v>
      </c>
      <c r="G264" s="56">
        <v>3.6472724481122709E-2</v>
      </c>
      <c r="H264" s="56">
        <v>-1.2466324963305526E-2</v>
      </c>
      <c r="I264" s="56">
        <v>5.023126278076611E-2</v>
      </c>
      <c r="J264" s="56">
        <v>1.8882468908730292E-2</v>
      </c>
      <c r="K264" s="55">
        <v>149.803988738025</v>
      </c>
      <c r="L264" s="56">
        <v>3.9717476884810754E-3</v>
      </c>
      <c r="M264" s="55">
        <v>122.7681157672564</v>
      </c>
      <c r="N264" s="55">
        <v>53.070848095243022</v>
      </c>
      <c r="O264" s="58">
        <v>0</v>
      </c>
      <c r="P264" s="98">
        <v>0</v>
      </c>
      <c r="Q264" s="106">
        <v>0</v>
      </c>
    </row>
    <row r="265" spans="1:17" x14ac:dyDescent="0.2">
      <c r="A265" s="28">
        <f t="shared" si="1"/>
        <v>2015.04</v>
      </c>
      <c r="B265" s="28"/>
      <c r="C265" s="55">
        <v>151.2967609033804</v>
      </c>
      <c r="D265" s="56">
        <v>5.7142985107936084E-3</v>
      </c>
      <c r="E265" s="56">
        <v>3.7376862275500244E-2</v>
      </c>
      <c r="F265" s="56">
        <v>3.7376862275500244E-2</v>
      </c>
      <c r="G265" s="56">
        <v>4.2471367269316662E-2</v>
      </c>
      <c r="H265" s="56">
        <v>-1.2466324963305526E-2</v>
      </c>
      <c r="I265" s="56">
        <v>5.023126278076611E-2</v>
      </c>
      <c r="J265" s="56">
        <v>1.8882468908730292E-2</v>
      </c>
      <c r="K265" s="55">
        <v>149.88932897242799</v>
      </c>
      <c r="L265" s="56">
        <v>9.1332316481518294E-3</v>
      </c>
      <c r="M265" s="55">
        <v>123.27644804500035</v>
      </c>
      <c r="N265" s="55">
        <v>54.750704216808636</v>
      </c>
      <c r="O265" s="58">
        <v>0</v>
      </c>
      <c r="P265" s="98">
        <v>0</v>
      </c>
      <c r="Q265" s="106">
        <v>0</v>
      </c>
    </row>
    <row r="266" spans="1:17" x14ac:dyDescent="0.2">
      <c r="A266" s="28">
        <f t="shared" si="1"/>
        <v>2015.05</v>
      </c>
      <c r="B266" s="28"/>
      <c r="C266" s="55">
        <v>152.37571886455817</v>
      </c>
      <c r="D266" s="56">
        <v>7.1060933957810398E-3</v>
      </c>
      <c r="E266" s="56">
        <v>4.3728259753953481E-2</v>
      </c>
      <c r="F266" s="56">
        <v>4.3728259753953481E-2</v>
      </c>
      <c r="G266" s="56">
        <v>5.0167211912490961E-2</v>
      </c>
      <c r="H266" s="56">
        <v>-1.2466324963305526E-2</v>
      </c>
      <c r="I266" s="56">
        <v>5.023126278076611E-2</v>
      </c>
      <c r="J266" s="56">
        <v>1.8882468908730292E-2</v>
      </c>
      <c r="K266" s="55">
        <v>149.96890642299999</v>
      </c>
      <c r="L266" s="56">
        <v>1.5772665839083988E-2</v>
      </c>
      <c r="M266" s="55">
        <v>123.95929102018096</v>
      </c>
      <c r="N266" s="55">
        <v>64.82984094620231</v>
      </c>
      <c r="O266" s="58">
        <v>0</v>
      </c>
      <c r="P266" s="98">
        <v>0</v>
      </c>
      <c r="Q266" s="106">
        <v>0</v>
      </c>
    </row>
    <row r="267" spans="1:17" x14ac:dyDescent="0.2">
      <c r="A267" s="28">
        <f t="shared" si="1"/>
        <v>2015.06</v>
      </c>
      <c r="B267" s="28"/>
      <c r="C267" s="55">
        <v>153.09748104987585</v>
      </c>
      <c r="D267" s="56">
        <v>4.7255440323051142E-3</v>
      </c>
      <c r="E267" s="56">
        <v>4.6008450006896913E-2</v>
      </c>
      <c r="F267" s="56">
        <v>4.6008450006896913E-2</v>
      </c>
      <c r="G267" s="56">
        <v>5.2245557460085523E-2</v>
      </c>
      <c r="H267" s="56">
        <v>-1.2466324963305526E-2</v>
      </c>
      <c r="I267" s="56">
        <v>5.023126278076611E-2</v>
      </c>
      <c r="J267" s="56">
        <v>1.8882468908730292E-2</v>
      </c>
      <c r="K267" s="55">
        <v>150.04263587899499</v>
      </c>
      <c r="L267" s="56">
        <v>2.006407315500458E-2</v>
      </c>
      <c r="M267" s="55">
        <v>124.34954349244052</v>
      </c>
      <c r="N267" s="55">
        <v>68.189553189333523</v>
      </c>
      <c r="O267" s="58">
        <v>0</v>
      </c>
      <c r="P267" s="98">
        <v>0</v>
      </c>
      <c r="Q267" s="106">
        <v>0</v>
      </c>
    </row>
    <row r="268" spans="1:17" x14ac:dyDescent="0.2">
      <c r="A268" s="28">
        <f t="shared" si="1"/>
        <v>2015.07</v>
      </c>
      <c r="B268" s="28"/>
      <c r="C268" s="55">
        <v>153.57086810471492</v>
      </c>
      <c r="D268" s="56">
        <v>3.0872923935348845E-3</v>
      </c>
      <c r="E268" s="56">
        <v>4.5566670875276903E-2</v>
      </c>
      <c r="F268" s="56">
        <v>4.5566670875276903E-2</v>
      </c>
      <c r="G268" s="56">
        <v>5.0775470619752738E-2</v>
      </c>
      <c r="H268" s="56">
        <v>-1.2466324963305526E-2</v>
      </c>
      <c r="I268" s="56">
        <v>5.023126278076611E-2</v>
      </c>
      <c r="J268" s="56">
        <v>1.8882468908730292E-2</v>
      </c>
      <c r="K268" s="55">
        <v>150.11045071114</v>
      </c>
      <c r="L268" s="56">
        <v>2.2736724279459608E-2</v>
      </c>
      <c r="M268" s="55">
        <v>124.53683468455021</v>
      </c>
      <c r="N268" s="55">
        <v>69.869409310899144</v>
      </c>
      <c r="O268" s="58">
        <v>0</v>
      </c>
      <c r="P268" s="98">
        <v>0</v>
      </c>
      <c r="Q268" s="106">
        <v>0</v>
      </c>
    </row>
    <row r="269" spans="1:17" x14ac:dyDescent="0.2">
      <c r="A269" s="28">
        <f t="shared" si="1"/>
        <v>2015.08</v>
      </c>
      <c r="B269" s="28"/>
      <c r="C269" s="55">
        <v>153.06517416515544</v>
      </c>
      <c r="D269" s="56">
        <v>-3.2983363225708166E-3</v>
      </c>
      <c r="E269" s="56">
        <v>3.6609096693096636E-2</v>
      </c>
      <c r="F269" s="56">
        <v>3.6609096693096636E-2</v>
      </c>
      <c r="G269" s="56">
        <v>3.7084393218486777E-2</v>
      </c>
      <c r="H269" s="56">
        <v>-1.2466324963305526E-2</v>
      </c>
      <c r="I269" s="56">
        <v>5.023126278076611E-2</v>
      </c>
      <c r="J269" s="56">
        <v>1.8882468908730292E-2</v>
      </c>
      <c r="K269" s="55">
        <v>150.172307868715</v>
      </c>
      <c r="L269" s="56">
        <v>1.8929347505874272E-2</v>
      </c>
      <c r="M269" s="55">
        <v>123.93050170041006</v>
      </c>
      <c r="N269" s="55">
        <v>61.470128703071069</v>
      </c>
      <c r="O269" s="58">
        <v>1</v>
      </c>
      <c r="P269" s="98">
        <v>1</v>
      </c>
      <c r="Q269" s="106">
        <v>0</v>
      </c>
    </row>
    <row r="270" spans="1:17" x14ac:dyDescent="0.2">
      <c r="A270" s="28">
        <f t="shared" si="1"/>
        <v>2015.09</v>
      </c>
      <c r="B270" s="28"/>
      <c r="C270" s="55">
        <v>152.68035240173003</v>
      </c>
      <c r="D270" s="56">
        <v>-2.5172696454666007E-3</v>
      </c>
      <c r="E270" s="56">
        <v>3.2356258068412309E-2</v>
      </c>
      <c r="F270" s="56">
        <v>3.2356258068412309E-2</v>
      </c>
      <c r="G270" s="56">
        <v>2.6478648319105735E-2</v>
      </c>
      <c r="H270" s="56">
        <v>-1.2466324963305526E-2</v>
      </c>
      <c r="I270" s="56">
        <v>5.023126278076611E-2</v>
      </c>
      <c r="J270" s="56">
        <v>1.8882468908730292E-2</v>
      </c>
      <c r="K270" s="55">
        <v>150.228191001075</v>
      </c>
      <c r="L270" s="56">
        <v>1.5969352216823607E-2</v>
      </c>
      <c r="M270" s="55">
        <v>123.423485105094</v>
      </c>
      <c r="N270" s="55">
        <v>58.110416459939856</v>
      </c>
      <c r="O270" s="58">
        <v>1</v>
      </c>
      <c r="P270" s="98">
        <v>1</v>
      </c>
      <c r="Q270" s="106">
        <v>0</v>
      </c>
    </row>
    <row r="271" spans="1:17" x14ac:dyDescent="0.2">
      <c r="A271" s="28">
        <f t="shared" si="1"/>
        <v>2015.1</v>
      </c>
      <c r="B271" s="28"/>
      <c r="C271" s="55">
        <v>152.50257792019764</v>
      </c>
      <c r="D271" s="56">
        <v>-1.1650356817320372E-3</v>
      </c>
      <c r="E271" s="56">
        <v>2.6603947138863101E-2</v>
      </c>
      <c r="F271" s="56">
        <v>2.6603947138863101E-2</v>
      </c>
      <c r="G271" s="56">
        <v>1.9204017323848577E-2</v>
      </c>
      <c r="H271" s="56">
        <v>-1.2466324963305526E-2</v>
      </c>
      <c r="I271" s="56">
        <v>5.023126278076611E-2</v>
      </c>
      <c r="J271" s="56">
        <v>1.8882468908730292E-2</v>
      </c>
      <c r="K271" s="55">
        <v>150.27810607206499</v>
      </c>
      <c r="L271" s="56">
        <v>1.442861330676104E-2</v>
      </c>
      <c r="M271" s="55">
        <v>123.08486984339221</v>
      </c>
      <c r="N271" s="55">
        <v>54.750704216808636</v>
      </c>
      <c r="O271" s="58">
        <v>1</v>
      </c>
      <c r="P271" s="98">
        <v>1</v>
      </c>
      <c r="Q271" s="106">
        <v>0</v>
      </c>
    </row>
    <row r="272" spans="1:17" x14ac:dyDescent="0.2">
      <c r="A272" s="28">
        <f t="shared" si="1"/>
        <v>2015.11</v>
      </c>
      <c r="B272" s="28"/>
      <c r="C272" s="55">
        <v>151.68344114281226</v>
      </c>
      <c r="D272" s="56">
        <v>-5.3857751907004821E-3</v>
      </c>
      <c r="E272" s="56">
        <v>1.9654952923671032E-2</v>
      </c>
      <c r="F272" s="56">
        <v>1.9654952923671032E-2</v>
      </c>
      <c r="G272" s="56">
        <v>5.0152343845291103E-3</v>
      </c>
      <c r="H272" s="56">
        <v>-1.2466324963305526E-2</v>
      </c>
      <c r="I272" s="56">
        <v>5.023126278076611E-2</v>
      </c>
      <c r="J272" s="56">
        <v>1.8882468908730292E-2</v>
      </c>
      <c r="K272" s="55">
        <v>150.32207796451601</v>
      </c>
      <c r="L272" s="56">
        <v>8.6635669716910169E-3</v>
      </c>
      <c r="M272" s="55">
        <v>122.23019150528805</v>
      </c>
      <c r="N272" s="55">
        <v>44.671567487414954</v>
      </c>
      <c r="O272" s="58">
        <v>1</v>
      </c>
      <c r="P272" s="98">
        <v>1</v>
      </c>
      <c r="Q272" s="106">
        <v>0</v>
      </c>
    </row>
    <row r="273" spans="1:17" x14ac:dyDescent="0.2">
      <c r="A273" s="28">
        <f t="shared" si="1"/>
        <v>2015.12</v>
      </c>
      <c r="B273" s="28"/>
      <c r="C273" s="55">
        <v>150.83787912500054</v>
      </c>
      <c r="D273" s="56">
        <v>-5.5901132455839931E-3</v>
      </c>
      <c r="E273" s="56">
        <v>1.4146239583716179E-2</v>
      </c>
      <c r="F273" s="56">
        <v>1.4146239583716179E-2</v>
      </c>
      <c r="G273" s="56">
        <v>-8.2830163983350635E-3</v>
      </c>
      <c r="H273" s="56">
        <v>-1.2466324963305526E-2</v>
      </c>
      <c r="I273" s="56">
        <v>5.023126278076611E-2</v>
      </c>
      <c r="J273" s="56">
        <v>1.8882468908730292E-2</v>
      </c>
      <c r="K273" s="55">
        <v>150.36014872801701</v>
      </c>
      <c r="L273" s="56">
        <v>2.76534669956785E-3</v>
      </c>
      <c r="M273" s="55">
        <v>121.35664757881807</v>
      </c>
      <c r="N273" s="55">
        <v>37.952143001152507</v>
      </c>
      <c r="O273" s="58">
        <v>1</v>
      </c>
      <c r="P273" s="98">
        <v>1</v>
      </c>
      <c r="Q273" s="106">
        <v>0</v>
      </c>
    </row>
    <row r="274" spans="1:17" x14ac:dyDescent="0.2">
      <c r="A274" s="28">
        <f t="shared" si="1"/>
        <v>2016.01</v>
      </c>
      <c r="B274" s="28"/>
      <c r="C274" s="55">
        <v>149.97422948439132</v>
      </c>
      <c r="D274" s="56">
        <v>-5.7421359640794168E-3</v>
      </c>
      <c r="E274" s="56">
        <v>6.7702410446443886E-3</v>
      </c>
      <c r="F274" s="56">
        <v>6.7702410446443886E-3</v>
      </c>
      <c r="G274" s="56">
        <v>-2.0848045247733427E-2</v>
      </c>
      <c r="H274" s="56">
        <v>-1.2466324963305526E-2</v>
      </c>
      <c r="I274" s="56">
        <v>5.023126278076611E-2</v>
      </c>
      <c r="J274" s="56">
        <v>1.8882468908730292E-2</v>
      </c>
      <c r="K274" s="55">
        <v>150.392370917677</v>
      </c>
      <c r="L274" s="56">
        <v>-3.2115214331821518E-3</v>
      </c>
      <c r="M274" s="55">
        <v>120.47103089306884</v>
      </c>
      <c r="N274" s="55">
        <v>32.912574636455673</v>
      </c>
      <c r="O274" s="58">
        <v>1</v>
      </c>
      <c r="P274" s="98">
        <v>1</v>
      </c>
      <c r="Q274" s="106">
        <v>0</v>
      </c>
    </row>
    <row r="275" spans="1:17" x14ac:dyDescent="0.2">
      <c r="A275" s="28">
        <f t="shared" si="1"/>
        <v>2016.02</v>
      </c>
      <c r="B275" s="28"/>
      <c r="C275" s="55">
        <v>149.32409252545776</v>
      </c>
      <c r="D275" s="56">
        <v>-4.3444144766405755E-3</v>
      </c>
      <c r="E275" s="56">
        <v>-3.4447549112189579E-3</v>
      </c>
      <c r="F275" s="56">
        <v>-3.4447549112189579E-3</v>
      </c>
      <c r="G275" s="56">
        <v>-2.966594985311799E-2</v>
      </c>
      <c r="H275" s="56">
        <v>-1.2466324963305526E-2</v>
      </c>
      <c r="I275" s="56">
        <v>5.023126278076611E-2</v>
      </c>
      <c r="J275" s="56">
        <v>1.8882468908730292E-2</v>
      </c>
      <c r="K275" s="55">
        <v>150.41880077595499</v>
      </c>
      <c r="L275" s="56">
        <v>-7.7290023951221976E-3</v>
      </c>
      <c r="M275" s="55">
        <v>119.75915012553561</v>
      </c>
      <c r="N275" s="55">
        <v>34.59243075802128</v>
      </c>
      <c r="O275" s="58">
        <v>1</v>
      </c>
      <c r="P275" s="98">
        <v>1</v>
      </c>
      <c r="Q275" s="106">
        <v>0</v>
      </c>
    </row>
    <row r="276" spans="1:17" x14ac:dyDescent="0.2">
      <c r="A276" s="28">
        <f t="shared" si="1"/>
        <v>2016.03</v>
      </c>
      <c r="B276" s="28"/>
      <c r="C276" s="55">
        <v>148.99409573881675</v>
      </c>
      <c r="D276" s="56">
        <v>-2.2123821759725045E-3</v>
      </c>
      <c r="E276" s="56">
        <v>-9.6222343703315678E-3</v>
      </c>
      <c r="F276" s="56">
        <v>-9.6222343703315678E-3</v>
      </c>
      <c r="G276" s="56">
        <v>-3.3116167439632083E-2</v>
      </c>
      <c r="H276" s="56">
        <v>-1.2466324963305526E-2</v>
      </c>
      <c r="I276" s="56">
        <v>5.023126278076611E-2</v>
      </c>
      <c r="J276" s="56">
        <v>1.8882468908730292E-2</v>
      </c>
      <c r="K276" s="55">
        <v>150.439491320798</v>
      </c>
      <c r="L276" s="56">
        <v>-1.0080355881279202E-2</v>
      </c>
      <c r="M276" s="55">
        <v>119.30556832705994</v>
      </c>
      <c r="N276" s="55">
        <v>32.912574636455673</v>
      </c>
      <c r="O276" s="58">
        <v>1</v>
      </c>
      <c r="P276" s="98">
        <v>1</v>
      </c>
      <c r="Q276" s="106">
        <v>0</v>
      </c>
    </row>
    <row r="277" spans="1:17" x14ac:dyDescent="0.2">
      <c r="A277" s="28">
        <f t="shared" si="1"/>
        <v>2016.04</v>
      </c>
      <c r="B277" s="28"/>
      <c r="C277" s="55">
        <v>148.27824751955083</v>
      </c>
      <c r="D277" s="56">
        <v>-4.8161197580276838E-3</v>
      </c>
      <c r="E277" s="56">
        <v>-2.0152652639152932E-2</v>
      </c>
      <c r="F277" s="56">
        <v>-2.0152652639152932E-2</v>
      </c>
      <c r="G277" s="56">
        <v>-4.0273606573494325E-2</v>
      </c>
      <c r="H277" s="56">
        <v>-1.2466324963305526E-2</v>
      </c>
      <c r="I277" s="56">
        <v>5.023126278076611E-2</v>
      </c>
      <c r="J277" s="56">
        <v>1.8882468908730292E-2</v>
      </c>
      <c r="K277" s="55">
        <v>150.45448712547699</v>
      </c>
      <c r="L277" s="56">
        <v>-1.4957191212114029E-2</v>
      </c>
      <c r="M277" s="55">
        <v>118.54464312185119</v>
      </c>
      <c r="N277" s="55">
        <v>31.232718514890063</v>
      </c>
      <c r="O277" s="58">
        <v>1</v>
      </c>
      <c r="P277" s="98">
        <v>1</v>
      </c>
      <c r="Q277" s="106">
        <v>0</v>
      </c>
    </row>
    <row r="278" spans="1:17" x14ac:dyDescent="0.2">
      <c r="A278" s="28">
        <f t="shared" si="1"/>
        <v>2016.05</v>
      </c>
      <c r="B278" s="28"/>
      <c r="C278" s="55">
        <v>147.62814430948833</v>
      </c>
      <c r="D278" s="56">
        <v>-4.3939858954160594E-3</v>
      </c>
      <c r="E278" s="56">
        <v>-3.1652731930349884E-2</v>
      </c>
      <c r="F278" s="56">
        <v>-3.1652731930349884E-2</v>
      </c>
      <c r="G278" s="56">
        <v>-4.5104698978182811E-2</v>
      </c>
      <c r="H278" s="56">
        <v>-1.2466324963305526E-2</v>
      </c>
      <c r="I278" s="56">
        <v>5.023126278076611E-2</v>
      </c>
      <c r="J278" s="56">
        <v>1.8882468908730292E-2</v>
      </c>
      <c r="K278" s="55">
        <v>150.46382161381501</v>
      </c>
      <c r="L278" s="56">
        <v>-1.9359515135036753E-2</v>
      </c>
      <c r="M278" s="55">
        <v>117.83830410192115</v>
      </c>
      <c r="N278" s="55">
        <v>31.232718514890063</v>
      </c>
      <c r="O278" s="58">
        <v>1</v>
      </c>
      <c r="P278" s="98">
        <v>1</v>
      </c>
      <c r="Q278" s="106">
        <v>0</v>
      </c>
    </row>
    <row r="279" spans="1:17" x14ac:dyDescent="0.2">
      <c r="A279" s="28">
        <f t="shared" si="1"/>
        <v>2016.06</v>
      </c>
      <c r="B279" s="28"/>
      <c r="C279" s="55">
        <v>146.85959776657296</v>
      </c>
      <c r="D279" s="56">
        <v>-5.2195604634765625E-3</v>
      </c>
      <c r="E279" s="56">
        <v>-4.1597836426131636E-2</v>
      </c>
      <c r="F279" s="56">
        <v>-4.1597836426131636E-2</v>
      </c>
      <c r="G279" s="56">
        <v>-4.9681403909177635E-2</v>
      </c>
      <c r="H279" s="56">
        <v>-1.2466324963305526E-2</v>
      </c>
      <c r="I279" s="56">
        <v>5.023126278076611E-2</v>
      </c>
      <c r="J279" s="56">
        <v>1.8882468908730292E-2</v>
      </c>
      <c r="K279" s="55">
        <v>150.467511421339</v>
      </c>
      <c r="L279" s="56">
        <v>-2.4511446888381583E-2</v>
      </c>
      <c r="M279" s="55">
        <v>117.03950900942769</v>
      </c>
      <c r="N279" s="55">
        <v>32.912574636455673</v>
      </c>
      <c r="O279" s="58">
        <v>1</v>
      </c>
      <c r="P279" s="98">
        <v>1</v>
      </c>
      <c r="Q279" s="106">
        <v>0</v>
      </c>
    </row>
    <row r="280" spans="1:17" x14ac:dyDescent="0.2">
      <c r="A280" s="28">
        <f t="shared" si="1"/>
        <v>2016.07</v>
      </c>
      <c r="B280" s="28"/>
      <c r="C280" s="55">
        <v>147.19358243551153</v>
      </c>
      <c r="D280" s="56">
        <v>2.2715946301032964E-3</v>
      </c>
      <c r="E280" s="56">
        <v>-4.2413534189563298E-2</v>
      </c>
      <c r="F280" s="56">
        <v>-4.2413534189563298E-2</v>
      </c>
      <c r="G280" s="56">
        <v>-3.9591505487163392E-2</v>
      </c>
      <c r="H280" s="56">
        <v>-1.2466324963305526E-2</v>
      </c>
      <c r="I280" s="56">
        <v>5.023126278076611E-2</v>
      </c>
      <c r="J280" s="56">
        <v>1.8882468908730292E-2</v>
      </c>
      <c r="K280" s="55">
        <v>150.46555130392201</v>
      </c>
      <c r="L280" s="56">
        <v>-2.2303357953261216E-2</v>
      </c>
      <c r="M280" s="55">
        <v>117.12021639516956</v>
      </c>
      <c r="N280" s="55">
        <v>37.952143001152507</v>
      </c>
      <c r="O280" s="58">
        <v>0</v>
      </c>
      <c r="P280" s="98">
        <v>0</v>
      </c>
      <c r="Q280" s="106">
        <v>0</v>
      </c>
    </row>
    <row r="281" spans="1:17" x14ac:dyDescent="0.2">
      <c r="A281" s="28">
        <f t="shared" si="1"/>
        <v>2016.08</v>
      </c>
      <c r="B281" s="28"/>
      <c r="C281" s="55">
        <v>148.23537615708346</v>
      </c>
      <c r="D281" s="56">
        <v>7.0527821302087167E-3</v>
      </c>
      <c r="E281" s="56">
        <v>-3.2062415736783645E-2</v>
      </c>
      <c r="F281" s="56">
        <v>-3.2062415736783645E-2</v>
      </c>
      <c r="G281" s="56">
        <v>-2.0627538111518073E-2</v>
      </c>
      <c r="H281" s="56">
        <v>-1.2466324963305526E-2</v>
      </c>
      <c r="I281" s="56">
        <v>5.023126278076611E-2</v>
      </c>
      <c r="J281" s="56">
        <v>1.8882468908730292E-2</v>
      </c>
      <c r="K281" s="55">
        <v>150.45790817952599</v>
      </c>
      <c r="L281" s="56">
        <v>-1.5356882223738988E-2</v>
      </c>
      <c r="M281" s="55">
        <v>117.76268102276414</v>
      </c>
      <c r="N281" s="55">
        <v>42.991711365849348</v>
      </c>
      <c r="O281" s="58">
        <v>0</v>
      </c>
      <c r="P281" s="98">
        <v>0</v>
      </c>
      <c r="Q281" s="106">
        <v>0</v>
      </c>
    </row>
    <row r="282" spans="1:17" x14ac:dyDescent="0.2">
      <c r="A282" s="28">
        <f t="shared" si="1"/>
        <v>2016.09</v>
      </c>
      <c r="B282" s="28"/>
      <c r="C282" s="55">
        <v>148.77917556885529</v>
      </c>
      <c r="D282" s="56">
        <v>3.661773581418538E-3</v>
      </c>
      <c r="E282" s="56">
        <v>-2.5883372509898629E-2</v>
      </c>
      <c r="F282" s="56">
        <v>-2.5883372509898629E-2</v>
      </c>
      <c r="G282" s="56">
        <v>-9.0785998816395042E-3</v>
      </c>
      <c r="H282" s="56">
        <v>-1.2466324963305526E-2</v>
      </c>
      <c r="I282" s="56">
        <v>5.023126278076611E-2</v>
      </c>
      <c r="J282" s="56">
        <v>1.8882468908730292E-2</v>
      </c>
      <c r="K282" s="55">
        <v>150.44452371935299</v>
      </c>
      <c r="L282" s="56">
        <v>-1.1680394999360688E-2</v>
      </c>
      <c r="M282" s="55">
        <v>118.00782510558123</v>
      </c>
      <c r="N282" s="55">
        <v>46.351423608980575</v>
      </c>
      <c r="O282" s="58">
        <v>0</v>
      </c>
      <c r="P282" s="98">
        <v>0</v>
      </c>
      <c r="Q282" s="106">
        <v>0</v>
      </c>
    </row>
    <row r="283" spans="1:17" x14ac:dyDescent="0.2">
      <c r="A283" s="28">
        <f t="shared" si="1"/>
        <v>2016.1</v>
      </c>
      <c r="B283" s="28"/>
      <c r="C283" s="55">
        <v>149.04962795978568</v>
      </c>
      <c r="D283" s="56">
        <v>1.816160573224054E-3</v>
      </c>
      <c r="E283" s="56">
        <v>-2.2902176254942459E-2</v>
      </c>
      <c r="F283" s="56">
        <v>-2.2902176254942459E-2</v>
      </c>
      <c r="G283" s="56">
        <v>-1.7470911069230599E-3</v>
      </c>
      <c r="H283" s="56">
        <v>-1.2466324963305526E-2</v>
      </c>
      <c r="I283" s="56">
        <v>5.023126278076611E-2</v>
      </c>
      <c r="J283" s="56">
        <v>1.8882468908730292E-2</v>
      </c>
      <c r="K283" s="55">
        <v>150.425322439143</v>
      </c>
      <c r="L283" s="56">
        <v>-9.7811004816766856E-3</v>
      </c>
      <c r="M283" s="55">
        <v>118.03543061844337</v>
      </c>
      <c r="N283" s="55">
        <v>49.711135852111795</v>
      </c>
      <c r="O283" s="58">
        <v>0</v>
      </c>
      <c r="P283" s="98">
        <v>0</v>
      </c>
      <c r="Q283" s="106">
        <v>0</v>
      </c>
    </row>
    <row r="284" spans="1:17" x14ac:dyDescent="0.2">
      <c r="A284" s="28">
        <f t="shared" si="1"/>
        <v>2016.11</v>
      </c>
      <c r="B284" s="28"/>
      <c r="C284" s="55">
        <v>150.28847158559412</v>
      </c>
      <c r="D284" s="56">
        <v>8.2772670820843754E-3</v>
      </c>
      <c r="E284" s="56">
        <v>-9.2391339821576799E-3</v>
      </c>
      <c r="F284" s="56">
        <v>-9.2391339821576799E-3</v>
      </c>
      <c r="G284" s="56">
        <v>1.7243605524715822E-2</v>
      </c>
      <c r="H284" s="56">
        <v>-1.2466324963305526E-2</v>
      </c>
      <c r="I284" s="56">
        <v>5.023126278076611E-2</v>
      </c>
      <c r="J284" s="56">
        <v>1.8882468908730292E-2</v>
      </c>
      <c r="K284" s="55">
        <v>150.40021600290501</v>
      </c>
      <c r="L284" s="56">
        <v>-1.4079470157967178E-3</v>
      </c>
      <c r="M284" s="55">
        <v>118.82833012180772</v>
      </c>
      <c r="N284" s="55">
        <v>58.110416459939856</v>
      </c>
      <c r="O284" s="58">
        <v>0</v>
      </c>
      <c r="P284" s="98">
        <v>0</v>
      </c>
      <c r="Q284" s="106">
        <v>0</v>
      </c>
    </row>
    <row r="285" spans="1:17" x14ac:dyDescent="0.2">
      <c r="A285" s="28">
        <f t="shared" si="1"/>
        <v>2016.12</v>
      </c>
      <c r="B285" s="28"/>
      <c r="C285" s="55">
        <v>151.38176064404144</v>
      </c>
      <c r="D285" s="56">
        <v>7.2482713121082044E-3</v>
      </c>
      <c r="E285" s="56">
        <v>3.5992505755344135E-3</v>
      </c>
      <c r="F285" s="56">
        <v>3.5992505755344135E-3</v>
      </c>
      <c r="G285" s="56">
        <v>3.2434789558268839E-2</v>
      </c>
      <c r="H285" s="56">
        <v>-1.2466324963305526E-2</v>
      </c>
      <c r="I285" s="56">
        <v>5.023126278076611E-2</v>
      </c>
      <c r="J285" s="56">
        <v>1.8882468908730292E-2</v>
      </c>
      <c r="K285" s="55">
        <v>150.36910546818601</v>
      </c>
      <c r="L285" s="56">
        <v>6.0406090207127949E-3</v>
      </c>
      <c r="M285" s="55">
        <v>119.50352399457353</v>
      </c>
      <c r="N285" s="55">
        <v>66.509697067767917</v>
      </c>
      <c r="O285" s="58">
        <v>0</v>
      </c>
      <c r="P285" s="98">
        <v>0</v>
      </c>
      <c r="Q285" s="106">
        <v>0</v>
      </c>
    </row>
    <row r="286" spans="1:17" x14ac:dyDescent="0.2">
      <c r="A286" s="28">
        <f t="shared" si="1"/>
        <v>2017.01</v>
      </c>
      <c r="B286" s="28"/>
      <c r="C286" s="55">
        <v>152.01999142036482</v>
      </c>
      <c r="D286" s="56">
        <v>4.2071722617731391E-3</v>
      </c>
      <c r="E286" s="56">
        <v>1.3548558801387089E-2</v>
      </c>
      <c r="F286" s="56">
        <v>1.3548558801387089E-2</v>
      </c>
      <c r="G286" s="56">
        <v>3.9900133989428932E-2</v>
      </c>
      <c r="H286" s="56">
        <v>-1.2466324963305526E-2</v>
      </c>
      <c r="I286" s="56">
        <v>5.023126278076611E-2</v>
      </c>
      <c r="J286" s="56">
        <v>1.8882468908730292E-2</v>
      </c>
      <c r="K286" s="55">
        <v>150.331891044206</v>
      </c>
      <c r="L286" s="56">
        <v>1.0508381850841353E-2</v>
      </c>
      <c r="M286" s="55">
        <v>119.81762250937321</v>
      </c>
      <c r="N286" s="55">
        <v>68.189553189333523</v>
      </c>
      <c r="O286" s="58">
        <v>0</v>
      </c>
      <c r="P286" s="98">
        <v>0</v>
      </c>
      <c r="Q286" s="106">
        <v>0</v>
      </c>
    </row>
    <row r="287" spans="1:17" x14ac:dyDescent="0.2">
      <c r="A287" s="28">
        <f t="shared" si="1"/>
        <v>2017.02</v>
      </c>
      <c r="B287" s="28"/>
      <c r="C287" s="55">
        <v>152.22272756043813</v>
      </c>
      <c r="D287" s="56">
        <v>1.3327265201948683E-3</v>
      </c>
      <c r="E287" s="56">
        <v>1.9225699798222619E-2</v>
      </c>
      <c r="F287" s="56">
        <v>1.9225699798222619E-2</v>
      </c>
      <c r="G287" s="56">
        <v>4.0260987373849311E-2</v>
      </c>
      <c r="H287" s="56">
        <v>-1.2466324963305526E-2</v>
      </c>
      <c r="I287" s="56">
        <v>5.023126278076611E-2</v>
      </c>
      <c r="J287" s="56">
        <v>1.8882468908730292E-2</v>
      </c>
      <c r="K287" s="55">
        <v>150.28848076608801</v>
      </c>
      <c r="L287" s="56">
        <v>1.2124712553111205E-2</v>
      </c>
      <c r="M287" s="55">
        <v>119.78772792048579</v>
      </c>
      <c r="N287" s="55">
        <v>64.82984094620231</v>
      </c>
      <c r="O287" s="58">
        <v>0</v>
      </c>
      <c r="P287" s="98">
        <v>0</v>
      </c>
      <c r="Q287" s="106">
        <v>0</v>
      </c>
    </row>
    <row r="288" spans="1:17" x14ac:dyDescent="0.2">
      <c r="A288" s="28">
        <f t="shared" si="1"/>
        <v>2017.03</v>
      </c>
      <c r="B288" s="28"/>
      <c r="C288" s="55">
        <v>153.02868372539598</v>
      </c>
      <c r="D288" s="56">
        <v>5.2806179299720408E-3</v>
      </c>
      <c r="E288" s="56">
        <v>2.6718699904167153E-2</v>
      </c>
      <c r="F288" s="56">
        <v>2.6718699904167153E-2</v>
      </c>
      <c r="G288" s="56">
        <v>4.7315296708013932E-2</v>
      </c>
      <c r="H288" s="56">
        <v>-1.2466324963305526E-2</v>
      </c>
      <c r="I288" s="56">
        <v>5.023126278076611E-2</v>
      </c>
      <c r="J288" s="56">
        <v>1.8882468908730292E-2</v>
      </c>
      <c r="K288" s="55">
        <v>150.238795702696</v>
      </c>
      <c r="L288" s="56">
        <v>1.7796681409759652E-2</v>
      </c>
      <c r="M288" s="55">
        <v>120.23156623425201</v>
      </c>
      <c r="N288" s="55">
        <v>66.509697067767917</v>
      </c>
      <c r="O288" s="58">
        <v>0</v>
      </c>
      <c r="P288" s="98">
        <v>0</v>
      </c>
      <c r="Q288" s="106">
        <v>0</v>
      </c>
    </row>
    <row r="289" spans="1:17" x14ac:dyDescent="0.2">
      <c r="A289" s="28">
        <f t="shared" si="1"/>
        <v>2017.04</v>
      </c>
      <c r="B289" s="28"/>
      <c r="C289" s="55">
        <v>153.8426365434637</v>
      </c>
      <c r="D289" s="56">
        <v>5.3048602011920359E-3</v>
      </c>
      <c r="E289" s="56">
        <v>3.6839679863386911E-2</v>
      </c>
      <c r="F289" s="56">
        <v>3.6839679863386911E-2</v>
      </c>
      <c r="G289" s="56">
        <v>5.32380768012235E-2</v>
      </c>
      <c r="H289" s="56">
        <v>-1.2466324963305526E-2</v>
      </c>
      <c r="I289" s="56">
        <v>5.023126278076611E-2</v>
      </c>
      <c r="J289" s="56">
        <v>1.8882468908730292E-2</v>
      </c>
      <c r="K289" s="55">
        <v>150.18277185613599</v>
      </c>
      <c r="L289" s="56">
        <v>2.3569080499336259E-2</v>
      </c>
      <c r="M289" s="55">
        <v>120.67997458200637</v>
      </c>
      <c r="N289" s="55">
        <v>68.189553189333523</v>
      </c>
      <c r="O289" s="58">
        <v>0</v>
      </c>
      <c r="P289" s="98">
        <v>0</v>
      </c>
      <c r="Q289" s="106">
        <v>0</v>
      </c>
    </row>
    <row r="290" spans="1:17" x14ac:dyDescent="0.2">
      <c r="A290" s="28">
        <f t="shared" si="1"/>
        <v>2017.05</v>
      </c>
      <c r="B290" s="28"/>
      <c r="C290" s="55">
        <v>154.08206762919048</v>
      </c>
      <c r="D290" s="56">
        <v>1.5551278006347628E-3</v>
      </c>
      <c r="E290" s="56">
        <v>4.2788793559437599E-2</v>
      </c>
      <c r="F290" s="56">
        <v>4.2788793559437599E-2</v>
      </c>
      <c r="G290" s="56">
        <v>5.0247747060125914E-2</v>
      </c>
      <c r="H290" s="56">
        <v>-1.2466324963305526E-2</v>
      </c>
      <c r="I290" s="56">
        <v>5.023126278076611E-2</v>
      </c>
      <c r="J290" s="56">
        <v>1.8882468908730292E-2</v>
      </c>
      <c r="K290" s="55">
        <v>150.120366766144</v>
      </c>
      <c r="L290" s="56">
        <v>2.5565949739285054E-2</v>
      </c>
      <c r="M290" s="55">
        <v>120.67670050407142</v>
      </c>
      <c r="N290" s="55">
        <v>64.82984094620231</v>
      </c>
      <c r="O290" s="58">
        <v>0</v>
      </c>
      <c r="P290" s="98">
        <v>0</v>
      </c>
      <c r="Q290" s="106">
        <v>0</v>
      </c>
    </row>
    <row r="291" spans="1:17" x14ac:dyDescent="0.2">
      <c r="A291" s="28">
        <f t="shared" si="1"/>
        <v>2017.06</v>
      </c>
      <c r="B291" s="28"/>
      <c r="C291" s="55">
        <v>154.55464110077767</v>
      </c>
      <c r="D291" s="56">
        <v>3.0623307437589145E-3</v>
      </c>
      <c r="E291" s="56">
        <v>5.1070684766673029E-2</v>
      </c>
      <c r="F291" s="56">
        <v>5.1070684766673029E-2</v>
      </c>
      <c r="G291" s="56">
        <v>4.9248286812175301E-2</v>
      </c>
      <c r="H291" s="56">
        <v>-1.2466324963305526E-2</v>
      </c>
      <c r="I291" s="56">
        <v>5.023126278076611E-2</v>
      </c>
      <c r="J291" s="56">
        <v>1.8882468908730292E-2</v>
      </c>
      <c r="K291" s="55">
        <v>150.05156622583701</v>
      </c>
      <c r="L291" s="56">
        <v>2.916145865470976E-2</v>
      </c>
      <c r="M291" s="55">
        <v>120.85544299199158</v>
      </c>
      <c r="N291" s="55">
        <v>61.470128703071069</v>
      </c>
      <c r="O291" s="58">
        <v>0</v>
      </c>
      <c r="P291" s="98">
        <v>0</v>
      </c>
      <c r="Q291" s="106">
        <v>0</v>
      </c>
    </row>
    <row r="292" spans="1:17" x14ac:dyDescent="0.2">
      <c r="A292" s="28">
        <f t="shared" si="1"/>
        <v>2017.07</v>
      </c>
      <c r="B292" s="28"/>
      <c r="C292" s="55">
        <v>154.4961889971166</v>
      </c>
      <c r="D292" s="56">
        <v>-3.782685478600823E-4</v>
      </c>
      <c r="E292" s="56">
        <v>4.8420821588709584E-2</v>
      </c>
      <c r="F292" s="56">
        <v>4.8420821588709584E-2</v>
      </c>
      <c r="G292" s="56">
        <v>4.0322219409733462E-2</v>
      </c>
      <c r="H292" s="56">
        <v>-1.2466324963305526E-2</v>
      </c>
      <c r="I292" s="56">
        <v>5.023126278076611E-2</v>
      </c>
      <c r="J292" s="56">
        <v>1.8882468908730292E-2</v>
      </c>
      <c r="K292" s="55">
        <v>149.976386613925</v>
      </c>
      <c r="L292" s="56">
        <v>2.9267251797538307E-2</v>
      </c>
      <c r="M292" s="55">
        <v>120.61873474916526</v>
      </c>
      <c r="N292" s="55">
        <v>56.430560338374242</v>
      </c>
      <c r="O292" s="58">
        <v>0</v>
      </c>
      <c r="P292" s="98">
        <v>0</v>
      </c>
      <c r="Q292" s="106">
        <v>0</v>
      </c>
    </row>
    <row r="293" spans="1:17" x14ac:dyDescent="0.2">
      <c r="A293" s="28">
        <f t="shared" si="1"/>
        <v>2017.08</v>
      </c>
      <c r="B293" s="28"/>
      <c r="C293" s="55">
        <v>155.09859339959192</v>
      </c>
      <c r="D293" s="56">
        <v>3.8915718027457374E-3</v>
      </c>
      <c r="E293" s="56">
        <v>4.5259611261246391E-2</v>
      </c>
      <c r="F293" s="56">
        <v>4.5259611261246391E-2</v>
      </c>
      <c r="G293" s="56">
        <v>4.0083056422088204E-2</v>
      </c>
      <c r="H293" s="56">
        <v>-1.2466324963305526E-2</v>
      </c>
      <c r="I293" s="56">
        <v>5.023126278076611E-2</v>
      </c>
      <c r="J293" s="56">
        <v>1.8882468908730292E-2</v>
      </c>
      <c r="K293" s="55">
        <v>149.89487907301501</v>
      </c>
      <c r="L293" s="56">
        <v>3.3822691583730302E-2</v>
      </c>
      <c r="M293" s="55">
        <v>120.89760308089097</v>
      </c>
      <c r="N293" s="55">
        <v>58.110416459939856</v>
      </c>
      <c r="O293" s="58">
        <v>0</v>
      </c>
      <c r="P293" s="98">
        <v>0</v>
      </c>
      <c r="Q293" s="106">
        <v>0</v>
      </c>
    </row>
    <row r="294" spans="1:17" x14ac:dyDescent="0.2">
      <c r="A294" s="28">
        <f t="shared" si="1"/>
        <v>2017.09</v>
      </c>
      <c r="B294" s="28"/>
      <c r="C294" s="55">
        <v>155.81403236176993</v>
      </c>
      <c r="D294" s="56">
        <v>4.6021947367823396E-3</v>
      </c>
      <c r="E294" s="56">
        <v>4.6200032416610227E-2</v>
      </c>
      <c r="F294" s="56">
        <v>4.6200032416610227E-2</v>
      </c>
      <c r="G294" s="56">
        <v>4.1701802211020489E-2</v>
      </c>
      <c r="H294" s="56">
        <v>-1.2466324963305526E-2</v>
      </c>
      <c r="I294" s="56">
        <v>5.023126278076611E-2</v>
      </c>
      <c r="J294" s="56">
        <v>1.8882468908730292E-2</v>
      </c>
      <c r="K294" s="55">
        <v>149.80712964397799</v>
      </c>
      <c r="L294" s="56">
        <v>3.9181307873261018E-2</v>
      </c>
      <c r="M294" s="55">
        <v>121.26325799252898</v>
      </c>
      <c r="N294" s="55">
        <v>59.790272581505477</v>
      </c>
      <c r="O294" s="58">
        <v>0</v>
      </c>
      <c r="P294" s="98">
        <v>0</v>
      </c>
      <c r="Q294" s="106">
        <v>0</v>
      </c>
    </row>
    <row r="295" spans="1:17" x14ac:dyDescent="0.2">
      <c r="A295" s="28">
        <f t="shared" si="1"/>
        <v>2017.1</v>
      </c>
      <c r="B295" s="28"/>
      <c r="C295" s="55">
        <v>156.33985020018366</v>
      </c>
      <c r="D295" s="56">
        <v>3.3689687370340228E-3</v>
      </c>
      <c r="E295" s="56">
        <v>4.7752840580420057E-2</v>
      </c>
      <c r="F295" s="56">
        <v>4.7752840580420057E-2</v>
      </c>
      <c r="G295" s="56">
        <v>4.0797808990814532E-2</v>
      </c>
      <c r="H295" s="56">
        <v>-1.2466324963305526E-2</v>
      </c>
      <c r="I295" s="56">
        <v>5.023126278076611E-2</v>
      </c>
      <c r="J295" s="56">
        <v>1.8882468908730292E-2</v>
      </c>
      <c r="K295" s="55">
        <v>149.713264548865</v>
      </c>
      <c r="L295" s="56">
        <v>4.3324682475741616E-2</v>
      </c>
      <c r="M295" s="55">
        <v>121.48011397849235</v>
      </c>
      <c r="N295" s="55">
        <v>54.750704216808636</v>
      </c>
      <c r="O295" s="58">
        <v>0</v>
      </c>
      <c r="P295" s="98">
        <v>0</v>
      </c>
      <c r="Q295" s="106">
        <v>0</v>
      </c>
    </row>
    <row r="296" spans="1:17" x14ac:dyDescent="0.2">
      <c r="A296" s="28">
        <f t="shared" si="1"/>
        <v>2017.11</v>
      </c>
      <c r="B296" s="28"/>
      <c r="C296" s="55">
        <v>157.06336033564517</v>
      </c>
      <c r="D296" s="56">
        <v>4.6171283282785787E-3</v>
      </c>
      <c r="E296" s="56">
        <v>4.4092701826614344E-2</v>
      </c>
      <c r="F296" s="56">
        <v>4.4092701826614344E-2</v>
      </c>
      <c r="G296" s="56">
        <v>4.2055253026481054E-2</v>
      </c>
      <c r="H296" s="56">
        <v>-1.2466324963305526E-2</v>
      </c>
      <c r="I296" s="56">
        <v>5.023126278076611E-2</v>
      </c>
      <c r="J296" s="56">
        <v>1.8882468908730292E-2</v>
      </c>
      <c r="K296" s="55">
        <v>149.61345637355799</v>
      </c>
      <c r="L296" s="56">
        <v>4.8836465440592836E-2</v>
      </c>
      <c r="M296" s="55">
        <v>121.84935032971057</v>
      </c>
      <c r="N296" s="55">
        <v>56.430560338374242</v>
      </c>
      <c r="O296" s="58">
        <v>0</v>
      </c>
      <c r="P296" s="98">
        <v>0</v>
      </c>
      <c r="Q296" s="106">
        <v>0</v>
      </c>
    </row>
    <row r="297" spans="1:17" x14ac:dyDescent="0.2">
      <c r="A297" s="28">
        <f t="shared" si="1"/>
        <v>2017.12</v>
      </c>
      <c r="B297" s="28"/>
      <c r="C297" s="55">
        <v>157.54573820297253</v>
      </c>
      <c r="D297" s="56">
        <v>3.0665244430262274E-3</v>
      </c>
      <c r="E297" s="56">
        <v>3.9910954957532351E-2</v>
      </c>
      <c r="F297" s="56">
        <v>3.9910954957532351E-2</v>
      </c>
      <c r="G297" s="56">
        <v>4.0896984872655695E-2</v>
      </c>
      <c r="H297" s="56">
        <v>-1.2466324963305526E-2</v>
      </c>
      <c r="I297" s="56">
        <v>5.023126278076611E-2</v>
      </c>
      <c r="J297" s="56">
        <v>1.8882468908730292E-2</v>
      </c>
      <c r="K297" s="55">
        <v>149.507928833412</v>
      </c>
      <c r="L297" s="56">
        <v>5.2786190983866721E-2</v>
      </c>
      <c r="M297" s="55">
        <v>122.03034146671018</v>
      </c>
      <c r="N297" s="55">
        <v>56.430560338374242</v>
      </c>
      <c r="O297" s="58">
        <v>0</v>
      </c>
      <c r="P297" s="98">
        <v>0</v>
      </c>
      <c r="Q297" s="106">
        <v>0</v>
      </c>
    </row>
    <row r="298" spans="1:17" x14ac:dyDescent="0.2">
      <c r="A298" s="28">
        <f t="shared" si="1"/>
        <v>2018.01</v>
      </c>
      <c r="B298" s="28"/>
      <c r="C298" s="55">
        <v>157.61780019150433</v>
      </c>
      <c r="D298" s="56">
        <v>4.5729902738577159E-4</v>
      </c>
      <c r="E298" s="56">
        <v>3.6161081723144861E-2</v>
      </c>
      <c r="F298" s="56">
        <v>3.6161081723144861E-2</v>
      </c>
      <c r="G298" s="56">
        <v>3.5398057656863768E-2</v>
      </c>
      <c r="H298" s="56">
        <v>-1.2466324963305526E-2</v>
      </c>
      <c r="I298" s="56">
        <v>5.023126278076611E-2</v>
      </c>
      <c r="J298" s="56">
        <v>1.8882468908730292E-2</v>
      </c>
      <c r="K298" s="55">
        <v>149.39696312986001</v>
      </c>
      <c r="L298" s="56">
        <v>5.4037875239659972E-2</v>
      </c>
      <c r="M298" s="55">
        <v>121.89313947580442</v>
      </c>
      <c r="N298" s="55">
        <v>56.430560338374242</v>
      </c>
      <c r="O298" s="58">
        <v>0</v>
      </c>
      <c r="P298" s="98">
        <v>0</v>
      </c>
      <c r="Q298" s="106">
        <v>0</v>
      </c>
    </row>
    <row r="299" spans="1:17" x14ac:dyDescent="0.2">
      <c r="A299" s="28">
        <f t="shared" si="1"/>
        <v>2018.02</v>
      </c>
      <c r="B299" s="28"/>
      <c r="C299" s="55">
        <v>157.39452793355321</v>
      </c>
      <c r="D299" s="56">
        <v>-1.4175463967881705E-3</v>
      </c>
      <c r="E299" s="56">
        <v>3.3410808806161735E-2</v>
      </c>
      <c r="F299" s="56">
        <v>3.3410808806161735E-2</v>
      </c>
      <c r="G299" s="56">
        <v>2.6966728077367108E-2</v>
      </c>
      <c r="H299" s="56">
        <v>-1.2466324963305526E-2</v>
      </c>
      <c r="I299" s="56">
        <v>5.023126278076611E-2</v>
      </c>
      <c r="J299" s="56">
        <v>1.8882468908730292E-2</v>
      </c>
      <c r="K299" s="55">
        <v>149.280902492183</v>
      </c>
      <c r="L299" s="56">
        <v>5.3352978442595456E-2</v>
      </c>
      <c r="M299" s="55">
        <v>121.52803174873303</v>
      </c>
      <c r="N299" s="55">
        <v>51.390991973677401</v>
      </c>
      <c r="O299" s="58">
        <v>1</v>
      </c>
      <c r="P299" s="98">
        <v>1</v>
      </c>
      <c r="Q299" s="106">
        <v>0</v>
      </c>
    </row>
    <row r="300" spans="1:17" x14ac:dyDescent="0.2">
      <c r="A300" s="28">
        <f t="shared" si="1"/>
        <v>2018.03</v>
      </c>
      <c r="B300" s="28"/>
      <c r="C300" s="55">
        <v>156.8409692800609</v>
      </c>
      <c r="D300" s="56">
        <v>-3.5232125651763037E-3</v>
      </c>
      <c r="E300" s="56">
        <v>2.4606978311013303E-2</v>
      </c>
      <c r="F300" s="56">
        <v>2.4606978311013303E-2</v>
      </c>
      <c r="G300" s="56">
        <v>1.5096473191987148E-2</v>
      </c>
      <c r="H300" s="56">
        <v>-1.2466324963305526E-2</v>
      </c>
      <c r="I300" s="56">
        <v>5.023126278076611E-2</v>
      </c>
      <c r="J300" s="56">
        <v>1.8882468908730292E-2</v>
      </c>
      <c r="K300" s="55">
        <v>149.16015359023399</v>
      </c>
      <c r="L300" s="56">
        <v>5.0490138266211959E-2</v>
      </c>
      <c r="M300" s="55">
        <v>120.90915508158899</v>
      </c>
      <c r="N300" s="55">
        <v>46.351423608980575</v>
      </c>
      <c r="O300" s="58">
        <v>1</v>
      </c>
      <c r="P300" s="98">
        <v>1</v>
      </c>
      <c r="Q300" s="106">
        <v>0</v>
      </c>
    </row>
    <row r="301" spans="1:17" x14ac:dyDescent="0.2">
      <c r="A301" s="28">
        <f t="shared" si="1"/>
        <v>2018.04</v>
      </c>
      <c r="B301" s="28"/>
      <c r="C301" s="55">
        <v>155.95887828186608</v>
      </c>
      <c r="D301" s="56">
        <v>-5.6399857180488688E-3</v>
      </c>
      <c r="E301" s="56">
        <v>1.3662132391772452E-2</v>
      </c>
      <c r="F301" s="56">
        <v>1.3662132391772452E-2</v>
      </c>
      <c r="G301" s="56">
        <v>8.0557720891794027E-4</v>
      </c>
      <c r="H301" s="56">
        <v>-1.2466324963305526E-2</v>
      </c>
      <c r="I301" s="56">
        <v>5.023126278076611E-2</v>
      </c>
      <c r="J301" s="56">
        <v>1.8882468908730292E-2</v>
      </c>
      <c r="K301" s="55">
        <v>149.03518570797601</v>
      </c>
      <c r="L301" s="56">
        <v>4.5452420349654465E-2</v>
      </c>
      <c r="M301" s="55">
        <v>120.03906542716899</v>
      </c>
      <c r="N301" s="55">
        <v>44.671567487414954</v>
      </c>
      <c r="O301" s="58">
        <v>1</v>
      </c>
      <c r="P301" s="98">
        <v>1</v>
      </c>
      <c r="Q301" s="106">
        <v>0</v>
      </c>
    </row>
    <row r="302" spans="1:17" x14ac:dyDescent="0.2">
      <c r="A302" s="28">
        <f t="shared" si="1"/>
        <v>2018.05</v>
      </c>
      <c r="B302" s="28"/>
      <c r="C302" s="55">
        <v>154.56288572921412</v>
      </c>
      <c r="D302" s="56">
        <v>-8.9913308452984411E-3</v>
      </c>
      <c r="E302" s="56">
        <v>3.115673745839439E-3</v>
      </c>
      <c r="F302" s="56">
        <v>3.115673745839439E-3</v>
      </c>
      <c r="G302" s="56">
        <v>-1.7722507028387846E-2</v>
      </c>
      <c r="H302" s="56">
        <v>-1.2466324963305526E-2</v>
      </c>
      <c r="I302" s="56">
        <v>5.023126278076611E-2</v>
      </c>
      <c r="J302" s="56">
        <v>1.8882468908730292E-2</v>
      </c>
      <c r="K302" s="55">
        <v>148.906527406121</v>
      </c>
      <c r="L302" s="56">
        <v>3.6986682969270213E-2</v>
      </c>
      <c r="M302" s="55">
        <v>118.77650829680243</v>
      </c>
      <c r="N302" s="55">
        <v>36.2722868795869</v>
      </c>
      <c r="O302" s="58">
        <v>1</v>
      </c>
      <c r="P302" s="98">
        <v>1</v>
      </c>
      <c r="Q302" s="106">
        <v>0</v>
      </c>
    </row>
    <row r="303" spans="1:17" x14ac:dyDescent="0.2">
      <c r="A303" s="28">
        <f t="shared" si="1"/>
        <v>2018.06</v>
      </c>
      <c r="B303" s="28"/>
      <c r="C303" s="55">
        <v>153.04159298689029</v>
      </c>
      <c r="D303" s="56">
        <v>-9.8913068626336198E-3</v>
      </c>
      <c r="E303" s="56">
        <v>-9.837963860553205E-3</v>
      </c>
      <c r="F303" s="56">
        <v>-9.837963860553205E-3</v>
      </c>
      <c r="G303" s="56">
        <v>-3.5953953919700132E-2</v>
      </c>
      <c r="H303" s="56">
        <v>-1.2466324963305526E-2</v>
      </c>
      <c r="I303" s="56">
        <v>5.023126278076611E-2</v>
      </c>
      <c r="J303" s="56">
        <v>1.8882468908730292E-2</v>
      </c>
      <c r="K303" s="55">
        <v>148.774760685773</v>
      </c>
      <c r="L303" s="56">
        <v>2.7688959157031956E-2</v>
      </c>
      <c r="M303" s="55">
        <v>117.42150649040391</v>
      </c>
      <c r="N303" s="55">
        <v>31.232718514890063</v>
      </c>
      <c r="O303" s="58">
        <v>1</v>
      </c>
      <c r="P303" s="98">
        <v>1</v>
      </c>
      <c r="Q303" s="106">
        <v>0</v>
      </c>
    </row>
    <row r="304" spans="1:17" x14ac:dyDescent="0.2">
      <c r="A304" s="28">
        <f t="shared" si="1"/>
        <v>2018.07</v>
      </c>
      <c r="B304" s="28"/>
      <c r="C304" s="55">
        <v>150.55059465214137</v>
      </c>
      <c r="D304" s="56">
        <v>-1.6410529250836223E-2</v>
      </c>
      <c r="E304" s="56">
        <v>-2.5870224563529304E-2</v>
      </c>
      <c r="F304" s="56">
        <v>-2.5870224563529304E-2</v>
      </c>
      <c r="G304" s="56">
        <v>-6.3326815371338219E-2</v>
      </c>
      <c r="H304" s="56">
        <v>-1.2466324963305526E-2</v>
      </c>
      <c r="I304" s="56">
        <v>5.023126278076611E-2</v>
      </c>
      <c r="J304" s="56">
        <v>1.8882468908730292E-2</v>
      </c>
      <c r="K304" s="55">
        <v>148.64051121673299</v>
      </c>
      <c r="L304" s="56">
        <v>1.1876788561209883E-2</v>
      </c>
      <c r="M304" s="55">
        <v>115.32765981382839</v>
      </c>
      <c r="N304" s="55">
        <v>26.193150150193222</v>
      </c>
      <c r="O304" s="58">
        <v>1</v>
      </c>
      <c r="P304" s="98">
        <v>1</v>
      </c>
      <c r="Q304" s="106">
        <v>0</v>
      </c>
    </row>
    <row r="305" spans="1:17" x14ac:dyDescent="0.2">
      <c r="A305" s="28">
        <f t="shared" si="1"/>
        <v>2018.08</v>
      </c>
      <c r="B305" s="28"/>
      <c r="C305" s="55">
        <v>148.57351971080723</v>
      </c>
      <c r="D305" s="56">
        <v>-1.3219286827073165E-2</v>
      </c>
      <c r="E305" s="56">
        <v>-4.298108319334807E-2</v>
      </c>
      <c r="F305" s="56">
        <v>-4.298108319334807E-2</v>
      </c>
      <c r="G305" s="56">
        <v>-8.2341524711903813E-2</v>
      </c>
      <c r="H305" s="56">
        <v>-1.2466324963305526E-2</v>
      </c>
      <c r="I305" s="56">
        <v>5.023126278076611E-2</v>
      </c>
      <c r="J305" s="56">
        <v>1.8882468908730292E-2</v>
      </c>
      <c r="K305" s="55">
        <v>148.504437619562</v>
      </c>
      <c r="L305" s="56">
        <v>-4.9186534242962043E-4</v>
      </c>
      <c r="M305" s="55">
        <v>113.63320346096647</v>
      </c>
      <c r="N305" s="55">
        <v>22.833437907061999</v>
      </c>
      <c r="O305" s="58">
        <v>1</v>
      </c>
      <c r="P305" s="98">
        <v>1</v>
      </c>
      <c r="Q305" s="106">
        <v>0</v>
      </c>
    </row>
    <row r="306" spans="1:17" x14ac:dyDescent="0.2">
      <c r="A306" s="28">
        <f t="shared" si="1"/>
        <v>2018.09</v>
      </c>
      <c r="B306" s="28"/>
      <c r="C306" s="55">
        <v>147.03194218091727</v>
      </c>
      <c r="D306" s="56">
        <v>-1.0430061036034759E-2</v>
      </c>
      <c r="E306" s="56">
        <v>-5.8013338966165055E-2</v>
      </c>
      <c r="F306" s="56">
        <v>-5.8013338966165055E-2</v>
      </c>
      <c r="G306" s="56">
        <v>-9.4008033926075929E-2</v>
      </c>
      <c r="H306" s="56">
        <v>-1.2466324963305526E-2</v>
      </c>
      <c r="I306" s="56">
        <v>5.023126278076611E-2</v>
      </c>
      <c r="J306" s="56">
        <v>1.8882468908730292E-2</v>
      </c>
      <c r="K306" s="55">
        <v>148.36721326749401</v>
      </c>
      <c r="L306" s="56">
        <v>-9.9405807522622291E-3</v>
      </c>
      <c r="M306" s="55">
        <v>112.2763707894306</v>
      </c>
      <c r="N306" s="55">
        <v>17.793869542365165</v>
      </c>
      <c r="O306" s="58">
        <v>1</v>
      </c>
      <c r="P306" s="98">
        <v>1</v>
      </c>
      <c r="Q306" s="106">
        <v>0</v>
      </c>
    </row>
    <row r="307" spans="1:17" x14ac:dyDescent="0.2">
      <c r="A307" s="28">
        <f t="shared" ref="A307:A370" si="2">A295+1</f>
        <v>2018.1</v>
      </c>
      <c r="B307" s="28"/>
      <c r="C307" s="55">
        <v>145.58029322671609</v>
      </c>
      <c r="D307" s="56">
        <v>-9.922079037093726E-3</v>
      </c>
      <c r="E307" s="56">
        <v>-7.1304386740292755E-2</v>
      </c>
      <c r="F307" s="56">
        <v>-7.1304386740292755E-2</v>
      </c>
      <c r="G307" s="56">
        <v>-0.1026517927674867</v>
      </c>
      <c r="H307" s="56">
        <v>-1.2466324963305526E-2</v>
      </c>
      <c r="I307" s="56">
        <v>5.023126278076611E-2</v>
      </c>
      <c r="J307" s="56">
        <v>1.8882468908730292E-2</v>
      </c>
      <c r="K307" s="55">
        <v>148.22951206547299</v>
      </c>
      <c r="L307" s="56">
        <v>-1.8795051478996294E-2</v>
      </c>
      <c r="M307" s="55">
        <v>110.99210699783546</v>
      </c>
      <c r="N307" s="55">
        <v>16.114013420799552</v>
      </c>
      <c r="O307" s="58">
        <v>1</v>
      </c>
      <c r="P307" s="98">
        <v>1</v>
      </c>
      <c r="Q307" s="106">
        <v>0</v>
      </c>
    </row>
    <row r="308" spans="1:17" x14ac:dyDescent="0.2">
      <c r="A308" s="28">
        <f t="shared" si="2"/>
        <v>2018.11</v>
      </c>
      <c r="B308" s="28"/>
      <c r="C308" s="55">
        <v>144.55390645465195</v>
      </c>
      <c r="D308" s="56">
        <v>-7.0752848502645786E-3</v>
      </c>
      <c r="E308" s="56">
        <v>-8.2996799918835865E-2</v>
      </c>
      <c r="F308" s="56">
        <v>-8.2996799918835865E-2</v>
      </c>
      <c r="G308" s="56">
        <v>-0.10472069216030011</v>
      </c>
      <c r="H308" s="56">
        <v>-1.2466324963305526E-2</v>
      </c>
      <c r="I308" s="56">
        <v>5.023126278076611E-2</v>
      </c>
      <c r="J308" s="56">
        <v>1.8882468908730292E-2</v>
      </c>
      <c r="K308" s="55">
        <v>148.09199760944</v>
      </c>
      <c r="L308" s="56">
        <v>-2.4795859175048784E-2</v>
      </c>
      <c r="M308" s="55">
        <v>110.03533564968498</v>
      </c>
      <c r="N308" s="55">
        <v>16.114013420799552</v>
      </c>
      <c r="O308" s="58">
        <v>1</v>
      </c>
      <c r="P308" s="98">
        <v>1</v>
      </c>
      <c r="Q308" s="106">
        <v>0</v>
      </c>
    </row>
    <row r="309" spans="1:17" x14ac:dyDescent="0.2">
      <c r="A309" s="28">
        <f t="shared" si="2"/>
        <v>2018.12</v>
      </c>
      <c r="B309" s="28"/>
      <c r="C309" s="55">
        <v>144.48662826421275</v>
      </c>
      <c r="D309" s="56">
        <v>-4.6552772758777061E-4</v>
      </c>
      <c r="E309" s="56">
        <v>-8.6528852089449965E-2</v>
      </c>
      <c r="F309" s="56">
        <v>-8.6528852089449965E-2</v>
      </c>
      <c r="G309" s="56">
        <v>-9.4163912688265627E-2</v>
      </c>
      <c r="H309" s="56">
        <v>-1.2466324963305526E-2</v>
      </c>
      <c r="I309" s="56">
        <v>5.023126278076611E-2</v>
      </c>
      <c r="J309" s="56">
        <v>1.8882468908730292E-2</v>
      </c>
      <c r="K309" s="55">
        <v>147.95531304236701</v>
      </c>
      <c r="L309" s="56">
        <v>-2.4334341563140627E-2</v>
      </c>
      <c r="M309" s="55">
        <v>109.81023736892499</v>
      </c>
      <c r="N309" s="55">
        <v>17.793869542365165</v>
      </c>
      <c r="O309" s="58">
        <v>1</v>
      </c>
      <c r="P309" s="98">
        <v>1</v>
      </c>
      <c r="Q309" s="106">
        <v>0</v>
      </c>
    </row>
    <row r="310" spans="1:17" x14ac:dyDescent="0.2">
      <c r="A310" s="28">
        <f t="shared" si="2"/>
        <v>2019.01</v>
      </c>
      <c r="B310" s="28"/>
      <c r="C310" s="55">
        <v>144.52024029618721</v>
      </c>
      <c r="D310" s="56">
        <v>2.3260369065574311E-4</v>
      </c>
      <c r="E310" s="56">
        <v>-8.6753547426179939E-2</v>
      </c>
      <c r="F310" s="56">
        <v>-8.6753547426179939E-2</v>
      </c>
      <c r="G310" s="56">
        <v>-8.1708542886872015E-2</v>
      </c>
      <c r="H310" s="56">
        <v>-1.2466324963305526E-2</v>
      </c>
      <c r="I310" s="56">
        <v>5.023126278076611E-2</v>
      </c>
      <c r="J310" s="56">
        <v>1.8882468908730292E-2</v>
      </c>
      <c r="K310" s="55">
        <v>147.820074203584</v>
      </c>
      <c r="L310" s="56">
        <v>-2.3197058159787898E-2</v>
      </c>
      <c r="M310" s="55">
        <v>109.66213143124801</v>
      </c>
      <c r="N310" s="55">
        <v>22.833437907061999</v>
      </c>
      <c r="O310" s="58">
        <v>1</v>
      </c>
      <c r="P310" s="98">
        <v>1</v>
      </c>
      <c r="Q310" s="106">
        <v>0</v>
      </c>
    </row>
    <row r="311" spans="1:17" x14ac:dyDescent="0.2">
      <c r="A311" s="28">
        <f t="shared" si="2"/>
        <v>2019.02</v>
      </c>
      <c r="B311" s="28"/>
      <c r="C311" s="55">
        <v>144.58026440671424</v>
      </c>
      <c r="D311" s="56">
        <v>4.152473649342086E-4</v>
      </c>
      <c r="E311" s="56">
        <v>-8.4920753664457407E-2</v>
      </c>
      <c r="F311" s="56">
        <v>-8.4920753664457407E-2</v>
      </c>
      <c r="G311" s="56">
        <v>-6.8642406126177002E-2</v>
      </c>
      <c r="H311" s="56">
        <v>-1.2466324963305526E-2</v>
      </c>
      <c r="I311" s="56">
        <v>5.023126278076611E-2</v>
      </c>
      <c r="J311" s="56">
        <v>1.8882468908730292E-2</v>
      </c>
      <c r="K311" s="55">
        <v>147.68687017685801</v>
      </c>
      <c r="L311" s="56">
        <v>-2.1889963058006945E-2</v>
      </c>
      <c r="M311" s="55">
        <v>109.53422915784179</v>
      </c>
      <c r="N311" s="55">
        <v>26.193150150193222</v>
      </c>
      <c r="O311" s="58">
        <v>1</v>
      </c>
      <c r="P311" s="98">
        <v>1</v>
      </c>
      <c r="Q311" s="106">
        <v>0</v>
      </c>
    </row>
    <row r="312" spans="1:17" x14ac:dyDescent="0.2">
      <c r="A312" s="28">
        <f t="shared" si="2"/>
        <v>2019.03</v>
      </c>
      <c r="B312" s="28"/>
      <c r="C312" s="55">
        <v>144.4374400145233</v>
      </c>
      <c r="D312" s="56">
        <v>-9.8834363177242889E-4</v>
      </c>
      <c r="E312" s="56">
        <v>-8.2385884731053599E-2</v>
      </c>
      <c r="F312" s="56">
        <v>-8.2385884731053599E-2</v>
      </c>
      <c r="G312" s="56">
        <v>-5.8018366486202066E-2</v>
      </c>
      <c r="H312" s="56">
        <v>-1.2466324963305526E-2</v>
      </c>
      <c r="I312" s="56">
        <v>5.023126278076611E-2</v>
      </c>
      <c r="J312" s="56">
        <v>1.8882468908730292E-2</v>
      </c>
      <c r="K312" s="55">
        <v>147.556264596381</v>
      </c>
      <c r="L312" s="56">
        <v>-2.196884677851918E-2</v>
      </c>
      <c r="M312" s="55">
        <v>109.25302183463812</v>
      </c>
      <c r="N312" s="55">
        <v>29.552862393324446</v>
      </c>
      <c r="O312" s="58">
        <v>1</v>
      </c>
      <c r="P312" s="98">
        <v>1</v>
      </c>
      <c r="Q312" s="106">
        <v>0</v>
      </c>
    </row>
    <row r="313" spans="1:17" x14ac:dyDescent="0.2">
      <c r="A313" s="28">
        <f t="shared" si="2"/>
        <v>2019.04</v>
      </c>
      <c r="B313" s="28"/>
      <c r="C313" s="55">
        <v>144.15999537192903</v>
      </c>
      <c r="D313" s="56">
        <v>-1.9227109741609949E-3</v>
      </c>
      <c r="E313" s="56">
        <v>-7.8668609987165655E-2</v>
      </c>
      <c r="F313" s="56">
        <v>-7.8668609987165655E-2</v>
      </c>
      <c r="G313" s="56">
        <v>-4.9230842444719092E-2</v>
      </c>
      <c r="H313" s="56">
        <v>-1.2466324963305526E-2</v>
      </c>
      <c r="I313" s="56">
        <v>5.023126278076611E-2</v>
      </c>
      <c r="J313" s="56">
        <v>1.8882468908730292E-2</v>
      </c>
      <c r="K313" s="55">
        <v>147.42879713748201</v>
      </c>
      <c r="L313" s="56">
        <v>-2.2978750297201977E-2</v>
      </c>
      <c r="M313" s="55">
        <v>108.87076362996898</v>
      </c>
      <c r="N313" s="55">
        <v>31.232718514890063</v>
      </c>
      <c r="O313" s="58">
        <v>1</v>
      </c>
      <c r="P313" s="98">
        <v>1</v>
      </c>
      <c r="Q313" s="106">
        <v>0</v>
      </c>
    </row>
    <row r="314" spans="1:17" x14ac:dyDescent="0.2">
      <c r="A314" s="28">
        <f t="shared" si="2"/>
        <v>2019.05</v>
      </c>
      <c r="B314" s="28"/>
      <c r="C314" s="55">
        <v>144.63414541930894</v>
      </c>
      <c r="D314" s="56">
        <v>3.2836571553741438E-3</v>
      </c>
      <c r="E314" s="56">
        <v>-6.6393621986493206E-2</v>
      </c>
      <c r="F314" s="56">
        <v>-6.6393621986493206E-2</v>
      </c>
      <c r="G314" s="56">
        <v>-3.1618362811350331E-2</v>
      </c>
      <c r="H314" s="56">
        <v>-1.2466324963305526E-2</v>
      </c>
      <c r="I314" s="56">
        <v>5.023126278076611E-2</v>
      </c>
      <c r="J314" s="56">
        <v>1.8882468908730292E-2</v>
      </c>
      <c r="K314" s="55">
        <v>147.304983421315</v>
      </c>
      <c r="L314" s="56">
        <v>-1.8914235935966417E-2</v>
      </c>
      <c r="M314" s="55">
        <v>109.05615387626791</v>
      </c>
      <c r="N314" s="55">
        <v>36.2722868795869</v>
      </c>
      <c r="O314" s="58">
        <v>1</v>
      </c>
      <c r="P314" s="98">
        <v>1</v>
      </c>
      <c r="Q314" s="106">
        <v>0</v>
      </c>
    </row>
    <row r="315" spans="1:17" x14ac:dyDescent="0.2">
      <c r="A315" s="28">
        <f t="shared" si="2"/>
        <v>2019.06</v>
      </c>
      <c r="B315" s="28"/>
      <c r="C315" s="55">
        <v>144.85245516496235</v>
      </c>
      <c r="D315" s="56">
        <v>1.5082548663574659E-3</v>
      </c>
      <c r="E315" s="56">
        <v>-5.4994060257502086E-2</v>
      </c>
      <c r="F315" s="56">
        <v>-5.4994060257502086E-2</v>
      </c>
      <c r="G315" s="56">
        <v>-1.8758182596071316E-2</v>
      </c>
      <c r="H315" s="56">
        <v>-1.2466324963305526E-2</v>
      </c>
      <c r="I315" s="56">
        <v>5.023126278076611E-2</v>
      </c>
      <c r="J315" s="56">
        <v>1.8882468908730292E-2</v>
      </c>
      <c r="K315" s="55">
        <v>147.18531386398001</v>
      </c>
      <c r="L315" s="56">
        <v>-1.6605197815754424E-2</v>
      </c>
      <c r="M315" s="55">
        <v>109.04808363204766</v>
      </c>
      <c r="N315" s="55">
        <v>36.2722868795869</v>
      </c>
      <c r="O315" s="58">
        <v>1</v>
      </c>
      <c r="P315" s="98">
        <v>1</v>
      </c>
      <c r="Q315" s="106">
        <v>0</v>
      </c>
    </row>
    <row r="316" spans="1:17" x14ac:dyDescent="0.2">
      <c r="A316" s="28">
        <f t="shared" si="2"/>
        <v>2019.07</v>
      </c>
      <c r="B316" s="28"/>
      <c r="C316" s="55">
        <v>145.26019804566954</v>
      </c>
      <c r="D316" s="56">
        <v>2.8109297865537989E-3</v>
      </c>
      <c r="E316" s="56">
        <v>-3.577260122011218E-2</v>
      </c>
      <c r="F316" s="56">
        <v>-3.577260122011218E-2</v>
      </c>
      <c r="G316" s="56">
        <v>-5.10489713126272E-3</v>
      </c>
      <c r="H316" s="56">
        <v>-1.2466324963305526E-2</v>
      </c>
      <c r="I316" s="56">
        <v>5.023126278076611E-2</v>
      </c>
      <c r="J316" s="56">
        <v>1.8882468908730292E-2</v>
      </c>
      <c r="K316" s="55">
        <v>147.070258299751</v>
      </c>
      <c r="L316" s="56">
        <v>-1.3034150736538574E-2</v>
      </c>
      <c r="M316" s="55">
        <v>109.1821502351123</v>
      </c>
      <c r="N316" s="55">
        <v>36.2722868795869</v>
      </c>
      <c r="O316" s="58">
        <v>1</v>
      </c>
      <c r="P316" s="98">
        <v>1</v>
      </c>
      <c r="Q316" s="106">
        <v>0</v>
      </c>
    </row>
    <row r="317" spans="1:17" x14ac:dyDescent="0.2">
      <c r="A317" s="28">
        <f t="shared" si="2"/>
        <v>2019.08</v>
      </c>
      <c r="B317" s="28"/>
      <c r="C317" s="55">
        <v>144.35208131813332</v>
      </c>
      <c r="D317" s="56">
        <v>-6.2712790065500073E-3</v>
      </c>
      <c r="E317" s="56">
        <v>-2.8824593399589035E-2</v>
      </c>
      <c r="F317" s="56">
        <v>-2.8824593399589035E-2</v>
      </c>
      <c r="G317" s="56">
        <v>-1.1038284035240542E-2</v>
      </c>
      <c r="H317" s="56">
        <v>-1.2466324963305526E-2</v>
      </c>
      <c r="I317" s="56">
        <v>5.023126278076611E-2</v>
      </c>
      <c r="J317" s="56">
        <v>1.8882468908730292E-2</v>
      </c>
      <c r="K317" s="55">
        <v>146.96026859302</v>
      </c>
      <c r="L317" s="56">
        <v>-1.8437198750357653E-2</v>
      </c>
      <c r="M317" s="55">
        <v>108.32804240589797</v>
      </c>
      <c r="N317" s="55">
        <v>36.2722868795869</v>
      </c>
      <c r="O317" s="58">
        <v>1</v>
      </c>
      <c r="P317" s="98">
        <v>1</v>
      </c>
      <c r="Q317" s="106">
        <v>0</v>
      </c>
    </row>
    <row r="318" spans="1:17" x14ac:dyDescent="0.2">
      <c r="A318" s="28">
        <f t="shared" si="2"/>
        <v>2019.09</v>
      </c>
      <c r="B318" s="28"/>
      <c r="C318" s="55">
        <v>143.13074143759599</v>
      </c>
      <c r="D318" s="56">
        <v>-8.4968362062942757E-3</v>
      </c>
      <c r="E318" s="56">
        <v>-2.6891368569848528E-2</v>
      </c>
      <c r="F318" s="56">
        <v>-2.6891368569848528E-2</v>
      </c>
      <c r="G318" s="56">
        <v>-2.2061588361996121E-2</v>
      </c>
      <c r="H318" s="56">
        <v>-1.2466324963305526E-2</v>
      </c>
      <c r="I318" s="56">
        <v>5.023126278076611E-2</v>
      </c>
      <c r="J318" s="56">
        <v>1.8882468908730292E-2</v>
      </c>
      <c r="K318" s="55">
        <v>146.85578264479801</v>
      </c>
      <c r="L318" s="56">
        <v>-2.6015136974241182E-2</v>
      </c>
      <c r="M318" s="55">
        <v>107.24167779853936</v>
      </c>
      <c r="N318" s="55">
        <v>32.912574636455673</v>
      </c>
      <c r="O318" s="58">
        <v>1</v>
      </c>
      <c r="P318" s="98">
        <v>1</v>
      </c>
      <c r="Q318" s="106">
        <v>0</v>
      </c>
    </row>
    <row r="319" spans="1:17" x14ac:dyDescent="0.2">
      <c r="A319" s="28">
        <f t="shared" si="2"/>
        <v>2019.1</v>
      </c>
      <c r="B319" s="28"/>
      <c r="C319" s="55">
        <v>141.57965799956412</v>
      </c>
      <c r="D319" s="56">
        <v>-1.0895975607133519E-2</v>
      </c>
      <c r="E319" s="56">
        <v>-2.7865265139888198E-2</v>
      </c>
      <c r="F319" s="56">
        <v>-2.7865265139888198E-2</v>
      </c>
      <c r="G319" s="56">
        <v>-3.7553385710460851E-2</v>
      </c>
      <c r="H319" s="56">
        <v>-1.2466324963305526E-2</v>
      </c>
      <c r="I319" s="56">
        <v>5.023126278076611E-2</v>
      </c>
      <c r="J319" s="56">
        <v>1.8882468908730292E-2</v>
      </c>
      <c r="K319" s="55">
        <v>146.75721820299799</v>
      </c>
      <c r="L319" s="56">
        <v>-3.5887453178588102E-2</v>
      </c>
      <c r="M319" s="55">
        <v>105.9118055300457</v>
      </c>
      <c r="N319" s="55">
        <v>29.552862393324446</v>
      </c>
      <c r="O319" s="58">
        <v>1</v>
      </c>
      <c r="P319" s="98">
        <v>1</v>
      </c>
      <c r="Q319" s="106">
        <v>0</v>
      </c>
    </row>
    <row r="320" spans="1:17" x14ac:dyDescent="0.2">
      <c r="A320" s="28">
        <f t="shared" si="2"/>
        <v>2019.11</v>
      </c>
      <c r="B320" s="28"/>
      <c r="C320" s="55">
        <v>140.65927539090859</v>
      </c>
      <c r="D320" s="56">
        <v>-6.522033371632271E-3</v>
      </c>
      <c r="E320" s="56">
        <v>-2.7312013661256001E-2</v>
      </c>
      <c r="F320" s="56">
        <v>-2.7312013661256001E-2</v>
      </c>
      <c r="G320" s="56">
        <v>-4.5009983282417454E-2</v>
      </c>
      <c r="H320" s="56">
        <v>-1.2466324963305526E-2</v>
      </c>
      <c r="I320" s="56">
        <v>5.023126278076611E-2</v>
      </c>
      <c r="J320" s="56">
        <v>1.8882468908730292E-2</v>
      </c>
      <c r="K320" s="55">
        <v>146.66496423887301</v>
      </c>
      <c r="L320" s="56">
        <v>-4.1515907279864983E-2</v>
      </c>
      <c r="M320" s="55">
        <v>105.05693409667354</v>
      </c>
      <c r="N320" s="55">
        <v>26.193150150193222</v>
      </c>
      <c r="O320" s="58">
        <v>1</v>
      </c>
      <c r="P320" s="98">
        <v>1</v>
      </c>
      <c r="Q320" s="106">
        <v>0</v>
      </c>
    </row>
    <row r="321" spans="1:17" x14ac:dyDescent="0.2">
      <c r="A321" s="28">
        <f t="shared" si="2"/>
        <v>2019.12</v>
      </c>
      <c r="B321" s="28"/>
      <c r="C321" s="55">
        <v>139.54878451264466</v>
      </c>
      <c r="D321" s="56">
        <v>-7.9262294777177143E-3</v>
      </c>
      <c r="E321" s="56">
        <v>-3.4772715411385859E-2</v>
      </c>
      <c r="F321" s="56">
        <v>-3.4772715411385859E-2</v>
      </c>
      <c r="G321" s="56">
        <v>-5.4959924290247986E-2</v>
      </c>
      <c r="H321" s="56">
        <v>-1.2466324963305526E-2</v>
      </c>
      <c r="I321" s="56">
        <v>5.023126278076611E-2</v>
      </c>
      <c r="J321" s="56">
        <v>1.8882468908730292E-2</v>
      </c>
      <c r="K321" s="55">
        <v>146.57936973631499</v>
      </c>
      <c r="L321" s="56">
        <v>-4.8490442800429023E-2</v>
      </c>
      <c r="M321" s="55">
        <v>104.06273566278105</v>
      </c>
      <c r="N321" s="55">
        <v>22.833437907061999</v>
      </c>
      <c r="O321" s="58">
        <v>1</v>
      </c>
      <c r="P321" s="98">
        <v>1</v>
      </c>
      <c r="Q321" s="106">
        <v>0</v>
      </c>
    </row>
    <row r="322" spans="1:17" x14ac:dyDescent="0.2">
      <c r="A322" s="28">
        <f t="shared" si="2"/>
        <v>2020.01</v>
      </c>
      <c r="B322" s="28"/>
      <c r="C322" s="55">
        <v>138.64421544187334</v>
      </c>
      <c r="D322" s="56">
        <v>-6.5031992817203002E-3</v>
      </c>
      <c r="E322" s="56">
        <v>-4.1508518383761829E-2</v>
      </c>
      <c r="F322" s="56">
        <v>-4.1508518383761829E-2</v>
      </c>
      <c r="G322" s="56">
        <v>-6.1288132951661356E-2</v>
      </c>
      <c r="H322" s="56">
        <v>-1.2466324963305526E-2</v>
      </c>
      <c r="I322" s="56">
        <v>5.023126278076611E-2</v>
      </c>
      <c r="J322" s="56">
        <v>1.8882468908730292E-2</v>
      </c>
      <c r="K322" s="55">
        <v>146.50073732394699</v>
      </c>
      <c r="L322" s="56">
        <v>-5.411293171834386E-2</v>
      </c>
      <c r="M322" s="55">
        <v>103.22473319742599</v>
      </c>
      <c r="N322" s="55">
        <v>17.793869542365165</v>
      </c>
      <c r="O322" s="58">
        <v>1</v>
      </c>
      <c r="P322" s="98">
        <v>1</v>
      </c>
      <c r="Q322" s="106">
        <v>0</v>
      </c>
    </row>
    <row r="323" spans="1:17" x14ac:dyDescent="0.2">
      <c r="A323" s="28">
        <f t="shared" si="2"/>
        <v>2020.02</v>
      </c>
      <c r="B323" s="28"/>
      <c r="C323" s="55">
        <v>137.39378253977532</v>
      </c>
      <c r="D323" s="56">
        <v>-9.0599226513705233E-3</v>
      </c>
      <c r="E323" s="56">
        <v>-5.0983688400066701E-2</v>
      </c>
      <c r="F323" s="56">
        <v>-5.0983688400066701E-2</v>
      </c>
      <c r="G323" s="56">
        <v>-7.1013630414825113E-2</v>
      </c>
      <c r="H323" s="56">
        <v>-1.2466324963305526E-2</v>
      </c>
      <c r="I323" s="56">
        <v>5.023126278076611E-2</v>
      </c>
      <c r="J323" s="56">
        <v>1.8882468908730292E-2</v>
      </c>
      <c r="K323" s="55">
        <v>146.42931538822299</v>
      </c>
      <c r="L323" s="56">
        <v>-6.2148557574998708E-2</v>
      </c>
      <c r="M323" s="55">
        <v>102.1320216259806</v>
      </c>
      <c r="N323" s="55">
        <v>17.793869542365165</v>
      </c>
      <c r="O323" s="58">
        <v>1</v>
      </c>
      <c r="P323" s="98">
        <v>1</v>
      </c>
      <c r="Q323" s="106">
        <v>0</v>
      </c>
    </row>
    <row r="324" spans="1:17" x14ac:dyDescent="0.2">
      <c r="A324" s="28">
        <f t="shared" si="2"/>
        <v>2020.03</v>
      </c>
      <c r="B324" s="28"/>
      <c r="C324" s="55">
        <v>135.61484715612752</v>
      </c>
      <c r="D324" s="56">
        <v>-1.3032266147907005E-2</v>
      </c>
      <c r="E324" s="56">
        <v>-6.3027610916201265E-2</v>
      </c>
      <c r="F324" s="56">
        <v>-6.3027610916201265E-2</v>
      </c>
      <c r="G324" s="56">
        <v>-8.6043463548632793E-2</v>
      </c>
      <c r="H324" s="56">
        <v>-1.2466324963305526E-2</v>
      </c>
      <c r="I324" s="56">
        <v>5.023126278076611E-2</v>
      </c>
      <c r="J324" s="56">
        <v>1.8882468908730292E-2</v>
      </c>
      <c r="K324" s="55">
        <v>146.36529170353899</v>
      </c>
      <c r="L324" s="56">
        <v>-7.3848677094476844E-2</v>
      </c>
      <c r="M324" s="55">
        <v>100.65026464697891</v>
      </c>
      <c r="N324" s="55">
        <v>16.114013420799552</v>
      </c>
      <c r="O324" s="58">
        <v>1</v>
      </c>
      <c r="P324" s="98">
        <v>1</v>
      </c>
      <c r="Q324" s="106">
        <v>0</v>
      </c>
    </row>
    <row r="325" spans="1:17" x14ac:dyDescent="0.2">
      <c r="A325" s="28">
        <f t="shared" si="2"/>
        <v>2020.04</v>
      </c>
      <c r="B325" s="28"/>
      <c r="C325" s="55">
        <v>134.55850706656068</v>
      </c>
      <c r="D325" s="56">
        <v>-7.8197605786494949E-3</v>
      </c>
      <c r="E325" s="56">
        <v>-6.8924660520689837E-2</v>
      </c>
      <c r="F325" s="56">
        <v>-6.8924660520689837E-2</v>
      </c>
      <c r="G325" s="56">
        <v>-9.0491986693373327E-2</v>
      </c>
      <c r="H325" s="56">
        <v>-1.2466324963305526E-2</v>
      </c>
      <c r="I325" s="56">
        <v>5.023126278076611E-2</v>
      </c>
      <c r="J325" s="56">
        <v>1.8882468908730292E-2</v>
      </c>
      <c r="K325" s="55">
        <v>146.308784337612</v>
      </c>
      <c r="L325" s="56">
        <v>-8.0670002730815149E-2</v>
      </c>
      <c r="M325" s="55">
        <v>99.708383676380137</v>
      </c>
      <c r="N325" s="55">
        <v>19.473725663930779</v>
      </c>
      <c r="O325" s="58">
        <v>1</v>
      </c>
      <c r="P325" s="98">
        <v>1</v>
      </c>
      <c r="Q325" s="106">
        <v>0</v>
      </c>
    </row>
    <row r="326" spans="1:17" x14ac:dyDescent="0.2">
      <c r="A326" s="28">
        <f t="shared" si="2"/>
        <v>2020.05</v>
      </c>
      <c r="B326" s="28"/>
      <c r="C326" s="55">
        <v>134.35436240390692</v>
      </c>
      <c r="D326" s="56">
        <v>-1.5182962590994142E-3</v>
      </c>
      <c r="E326" s="56">
        <v>-7.3726613935163249E-2</v>
      </c>
      <c r="F326" s="56">
        <v>-7.3726613935163249E-2</v>
      </c>
      <c r="G326" s="56">
        <v>-8.3503397646376487E-2</v>
      </c>
      <c r="H326" s="56">
        <v>-1.2466324963305526E-2</v>
      </c>
      <c r="I326" s="56">
        <v>5.023126278076611E-2</v>
      </c>
      <c r="J326" s="56">
        <v>1.8882468908730292E-2</v>
      </c>
      <c r="K326" s="55">
        <v>146.259828415274</v>
      </c>
      <c r="L326" s="56">
        <v>-8.1719887271215264E-2</v>
      </c>
      <c r="M326" s="55">
        <v>99.399711156211666</v>
      </c>
      <c r="N326" s="55">
        <v>22.833437907061999</v>
      </c>
      <c r="O326" s="58">
        <v>1</v>
      </c>
      <c r="P326" s="98">
        <v>1</v>
      </c>
      <c r="Q326" s="106">
        <v>0</v>
      </c>
    </row>
    <row r="327" spans="1:17" x14ac:dyDescent="0.2">
      <c r="A327" s="28">
        <f t="shared" si="2"/>
        <v>2020.06</v>
      </c>
      <c r="B327" s="28"/>
      <c r="C327" s="55">
        <v>135.32605690709698</v>
      </c>
      <c r="D327" s="56">
        <v>7.2062978152874473E-3</v>
      </c>
      <c r="E327" s="56">
        <v>-6.80285709862333E-2</v>
      </c>
      <c r="F327" s="56">
        <v>-6.80285709862333E-2</v>
      </c>
      <c r="G327" s="56">
        <v>-6.0709615483220958E-2</v>
      </c>
      <c r="H327" s="56">
        <v>-1.2466324963305526E-2</v>
      </c>
      <c r="I327" s="56">
        <v>5.023126278076611E-2</v>
      </c>
      <c r="J327" s="56">
        <v>1.8882468908730292E-2</v>
      </c>
      <c r="K327" s="55">
        <v>146.21836840532399</v>
      </c>
      <c r="L327" s="56">
        <v>-7.4778790144646168E-2</v>
      </c>
      <c r="M327" s="55">
        <v>99.960313996304734</v>
      </c>
      <c r="N327" s="55">
        <v>29.552862393324446</v>
      </c>
      <c r="O327" s="58">
        <v>0</v>
      </c>
      <c r="P327" s="98">
        <v>0</v>
      </c>
      <c r="Q327" s="106">
        <v>0</v>
      </c>
    </row>
    <row r="328" spans="1:17" x14ac:dyDescent="0.2">
      <c r="A328" s="28">
        <f t="shared" si="2"/>
        <v>2020.07</v>
      </c>
      <c r="B328" s="28"/>
      <c r="C328" s="55">
        <v>137.1468266180847</v>
      </c>
      <c r="D328" s="56">
        <v>1.3364976286082771E-2</v>
      </c>
      <c r="E328" s="56">
        <v>-5.7474524486704072E-2</v>
      </c>
      <c r="F328" s="56">
        <v>-5.7474524486704072E-2</v>
      </c>
      <c r="G328" s="56">
        <v>-2.7084566035071811E-2</v>
      </c>
      <c r="H328" s="56">
        <v>-1.2466324963305526E-2</v>
      </c>
      <c r="I328" s="56">
        <v>5.023126278076611E-2</v>
      </c>
      <c r="J328" s="56">
        <v>1.8882468908730292E-2</v>
      </c>
      <c r="K328" s="55">
        <v>146.18425692927499</v>
      </c>
      <c r="L328" s="56">
        <v>-6.2073979881721031E-2</v>
      </c>
      <c r="M328" s="55">
        <v>101.14508437455322</v>
      </c>
      <c r="N328" s="55">
        <v>39.631999122718121</v>
      </c>
      <c r="O328" s="58">
        <v>0</v>
      </c>
      <c r="P328" s="98">
        <v>0</v>
      </c>
      <c r="Q328" s="106">
        <v>0</v>
      </c>
    </row>
    <row r="329" spans="1:17" x14ac:dyDescent="0.2">
      <c r="A329" s="28">
        <f t="shared" si="2"/>
        <v>2020.08</v>
      </c>
      <c r="B329" s="28"/>
      <c r="C329" s="55">
        <v>138.75306712823664</v>
      </c>
      <c r="D329" s="56">
        <v>1.1643778733057504E-2</v>
      </c>
      <c r="E329" s="56">
        <v>-3.9559466747096594E-2</v>
      </c>
      <c r="F329" s="56">
        <v>-3.9559466747096594E-2</v>
      </c>
      <c r="G329" s="56">
        <v>3.0314385789822484E-3</v>
      </c>
      <c r="H329" s="56">
        <v>-1.2466324963305526E-2</v>
      </c>
      <c r="I329" s="56">
        <v>5.023126278076611E-2</v>
      </c>
      <c r="J329" s="56">
        <v>1.8882468908730292E-2</v>
      </c>
      <c r="K329" s="55">
        <v>146.15726258552399</v>
      </c>
      <c r="L329" s="56">
        <v>-5.0876830313390298E-2</v>
      </c>
      <c r="M329" s="55">
        <v>102.16789457987284</v>
      </c>
      <c r="N329" s="55">
        <v>46.351423608980575</v>
      </c>
      <c r="O329" s="58">
        <v>0</v>
      </c>
      <c r="P329" s="98">
        <v>0</v>
      </c>
      <c r="Q329" s="106">
        <v>0</v>
      </c>
    </row>
    <row r="330" spans="1:17" x14ac:dyDescent="0.2">
      <c r="A330" s="28">
        <f t="shared" si="2"/>
        <v>2020.09</v>
      </c>
      <c r="B330" s="28"/>
      <c r="C330" s="55">
        <v>140.28489316826924</v>
      </c>
      <c r="D330" s="56">
        <v>1.097944829172404E-2</v>
      </c>
      <c r="E330" s="56">
        <v>-2.0083182249078235E-2</v>
      </c>
      <c r="F330" s="56">
        <v>-2.0083182249078235E-2</v>
      </c>
      <c r="G330" s="56">
        <v>2.9965536669424697E-2</v>
      </c>
      <c r="H330" s="56">
        <v>-1.2466324963305526E-2</v>
      </c>
      <c r="I330" s="56">
        <v>5.023126278076611E-2</v>
      </c>
      <c r="J330" s="56">
        <v>1.8882468908730292E-2</v>
      </c>
      <c r="K330" s="55">
        <v>146.13708433180301</v>
      </c>
      <c r="L330" s="56">
        <v>-4.0229645076854559E-2</v>
      </c>
      <c r="M330" s="55">
        <v>103.13251092707354</v>
      </c>
      <c r="N330" s="55">
        <v>58.110416459939856</v>
      </c>
      <c r="O330" s="58">
        <v>0</v>
      </c>
      <c r="P330" s="98">
        <v>0</v>
      </c>
      <c r="Q330" s="106">
        <v>0</v>
      </c>
    </row>
    <row r="331" spans="1:17" x14ac:dyDescent="0.2">
      <c r="A331" s="28">
        <f t="shared" si="2"/>
        <v>2020.1</v>
      </c>
      <c r="B331" s="28"/>
      <c r="C331" s="55">
        <v>142.0700736761921</v>
      </c>
      <c r="D331" s="56">
        <v>1.2645106371951997E-2</v>
      </c>
      <c r="E331" s="56">
        <v>3.4578997300071797E-3</v>
      </c>
      <c r="F331" s="56">
        <v>3.4578997300071797E-3</v>
      </c>
      <c r="G331" s="56">
        <v>5.7644377644598288E-2</v>
      </c>
      <c r="H331" s="56">
        <v>-1.2466324963305526E-2</v>
      </c>
      <c r="I331" s="56">
        <v>5.023126278076611E-2</v>
      </c>
      <c r="J331" s="56">
        <v>1.8882468908730292E-2</v>
      </c>
      <c r="K331" s="55">
        <v>146.12336414936999</v>
      </c>
      <c r="L331" s="56">
        <v>-2.7889307753888426E-2</v>
      </c>
      <c r="M331" s="55">
        <v>104.27978457050583</v>
      </c>
      <c r="N331" s="55">
        <v>64.82984094620231</v>
      </c>
      <c r="O331" s="58">
        <v>0</v>
      </c>
      <c r="P331" s="98">
        <v>0</v>
      </c>
      <c r="Q331" s="106">
        <v>0</v>
      </c>
    </row>
    <row r="332" spans="1:17" x14ac:dyDescent="0.2">
      <c r="A332" s="28">
        <f t="shared" si="2"/>
        <v>2020.11</v>
      </c>
      <c r="B332" s="28"/>
      <c r="C332" s="55">
        <v>143.3481870320185</v>
      </c>
      <c r="D332" s="56">
        <v>8.9561326315455818E-3</v>
      </c>
      <c r="E332" s="56">
        <v>1.8936065733185136E-2</v>
      </c>
      <c r="F332" s="56">
        <v>1.8936065733185136E-2</v>
      </c>
      <c r="G332" s="56">
        <v>7.4688868502228001E-2</v>
      </c>
      <c r="H332" s="56">
        <v>-1.2466324963305526E-2</v>
      </c>
      <c r="I332" s="56">
        <v>5.023126278076611E-2</v>
      </c>
      <c r="J332" s="56">
        <v>1.8882468908730292E-2</v>
      </c>
      <c r="K332" s="55">
        <v>146.11569898612001</v>
      </c>
      <c r="L332" s="56">
        <v>-1.9057920605998535E-2</v>
      </c>
      <c r="M332" s="55">
        <v>105.05157262173347</v>
      </c>
      <c r="N332" s="55">
        <v>68.189553189333523</v>
      </c>
      <c r="O332" s="58">
        <v>0</v>
      </c>
      <c r="P332" s="98">
        <v>0</v>
      </c>
      <c r="Q332" s="106">
        <v>0</v>
      </c>
    </row>
    <row r="333" spans="1:17" x14ac:dyDescent="0.2">
      <c r="A333" s="28">
        <f t="shared" si="2"/>
        <v>2020.12</v>
      </c>
      <c r="B333" s="28"/>
      <c r="C333" s="55">
        <v>143.60502737286728</v>
      </c>
      <c r="D333" s="56">
        <v>1.790120455483841E-3</v>
      </c>
      <c r="E333" s="56">
        <v>2.8652415666386634E-2</v>
      </c>
      <c r="F333" s="56">
        <v>2.8652415666386634E-2</v>
      </c>
      <c r="G333" s="56">
        <v>7.5018440735861391E-2</v>
      </c>
      <c r="H333" s="56">
        <v>-1.2466324963305526E-2</v>
      </c>
      <c r="I333" s="56">
        <v>5.023126278076611E-2</v>
      </c>
      <c r="J333" s="56">
        <v>1.8882468908730292E-2</v>
      </c>
      <c r="K333" s="55">
        <v>146.11365461236099</v>
      </c>
      <c r="L333" s="56">
        <v>-1.7253689154829499E-2</v>
      </c>
      <c r="M333" s="55">
        <v>105.07341112516126</v>
      </c>
      <c r="N333" s="55">
        <v>64.82984094620231</v>
      </c>
      <c r="O333" s="58">
        <v>0</v>
      </c>
      <c r="P333" s="98">
        <v>0</v>
      </c>
      <c r="Q333" s="106">
        <v>0</v>
      </c>
    </row>
    <row r="334" spans="1:17" x14ac:dyDescent="0.2">
      <c r="A334" s="28">
        <f t="shared" si="2"/>
        <v>2021.01</v>
      </c>
      <c r="B334" s="28"/>
      <c r="C334" s="55">
        <v>144.22327069906902</v>
      </c>
      <c r="D334" s="56">
        <v>4.2959242100081788E-3</v>
      </c>
      <c r="E334" s="56">
        <v>3.9451539158115237E-2</v>
      </c>
      <c r="F334" s="56">
        <v>3.9451539158115237E-2</v>
      </c>
      <c r="G334" s="56">
        <v>7.8698382445889337E-2</v>
      </c>
      <c r="H334" s="56">
        <v>-1.2466324963305526E-2</v>
      </c>
      <c r="I334" s="56">
        <v>5.023126278076611E-2</v>
      </c>
      <c r="J334" s="56">
        <v>1.8882468908730292E-2</v>
      </c>
      <c r="K334" s="55">
        <v>146.11677550501301</v>
      </c>
      <c r="L334" s="56">
        <v>-1.3012625143201673E-2</v>
      </c>
      <c r="M334" s="55">
        <v>105.35893247601037</v>
      </c>
      <c r="N334" s="55">
        <v>59.790272581505477</v>
      </c>
      <c r="O334" s="58">
        <v>0</v>
      </c>
      <c r="P334" s="98">
        <v>0</v>
      </c>
      <c r="Q334" s="106">
        <v>0</v>
      </c>
    </row>
    <row r="335" spans="1:17" x14ac:dyDescent="0.2">
      <c r="A335" s="28">
        <f t="shared" si="2"/>
        <v>2021.02</v>
      </c>
      <c r="B335" s="28"/>
      <c r="C335" s="55">
        <v>145.95456642317177</v>
      </c>
      <c r="D335" s="56">
        <v>1.1932794624974928E-2</v>
      </c>
      <c r="E335" s="56">
        <v>6.0444256434460643E-2</v>
      </c>
      <c r="F335" s="56">
        <v>6.0444256434460643E-2</v>
      </c>
      <c r="G335" s="56">
        <v>9.59205444673501E-2</v>
      </c>
      <c r="H335" s="56">
        <v>-1.2466324963305526E-2</v>
      </c>
      <c r="I335" s="56">
        <v>5.023126278076611E-2</v>
      </c>
      <c r="J335" s="56">
        <v>1.8882468908730292E-2</v>
      </c>
      <c r="K335" s="55">
        <v>146.12458680274401</v>
      </c>
      <c r="L335" s="56">
        <v>-1.1882522319456301E-3</v>
      </c>
      <c r="M335" s="55">
        <v>106.45511718446996</v>
      </c>
      <c r="N335" s="55">
        <v>61.470128703071069</v>
      </c>
      <c r="O335" s="58">
        <v>0</v>
      </c>
      <c r="P335" s="98">
        <v>0</v>
      </c>
      <c r="Q335" s="106">
        <v>0</v>
      </c>
    </row>
    <row r="336" spans="1:17" x14ac:dyDescent="0.2">
      <c r="A336" s="28">
        <f t="shared" si="2"/>
        <v>2021.03</v>
      </c>
      <c r="B336" s="28"/>
      <c r="C336" s="55">
        <v>147.61159003555372</v>
      </c>
      <c r="D336" s="56">
        <v>1.1289047963046514E-2</v>
      </c>
      <c r="E336" s="56">
        <v>8.4765570545414129E-2</v>
      </c>
      <c r="F336" s="56">
        <v>8.4765570545414129E-2</v>
      </c>
      <c r="G336" s="56">
        <v>0.1084666177846767</v>
      </c>
      <c r="H336" s="56">
        <v>-1.2466324963305526E-2</v>
      </c>
      <c r="I336" s="56">
        <v>5.023126278076611E-2</v>
      </c>
      <c r="J336" s="56">
        <v>1.8882468908730292E-2</v>
      </c>
      <c r="K336" s="55">
        <v>146.136599053808</v>
      </c>
      <c r="L336" s="56">
        <v>1.0096207347908948E-2</v>
      </c>
      <c r="M336" s="55">
        <v>107.49348606387839</v>
      </c>
      <c r="N336" s="55">
        <v>61.470128703071069</v>
      </c>
      <c r="O336" s="58">
        <v>0</v>
      </c>
      <c r="P336" s="98">
        <v>0</v>
      </c>
      <c r="Q336" s="106">
        <v>0</v>
      </c>
    </row>
    <row r="337" spans="1:17" x14ac:dyDescent="0.2">
      <c r="A337" s="28">
        <f t="shared" si="2"/>
        <v>2021.04</v>
      </c>
      <c r="B337" s="28"/>
      <c r="C337" s="55">
        <v>147.63275446982942</v>
      </c>
      <c r="D337" s="56">
        <v>1.4336893969912326E-4</v>
      </c>
      <c r="E337" s="56">
        <v>9.2728700063762937E-2</v>
      </c>
      <c r="F337" s="56">
        <v>9.2728700063762937E-2</v>
      </c>
      <c r="G337" s="56">
        <v>9.4249493513958615E-2</v>
      </c>
      <c r="H337" s="56">
        <v>-1.2466324963305526E-2</v>
      </c>
      <c r="I337" s="56">
        <v>5.023126278076611E-2</v>
      </c>
      <c r="J337" s="56">
        <v>1.8882468908730292E-2</v>
      </c>
      <c r="K337" s="55">
        <v>146.152321535835</v>
      </c>
      <c r="L337" s="56">
        <v>1.0158186064013863E-2</v>
      </c>
      <c r="M337" s="55">
        <v>107.33892604173664</v>
      </c>
      <c r="N337" s="55">
        <v>59.790272581505477</v>
      </c>
      <c r="O337" s="58">
        <v>0</v>
      </c>
      <c r="P337" s="98">
        <v>0</v>
      </c>
      <c r="Q337" s="106">
        <v>0</v>
      </c>
    </row>
    <row r="338" spans="1:17" x14ac:dyDescent="0.2">
      <c r="A338" s="28">
        <f t="shared" si="2"/>
        <v>2021.05</v>
      </c>
      <c r="B338" s="28"/>
      <c r="C338" s="55">
        <v>147.50143369279945</v>
      </c>
      <c r="D338" s="56">
        <v>-8.8990561557062363E-4</v>
      </c>
      <c r="E338" s="56">
        <v>9.3357090707291618E-2</v>
      </c>
      <c r="F338" s="56">
        <v>9.3357090707291618E-2</v>
      </c>
      <c r="G338" s="56">
        <v>7.6995574494248764E-2</v>
      </c>
      <c r="H338" s="56">
        <v>-1.2466324963305526E-2</v>
      </c>
      <c r="I338" s="56">
        <v>5.023126278076611E-2</v>
      </c>
      <c r="J338" s="56">
        <v>1.8882468908730292E-2</v>
      </c>
      <c r="K338" s="55">
        <v>146.17127496218799</v>
      </c>
      <c r="L338" s="56">
        <v>9.1523732141587377E-3</v>
      </c>
      <c r="M338" s="55">
        <v>107.0738943451488</v>
      </c>
      <c r="N338" s="55">
        <v>54.750704216808636</v>
      </c>
      <c r="O338" s="58">
        <v>0</v>
      </c>
      <c r="P338" s="98">
        <v>0</v>
      </c>
      <c r="Q338" s="106">
        <v>0</v>
      </c>
    </row>
    <row r="339" spans="1:17" x14ac:dyDescent="0.2">
      <c r="A339" s="28">
        <f t="shared" si="2"/>
        <v>2021.06</v>
      </c>
      <c r="B339" s="28"/>
      <c r="C339" s="55">
        <v>147.28117125014376</v>
      </c>
      <c r="D339" s="56">
        <v>-1.4944062502607819E-3</v>
      </c>
      <c r="E339" s="56">
        <v>8.4656386641743409E-2</v>
      </c>
      <c r="F339" s="56">
        <v>8.4656386641743409E-2</v>
      </c>
      <c r="G339" s="56">
        <v>5.8863894754749957E-2</v>
      </c>
      <c r="H339" s="56">
        <v>-1.2466324963305526E-2</v>
      </c>
      <c r="I339" s="56">
        <v>5.023126278076611E-2</v>
      </c>
      <c r="J339" s="56">
        <v>1.8882468908730292E-2</v>
      </c>
      <c r="K339" s="55">
        <v>146.19299150370799</v>
      </c>
      <c r="L339" s="56">
        <v>7.5170529589041468E-3</v>
      </c>
      <c r="M339" s="55">
        <v>106.74497013162022</v>
      </c>
      <c r="N339" s="55">
        <v>54.750704216808636</v>
      </c>
      <c r="O339" s="58">
        <v>0</v>
      </c>
      <c r="P339" s="98">
        <v>0</v>
      </c>
      <c r="Q339" s="106">
        <v>0</v>
      </c>
    </row>
    <row r="340" spans="1:17" x14ac:dyDescent="0.2">
      <c r="A340" s="28">
        <f t="shared" si="2"/>
        <v>2021.07</v>
      </c>
      <c r="B340" s="28"/>
      <c r="C340" s="55">
        <v>146.96889676419707</v>
      </c>
      <c r="D340" s="56">
        <v>-2.1225116805476166E-3</v>
      </c>
      <c r="E340" s="56">
        <v>6.9168898675112847E-2</v>
      </c>
      <c r="F340" s="56">
        <v>6.9168898675112847E-2</v>
      </c>
      <c r="G340" s="56">
        <v>4.1270728426133552E-2</v>
      </c>
      <c r="H340" s="56">
        <v>-1.2466324963305526E-2</v>
      </c>
      <c r="I340" s="56">
        <v>5.023126278076611E-2</v>
      </c>
      <c r="J340" s="56">
        <v>1.8882468908730292E-2</v>
      </c>
      <c r="K340" s="55">
        <v>146.217013615334</v>
      </c>
      <c r="L340" s="56">
        <v>5.2346951614359316E-3</v>
      </c>
      <c r="M340" s="55">
        <v>106.35023620869174</v>
      </c>
      <c r="N340" s="55">
        <v>54.750704216808636</v>
      </c>
      <c r="O340" s="58">
        <v>0</v>
      </c>
      <c r="P340" s="98">
        <v>0</v>
      </c>
      <c r="Q340" s="106">
        <v>0</v>
      </c>
    </row>
    <row r="341" spans="1:17" x14ac:dyDescent="0.2">
      <c r="A341" s="28">
        <f t="shared" si="2"/>
        <v>2021.08</v>
      </c>
      <c r="B341" s="28"/>
      <c r="C341" s="55">
        <v>147.5899271377412</v>
      </c>
      <c r="D341" s="56">
        <v>4.2166877603652267E-3</v>
      </c>
      <c r="E341" s="56">
        <v>6.1741807702420638E-2</v>
      </c>
      <c r="F341" s="56">
        <v>6.1741807702420638E-2</v>
      </c>
      <c r="G341" s="56">
        <v>3.8468338846536998E-2</v>
      </c>
      <c r="H341" s="56">
        <v>-1.2466324963305526E-2</v>
      </c>
      <c r="I341" s="56">
        <v>5.023126278076611E-2</v>
      </c>
      <c r="J341" s="56">
        <v>1.8882468908730292E-2</v>
      </c>
      <c r="K341" s="55">
        <v>146.24289217161299</v>
      </c>
      <c r="L341" s="56">
        <v>9.3206000055936489E-3</v>
      </c>
      <c r="M341" s="55">
        <v>106.63077776260734</v>
      </c>
      <c r="N341" s="55">
        <v>49.711135852111795</v>
      </c>
      <c r="O341" s="58">
        <v>0</v>
      </c>
      <c r="P341" s="98">
        <v>0</v>
      </c>
      <c r="Q341" s="106">
        <v>0</v>
      </c>
    </row>
    <row r="342" spans="1:17" x14ac:dyDescent="0.2">
      <c r="A342" s="28">
        <f t="shared" si="2"/>
        <v>2021.09</v>
      </c>
      <c r="B342" s="28"/>
      <c r="C342" s="55">
        <v>148.28893106063666</v>
      </c>
      <c r="D342" s="56">
        <v>4.72494200899837E-3</v>
      </c>
      <c r="E342" s="56">
        <v>5.5487301419694983E-2</v>
      </c>
      <c r="F342" s="56">
        <v>5.5487301419694983E-2</v>
      </c>
      <c r="G342" s="56">
        <v>3.7788471358125797E-2</v>
      </c>
      <c r="H342" s="56">
        <v>-1.2466324963305526E-2</v>
      </c>
      <c r="I342" s="56">
        <v>5.023126278076611E-2</v>
      </c>
      <c r="J342" s="56">
        <v>1.8882468908730292E-2</v>
      </c>
      <c r="K342" s="55">
        <v>146.27018385302901</v>
      </c>
      <c r="L342" s="56">
        <v>1.3926300985589224E-2</v>
      </c>
      <c r="M342" s="55">
        <v>106.96641167741657</v>
      </c>
      <c r="N342" s="55">
        <v>49.711135852111795</v>
      </c>
      <c r="O342" s="58">
        <v>0</v>
      </c>
      <c r="P342" s="98">
        <v>0</v>
      </c>
      <c r="Q342" s="106">
        <v>0</v>
      </c>
    </row>
    <row r="343" spans="1:17" x14ac:dyDescent="0.2">
      <c r="A343" s="28">
        <f t="shared" si="2"/>
        <v>2021.1</v>
      </c>
      <c r="B343" s="28"/>
      <c r="C343" s="55">
        <v>148.60735207408479</v>
      </c>
      <c r="D343" s="56">
        <v>2.1449991369013348E-3</v>
      </c>
      <c r="E343" s="56">
        <v>4.4987194184644516E-2</v>
      </c>
      <c r="F343" s="56">
        <v>4.4987194184644516E-2</v>
      </c>
      <c r="G343" s="56">
        <v>3.3136001628049971E-2</v>
      </c>
      <c r="H343" s="56">
        <v>-1.2466324963305526E-2</v>
      </c>
      <c r="I343" s="56">
        <v>5.023126278076611E-2</v>
      </c>
      <c r="J343" s="56">
        <v>1.8882468908730292E-2</v>
      </c>
      <c r="K343" s="55">
        <v>146.29845571351601</v>
      </c>
      <c r="L343" s="56">
        <v>1.5919605067942211E-2</v>
      </c>
      <c r="M343" s="55">
        <v>107.02662297278741</v>
      </c>
      <c r="N343" s="55">
        <v>49.711135852111795</v>
      </c>
      <c r="O343" s="58">
        <v>0</v>
      </c>
      <c r="P343" s="98">
        <v>0</v>
      </c>
      <c r="Q343" s="106">
        <v>0</v>
      </c>
    </row>
    <row r="344" spans="1:17" x14ac:dyDescent="0.2">
      <c r="A344" s="28">
        <f t="shared" si="2"/>
        <v>2021.11</v>
      </c>
      <c r="B344" s="28"/>
      <c r="C344" s="55">
        <v>149.09933897737258</v>
      </c>
      <c r="D344" s="56">
        <v>3.3051816835652937E-3</v>
      </c>
      <c r="E344" s="56">
        <v>3.933624323666407E-2</v>
      </c>
      <c r="F344" s="56">
        <v>3.933624323666407E-2</v>
      </c>
      <c r="G344" s="56">
        <v>3.2337070467275408E-2</v>
      </c>
      <c r="H344" s="56">
        <v>-1.2466324963305526E-2</v>
      </c>
      <c r="I344" s="56">
        <v>5.023126278076611E-2</v>
      </c>
      <c r="J344" s="56">
        <v>1.8882468908730292E-2</v>
      </c>
      <c r="K344" s="55">
        <v>146.327290324579</v>
      </c>
      <c r="L344" s="56">
        <v>1.9092431305367308E-2</v>
      </c>
      <c r="M344" s="55">
        <v>107.21118057506129</v>
      </c>
      <c r="N344" s="55">
        <v>51.390991973677401</v>
      </c>
      <c r="O344" s="58">
        <v>0</v>
      </c>
      <c r="P344" s="98">
        <v>0</v>
      </c>
      <c r="Q344" s="106">
        <v>0</v>
      </c>
    </row>
    <row r="345" spans="1:17" x14ac:dyDescent="0.2">
      <c r="A345" s="28">
        <f t="shared" si="2"/>
        <v>2021.12</v>
      </c>
      <c r="B345" s="28"/>
      <c r="C345" s="55">
        <v>150.00105087939312</v>
      </c>
      <c r="D345" s="56">
        <v>6.0295115914947069E-3</v>
      </c>
      <c r="E345" s="56">
        <v>4.3575634372675039E-2</v>
      </c>
      <c r="F345" s="56">
        <v>4.3575634372675039E-2</v>
      </c>
      <c r="G345" s="56">
        <v>3.7619403884405989E-2</v>
      </c>
      <c r="H345" s="56">
        <v>-1.2466324963305526E-2</v>
      </c>
      <c r="I345" s="56">
        <v>5.023126278076611E-2</v>
      </c>
      <c r="J345" s="56">
        <v>1.8882468908730292E-2</v>
      </c>
      <c r="K345" s="55">
        <v>146.35628798367</v>
      </c>
      <c r="L345" s="56">
        <v>2.5060769217288836E-2</v>
      </c>
      <c r="M345" s="55">
        <v>107.68903762604063</v>
      </c>
      <c r="N345" s="55">
        <v>56.430560338374242</v>
      </c>
      <c r="O345" s="58">
        <v>0</v>
      </c>
      <c r="P345" s="98">
        <v>0</v>
      </c>
      <c r="Q345" s="106">
        <v>0</v>
      </c>
    </row>
    <row r="346" spans="1:17" x14ac:dyDescent="0.2">
      <c r="A346" s="28">
        <f t="shared" si="2"/>
        <v>2022.01</v>
      </c>
      <c r="B346" s="28"/>
      <c r="C346" s="55">
        <v>150.45967405358201</v>
      </c>
      <c r="D346" s="56">
        <v>3.0528018626937259E-3</v>
      </c>
      <c r="E346" s="56">
        <v>4.2332512025360508E-2</v>
      </c>
      <c r="F346" s="56">
        <v>4.2332512025360508E-2</v>
      </c>
      <c r="G346" s="56">
        <v>3.6536200145577569E-2</v>
      </c>
      <c r="H346" s="56">
        <v>-1.2466324963305526E-2</v>
      </c>
      <c r="I346" s="56">
        <v>5.023126278076611E-2</v>
      </c>
      <c r="J346" s="56">
        <v>1.8882468908730292E-2</v>
      </c>
      <c r="K346" s="55">
        <v>146.38507033537601</v>
      </c>
      <c r="L346" s="56">
        <v>2.7998977619302368E-2</v>
      </c>
      <c r="M346" s="55">
        <v>107.84751553002886</v>
      </c>
      <c r="N346" s="55">
        <v>58.110416459939856</v>
      </c>
      <c r="O346" s="58">
        <v>0</v>
      </c>
      <c r="P346" s="98">
        <v>0</v>
      </c>
      <c r="Q346" s="106">
        <v>0</v>
      </c>
    </row>
    <row r="347" spans="1:17" x14ac:dyDescent="0.2">
      <c r="A347" s="28">
        <f t="shared" si="2"/>
        <v>2022.02</v>
      </c>
      <c r="B347" s="28"/>
      <c r="C347" s="55">
        <v>150.75562815675769</v>
      </c>
      <c r="D347" s="56">
        <v>1.9650674865405375E-3</v>
      </c>
      <c r="E347" s="56">
        <v>3.2364784886926123E-2</v>
      </c>
      <c r="F347" s="56">
        <v>3.2364784886926123E-2</v>
      </c>
      <c r="G347" s="56">
        <v>3.3573160696218407E-2</v>
      </c>
      <c r="H347" s="56">
        <v>-1.2466324963305526E-2</v>
      </c>
      <c r="I347" s="56">
        <v>5.023126278076611E-2</v>
      </c>
      <c r="J347" s="56">
        <v>1.8882468908730292E-2</v>
      </c>
      <c r="K347" s="55">
        <v>146.41328714660099</v>
      </c>
      <c r="L347" s="56">
        <v>2.9826924407014843E-2</v>
      </c>
      <c r="M347" s="55">
        <v>107.88880844001861</v>
      </c>
      <c r="N347" s="55">
        <v>58.110416459939856</v>
      </c>
      <c r="O347" s="58">
        <v>0</v>
      </c>
      <c r="P347" s="98">
        <v>0</v>
      </c>
      <c r="Q347" s="106">
        <v>0</v>
      </c>
    </row>
    <row r="348" spans="1:17" x14ac:dyDescent="0.2">
      <c r="A348" s="28">
        <f t="shared" si="2"/>
        <v>2022.03</v>
      </c>
      <c r="B348" s="28"/>
      <c r="C348" s="55">
        <v>151.51226468584991</v>
      </c>
      <c r="D348" s="56">
        <v>5.0064074112846574E-3</v>
      </c>
      <c r="E348" s="56">
        <v>2.6082144335164367E-2</v>
      </c>
      <c r="F348" s="56">
        <v>2.6082144335164367E-2</v>
      </c>
      <c r="G348" s="56">
        <v>3.7987042726625786E-2</v>
      </c>
      <c r="H348" s="56">
        <v>-1.2466324963305526E-2</v>
      </c>
      <c r="I348" s="56">
        <v>5.023126278076611E-2</v>
      </c>
      <c r="J348" s="56">
        <v>1.8882468908730292E-2</v>
      </c>
      <c r="K348" s="55">
        <v>146.440619631277</v>
      </c>
      <c r="L348" s="56">
        <v>3.4805006015907525E-2</v>
      </c>
      <c r="M348" s="55">
        <v>108.25886900438508</v>
      </c>
      <c r="N348" s="55">
        <v>54.750704216808636</v>
      </c>
      <c r="O348" s="58">
        <v>0</v>
      </c>
      <c r="P348" s="98">
        <v>0</v>
      </c>
      <c r="Q348" s="106">
        <v>0</v>
      </c>
    </row>
    <row r="349" spans="1:17" x14ac:dyDescent="0.2">
      <c r="A349" s="28">
        <f t="shared" si="2"/>
        <v>2022.04</v>
      </c>
      <c r="B349" s="28"/>
      <c r="C349" s="55">
        <v>152.81450476705351</v>
      </c>
      <c r="D349" s="56">
        <v>8.5582220182840087E-3</v>
      </c>
      <c r="E349" s="56">
        <v>3.4496997413749168E-2</v>
      </c>
      <c r="F349" s="56">
        <v>3.4496997413749168E-2</v>
      </c>
      <c r="G349" s="56">
        <v>5.0268611533395458E-2</v>
      </c>
      <c r="H349" s="56">
        <v>-1.2466324963305526E-2</v>
      </c>
      <c r="I349" s="56">
        <v>5.023126278076611E-2</v>
      </c>
      <c r="J349" s="56">
        <v>1.8882468908730292E-2</v>
      </c>
      <c r="K349" s="55">
        <v>146.46678253137699</v>
      </c>
      <c r="L349" s="56">
        <v>4.3513608807544513E-2</v>
      </c>
      <c r="M349" s="55">
        <v>109.01671922829722</v>
      </c>
      <c r="N349" s="55">
        <v>59.790272581505477</v>
      </c>
      <c r="O349" s="58">
        <v>0</v>
      </c>
      <c r="P349" s="98">
        <v>0</v>
      </c>
      <c r="Q349" s="106">
        <v>0</v>
      </c>
    </row>
    <row r="350" spans="1:17" x14ac:dyDescent="0.2">
      <c r="A350" s="28">
        <f t="shared" si="2"/>
        <v>2022.05</v>
      </c>
      <c r="B350" s="28"/>
      <c r="C350" s="55">
        <v>153.00544234282154</v>
      </c>
      <c r="D350" s="56">
        <v>1.2486929147832128E-3</v>
      </c>
      <c r="E350" s="56">
        <v>3.6635595944103011E-2</v>
      </c>
      <c r="F350" s="56">
        <v>3.6635595944103011E-2</v>
      </c>
      <c r="G350" s="56">
        <v>4.7076304833593152E-2</v>
      </c>
      <c r="H350" s="56">
        <v>-1.2466324963305526E-2</v>
      </c>
      <c r="I350" s="56">
        <v>5.023126278076611E-2</v>
      </c>
      <c r="J350" s="56">
        <v>1.8882468908730292E-2</v>
      </c>
      <c r="K350" s="55">
        <v>146.49152974793901</v>
      </c>
      <c r="L350" s="56">
        <v>4.4640354190648601E-2</v>
      </c>
      <c r="M350" s="55">
        <v>108.98036107561673</v>
      </c>
      <c r="N350" s="55">
        <v>59.790272581505477</v>
      </c>
      <c r="O350" s="58">
        <v>0</v>
      </c>
      <c r="P350" s="98">
        <v>0</v>
      </c>
      <c r="Q350" s="106">
        <v>0</v>
      </c>
    </row>
    <row r="351" spans="1:17" x14ac:dyDescent="0.2">
      <c r="A351" s="28">
        <f t="shared" si="2"/>
        <v>2022.06</v>
      </c>
      <c r="B351" s="28"/>
      <c r="C351" s="55">
        <v>152.72195708612725</v>
      </c>
      <c r="D351" s="56">
        <v>-1.8544974279030085E-3</v>
      </c>
      <c r="E351" s="56">
        <v>3.6275504766460825E-2</v>
      </c>
      <c r="F351" s="56">
        <v>3.6275504766460825E-2</v>
      </c>
      <c r="G351" s="56">
        <v>3.7602681208301014E-2</v>
      </c>
      <c r="H351" s="56">
        <v>-1.2466324963305526E-2</v>
      </c>
      <c r="I351" s="56">
        <v>5.023126278076611E-2</v>
      </c>
      <c r="J351" s="56">
        <v>1.8882468908730292E-2</v>
      </c>
      <c r="K351" s="55">
        <v>146.514664185491</v>
      </c>
      <c r="L351" s="56">
        <v>4.2538260442663844E-2</v>
      </c>
      <c r="M351" s="55">
        <v>108.60646504518012</v>
      </c>
      <c r="N351" s="55">
        <v>54.750704216808636</v>
      </c>
      <c r="O351" s="58">
        <v>1</v>
      </c>
      <c r="P351" s="98">
        <v>1</v>
      </c>
      <c r="Q351" s="106">
        <v>0</v>
      </c>
    </row>
    <row r="352" spans="1:17" x14ac:dyDescent="0.2">
      <c r="A352" s="28">
        <f t="shared" si="2"/>
        <v>2022.07</v>
      </c>
      <c r="B352" s="28"/>
      <c r="C352" s="55">
        <v>151.67905287991238</v>
      </c>
      <c r="D352" s="56">
        <v>-6.8521999116920515E-3</v>
      </c>
      <c r="E352" s="56">
        <v>3.1545816535316198E-2</v>
      </c>
      <c r="F352" s="56">
        <v>3.1545816535316198E-2</v>
      </c>
      <c r="G352" s="56">
        <v>1.8855204109148982E-2</v>
      </c>
      <c r="H352" s="56">
        <v>-1.2466324963305526E-2</v>
      </c>
      <c r="I352" s="56">
        <v>5.023126278076611E-2</v>
      </c>
      <c r="J352" s="56">
        <v>1.8882468908730292E-2</v>
      </c>
      <c r="K352" s="55">
        <v>146.53603901608801</v>
      </c>
      <c r="L352" s="56">
        <v>3.5264813829512853E-2</v>
      </c>
      <c r="M352" s="55">
        <v>107.6942806397123</v>
      </c>
      <c r="N352" s="55">
        <v>49.711135852111795</v>
      </c>
      <c r="O352" s="58">
        <v>1</v>
      </c>
      <c r="P352" s="98">
        <v>1</v>
      </c>
      <c r="Q352" s="106">
        <v>0</v>
      </c>
    </row>
    <row r="353" spans="1:17" x14ac:dyDescent="0.2">
      <c r="A353" s="28">
        <f t="shared" si="2"/>
        <v>2022.08</v>
      </c>
      <c r="B353" s="28"/>
      <c r="C353" s="55">
        <v>150.73011011755506</v>
      </c>
      <c r="D353" s="56">
        <v>-6.275906904521851E-3</v>
      </c>
      <c r="E353" s="56">
        <v>2.1053221870429059E-2</v>
      </c>
      <c r="F353" s="56">
        <v>2.1053221870429059E-2</v>
      </c>
      <c r="G353" s="56">
        <v>2.2762055760854327E-3</v>
      </c>
      <c r="H353" s="56">
        <v>-1.2466324963305526E-2</v>
      </c>
      <c r="I353" s="56">
        <v>5.023126278076611E-2</v>
      </c>
      <c r="J353" s="56">
        <v>1.8882468908730292E-2</v>
      </c>
      <c r="K353" s="55">
        <v>146.555555298087</v>
      </c>
      <c r="L353" s="56">
        <v>2.8646776711938937E-2</v>
      </c>
      <c r="M353" s="55">
        <v>106.85131758734498</v>
      </c>
      <c r="N353" s="55">
        <v>46.351423608980575</v>
      </c>
      <c r="O353" s="58">
        <v>1</v>
      </c>
      <c r="P353" s="98">
        <v>1</v>
      </c>
      <c r="Q353" s="106">
        <v>0</v>
      </c>
    </row>
    <row r="354" spans="1:17" x14ac:dyDescent="0.2">
      <c r="A354" s="28">
        <f t="shared" si="2"/>
        <v>2022.09</v>
      </c>
      <c r="B354" s="28"/>
      <c r="C354" s="55">
        <v>150.0425024545701</v>
      </c>
      <c r="D354" s="56">
        <v>-4.572283726358946E-3</v>
      </c>
      <c r="E354" s="56">
        <v>1.1755996135071604E-2</v>
      </c>
      <c r="F354" s="56">
        <v>1.1755996135071604E-2</v>
      </c>
      <c r="G354" s="56">
        <v>-9.329987107395743E-3</v>
      </c>
      <c r="H354" s="56">
        <v>-1.2466324963305526E-2</v>
      </c>
      <c r="I354" s="56">
        <v>5.023126278076611E-2</v>
      </c>
      <c r="J354" s="56">
        <v>1.8882468908730292E-2</v>
      </c>
      <c r="K354" s="55">
        <v>146.57315376052301</v>
      </c>
      <c r="L354" s="56">
        <v>2.3826316322292707E-2</v>
      </c>
      <c r="M354" s="55">
        <v>106.19571618261766</v>
      </c>
      <c r="N354" s="55">
        <v>37.952143001152507</v>
      </c>
      <c r="O354" s="58">
        <v>1</v>
      </c>
      <c r="P354" s="98">
        <v>1</v>
      </c>
      <c r="Q354" s="106">
        <v>0</v>
      </c>
    </row>
    <row r="355" spans="1:17" x14ac:dyDescent="0.2">
      <c r="A355" s="28">
        <f t="shared" si="2"/>
        <v>2022.1</v>
      </c>
      <c r="B355" s="28"/>
      <c r="C355" s="55">
        <v>150.43829607831412</v>
      </c>
      <c r="D355" s="56">
        <v>2.634403626320597E-3</v>
      </c>
      <c r="E355" s="56">
        <v>1.2245400624490808E-2</v>
      </c>
      <c r="F355" s="56">
        <v>1.2245400624490808E-2</v>
      </c>
      <c r="G355" s="56">
        <v>-6.2785296703274929E-3</v>
      </c>
      <c r="H355" s="56">
        <v>-1.2466324963305526E-2</v>
      </c>
      <c r="I355" s="56">
        <v>5.023126278076611E-2</v>
      </c>
      <c r="J355" s="56">
        <v>1.8882468908730292E-2</v>
      </c>
      <c r="K355" s="55">
        <v>146.58880733800299</v>
      </c>
      <c r="L355" s="56">
        <v>2.6411740576740783E-2</v>
      </c>
      <c r="M355" s="55">
        <v>106.30750829688029</v>
      </c>
      <c r="N355" s="55">
        <v>34.59243075802128</v>
      </c>
      <c r="O355" s="58">
        <v>1</v>
      </c>
      <c r="P355" s="98">
        <v>1</v>
      </c>
      <c r="Q355" s="106">
        <v>0</v>
      </c>
    </row>
    <row r="356" spans="1:17" x14ac:dyDescent="0.2">
      <c r="A356" s="28">
        <f t="shared" si="2"/>
        <v>2022.11</v>
      </c>
      <c r="B356" s="28"/>
      <c r="C356" s="55">
        <v>150.50799424483887</v>
      </c>
      <c r="D356" s="56">
        <v>4.6319340036411776E-4</v>
      </c>
      <c r="E356" s="56">
        <v>9.4034123412896856E-3</v>
      </c>
      <c r="F356" s="56">
        <v>9.4034123412896856E-3</v>
      </c>
      <c r="G356" s="56">
        <v>-7.2816562246814653E-3</v>
      </c>
      <c r="H356" s="56">
        <v>-1.2466324963305526E-2</v>
      </c>
      <c r="I356" s="56">
        <v>5.023126278076611E-2</v>
      </c>
      <c r="J356" s="56">
        <v>1.8882468908730292E-2</v>
      </c>
      <c r="K356" s="55">
        <v>146.60251586749899</v>
      </c>
      <c r="L356" s="56">
        <v>2.6785056086755077E-2</v>
      </c>
      <c r="M356" s="55">
        <v>106.18860982308379</v>
      </c>
      <c r="N356" s="55">
        <v>34.59243075802128</v>
      </c>
      <c r="O356" s="58">
        <v>1</v>
      </c>
      <c r="P356" s="98">
        <v>1</v>
      </c>
      <c r="Q356" s="106">
        <v>0</v>
      </c>
    </row>
    <row r="357" spans="1:17" x14ac:dyDescent="0.2">
      <c r="A357" s="28">
        <f t="shared" si="2"/>
        <v>2022.12</v>
      </c>
      <c r="B357" s="28"/>
      <c r="C357" s="55">
        <v>150.62357211850269</v>
      </c>
      <c r="D357" s="56">
        <v>7.6762380467075195E-4</v>
      </c>
      <c r="E357" s="56">
        <v>4.1415245544655869E-3</v>
      </c>
      <c r="F357" s="56">
        <v>4.1415245544655869E-3</v>
      </c>
      <c r="G357" s="56">
        <v>-7.298036923460538E-3</v>
      </c>
      <c r="H357" s="56">
        <v>-1.2466324963305526E-2</v>
      </c>
      <c r="I357" s="56">
        <v>5.023126278076611E-2</v>
      </c>
      <c r="J357" s="56">
        <v>1.8882468908730292E-2</v>
      </c>
      <c r="K357" s="55">
        <v>146.61430913685601</v>
      </c>
      <c r="L357" s="56">
        <v>2.7484341743529317E-2</v>
      </c>
      <c r="M357" s="55">
        <v>106.10214013124585</v>
      </c>
      <c r="N357" s="55">
        <v>34.59243075802128</v>
      </c>
      <c r="O357" s="58">
        <v>1</v>
      </c>
      <c r="P357" s="98">
        <v>1</v>
      </c>
      <c r="Q357" s="106">
        <v>0</v>
      </c>
    </row>
    <row r="358" spans="1:17" x14ac:dyDescent="0.2">
      <c r="A358" s="28">
        <f t="shared" si="2"/>
        <v>2023.01</v>
      </c>
      <c r="B358" s="28"/>
      <c r="C358" s="55">
        <v>150.16184572179748</v>
      </c>
      <c r="D358" s="56">
        <v>-3.0701405852545717E-3</v>
      </c>
      <c r="E358" s="56">
        <v>-1.9814178934827102E-3</v>
      </c>
      <c r="F358" s="56">
        <v>-1.9814178934827102E-3</v>
      </c>
      <c r="G358" s="56">
        <v>-1.3533550177883713E-2</v>
      </c>
      <c r="H358" s="56">
        <v>-1.2466324963305526E-2</v>
      </c>
      <c r="I358" s="56">
        <v>5.023126278076611E-2</v>
      </c>
      <c r="J358" s="56">
        <v>1.8882468908730292E-2</v>
      </c>
      <c r="K358" s="55">
        <v>146.624247205708</v>
      </c>
      <c r="L358" s="56">
        <v>2.4258529222157543E-2</v>
      </c>
      <c r="M358" s="55">
        <v>105.60965714212982</v>
      </c>
      <c r="N358" s="55">
        <v>36.2722868795869</v>
      </c>
      <c r="O358" s="58">
        <v>1</v>
      </c>
      <c r="P358" s="98">
        <v>1</v>
      </c>
      <c r="Q358" s="106">
        <v>0</v>
      </c>
    </row>
    <row r="359" spans="1:17" x14ac:dyDescent="0.2">
      <c r="A359" s="28">
        <f t="shared" si="2"/>
        <v>2023.02</v>
      </c>
      <c r="B359" s="28"/>
      <c r="C359" s="55">
        <v>150.50678851434827</v>
      </c>
      <c r="D359" s="56">
        <v>2.2945056757501118E-3</v>
      </c>
      <c r="E359" s="56">
        <v>-1.6519797042731498E-3</v>
      </c>
      <c r="F359" s="56">
        <v>-1.6519797042731498E-3</v>
      </c>
      <c r="G359" s="56">
        <v>-9.0458738460790222E-3</v>
      </c>
      <c r="H359" s="56">
        <v>-1.2466324963305526E-2</v>
      </c>
      <c r="I359" s="56">
        <v>5.023126278076611E-2</v>
      </c>
      <c r="J359" s="56">
        <v>1.8882468908730292E-2</v>
      </c>
      <c r="K359" s="55">
        <v>146.632421107288</v>
      </c>
      <c r="L359" s="56">
        <v>2.6547441129165739E-2</v>
      </c>
      <c r="M359" s="55">
        <v>105.68490412475052</v>
      </c>
      <c r="N359" s="55">
        <v>42.991711365849348</v>
      </c>
      <c r="O359" s="58">
        <v>1</v>
      </c>
      <c r="P359" s="98">
        <v>1</v>
      </c>
      <c r="Q359" s="106">
        <v>0</v>
      </c>
    </row>
    <row r="360" spans="1:17" x14ac:dyDescent="0.2">
      <c r="A360" s="28">
        <f t="shared" si="2"/>
        <v>2023.03</v>
      </c>
      <c r="B360" s="28"/>
      <c r="C360" s="55">
        <v>150.86158819925214</v>
      </c>
      <c r="D360" s="56">
        <v>2.3545924273375481E-3</v>
      </c>
      <c r="E360" s="56">
        <v>-4.3037946882201949E-3</v>
      </c>
      <c r="F360" s="56">
        <v>-4.3037946882201949E-3</v>
      </c>
      <c r="G360" s="56">
        <v>-4.4769157262830594E-3</v>
      </c>
      <c r="H360" s="56">
        <v>-1.2466324963305526E-2</v>
      </c>
      <c r="I360" s="56">
        <v>5.023126278076611E-2</v>
      </c>
      <c r="J360" s="56">
        <v>1.8882468908730292E-2</v>
      </c>
      <c r="K360" s="55">
        <v>146.63894916314601</v>
      </c>
      <c r="L360" s="56">
        <v>2.8914989715034256E-2</v>
      </c>
      <c r="M360" s="55">
        <v>105.76655969899092</v>
      </c>
      <c r="N360" s="55">
        <v>51.390991973677401</v>
      </c>
      <c r="O360" s="58">
        <v>1</v>
      </c>
      <c r="P360" s="98">
        <v>1</v>
      </c>
      <c r="Q360" s="106">
        <v>0</v>
      </c>
    </row>
    <row r="361" spans="1:17" x14ac:dyDescent="0.2">
      <c r="A361" s="28">
        <f t="shared" si="2"/>
        <v>2023.04</v>
      </c>
      <c r="B361" s="28"/>
      <c r="C361" s="55">
        <v>150.75145139012815</v>
      </c>
      <c r="D361" s="56">
        <v>-7.3031865047472366E-4</v>
      </c>
      <c r="E361" s="56">
        <v>-1.3592335356979051E-2</v>
      </c>
      <c r="F361" s="56">
        <v>-1.3592335356979051E-2</v>
      </c>
      <c r="G361" s="56">
        <v>-5.1598327392473609E-3</v>
      </c>
      <c r="H361" s="56">
        <v>-1.2466324963305526E-2</v>
      </c>
      <c r="I361" s="56">
        <v>5.023126278076611E-2</v>
      </c>
      <c r="J361" s="56">
        <v>1.8882468908730292E-2</v>
      </c>
      <c r="K361" s="55">
        <v>146.64397954340399</v>
      </c>
      <c r="L361" s="56">
        <v>2.8122272951565996E-2</v>
      </c>
      <c r="M361" s="55">
        <v>105.52224898086494</v>
      </c>
      <c r="N361" s="55">
        <v>46.351423608980575</v>
      </c>
      <c r="O361" s="58">
        <v>1</v>
      </c>
      <c r="P361" s="98">
        <v>1</v>
      </c>
      <c r="Q361" s="106">
        <v>0</v>
      </c>
    </row>
    <row r="362" spans="1:17" x14ac:dyDescent="0.2">
      <c r="A362" s="28">
        <f t="shared" si="2"/>
        <v>2023.05</v>
      </c>
      <c r="B362" s="28"/>
      <c r="C362" s="55">
        <v>150.27144944196627</v>
      </c>
      <c r="D362" s="56">
        <v>-3.1891417806529159E-3</v>
      </c>
      <c r="E362" s="56">
        <v>-1.8030170052415098E-2</v>
      </c>
      <c r="F362" s="56">
        <v>-1.8030170052415098E-2</v>
      </c>
      <c r="G362" s="56">
        <v>-8.9201065574637806E-3</v>
      </c>
      <c r="H362" s="56">
        <v>-1.2466324963305526E-2</v>
      </c>
      <c r="I362" s="56">
        <v>5.023126278076611E-2</v>
      </c>
      <c r="J362" s="56">
        <v>1.8882468908730292E-2</v>
      </c>
      <c r="K362" s="55">
        <v>146.64769300815601</v>
      </c>
      <c r="L362" s="56">
        <v>2.481689698763212E-2</v>
      </c>
      <c r="M362" s="55">
        <v>105.01995936631853</v>
      </c>
      <c r="N362" s="55">
        <v>42.991711365849348</v>
      </c>
      <c r="O362" s="58">
        <v>1</v>
      </c>
      <c r="P362" s="98">
        <v>1</v>
      </c>
      <c r="Q362" s="106">
        <v>0</v>
      </c>
    </row>
    <row r="363" spans="1:17" x14ac:dyDescent="0.2">
      <c r="A363" s="28">
        <f t="shared" si="2"/>
        <v>2023.06</v>
      </c>
      <c r="B363" s="28"/>
      <c r="C363" s="55">
        <v>149.96347402310562</v>
      </c>
      <c r="D363" s="56">
        <v>-2.0515636444048339E-3</v>
      </c>
      <c r="E363" s="56">
        <v>-1.8227236268916831E-2</v>
      </c>
      <c r="F363" s="56">
        <v>-1.8227236268916831E-2</v>
      </c>
      <c r="G363" s="56">
        <v>-9.9106124203649504E-3</v>
      </c>
      <c r="H363" s="56">
        <v>-1.2466324963305526E-2</v>
      </c>
      <c r="I363" s="56">
        <v>5.023126278076611E-2</v>
      </c>
      <c r="J363" s="56">
        <v>1.8882468908730292E-2</v>
      </c>
      <c r="K363" s="55">
        <v>146.65030205787301</v>
      </c>
      <c r="L363" s="56">
        <v>2.2693154094702184E-2</v>
      </c>
      <c r="M363" s="55">
        <v>104.63902805833105</v>
      </c>
      <c r="N363" s="55">
        <v>42.991711365849348</v>
      </c>
      <c r="O363" s="58">
        <v>1</v>
      </c>
      <c r="P363" s="98">
        <v>1</v>
      </c>
      <c r="Q363" s="106">
        <v>0</v>
      </c>
    </row>
    <row r="364" spans="1:17" x14ac:dyDescent="0.2">
      <c r="A364" s="28">
        <f t="shared" si="2"/>
        <v>2023.07</v>
      </c>
      <c r="B364" s="28"/>
      <c r="C364" s="55">
        <v>149.57672035579577</v>
      </c>
      <c r="D364" s="56">
        <v>-2.5823170945691301E-3</v>
      </c>
      <c r="E364" s="56">
        <v>-1.3957353451793898E-2</v>
      </c>
      <c r="F364" s="56">
        <v>-1.3957353451793898E-2</v>
      </c>
      <c r="G364" s="56">
        <v>-1.1839929853846853E-2</v>
      </c>
      <c r="H364" s="56">
        <v>-1.2466324963305526E-2</v>
      </c>
      <c r="I364" s="56">
        <v>5.023126278076611E-2</v>
      </c>
      <c r="J364" s="56">
        <v>1.8882468908730292E-2</v>
      </c>
      <c r="K364" s="55">
        <v>146.65204717948799</v>
      </c>
      <c r="L364" s="56">
        <v>2.0038998099419114E-2</v>
      </c>
      <c r="M364" s="55">
        <v>104.20415707934069</v>
      </c>
      <c r="N364" s="55">
        <v>44.671567487414954</v>
      </c>
      <c r="O364" s="58">
        <v>1</v>
      </c>
      <c r="P364" s="98">
        <v>1</v>
      </c>
      <c r="Q364" s="106">
        <v>0</v>
      </c>
    </row>
    <row r="365" spans="1:17" x14ac:dyDescent="0.2">
      <c r="A365" s="28">
        <f t="shared" si="2"/>
        <v>2023.08</v>
      </c>
      <c r="B365" s="28"/>
      <c r="C365" s="55">
        <v>148.49928238961041</v>
      </c>
      <c r="D365" s="56">
        <v>-7.2293149986502993E-3</v>
      </c>
      <c r="E365" s="56">
        <v>-1.491076154592234E-2</v>
      </c>
      <c r="F365" s="56">
        <v>-1.491076154592234E-2</v>
      </c>
      <c r="G365" s="56">
        <v>-2.2842392274225243E-2</v>
      </c>
      <c r="H365" s="56">
        <v>-1.2466324963305526E-2</v>
      </c>
      <c r="I365" s="56">
        <v>5.023126278076611E-2</v>
      </c>
      <c r="J365" s="56">
        <v>1.8882468908730292E-2</v>
      </c>
      <c r="K365" s="55">
        <v>146.65319443013601</v>
      </c>
      <c r="L365" s="56">
        <v>1.2679824324149713E-2</v>
      </c>
      <c r="M365" s="55">
        <v>103.28998804752683</v>
      </c>
      <c r="N365" s="55">
        <v>37.952143001152507</v>
      </c>
      <c r="O365" s="58">
        <v>1</v>
      </c>
      <c r="P365" s="98">
        <v>1</v>
      </c>
      <c r="Q365" s="106">
        <v>0</v>
      </c>
    </row>
    <row r="366" spans="1:17" x14ac:dyDescent="0.2">
      <c r="A366" s="28">
        <f t="shared" si="2"/>
        <v>2023.09</v>
      </c>
      <c r="B366" s="28"/>
      <c r="C366" s="55">
        <v>147.30256752491064</v>
      </c>
      <c r="D366" s="56">
        <v>-8.0913719379728365E-3</v>
      </c>
      <c r="E366" s="56">
        <v>-1.8429849757536171E-2</v>
      </c>
      <c r="F366" s="56">
        <v>-1.8429849757536171E-2</v>
      </c>
      <c r="G366" s="56">
        <v>-3.5129538512625458E-2</v>
      </c>
      <c r="H366" s="56">
        <v>-1.2466324963305526E-2</v>
      </c>
      <c r="I366" s="56">
        <v>5.023126278076611E-2</v>
      </c>
      <c r="J366" s="56">
        <v>1.8882468908730292E-2</v>
      </c>
      <c r="K366" s="55">
        <v>146.654032423969</v>
      </c>
      <c r="L366" s="56">
        <v>4.5104551868457854E-3</v>
      </c>
      <c r="M366" s="55">
        <v>102.29561623062202</v>
      </c>
      <c r="N366" s="55">
        <v>34.59243075802128</v>
      </c>
      <c r="O366" s="58">
        <v>1</v>
      </c>
      <c r="P366" s="98">
        <v>1</v>
      </c>
      <c r="Q366" s="106">
        <v>0</v>
      </c>
    </row>
    <row r="367" spans="1:17" x14ac:dyDescent="0.2">
      <c r="A367" s="28">
        <f t="shared" si="2"/>
        <v>2023.1</v>
      </c>
      <c r="B367" s="28"/>
      <c r="C367" s="55">
        <v>145.26576200162873</v>
      </c>
      <c r="D367" s="56">
        <v>-1.3923847693031432E-2</v>
      </c>
      <c r="E367" s="56">
        <v>-3.4988101076888246E-2</v>
      </c>
      <c r="F367" s="56">
        <v>-3.4988101076888246E-2</v>
      </c>
      <c r="G367" s="56">
        <v>-5.6970865443762841E-2</v>
      </c>
      <c r="H367" s="56">
        <v>-1.2466324963305526E-2</v>
      </c>
      <c r="I367" s="56">
        <v>5.023126278076611E-2</v>
      </c>
      <c r="J367" s="56">
        <v>1.8882468908730292E-2</v>
      </c>
      <c r="K367" s="55">
        <v>146.654863999421</v>
      </c>
      <c r="L367" s="56">
        <v>-9.3865895118064868E-3</v>
      </c>
      <c r="M367" s="55">
        <v>100.72164417632666</v>
      </c>
      <c r="N367" s="55">
        <v>31.232718514890063</v>
      </c>
      <c r="O367" s="58">
        <v>1</v>
      </c>
      <c r="P367" s="98">
        <v>1</v>
      </c>
      <c r="Q367" s="106">
        <v>0</v>
      </c>
    </row>
    <row r="368" spans="1:17" x14ac:dyDescent="0.2">
      <c r="A368" s="28">
        <f t="shared" si="2"/>
        <v>2023.11</v>
      </c>
      <c r="B368" s="28"/>
      <c r="C368" s="55">
        <v>143.24659441359137</v>
      </c>
      <c r="D368" s="56">
        <v>-1.3997324621739639E-2</v>
      </c>
      <c r="E368" s="56">
        <v>-4.9448619098992008E-2</v>
      </c>
      <c r="F368" s="56">
        <v>-4.9448619098992008E-2</v>
      </c>
      <c r="G368" s="56">
        <v>-7.6130946005745104E-2</v>
      </c>
      <c r="H368" s="56">
        <v>-1.2466324963305526E-2</v>
      </c>
      <c r="I368" s="56">
        <v>5.023126278076611E-2</v>
      </c>
      <c r="J368" s="56">
        <v>1.8882468908730292E-2</v>
      </c>
      <c r="K368" s="55">
        <v>146.65599694714399</v>
      </c>
      <c r="L368" s="56">
        <v>-2.3164116922248512E-2</v>
      </c>
      <c r="M368" s="55">
        <v>99.164603473392532</v>
      </c>
      <c r="N368" s="55">
        <v>27.873006271758836</v>
      </c>
      <c r="O368" s="58">
        <v>1</v>
      </c>
      <c r="P368" s="98">
        <v>1</v>
      </c>
      <c r="Q368" s="106">
        <v>0</v>
      </c>
    </row>
    <row r="369" spans="1:17" x14ac:dyDescent="0.2">
      <c r="A369" s="28">
        <f t="shared" si="2"/>
        <v>2023.12</v>
      </c>
      <c r="B369" s="28"/>
      <c r="C369" s="55">
        <v>141.14887115090511</v>
      </c>
      <c r="D369" s="56">
        <v>-1.4752424431576551E-2</v>
      </c>
      <c r="E369" s="56">
        <v>-6.4968667335239205E-2</v>
      </c>
      <c r="F369" s="56">
        <v>-6.4968667335239205E-2</v>
      </c>
      <c r="G369" s="56">
        <v>-9.4197275783772239E-2</v>
      </c>
      <c r="H369" s="56">
        <v>-1.2466324963305526E-2</v>
      </c>
      <c r="I369" s="56">
        <v>5.023126278076611E-2</v>
      </c>
      <c r="J369" s="56">
        <v>1.8882468908730292E-2</v>
      </c>
      <c r="K369" s="55">
        <v>146.657728262728</v>
      </c>
      <c r="L369" s="56">
        <v>-3.747994295469248E-2</v>
      </c>
      <c r="M369" s="55">
        <v>97.557939027003982</v>
      </c>
      <c r="N369" s="55">
        <v>22.833437907061999</v>
      </c>
      <c r="O369" s="58">
        <v>1</v>
      </c>
      <c r="P369" s="98">
        <v>1</v>
      </c>
      <c r="Q369" s="106">
        <v>0</v>
      </c>
    </row>
    <row r="370" spans="1:17" x14ac:dyDescent="0.2">
      <c r="A370" s="28">
        <f t="shared" si="2"/>
        <v>2024.01</v>
      </c>
      <c r="B370" s="28"/>
      <c r="C370" s="55">
        <v>139.93158569331146</v>
      </c>
      <c r="D370" s="56">
        <v>-8.6615276033276296E-3</v>
      </c>
      <c r="E370" s="56">
        <v>-7.0560054353312224E-2</v>
      </c>
      <c r="F370" s="56">
        <v>-7.0560054353312224E-2</v>
      </c>
      <c r="G370" s="56">
        <v>-9.9774550408049834E-2</v>
      </c>
      <c r="H370" s="56">
        <v>-1.2466324963305526E-2</v>
      </c>
      <c r="I370" s="56">
        <v>5.023126278076611E-2</v>
      </c>
      <c r="J370" s="56">
        <v>1.8882468908730292E-2</v>
      </c>
      <c r="K370" s="55">
        <v>146.66032860552801</v>
      </c>
      <c r="L370" s="56">
        <v>-4.579617816365289E-2</v>
      </c>
      <c r="M370" s="55">
        <v>96.563677570027892</v>
      </c>
      <c r="N370" s="55">
        <v>21.153581785496385</v>
      </c>
      <c r="O370" s="58">
        <v>1</v>
      </c>
      <c r="P370" s="98">
        <v>1</v>
      </c>
      <c r="Q370" s="106">
        <v>0</v>
      </c>
    </row>
    <row r="371" spans="1:17" x14ac:dyDescent="0.2">
      <c r="A371" s="28">
        <f t="shared" ref="A371:A405" si="3">A359+1</f>
        <v>2024.02</v>
      </c>
      <c r="B371" s="28"/>
      <c r="C371" s="55">
        <v>139.12289024723211</v>
      </c>
      <c r="D371" s="56">
        <v>-5.7959845098870134E-3</v>
      </c>
      <c r="E371" s="56">
        <v>-7.8650544538949263E-2</v>
      </c>
      <c r="F371" s="56">
        <v>-7.8650544538949263E-2</v>
      </c>
      <c r="G371" s="56">
        <v>-9.9814638116616394E-2</v>
      </c>
      <c r="H371" s="56">
        <v>-1.2466324963305526E-2</v>
      </c>
      <c r="I371" s="56">
        <v>5.023126278076611E-2</v>
      </c>
      <c r="J371" s="56">
        <v>1.8882468908730292E-2</v>
      </c>
      <c r="K371" s="55">
        <v>146.66402614047499</v>
      </c>
      <c r="L371" s="56">
        <v>-5.1331931827931498E-2</v>
      </c>
      <c r="M371" s="55">
        <v>95.85382923577626</v>
      </c>
      <c r="N371" s="55">
        <v>21.153581785496385</v>
      </c>
      <c r="O371" s="58">
        <v>1</v>
      </c>
      <c r="P371" s="98">
        <v>1</v>
      </c>
      <c r="Q371" s="106">
        <v>0</v>
      </c>
    </row>
    <row r="372" spans="1:17" x14ac:dyDescent="0.2">
      <c r="A372" s="28">
        <f t="shared" si="3"/>
        <v>2024.03</v>
      </c>
      <c r="B372" s="28"/>
      <c r="C372" s="55">
        <v>139.1239474666551</v>
      </c>
      <c r="D372" s="56">
        <v>7.5991478047665885E-6</v>
      </c>
      <c r="E372" s="56">
        <v>-8.099753781848204E-2</v>
      </c>
      <c r="F372" s="56">
        <v>-8.099753781848204E-2</v>
      </c>
      <c r="G372" s="56">
        <v>-8.8998225373807194E-2</v>
      </c>
      <c r="H372" s="56">
        <v>-1.2466324963305526E-2</v>
      </c>
      <c r="I372" s="56">
        <v>5.023126278076611E-2</v>
      </c>
      <c r="J372" s="56">
        <v>1.8882468908730292E-2</v>
      </c>
      <c r="K372" s="55">
        <v>146.66899714205701</v>
      </c>
      <c r="L372" s="56">
        <v>-5.135298121405607E-2</v>
      </c>
      <c r="M372" s="55">
        <v>95.70301088979609</v>
      </c>
      <c r="N372" s="55">
        <v>21.153581785496385</v>
      </c>
      <c r="O372" s="58">
        <v>1</v>
      </c>
      <c r="P372" s="98">
        <v>0</v>
      </c>
      <c r="Q372" s="106">
        <v>0</v>
      </c>
    </row>
    <row r="373" spans="1:17" x14ac:dyDescent="0.2">
      <c r="A373" s="28">
        <f t="shared" si="3"/>
        <v>2024.04</v>
      </c>
      <c r="B373" s="28"/>
      <c r="C373" s="55">
        <v>140.09113626147146</v>
      </c>
      <c r="D373" s="56">
        <v>6.9279399261693037E-3</v>
      </c>
      <c r="E373" s="56">
        <v>-7.3339279241838071E-2</v>
      </c>
      <c r="F373" s="56">
        <v>-7.3339279241838071E-2</v>
      </c>
      <c r="G373" s="56">
        <v>-6.5775305837162179E-2</v>
      </c>
      <c r="H373" s="56">
        <v>-1.2466324963305526E-2</v>
      </c>
      <c r="I373" s="56">
        <v>5.023126278076611E-2</v>
      </c>
      <c r="J373" s="56">
        <v>1.8882468908730292E-2</v>
      </c>
      <c r="K373" s="55">
        <v>146.675359770234</v>
      </c>
      <c r="L373" s="56">
        <v>-4.4794303555517834E-2</v>
      </c>
      <c r="M373" s="55">
        <v>96.215978564625544</v>
      </c>
      <c r="N373" s="55">
        <v>31.232718514890063</v>
      </c>
      <c r="O373" s="58">
        <v>0</v>
      </c>
      <c r="P373" s="98">
        <v>0</v>
      </c>
      <c r="Q373" s="106">
        <v>0</v>
      </c>
    </row>
    <row r="374" spans="1:17" x14ac:dyDescent="0.2">
      <c r="A374" s="28">
        <f t="shared" si="3"/>
        <v>2024.05</v>
      </c>
      <c r="B374" s="28"/>
      <c r="C374" s="55">
        <v>141.4621818420508</v>
      </c>
      <c r="D374" s="56">
        <v>9.7392311130961324E-3</v>
      </c>
      <c r="E374" s="56">
        <v>-6.0410906348089086E-2</v>
      </c>
      <c r="F374" s="56">
        <v>-6.0410906348089086E-2</v>
      </c>
      <c r="G374" s="56">
        <v>-3.799934057583032E-2</v>
      </c>
      <c r="H374" s="56">
        <v>-1.2466324963305526E-2</v>
      </c>
      <c r="I374" s="56">
        <v>5.023126278076611E-2</v>
      </c>
      <c r="J374" s="56">
        <v>1.8882468908730292E-2</v>
      </c>
      <c r="K374" s="55">
        <v>146.683174082959</v>
      </c>
      <c r="L374" s="56">
        <v>-3.5490859739514269E-2</v>
      </c>
      <c r="M374" s="55">
        <v>97.004019318525351</v>
      </c>
      <c r="N374" s="55">
        <v>42.991711365849348</v>
      </c>
      <c r="O374" s="58">
        <v>0</v>
      </c>
      <c r="P374" s="98">
        <v>0</v>
      </c>
      <c r="Q374" s="106">
        <v>0</v>
      </c>
    </row>
    <row r="375" spans="1:17" x14ac:dyDescent="0.2">
      <c r="A375" s="28">
        <f t="shared" si="3"/>
        <v>2024.06</v>
      </c>
      <c r="B375" s="28"/>
      <c r="C375" s="55">
        <v>142.77087845099038</v>
      </c>
      <c r="D375" s="56">
        <v>9.2086814649900515E-3</v>
      </c>
      <c r="E375" s="56">
        <v>-4.9150661238694222E-2</v>
      </c>
      <c r="F375" s="56">
        <v>-4.9150661238694222E-2</v>
      </c>
      <c r="G375" s="56">
        <v>-1.2258319248382388E-2</v>
      </c>
      <c r="H375" s="56">
        <v>-1.2466324963305526E-2</v>
      </c>
      <c r="I375" s="56">
        <v>5.023126278076611E-2</v>
      </c>
      <c r="J375" s="56">
        <v>1.8882468908730292E-2</v>
      </c>
      <c r="K375" s="55">
        <v>146.69244942601301</v>
      </c>
      <c r="L375" s="56">
        <v>-2.6621802517659887E-2</v>
      </c>
      <c r="M375" s="55">
        <v>97.746641181863552</v>
      </c>
      <c r="N375" s="55">
        <v>51.390991973677401</v>
      </c>
      <c r="O375" s="58">
        <v>0</v>
      </c>
      <c r="P375" s="98">
        <v>0</v>
      </c>
      <c r="Q375" s="106">
        <v>0</v>
      </c>
    </row>
    <row r="376" spans="1:17" x14ac:dyDescent="0.2">
      <c r="A376" s="28">
        <f t="shared" si="3"/>
        <v>2024.07</v>
      </c>
      <c r="B376" s="28"/>
      <c r="C376" s="55">
        <v>143.49392578079835</v>
      </c>
      <c r="D376" s="56">
        <v>5.0516085576985297E-3</v>
      </c>
      <c r="E376" s="56">
        <v>-4.1516735586426629E-2</v>
      </c>
      <c r="F376" s="56">
        <v>-4.1516735586426629E-2</v>
      </c>
      <c r="G376" s="56">
        <v>4.7181117206906986E-3</v>
      </c>
      <c r="H376" s="56">
        <v>-1.2466324963305526E-2</v>
      </c>
      <c r="I376" s="56">
        <v>5.023126278076611E-2</v>
      </c>
      <c r="J376" s="56">
        <v>1.8882468908730292E-2</v>
      </c>
      <c r="K376" s="55">
        <v>146.70315486330699</v>
      </c>
      <c r="L376" s="56">
        <v>-2.1754579304598787E-2</v>
      </c>
      <c r="M376" s="55">
        <v>98.08634744424144</v>
      </c>
      <c r="N376" s="55">
        <v>58.110416459939856</v>
      </c>
      <c r="O376" s="58">
        <v>0</v>
      </c>
      <c r="P376" s="98">
        <v>0</v>
      </c>
      <c r="Q376" s="106">
        <v>0</v>
      </c>
    </row>
    <row r="377" spans="1:17" x14ac:dyDescent="0.2">
      <c r="A377" s="28">
        <f t="shared" si="3"/>
        <v>2024.08</v>
      </c>
      <c r="B377" s="28"/>
      <c r="C377" s="55">
        <v>144.03628912580564</v>
      </c>
      <c r="D377" s="56">
        <v>3.7725703953529104E-3</v>
      </c>
      <c r="E377" s="56">
        <v>-3.0514850192423386E-2</v>
      </c>
      <c r="F377" s="56">
        <v>-3.0514850192423386E-2</v>
      </c>
      <c r="G377" s="56">
        <v>1.8388674933616844E-2</v>
      </c>
      <c r="H377" s="56">
        <v>-1.2466324963305526E-2</v>
      </c>
      <c r="I377" s="56">
        <v>5.023126278076611E-2</v>
      </c>
      <c r="J377" s="56">
        <v>1.8882468908730292E-2</v>
      </c>
      <c r="K377" s="55">
        <v>146.715229134156</v>
      </c>
      <c r="L377" s="56">
        <v>-1.8127539385487723E-2</v>
      </c>
      <c r="M377" s="55">
        <v>98.301422600614401</v>
      </c>
      <c r="N377" s="55">
        <v>63.149984824636689</v>
      </c>
      <c r="O377" s="58">
        <v>0</v>
      </c>
      <c r="P377" s="98">
        <v>0</v>
      </c>
      <c r="Q377" s="106">
        <v>0</v>
      </c>
    </row>
    <row r="378" spans="1:17" x14ac:dyDescent="0.2">
      <c r="A378" s="28">
        <f t="shared" si="3"/>
        <v>2024.09</v>
      </c>
      <c r="B378" s="28"/>
      <c r="C378" s="55">
        <v>144.68067189395578</v>
      </c>
      <c r="D378" s="56">
        <v>4.4637754279022706E-3</v>
      </c>
      <c r="E378" s="56">
        <v>-1.7959702826548497E-2</v>
      </c>
      <c r="F378" s="56">
        <v>-1.7959702826548497E-2</v>
      </c>
      <c r="G378" s="56">
        <v>3.1777444132292887E-2</v>
      </c>
      <c r="H378" s="56">
        <v>-1.2466324963305526E-2</v>
      </c>
      <c r="I378" s="56">
        <v>5.023126278076611E-2</v>
      </c>
      <c r="J378" s="56">
        <v>1.8882468908730292E-2</v>
      </c>
      <c r="K378" s="55">
        <v>146.72858614178099</v>
      </c>
      <c r="L378" s="56">
        <v>-1.3812915131396042E-2</v>
      </c>
      <c r="M378" s="55">
        <v>98.585088319345999</v>
      </c>
      <c r="N378" s="55">
        <v>66.509697067767917</v>
      </c>
      <c r="O378" s="58">
        <v>0</v>
      </c>
      <c r="P378" s="98">
        <v>0</v>
      </c>
      <c r="Q378" s="106">
        <v>0</v>
      </c>
    </row>
    <row r="379" spans="1:17" x14ac:dyDescent="0.2">
      <c r="A379" s="28">
        <f>A367+1</f>
        <v>2024.1</v>
      </c>
      <c r="B379" s="28"/>
      <c r="C379" s="55">
        <v>145.65171084685326</v>
      </c>
      <c r="D379" s="56">
        <v>6.6891785511369092E-3</v>
      </c>
      <c r="E379" s="56">
        <v>2.6533234176200128E-3</v>
      </c>
      <c r="F379" s="56">
        <v>2.6533234176200128E-3</v>
      </c>
      <c r="G379" s="56">
        <v>4.7566712882971318E-2</v>
      </c>
      <c r="H379" s="56">
        <v>-1.2466324963305526E-2</v>
      </c>
      <c r="I379" s="56">
        <v>5.023126278076611E-2</v>
      </c>
      <c r="J379" s="56">
        <v>1.8882468908730292E-2</v>
      </c>
      <c r="K379" s="55">
        <v>146.743119074601</v>
      </c>
      <c r="L379" s="56">
        <v>-7.279161247179089E-3</v>
      </c>
      <c r="M379" s="55">
        <v>99.089842263616021</v>
      </c>
      <c r="N379" s="55">
        <v>64.82984094620231</v>
      </c>
      <c r="O379" s="58">
        <v>0</v>
      </c>
      <c r="P379" s="98">
        <v>0</v>
      </c>
      <c r="Q379" s="106">
        <v>0</v>
      </c>
    </row>
    <row r="380" spans="1:17" x14ac:dyDescent="0.2">
      <c r="A380" s="28">
        <f t="shared" si="3"/>
        <v>2024.11</v>
      </c>
      <c r="B380" s="28"/>
      <c r="C380" s="55">
        <v>146.88507523463926</v>
      </c>
      <c r="D380" s="56">
        <v>8.4322502634599887E-3</v>
      </c>
      <c r="E380" s="56">
        <v>2.508289830281956E-2</v>
      </c>
      <c r="F380" s="56">
        <v>2.508289830281956E-2</v>
      </c>
      <c r="G380" s="56">
        <v>6.3557353195911936E-2</v>
      </c>
      <c r="H380" s="56">
        <v>-1.2466324963305526E-2</v>
      </c>
      <c r="I380" s="56">
        <v>5.023126278076611E-2</v>
      </c>
      <c r="J380" s="56">
        <v>1.8882468908730292E-2</v>
      </c>
      <c r="K380" s="55">
        <v>146.75870527295999</v>
      </c>
      <c r="L380" s="56">
        <v>1.0354646074186569E-3</v>
      </c>
      <c r="M380" s="55">
        <v>99.770936958317094</v>
      </c>
      <c r="N380" s="55">
        <v>64.82984094620231</v>
      </c>
      <c r="O380" s="58">
        <v>0</v>
      </c>
      <c r="P380" s="98">
        <v>0</v>
      </c>
      <c r="Q380" s="106">
        <v>0</v>
      </c>
    </row>
    <row r="381" spans="1:17" x14ac:dyDescent="0.2">
      <c r="A381" s="28">
        <f t="shared" si="3"/>
        <v>2024.12</v>
      </c>
      <c r="B381" s="28"/>
      <c r="C381" s="55">
        <v>148.17330010820692</v>
      </c>
      <c r="D381" s="56">
        <v>8.7320555298688231E-3</v>
      </c>
      <c r="E381" s="56">
        <v>4.8567378264264924E-2</v>
      </c>
      <c r="F381" s="56">
        <v>4.8567378264264924E-2</v>
      </c>
      <c r="G381" s="56">
        <v>7.6595710274558471E-2</v>
      </c>
      <c r="H381" s="56">
        <v>-1.2466324963305526E-2</v>
      </c>
      <c r="I381" s="56">
        <v>5.023126278076611E-2</v>
      </c>
      <c r="J381" s="56">
        <v>1.8882468908730292E-2</v>
      </c>
      <c r="K381" s="55">
        <v>146.77521358746199</v>
      </c>
      <c r="L381" s="56">
        <v>9.7175073574098381E-3</v>
      </c>
      <c r="M381" s="55">
        <v>100.48683512875414</v>
      </c>
      <c r="N381" s="55">
        <v>68.189553189333523</v>
      </c>
      <c r="O381" s="58">
        <v>0</v>
      </c>
      <c r="P381" s="98">
        <v>0</v>
      </c>
      <c r="Q381" s="106">
        <v>0</v>
      </c>
    </row>
    <row r="382" spans="1:17" x14ac:dyDescent="0.2">
      <c r="A382" s="28">
        <f t="shared" si="3"/>
        <v>2025.01</v>
      </c>
      <c r="B382" s="28"/>
      <c r="C382" s="55">
        <v>149.31588997814822</v>
      </c>
      <c r="D382" s="56">
        <v>7.6815933243984062E-3</v>
      </c>
      <c r="E382" s="56">
        <v>6.4910499191990864E-2</v>
      </c>
      <c r="F382" s="56">
        <v>6.4910499191990864E-2</v>
      </c>
      <c r="G382" s="56">
        <v>8.3731386037365629E-2</v>
      </c>
      <c r="H382" s="56">
        <v>-1.2466324963305526E-2</v>
      </c>
      <c r="I382" s="56">
        <v>5.023126278076611E-2</v>
      </c>
      <c r="J382" s="56">
        <v>1.8882468908730292E-2</v>
      </c>
      <c r="K382" s="55">
        <v>146.79251380431899</v>
      </c>
      <c r="L382" s="56">
        <v>1.7401547523678618E-2</v>
      </c>
      <c r="M382" s="55">
        <v>101.10161094567509</v>
      </c>
      <c r="N382" s="55">
        <v>66.509697067767917</v>
      </c>
      <c r="O382" s="58">
        <v>0</v>
      </c>
      <c r="P382" s="98">
        <v>0</v>
      </c>
      <c r="Q382" s="106">
        <v>0</v>
      </c>
    </row>
    <row r="383" spans="1:17" x14ac:dyDescent="0.2">
      <c r="A383" s="28">
        <f t="shared" si="3"/>
        <v>2025.02</v>
      </c>
      <c r="B383" s="28"/>
      <c r="C383" s="55">
        <v>149.46784625629786</v>
      </c>
      <c r="D383" s="56">
        <v>1.0171657478164045E-3</v>
      </c>
      <c r="E383" s="56">
        <v>7.1723649449694143E-2</v>
      </c>
      <c r="F383" s="56">
        <v>7.1723649449694143E-2</v>
      </c>
      <c r="G383" s="56">
        <v>7.4887464793788938E-2</v>
      </c>
      <c r="H383" s="56">
        <v>-1.2466324963305526E-2</v>
      </c>
      <c r="I383" s="56">
        <v>5.023126278076611E-2</v>
      </c>
      <c r="J383" s="56">
        <v>1.8882468908730292E-2</v>
      </c>
      <c r="K383" s="55">
        <v>146.810486504495</v>
      </c>
      <c r="L383" s="56">
        <v>1.8331652295928702E-2</v>
      </c>
      <c r="M383" s="55">
        <v>101.04449530560755</v>
      </c>
      <c r="N383" s="55">
        <v>64.82984094620231</v>
      </c>
      <c r="O383" s="58">
        <v>1</v>
      </c>
      <c r="P383" s="98">
        <v>1</v>
      </c>
      <c r="Q383" s="106">
        <v>0</v>
      </c>
    </row>
    <row r="384" spans="1:17" x14ac:dyDescent="0.2">
      <c r="A384" s="28">
        <f t="shared" si="3"/>
        <v>2025.03</v>
      </c>
      <c r="B384" s="28"/>
      <c r="C384" s="55">
        <v>148.68697275804217</v>
      </c>
      <c r="D384" s="56">
        <v>-5.238052406807134E-3</v>
      </c>
      <c r="E384" s="56">
        <v>6.6477997895082352E-2</v>
      </c>
      <c r="F384" s="56">
        <v>6.6477997895082352E-2</v>
      </c>
      <c r="G384" s="56">
        <v>5.2855542638468922E-2</v>
      </c>
      <c r="H384" s="56">
        <v>-1.2466324963305526E-2</v>
      </c>
      <c r="I384" s="56">
        <v>5.023126278076611E-2</v>
      </c>
      <c r="J384" s="56">
        <v>1.8882468908730292E-2</v>
      </c>
      <c r="K384" s="55">
        <v>146.829031786765</v>
      </c>
      <c r="L384" s="56">
        <v>1.2904418770083304E-2</v>
      </c>
      <c r="M384" s="55">
        <v>100.35768523180469</v>
      </c>
      <c r="N384" s="55">
        <v>61.470128703071069</v>
      </c>
      <c r="O384" s="58">
        <v>1</v>
      </c>
      <c r="P384" s="98">
        <v>1</v>
      </c>
      <c r="Q384" s="106">
        <v>0</v>
      </c>
    </row>
    <row r="385" spans="1:17" x14ac:dyDescent="0.2">
      <c r="A385" s="28">
        <f t="shared" si="3"/>
        <v>2025.04</v>
      </c>
      <c r="B385" s="28"/>
      <c r="C385" s="55">
        <v>147.6017397296049</v>
      </c>
      <c r="D385" s="56">
        <v>-7.3255432003848653E-3</v>
      </c>
      <c r="E385" s="56">
        <v>5.2224514768528185E-2</v>
      </c>
      <c r="F385" s="56">
        <v>5.2224514768528185E-2</v>
      </c>
      <c r="G385" s="56">
        <v>2.8226119333549571E-2</v>
      </c>
      <c r="H385" s="56">
        <v>-1.2466324963305526E-2</v>
      </c>
      <c r="I385" s="56">
        <v>5.023126278076611E-2</v>
      </c>
      <c r="J385" s="56">
        <v>1.8882468908730292E-2</v>
      </c>
      <c r="K385" s="55">
        <v>146.848070207283</v>
      </c>
      <c r="L385" s="56">
        <v>5.4033740936592078E-3</v>
      </c>
      <c r="M385" s="55">
        <v>99.467688721957842</v>
      </c>
      <c r="N385" s="55">
        <v>54.750704216808636</v>
      </c>
      <c r="O385" s="58">
        <v>1</v>
      </c>
      <c r="P385" s="98">
        <v>1</v>
      </c>
      <c r="Q385" s="106">
        <v>0</v>
      </c>
    </row>
    <row r="386" spans="1:17" x14ac:dyDescent="0.2">
      <c r="A386" s="28">
        <f t="shared" si="3"/>
        <v>2025.05</v>
      </c>
      <c r="B386" s="28"/>
      <c r="C386" s="55">
        <v>147.03562742072774</v>
      </c>
      <c r="D386" s="56">
        <v>-3.8427780630679322E-3</v>
      </c>
      <c r="E386" s="56">
        <v>3.8642505592364242E-2</v>
      </c>
      <c r="F386" s="56">
        <v>3.8642505592364242E-2</v>
      </c>
      <c r="G386" s="56">
        <v>1.2892936038632064E-2</v>
      </c>
      <c r="H386" s="56">
        <v>-1.2466324963305526E-2</v>
      </c>
      <c r="I386" s="56">
        <v>5.023126278076611E-2</v>
      </c>
      <c r="J386" s="56">
        <v>1.8882468908730292E-2</v>
      </c>
      <c r="K386" s="55">
        <v>146.867536422326</v>
      </c>
      <c r="L386" s="56">
        <v>1.4383212832411729E-3</v>
      </c>
      <c r="M386" s="55">
        <v>98.929533956330445</v>
      </c>
      <c r="N386" s="55">
        <v>42.991711365849348</v>
      </c>
      <c r="O386" s="58">
        <v>1</v>
      </c>
      <c r="P386" s="98">
        <v>1</v>
      </c>
      <c r="Q386" s="106">
        <v>0</v>
      </c>
    </row>
    <row r="387" spans="1:17" x14ac:dyDescent="0.2">
      <c r="A387" s="28">
        <f t="shared" si="3"/>
        <v>2025.06</v>
      </c>
      <c r="B387" s="28"/>
      <c r="C387" s="55">
        <v>146.80637783478065</v>
      </c>
      <c r="D387" s="56">
        <v>-1.56035984209276E-3</v>
      </c>
      <c r="E387" s="56">
        <v>2.787346428528124E-2</v>
      </c>
      <c r="F387" s="56">
        <v>2.787346428528124E-2</v>
      </c>
      <c r="G387" s="56">
        <v>4.0752582942671367E-3</v>
      </c>
      <c r="H387" s="56">
        <v>-1.2466324963305526E-2</v>
      </c>
      <c r="I387" s="56">
        <v>5.023126278076611E-2</v>
      </c>
      <c r="J387" s="56">
        <v>1.8882468908730292E-2</v>
      </c>
      <c r="K387" s="55">
        <v>146.887370694444</v>
      </c>
      <c r="L387" s="56">
        <v>-2.3261952843622868E-4</v>
      </c>
      <c r="M387" s="55">
        <v>98.619124201496632</v>
      </c>
      <c r="N387" s="55">
        <v>36.2722868795869</v>
      </c>
      <c r="O387" s="58">
        <v>1</v>
      </c>
      <c r="P387" s="98">
        <v>1</v>
      </c>
      <c r="Q387" s="106">
        <v>0</v>
      </c>
    </row>
    <row r="388" spans="1:17" x14ac:dyDescent="0.2">
      <c r="A388" s="28">
        <f t="shared" si="3"/>
        <v>2025.07</v>
      </c>
      <c r="B388" s="28" t="s">
        <v>63</v>
      </c>
      <c r="C388" s="55">
        <v>147.3350714909003</v>
      </c>
      <c r="D388" s="56">
        <v>3.5948298118597295E-3</v>
      </c>
      <c r="E388" s="56">
        <v>2.6416685539442646E-2</v>
      </c>
      <c r="F388" s="56">
        <v>2.6416685539442646E-2</v>
      </c>
      <c r="G388" s="56">
        <v>6.4910804194699967E-3</v>
      </c>
      <c r="H388" s="56">
        <v>-1.2466324963305526E-2</v>
      </c>
      <c r="I388" s="56">
        <v>5.023126278076611E-2</v>
      </c>
      <c r="J388" s="56">
        <v>1.8882468908730292E-2</v>
      </c>
      <c r="K388" s="55">
        <v>146.90751445143201</v>
      </c>
      <c r="L388" s="56">
        <v>3.2575381884418775E-3</v>
      </c>
      <c r="M388" s="55">
        <v>98.817802089297317</v>
      </c>
      <c r="N388" s="55">
        <v>34.59243075802128</v>
      </c>
      <c r="O388" s="58">
        <v>1</v>
      </c>
      <c r="P388" s="98">
        <v>1</v>
      </c>
      <c r="Q388" s="106">
        <v>0</v>
      </c>
    </row>
    <row r="389" spans="1:17" x14ac:dyDescent="0.2">
      <c r="A389" s="28">
        <f t="shared" si="3"/>
        <v>2025.08</v>
      </c>
      <c r="B389" s="28" t="s">
        <v>63</v>
      </c>
      <c r="C389" s="55">
        <v>147.81065950336412</v>
      </c>
      <c r="D389" s="56">
        <v>3.2227362563177976E-3</v>
      </c>
      <c r="E389" s="56">
        <v>2.5866851400407533E-2</v>
      </c>
      <c r="F389" s="56">
        <v>2.5866851400407533E-2</v>
      </c>
      <c r="G389" s="56">
        <v>8.4345479569458703E-3</v>
      </c>
      <c r="H389" s="56">
        <v>-1.2466324963305526E-2</v>
      </c>
      <c r="I389" s="56">
        <v>5.023126278076611E-2</v>
      </c>
      <c r="J389" s="56">
        <v>1.8882468908730292E-2</v>
      </c>
      <c r="K389" s="55">
        <v>146.92790832603899</v>
      </c>
      <c r="L389" s="56">
        <v>6.3854299298469197E-3</v>
      </c>
      <c r="M389" s="55">
        <v>98.980043543915926</v>
      </c>
      <c r="N389" s="55">
        <v>34.59243075802128</v>
      </c>
      <c r="O389" s="58">
        <v>1</v>
      </c>
      <c r="P389" s="98">
        <v>1</v>
      </c>
      <c r="Q389" s="106">
        <v>0</v>
      </c>
    </row>
    <row r="390" spans="1:17" x14ac:dyDescent="0.2">
      <c r="A390" s="28">
        <f t="shared" si="3"/>
        <v>2025.09</v>
      </c>
      <c r="B390" s="28" t="s">
        <v>63</v>
      </c>
      <c r="C390" s="55">
        <v>148.01126974422374</v>
      </c>
      <c r="D390" s="56">
        <v>1.3562907396496926E-3</v>
      </c>
      <c r="E390" s="56">
        <v>2.2759366712154918E-2</v>
      </c>
      <c r="F390" s="56">
        <v>2.2759366712154918E-2</v>
      </c>
      <c r="G390" s="56">
        <v>6.9851913548635292E-3</v>
      </c>
      <c r="H390" s="56">
        <v>-1.2466324963305526E-2</v>
      </c>
      <c r="I390" s="56">
        <v>5.023126278076611E-2</v>
      </c>
      <c r="J390" s="56">
        <v>1.8882468908730292E-2</v>
      </c>
      <c r="K390" s="55">
        <v>146.94849611328999</v>
      </c>
      <c r="L390" s="56">
        <v>7.6411353637060309E-3</v>
      </c>
      <c r="M390" s="55">
        <v>98.957679780001655</v>
      </c>
      <c r="N390" s="55">
        <v>36.2722868795869</v>
      </c>
      <c r="O390" s="58">
        <v>1</v>
      </c>
      <c r="P390" s="98">
        <v>1</v>
      </c>
      <c r="Q390" s="106">
        <v>0</v>
      </c>
    </row>
    <row r="391" spans="1:17" x14ac:dyDescent="0.2">
      <c r="A391" s="28">
        <f t="shared" si="3"/>
        <v>2025.1</v>
      </c>
      <c r="B391" s="28" t="s">
        <v>63</v>
      </c>
      <c r="C391" s="55">
        <v>147.78370092490326</v>
      </c>
      <c r="D391" s="56">
        <v>-1.5386932624620825E-3</v>
      </c>
      <c r="E391" s="56">
        <v>1.4531494898556036E-2</v>
      </c>
      <c r="F391" s="56">
        <v>1.4531494898556036E-2</v>
      </c>
      <c r="G391" s="56">
        <v>6.4874611248089131E-4</v>
      </c>
      <c r="H391" s="56">
        <v>-1.2466324963305526E-2</v>
      </c>
      <c r="I391" s="56">
        <v>5.023126278076611E-2</v>
      </c>
      <c r="J391" s="56">
        <v>1.8882468908730292E-2</v>
      </c>
      <c r="K391" s="55">
        <v>146.96922835039999</v>
      </c>
      <c r="L391" s="56">
        <v>5.9827975176125481E-3</v>
      </c>
      <c r="M391" s="55">
        <v>98.649319082600258</v>
      </c>
      <c r="N391" s="55">
        <v>37.952143001152507</v>
      </c>
      <c r="O391" s="58">
        <v>1</v>
      </c>
      <c r="P391" s="98">
        <v>1</v>
      </c>
      <c r="Q391" s="106">
        <v>0</v>
      </c>
    </row>
    <row r="392" spans="1:17" x14ac:dyDescent="0.2">
      <c r="A392" s="28">
        <f t="shared" si="3"/>
        <v>2025.11</v>
      </c>
      <c r="B392" s="28" t="s">
        <v>63</v>
      </c>
      <c r="C392" s="55">
        <v>147.4202426904433</v>
      </c>
      <c r="D392" s="56">
        <v>-2.4624225114464786E-3</v>
      </c>
      <c r="E392" s="56">
        <v>3.6368221236496331E-3</v>
      </c>
      <c r="F392" s="56">
        <v>3.6368221236496331E-3</v>
      </c>
      <c r="G392" s="56">
        <v>-6.0977035168132687E-3</v>
      </c>
      <c r="H392" s="56">
        <v>-1.2466324963305526E-2</v>
      </c>
      <c r="I392" s="56">
        <v>5.023126278076611E-2</v>
      </c>
      <c r="J392" s="56">
        <v>1.8882468908730292E-2</v>
      </c>
      <c r="K392" s="55">
        <v>146.99006372296401</v>
      </c>
      <c r="L392" s="56">
        <v>3.401129422680782E-3</v>
      </c>
      <c r="M392" s="55">
        <v>98.251119900073306</v>
      </c>
      <c r="N392" s="55">
        <v>39.631999122718121</v>
      </c>
      <c r="O392" s="58">
        <v>1</v>
      </c>
      <c r="P392" s="98">
        <v>1</v>
      </c>
      <c r="Q392" s="106">
        <v>0</v>
      </c>
    </row>
    <row r="393" spans="1:17" x14ac:dyDescent="0.2">
      <c r="A393" s="28">
        <f t="shared" si="3"/>
        <v>2025.12</v>
      </c>
      <c r="B393" s="28" t="s">
        <v>63</v>
      </c>
      <c r="C393" s="55">
        <v>147.71828076310038</v>
      </c>
      <c r="D393" s="56">
        <v>2.019649420735061E-3</v>
      </c>
      <c r="E393" s="56">
        <v>-3.0755839854841871E-3</v>
      </c>
      <c r="F393" s="56">
        <v>-3.0755839854841871E-3</v>
      </c>
      <c r="G393" s="56">
        <v>-2.9400202913836271E-3</v>
      </c>
      <c r="H393" s="56">
        <v>-1.2466324963305526E-2</v>
      </c>
      <c r="I393" s="56">
        <v>5.023126278076611E-2</v>
      </c>
      <c r="J393" s="56">
        <v>1.8882468908730292E-2</v>
      </c>
      <c r="K393" s="55">
        <v>147.01096716732701</v>
      </c>
      <c r="L393" s="56">
        <v>5.3234561437547345E-3</v>
      </c>
      <c r="M393" s="55">
        <v>98.294103455441245</v>
      </c>
      <c r="N393" s="55">
        <v>39.631999122718121</v>
      </c>
      <c r="O393" s="58">
        <v>1</v>
      </c>
      <c r="P393" s="98">
        <v>1</v>
      </c>
      <c r="Q393" s="106">
        <v>0</v>
      </c>
    </row>
    <row r="394" spans="1:17" x14ac:dyDescent="0.2">
      <c r="A394" s="28">
        <f t="shared" si="3"/>
        <v>2026.01</v>
      </c>
      <c r="B394" s="28" t="s">
        <v>63</v>
      </c>
      <c r="C394" s="55">
        <v>148.00164319310301</v>
      </c>
      <c r="D394" s="56">
        <v>1.9164249262397927E-3</v>
      </c>
      <c r="E394" s="56">
        <v>-8.8407523836428886E-3</v>
      </c>
      <c r="F394" s="56">
        <v>-8.8407523836428886E-3</v>
      </c>
      <c r="G394" s="56">
        <v>1.0674345035608379E-3</v>
      </c>
      <c r="H394" s="56">
        <v>-1.2466324963305526E-2</v>
      </c>
      <c r="I394" s="56">
        <v>5.023126278076611E-2</v>
      </c>
      <c r="J394" s="56">
        <v>1.8882468908730292E-2</v>
      </c>
      <c r="K394" s="55">
        <v>147.03190693742101</v>
      </c>
      <c r="L394" s="56">
        <v>7.1472899956237512E-3</v>
      </c>
      <c r="M394" s="55">
        <v>98.326955541391257</v>
      </c>
      <c r="N394" s="55">
        <v>41.311855244283734</v>
      </c>
      <c r="O394" s="58">
        <v>1</v>
      </c>
      <c r="P394" s="98">
        <v>1</v>
      </c>
      <c r="Q394" s="106">
        <v>0</v>
      </c>
    </row>
    <row r="395" spans="1:17" x14ac:dyDescent="0.2">
      <c r="A395" s="28">
        <f t="shared" si="3"/>
        <v>2026.02</v>
      </c>
      <c r="B395" s="28" t="s">
        <v>63</v>
      </c>
      <c r="C395" s="55">
        <v>148.13134836317928</v>
      </c>
      <c r="D395" s="56">
        <v>8.7599276047484458E-4</v>
      </c>
      <c r="E395" s="56">
        <v>-8.9819253709843994E-3</v>
      </c>
      <c r="F395" s="56">
        <v>-8.9819253709843994E-3</v>
      </c>
      <c r="G395" s="56">
        <v>4.0597428650712697E-3</v>
      </c>
      <c r="H395" s="56">
        <v>-1.2466324963305526E-2</v>
      </c>
      <c r="I395" s="56">
        <v>5.023126278076611E-2</v>
      </c>
      <c r="J395" s="56">
        <v>1.8882468908730292E-2</v>
      </c>
      <c r="K395" s="55">
        <v>147.05285677069</v>
      </c>
      <c r="L395" s="56">
        <v>7.9272241496863849E-3</v>
      </c>
      <c r="M395" s="55">
        <v>98.257535106893457</v>
      </c>
      <c r="N395" s="55">
        <v>41.311855244283734</v>
      </c>
      <c r="O395" s="58">
        <v>1</v>
      </c>
      <c r="P395" s="98">
        <v>1</v>
      </c>
      <c r="Q395" s="106">
        <v>0</v>
      </c>
    </row>
    <row r="396" spans="1:17" x14ac:dyDescent="0.2">
      <c r="A396" s="28">
        <f t="shared" si="3"/>
        <v>2026.03</v>
      </c>
      <c r="B396" s="28" t="s">
        <v>63</v>
      </c>
      <c r="C396" s="55">
        <v>148.09259604373804</v>
      </c>
      <c r="D396" s="56">
        <v>-2.6164204747128089E-4</v>
      </c>
      <c r="E396" s="56">
        <v>-4.005515011648416E-3</v>
      </c>
      <c r="F396" s="56">
        <v>-4.005515011648416E-3</v>
      </c>
      <c r="G396" s="56">
        <v>4.9724476443342436E-3</v>
      </c>
      <c r="H396" s="56">
        <v>-1.2466324963305526E-2</v>
      </c>
      <c r="I396" s="56">
        <v>5.023126278076611E-2</v>
      </c>
      <c r="J396" s="56">
        <v>1.8882468908730292E-2</v>
      </c>
      <c r="K396" s="55">
        <v>147.07379794232401</v>
      </c>
      <c r="L396" s="56">
        <v>7.5630551157104264E-3</v>
      </c>
      <c r="M396" s="55">
        <v>98.076524925728407</v>
      </c>
      <c r="N396" s="55">
        <v>41.311855244283734</v>
      </c>
      <c r="O396" s="58">
        <v>1</v>
      </c>
      <c r="P396" s="98">
        <v>1</v>
      </c>
      <c r="Q396" s="106">
        <v>0</v>
      </c>
    </row>
    <row r="397" spans="1:17" x14ac:dyDescent="0.2">
      <c r="A397" s="28">
        <f t="shared" si="3"/>
        <v>2026.04</v>
      </c>
      <c r="B397" s="28" t="s">
        <v>63</v>
      </c>
      <c r="C397" s="55">
        <v>148.15619358535403</v>
      </c>
      <c r="D397" s="56">
        <v>4.2935225269685734E-4</v>
      </c>
      <c r="E397" s="56">
        <v>3.749380441433229E-3</v>
      </c>
      <c r="F397" s="56">
        <v>3.749380441433229E-3</v>
      </c>
      <c r="G397" s="56">
        <v>6.3923545527810877E-3</v>
      </c>
      <c r="H397" s="56">
        <v>-1.2466324963305526E-2</v>
      </c>
      <c r="I397" s="56">
        <v>5.023126278076611E-2</v>
      </c>
      <c r="J397" s="56">
        <v>1.8882468908730292E-2</v>
      </c>
      <c r="K397" s="55">
        <v>147.09472016335999</v>
      </c>
      <c r="L397" s="56">
        <v>7.8975145368200828E-3</v>
      </c>
      <c r="M397" s="55">
        <v>97.963517051615199</v>
      </c>
      <c r="N397" s="55">
        <v>41.311855244283734</v>
      </c>
      <c r="O397" s="58">
        <v>1</v>
      </c>
      <c r="P397" s="98">
        <v>1</v>
      </c>
      <c r="Q397" s="106">
        <v>0</v>
      </c>
    </row>
    <row r="398" spans="1:17" x14ac:dyDescent="0.2">
      <c r="A398" s="28">
        <f t="shared" si="3"/>
        <v>2026.05</v>
      </c>
      <c r="B398" s="28" t="s">
        <v>63</v>
      </c>
      <c r="C398" s="55">
        <v>147.42072466785487</v>
      </c>
      <c r="D398" s="56">
        <v>-4.9765079066907639E-3</v>
      </c>
      <c r="E398" s="56">
        <v>2.6156505978104498E-3</v>
      </c>
      <c r="F398" s="56">
        <v>2.6156505978104498E-3</v>
      </c>
      <c r="G398" s="56">
        <v>-3.3872872459036474E-3</v>
      </c>
      <c r="H398" s="56">
        <v>-1.2466324963305526E-2</v>
      </c>
      <c r="I398" s="56">
        <v>5.023126278076611E-2</v>
      </c>
      <c r="J398" s="56">
        <v>1.8882468908730292E-2</v>
      </c>
      <c r="K398" s="55">
        <v>147.115621191668</v>
      </c>
      <c r="L398" s="56">
        <v>2.7987503542223902E-3</v>
      </c>
      <c r="M398" s="55">
        <v>97.32309970444139</v>
      </c>
      <c r="N398" s="55">
        <v>41.311855244283734</v>
      </c>
      <c r="O398" s="58">
        <v>1</v>
      </c>
      <c r="P398" s="98">
        <v>1</v>
      </c>
      <c r="Q398" s="106">
        <v>0</v>
      </c>
    </row>
    <row r="399" spans="1:17" x14ac:dyDescent="0.2">
      <c r="A399" s="28">
        <f t="shared" si="3"/>
        <v>2026.06</v>
      </c>
      <c r="B399" s="28" t="s">
        <v>63</v>
      </c>
      <c r="C399" s="55">
        <v>146.65672639120635</v>
      </c>
      <c r="D399" s="56">
        <v>-5.1959100756085435E-3</v>
      </c>
      <c r="E399" s="56">
        <v>-1.0198996357054068E-3</v>
      </c>
      <c r="F399" s="56">
        <v>-1.0198996357054068E-3</v>
      </c>
      <c r="G399" s="56">
        <v>-1.3297385036852849E-2</v>
      </c>
      <c r="H399" s="56">
        <v>-1.2466324963305526E-2</v>
      </c>
      <c r="I399" s="56">
        <v>5.023126278076611E-2</v>
      </c>
      <c r="J399" s="56">
        <v>1.8882468908730292E-2</v>
      </c>
      <c r="K399" s="55">
        <v>147.13650724735101</v>
      </c>
      <c r="L399" s="56">
        <v>-2.4908071919138575E-3</v>
      </c>
      <c r="M399" s="55">
        <v>96.665657978711423</v>
      </c>
      <c r="N399" s="55">
        <v>36.2722868795869</v>
      </c>
      <c r="O399" s="58">
        <v>1</v>
      </c>
      <c r="P399" s="98">
        <v>1</v>
      </c>
      <c r="Q399" s="106">
        <v>0</v>
      </c>
    </row>
    <row r="400" spans="1:17" x14ac:dyDescent="0.2">
      <c r="A400" s="28">
        <f t="shared" si="3"/>
        <v>2026.07</v>
      </c>
      <c r="B400" s="28"/>
      <c r="C400" s="55" t="e">
        <v>#N/A</v>
      </c>
      <c r="D400" s="56" t="e">
        <v>#N/A</v>
      </c>
      <c r="E400" s="56" t="e">
        <v>#N/A</v>
      </c>
      <c r="F400" s="56" t="e">
        <v>#N/A</v>
      </c>
      <c r="G400" s="56" t="e">
        <v>#N/A</v>
      </c>
      <c r="H400" s="56" t="e">
        <v>#N/A</v>
      </c>
      <c r="I400" s="56" t="e">
        <v>#N/A</v>
      </c>
      <c r="J400" s="56" t="e">
        <v>#N/A</v>
      </c>
      <c r="K400" s="55" t="e">
        <v>#N/A</v>
      </c>
      <c r="L400" s="56" t="e">
        <v>#N/A</v>
      </c>
      <c r="M400" s="55" t="e">
        <v>#N/A</v>
      </c>
      <c r="N400" s="55" t="e">
        <v>#N/A</v>
      </c>
      <c r="O400" s="58" t="e">
        <v>#N/A</v>
      </c>
      <c r="P400" s="98" t="e">
        <v>#N/A</v>
      </c>
      <c r="Q400" s="106" t="e">
        <v>#N/A</v>
      </c>
    </row>
    <row r="401" spans="1:17" x14ac:dyDescent="0.2">
      <c r="A401" s="28">
        <f t="shared" si="3"/>
        <v>2026.08</v>
      </c>
      <c r="B401" s="28"/>
      <c r="C401" s="55" t="e">
        <v>#N/A</v>
      </c>
      <c r="D401" s="56" t="e">
        <v>#N/A</v>
      </c>
      <c r="E401" s="56" t="e">
        <v>#N/A</v>
      </c>
      <c r="F401" s="56" t="e">
        <v>#N/A</v>
      </c>
      <c r="G401" s="56" t="e">
        <v>#N/A</v>
      </c>
      <c r="H401" s="56" t="e">
        <v>#N/A</v>
      </c>
      <c r="I401" s="56" t="e">
        <v>#N/A</v>
      </c>
      <c r="J401" s="56" t="e">
        <v>#N/A</v>
      </c>
      <c r="K401" s="55" t="e">
        <v>#N/A</v>
      </c>
      <c r="L401" s="56" t="e">
        <v>#N/A</v>
      </c>
      <c r="M401" s="55" t="e">
        <v>#N/A</v>
      </c>
      <c r="N401" s="55" t="e">
        <v>#N/A</v>
      </c>
      <c r="O401" s="58" t="e">
        <v>#N/A</v>
      </c>
      <c r="P401" s="98" t="e">
        <v>#N/A</v>
      </c>
      <c r="Q401" s="106" t="e">
        <v>#N/A</v>
      </c>
    </row>
    <row r="402" spans="1:17" x14ac:dyDescent="0.2">
      <c r="A402" s="28">
        <f t="shared" si="3"/>
        <v>2026.09</v>
      </c>
      <c r="B402" s="28"/>
      <c r="C402" s="55" t="e">
        <v>#N/A</v>
      </c>
      <c r="D402" s="56" t="e">
        <v>#N/A</v>
      </c>
      <c r="E402" s="56" t="e">
        <v>#N/A</v>
      </c>
      <c r="F402" s="56" t="e">
        <v>#N/A</v>
      </c>
      <c r="G402" s="56" t="e">
        <v>#N/A</v>
      </c>
      <c r="H402" s="56" t="e">
        <v>#N/A</v>
      </c>
      <c r="I402" s="56" t="e">
        <v>#N/A</v>
      </c>
      <c r="J402" s="56" t="e">
        <v>#N/A</v>
      </c>
      <c r="K402" s="55" t="e">
        <v>#N/A</v>
      </c>
      <c r="L402" s="56" t="e">
        <v>#N/A</v>
      </c>
      <c r="M402" s="55" t="e">
        <v>#N/A</v>
      </c>
      <c r="N402" s="55" t="e">
        <v>#N/A</v>
      </c>
      <c r="O402" s="58" t="e">
        <v>#N/A</v>
      </c>
      <c r="P402" s="98" t="e">
        <v>#N/A</v>
      </c>
      <c r="Q402" s="106" t="e">
        <v>#N/A</v>
      </c>
    </row>
    <row r="403" spans="1:17" x14ac:dyDescent="0.2">
      <c r="A403" s="28">
        <f t="shared" si="3"/>
        <v>2026.1</v>
      </c>
      <c r="B403" s="28"/>
      <c r="C403" s="55" t="e">
        <v>#N/A</v>
      </c>
      <c r="D403" s="56" t="e">
        <v>#N/A</v>
      </c>
      <c r="E403" s="56" t="e">
        <v>#N/A</v>
      </c>
      <c r="F403" s="56" t="e">
        <v>#N/A</v>
      </c>
      <c r="G403" s="56" t="e">
        <v>#N/A</v>
      </c>
      <c r="H403" s="56" t="e">
        <v>#N/A</v>
      </c>
      <c r="I403" s="56" t="e">
        <v>#N/A</v>
      </c>
      <c r="J403" s="56" t="e">
        <v>#N/A</v>
      </c>
      <c r="K403" s="55" t="e">
        <v>#N/A</v>
      </c>
      <c r="L403" s="56" t="e">
        <v>#N/A</v>
      </c>
      <c r="M403" s="55" t="e">
        <v>#N/A</v>
      </c>
      <c r="N403" s="55" t="e">
        <v>#N/A</v>
      </c>
      <c r="O403" s="58" t="e">
        <v>#N/A</v>
      </c>
      <c r="P403" s="98" t="e">
        <v>#N/A</v>
      </c>
      <c r="Q403" s="106" t="e">
        <v>#N/A</v>
      </c>
    </row>
    <row r="404" spans="1:17" x14ac:dyDescent="0.2">
      <c r="A404" s="28">
        <f t="shared" si="3"/>
        <v>2026.11</v>
      </c>
      <c r="B404" s="28"/>
      <c r="C404" s="55" t="e">
        <v>#N/A</v>
      </c>
      <c r="D404" s="56" t="e">
        <v>#N/A</v>
      </c>
      <c r="E404" s="56" t="e">
        <v>#N/A</v>
      </c>
      <c r="F404" s="56" t="e">
        <v>#N/A</v>
      </c>
      <c r="G404" s="56" t="e">
        <v>#N/A</v>
      </c>
      <c r="H404" s="56" t="e">
        <v>#N/A</v>
      </c>
      <c r="I404" s="56" t="e">
        <v>#N/A</v>
      </c>
      <c r="J404" s="56" t="e">
        <v>#N/A</v>
      </c>
      <c r="K404" s="55" t="e">
        <v>#N/A</v>
      </c>
      <c r="L404" s="56" t="e">
        <v>#N/A</v>
      </c>
      <c r="M404" s="55" t="e">
        <v>#N/A</v>
      </c>
      <c r="N404" s="55" t="e">
        <v>#N/A</v>
      </c>
      <c r="O404" s="58" t="e">
        <v>#N/A</v>
      </c>
      <c r="P404" s="98" t="e">
        <v>#N/A</v>
      </c>
      <c r="Q404" s="106" t="e">
        <v>#N/A</v>
      </c>
    </row>
    <row r="405" spans="1:17" x14ac:dyDescent="0.2">
      <c r="A405" s="28">
        <f t="shared" si="3"/>
        <v>2026.12</v>
      </c>
      <c r="B405" s="28"/>
      <c r="C405" s="55" t="e">
        <v>#N/A</v>
      </c>
      <c r="D405" s="56" t="e">
        <v>#N/A</v>
      </c>
      <c r="E405" s="56" t="e">
        <v>#N/A</v>
      </c>
      <c r="F405" s="56" t="e">
        <v>#N/A</v>
      </c>
      <c r="G405" s="56" t="e">
        <v>#N/A</v>
      </c>
      <c r="H405" s="56" t="e">
        <v>#N/A</v>
      </c>
      <c r="I405" s="56" t="e">
        <v>#N/A</v>
      </c>
      <c r="J405" s="56" t="e">
        <v>#N/A</v>
      </c>
      <c r="K405" s="55" t="e">
        <v>#N/A</v>
      </c>
      <c r="L405" s="56" t="e">
        <v>#N/A</v>
      </c>
      <c r="M405" s="55" t="e">
        <v>#N/A</v>
      </c>
      <c r="N405" s="55" t="e">
        <v>#N/A</v>
      </c>
      <c r="O405" s="58" t="e">
        <v>#N/A</v>
      </c>
      <c r="P405" s="98" t="e">
        <v>#N/A</v>
      </c>
      <c r="Q405" s="106" t="e">
        <v>#N/A</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100</v>
      </c>
      <c r="C2" s="25"/>
    </row>
    <row r="3" spans="1:6" s="3" customFormat="1" ht="33.75" x14ac:dyDescent="0.2">
      <c r="A3" s="76" t="s">
        <v>16</v>
      </c>
      <c r="B3" s="16" t="s">
        <v>101</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12</v>
      </c>
      <c r="C7" s="47" t="s">
        <v>12</v>
      </c>
    </row>
    <row r="8" spans="1:6" s="3" customFormat="1" x14ac:dyDescent="0.2">
      <c r="A8" s="81" t="s">
        <v>23</v>
      </c>
      <c r="B8" s="89" t="s">
        <v>22</v>
      </c>
      <c r="C8" s="91" t="s">
        <v>24</v>
      </c>
    </row>
    <row r="9" spans="1:6" s="4" customFormat="1" ht="13.5" thickBot="1" x14ac:dyDescent="0.25">
      <c r="A9" s="82"/>
      <c r="B9" s="27"/>
      <c r="C9" s="49"/>
    </row>
    <row r="10" spans="1:6" s="4" customFormat="1" x14ac:dyDescent="0.2">
      <c r="A10" s="28">
        <v>1994.01</v>
      </c>
      <c r="B10" s="59">
        <v>369.20798659720856</v>
      </c>
      <c r="C10" s="60">
        <v>375.21790115605768</v>
      </c>
      <c r="E10" s="33"/>
      <c r="F10" s="33"/>
    </row>
    <row r="11" spans="1:6" s="4" customFormat="1" x14ac:dyDescent="0.2">
      <c r="A11" s="28">
        <v>1994.02</v>
      </c>
      <c r="B11" s="61">
        <v>371.52174968647694</v>
      </c>
      <c r="C11" s="62">
        <v>368.98755473728369</v>
      </c>
      <c r="E11" s="33"/>
      <c r="F11" s="33"/>
    </row>
    <row r="12" spans="1:6" s="4" customFormat="1" x14ac:dyDescent="0.2">
      <c r="A12" s="28">
        <v>1994.03</v>
      </c>
      <c r="B12" s="61">
        <v>369.40173801200081</v>
      </c>
      <c r="C12" s="62">
        <v>371.87608276818128</v>
      </c>
      <c r="E12" s="33"/>
      <c r="F12" s="33"/>
    </row>
    <row r="13" spans="1:6" s="4" customFormat="1" x14ac:dyDescent="0.2">
      <c r="A13" s="28">
        <v>1994.04</v>
      </c>
      <c r="B13" s="61">
        <v>373.79485075202126</v>
      </c>
      <c r="C13" s="62">
        <v>371.98332244123577</v>
      </c>
      <c r="E13" s="33"/>
      <c r="F13" s="33"/>
    </row>
    <row r="14" spans="1:6" s="4" customFormat="1" x14ac:dyDescent="0.2">
      <c r="A14" s="28">
        <v>1994.05</v>
      </c>
      <c r="B14" s="61">
        <v>374.96270070732476</v>
      </c>
      <c r="C14" s="62">
        <v>372.79662128379044</v>
      </c>
      <c r="E14" s="33"/>
      <c r="F14" s="33"/>
    </row>
    <row r="15" spans="1:6" s="4" customFormat="1" x14ac:dyDescent="0.2">
      <c r="A15" s="28">
        <v>1994.06</v>
      </c>
      <c r="B15" s="61">
        <v>377.22082080965708</v>
      </c>
      <c r="C15" s="62">
        <v>372.81332685901066</v>
      </c>
      <c r="E15" s="33"/>
      <c r="F15" s="33"/>
    </row>
    <row r="16" spans="1:6" s="4" customFormat="1" x14ac:dyDescent="0.2">
      <c r="A16" s="28">
        <v>1994.07</v>
      </c>
      <c r="B16" s="61">
        <v>373.60546791373361</v>
      </c>
      <c r="C16" s="62">
        <v>377.74790914178897</v>
      </c>
      <c r="E16" s="33"/>
      <c r="F16" s="33"/>
    </row>
    <row r="17" spans="1:6" s="4" customFormat="1" x14ac:dyDescent="0.2">
      <c r="A17" s="28">
        <v>1994.08</v>
      </c>
      <c r="B17" s="61">
        <v>373.85470943273361</v>
      </c>
      <c r="C17" s="62">
        <v>375.38059340615996</v>
      </c>
      <c r="E17" s="33"/>
      <c r="F17" s="33"/>
    </row>
    <row r="18" spans="1:6" s="4" customFormat="1" x14ac:dyDescent="0.2">
      <c r="A18" s="28">
        <v>1994.09</v>
      </c>
      <c r="B18" s="61">
        <v>380.66983330854816</v>
      </c>
      <c r="C18" s="62">
        <v>381.78905176742086</v>
      </c>
      <c r="E18" s="33"/>
      <c r="F18" s="33"/>
    </row>
    <row r="19" spans="1:6" s="4" customFormat="1" x14ac:dyDescent="0.2">
      <c r="A19" s="28">
        <v>1994.1</v>
      </c>
      <c r="B19" s="61">
        <v>384.2349501355169</v>
      </c>
      <c r="C19" s="62">
        <v>383.6430486269067</v>
      </c>
      <c r="E19" s="33"/>
      <c r="F19" s="33"/>
    </row>
    <row r="20" spans="1:6" s="4" customFormat="1" x14ac:dyDescent="0.2">
      <c r="A20" s="28">
        <v>1994.11</v>
      </c>
      <c r="B20" s="61">
        <v>381.25060355081484</v>
      </c>
      <c r="C20" s="62">
        <v>383.81991826618651</v>
      </c>
      <c r="E20" s="33"/>
      <c r="F20" s="33"/>
    </row>
    <row r="21" spans="1:6" s="4" customFormat="1" x14ac:dyDescent="0.2">
      <c r="A21" s="28">
        <v>1994.12</v>
      </c>
      <c r="B21" s="61">
        <v>380.36139849292368</v>
      </c>
      <c r="C21" s="62">
        <v>383.13026326873563</v>
      </c>
      <c r="E21" s="33"/>
      <c r="F21" s="33"/>
    </row>
    <row r="22" spans="1:6" x14ac:dyDescent="0.2">
      <c r="A22" s="28">
        <v>1995.01</v>
      </c>
      <c r="B22" s="61">
        <v>398.65566905044653</v>
      </c>
      <c r="C22" s="62">
        <v>379.84792333460507</v>
      </c>
      <c r="E22" s="34"/>
      <c r="F22" s="33"/>
    </row>
    <row r="23" spans="1:6" x14ac:dyDescent="0.2">
      <c r="A23" s="28">
        <v>1995.02</v>
      </c>
      <c r="B23" s="61">
        <v>369.13900657662344</v>
      </c>
      <c r="C23" s="62">
        <v>375.83467958517684</v>
      </c>
      <c r="E23" s="34"/>
      <c r="F23" s="33"/>
    </row>
    <row r="24" spans="1:6" x14ac:dyDescent="0.2">
      <c r="A24" s="28">
        <v>1995.03</v>
      </c>
      <c r="B24" s="61">
        <v>366.88381430611003</v>
      </c>
      <c r="C24" s="62">
        <v>371.64403137699929</v>
      </c>
      <c r="E24" s="34"/>
      <c r="F24" s="33"/>
    </row>
    <row r="25" spans="1:6" x14ac:dyDescent="0.2">
      <c r="A25" s="28">
        <v>1995.04</v>
      </c>
      <c r="B25" s="61">
        <v>365.16668423753498</v>
      </c>
      <c r="C25" s="62">
        <v>368.11462578994963</v>
      </c>
      <c r="E25" s="34"/>
      <c r="F25" s="33"/>
    </row>
    <row r="26" spans="1:6" x14ac:dyDescent="0.2">
      <c r="A26" s="28">
        <v>1995.05</v>
      </c>
      <c r="B26" s="61">
        <v>367.13591204495975</v>
      </c>
      <c r="C26" s="62">
        <v>364.74935602753038</v>
      </c>
      <c r="E26" s="34"/>
      <c r="F26" s="33"/>
    </row>
    <row r="27" spans="1:6" x14ac:dyDescent="0.2">
      <c r="A27" s="28">
        <v>1995.06</v>
      </c>
      <c r="B27" s="61">
        <v>368.24624583920871</v>
      </c>
      <c r="C27" s="62">
        <v>365.81894674841755</v>
      </c>
      <c r="E27" s="34"/>
      <c r="F27" s="33"/>
    </row>
    <row r="28" spans="1:6" x14ac:dyDescent="0.2">
      <c r="A28" s="28">
        <v>1995.07</v>
      </c>
      <c r="B28" s="61">
        <v>359.67129853882187</v>
      </c>
      <c r="C28" s="62">
        <v>362.78005967100222</v>
      </c>
      <c r="E28" s="34"/>
      <c r="F28" s="33"/>
    </row>
    <row r="29" spans="1:6" x14ac:dyDescent="0.2">
      <c r="A29" s="28">
        <v>1995.08</v>
      </c>
      <c r="B29" s="61">
        <v>358.99712794538578</v>
      </c>
      <c r="C29" s="62">
        <v>360.64512756454411</v>
      </c>
      <c r="E29" s="34"/>
      <c r="F29" s="33"/>
    </row>
    <row r="30" spans="1:6" x14ac:dyDescent="0.2">
      <c r="A30" s="28">
        <v>1995.09</v>
      </c>
      <c r="B30" s="61">
        <v>357.26277988378695</v>
      </c>
      <c r="C30" s="62">
        <v>358.55665537936494</v>
      </c>
      <c r="E30" s="34"/>
      <c r="F30" s="33"/>
    </row>
    <row r="31" spans="1:6" x14ac:dyDescent="0.2">
      <c r="A31" s="28">
        <v>1995.1</v>
      </c>
      <c r="B31" s="61">
        <v>346.1417821260946</v>
      </c>
      <c r="C31" s="62">
        <v>355.00994273971151</v>
      </c>
      <c r="E31" s="34"/>
      <c r="F31" s="33"/>
    </row>
    <row r="32" spans="1:6" x14ac:dyDescent="0.2">
      <c r="A32" s="28">
        <v>1995.11</v>
      </c>
      <c r="B32" s="61">
        <v>352.71980999562572</v>
      </c>
      <c r="C32" s="62">
        <v>353.79066858893555</v>
      </c>
      <c r="E32" s="34"/>
      <c r="F32" s="33"/>
    </row>
    <row r="33" spans="1:6" x14ac:dyDescent="0.2">
      <c r="A33" s="28">
        <v>1995.12</v>
      </c>
      <c r="B33" s="61">
        <v>350.5727305687592</v>
      </c>
      <c r="C33" s="62">
        <v>350.26330031077958</v>
      </c>
      <c r="E33" s="34"/>
      <c r="F33" s="33"/>
    </row>
    <row r="34" spans="1:6" x14ac:dyDescent="0.2">
      <c r="A34" s="28">
        <v>1996.01</v>
      </c>
      <c r="B34" s="61">
        <v>352.67020751239562</v>
      </c>
      <c r="C34" s="62">
        <v>352.27581019759032</v>
      </c>
      <c r="E34" s="34"/>
      <c r="F34" s="33"/>
    </row>
    <row r="35" spans="1:6" x14ac:dyDescent="0.2">
      <c r="A35" s="28">
        <v>1996.02</v>
      </c>
      <c r="B35" s="61">
        <v>359.5445397627484</v>
      </c>
      <c r="C35" s="62">
        <v>357.696093804442</v>
      </c>
      <c r="E35" s="34"/>
      <c r="F35" s="33"/>
    </row>
    <row r="36" spans="1:6" x14ac:dyDescent="0.2">
      <c r="A36" s="28">
        <v>1996.03</v>
      </c>
      <c r="B36" s="61">
        <v>355.12508190298257</v>
      </c>
      <c r="C36" s="62">
        <v>355.02720547442635</v>
      </c>
      <c r="E36" s="34"/>
      <c r="F36" s="33"/>
    </row>
    <row r="37" spans="1:6" x14ac:dyDescent="0.2">
      <c r="A37" s="28">
        <v>1996.04</v>
      </c>
      <c r="B37" s="61">
        <v>362.51196976150601</v>
      </c>
      <c r="C37" s="62">
        <v>360.0292615895392</v>
      </c>
      <c r="E37" s="34"/>
      <c r="F37" s="33"/>
    </row>
    <row r="38" spans="1:6" x14ac:dyDescent="0.2">
      <c r="A38" s="28">
        <v>1996.05</v>
      </c>
      <c r="B38" s="61">
        <v>364.98769323840793</v>
      </c>
      <c r="C38" s="62">
        <v>362.29841074572596</v>
      </c>
      <c r="E38" s="34"/>
      <c r="F38" s="33"/>
    </row>
    <row r="39" spans="1:6" x14ac:dyDescent="0.2">
      <c r="A39" s="28">
        <v>1996.06</v>
      </c>
      <c r="B39" s="61">
        <v>365.58839564628983</v>
      </c>
      <c r="C39" s="62">
        <v>363.39909246360395</v>
      </c>
      <c r="E39" s="34"/>
      <c r="F39" s="33"/>
    </row>
    <row r="40" spans="1:6" x14ac:dyDescent="0.2">
      <c r="A40" s="28">
        <v>1996.07</v>
      </c>
      <c r="B40" s="61">
        <v>361.83477285649337</v>
      </c>
      <c r="C40" s="62">
        <v>364.8563696084907</v>
      </c>
      <c r="E40" s="34"/>
      <c r="F40" s="33"/>
    </row>
    <row r="41" spans="1:6" x14ac:dyDescent="0.2">
      <c r="A41" s="28">
        <v>1996.08</v>
      </c>
      <c r="B41" s="61">
        <v>369.85774829720663</v>
      </c>
      <c r="C41" s="62">
        <v>371.81451054814568</v>
      </c>
      <c r="E41" s="34"/>
      <c r="F41" s="33"/>
    </row>
    <row r="42" spans="1:6" x14ac:dyDescent="0.2">
      <c r="A42" s="28">
        <v>1996.09</v>
      </c>
      <c r="B42" s="61">
        <v>370.03802377190283</v>
      </c>
      <c r="C42" s="62">
        <v>371.8997583321671</v>
      </c>
      <c r="E42" s="34"/>
      <c r="F42" s="33"/>
    </row>
    <row r="43" spans="1:6" x14ac:dyDescent="0.2">
      <c r="A43" s="28">
        <v>1996.1</v>
      </c>
      <c r="B43" s="61">
        <v>372.69235038977013</v>
      </c>
      <c r="C43" s="62">
        <v>375.49859018740216</v>
      </c>
      <c r="E43" s="34"/>
      <c r="F43" s="33"/>
    </row>
    <row r="44" spans="1:6" x14ac:dyDescent="0.2">
      <c r="A44" s="28">
        <v>1996.11</v>
      </c>
      <c r="B44" s="61">
        <v>375.26674818469854</v>
      </c>
      <c r="C44" s="62">
        <v>376.87145084848026</v>
      </c>
      <c r="E44" s="34"/>
      <c r="F44" s="33"/>
    </row>
    <row r="45" spans="1:6" x14ac:dyDescent="0.2">
      <c r="A45" s="28">
        <v>1996.12</v>
      </c>
      <c r="B45" s="61">
        <v>381.93561754896973</v>
      </c>
      <c r="C45" s="62">
        <v>382.11386601201718</v>
      </c>
      <c r="E45" s="34"/>
      <c r="F45" s="33"/>
    </row>
    <row r="46" spans="1:6" x14ac:dyDescent="0.2">
      <c r="A46" s="28">
        <v>1997.01</v>
      </c>
      <c r="B46" s="61">
        <v>381.23246159740916</v>
      </c>
      <c r="C46" s="62">
        <v>380.71634243976541</v>
      </c>
      <c r="E46" s="34"/>
      <c r="F46" s="33"/>
    </row>
    <row r="47" spans="1:6" x14ac:dyDescent="0.2">
      <c r="A47" s="28">
        <v>1997.02</v>
      </c>
      <c r="B47" s="61">
        <v>384.35942093684821</v>
      </c>
      <c r="C47" s="62">
        <v>381.72739037295116</v>
      </c>
      <c r="E47" s="34"/>
      <c r="F47" s="33"/>
    </row>
    <row r="48" spans="1:6" x14ac:dyDescent="0.2">
      <c r="A48" s="28">
        <v>1997.03</v>
      </c>
      <c r="B48" s="61">
        <v>384.51559972523455</v>
      </c>
      <c r="C48" s="62">
        <v>383.59586302315807</v>
      </c>
      <c r="E48" s="34"/>
      <c r="F48" s="33"/>
    </row>
    <row r="49" spans="1:6" x14ac:dyDescent="0.2">
      <c r="A49" s="28">
        <v>1997.04</v>
      </c>
      <c r="B49" s="61">
        <v>384.46196764283923</v>
      </c>
      <c r="C49" s="62">
        <v>380.99670251717004</v>
      </c>
      <c r="E49" s="34"/>
      <c r="F49" s="33"/>
    </row>
    <row r="50" spans="1:6" x14ac:dyDescent="0.2">
      <c r="A50" s="28">
        <v>1997.05</v>
      </c>
      <c r="B50" s="61">
        <v>387.2662485170348</v>
      </c>
      <c r="C50" s="62">
        <v>383.93885775888339</v>
      </c>
      <c r="E50" s="34"/>
      <c r="F50" s="33"/>
    </row>
    <row r="51" spans="1:6" x14ac:dyDescent="0.2">
      <c r="A51" s="28">
        <v>1997.06</v>
      </c>
      <c r="B51" s="61">
        <v>392.71204457377581</v>
      </c>
      <c r="C51" s="62">
        <v>388.38406680072831</v>
      </c>
      <c r="E51" s="34"/>
      <c r="F51" s="33"/>
    </row>
    <row r="52" spans="1:6" x14ac:dyDescent="0.2">
      <c r="A52" s="28">
        <v>1997.07</v>
      </c>
      <c r="B52" s="61">
        <v>382.53629886859409</v>
      </c>
      <c r="C52" s="62">
        <v>385.41025909244178</v>
      </c>
      <c r="E52" s="34"/>
      <c r="F52" s="33"/>
    </row>
    <row r="53" spans="1:6" x14ac:dyDescent="0.2">
      <c r="A53" s="28">
        <v>1997.08</v>
      </c>
      <c r="B53" s="61">
        <v>387.646755213505</v>
      </c>
      <c r="C53" s="62">
        <v>390.1942604975232</v>
      </c>
      <c r="E53" s="34"/>
      <c r="F53" s="33"/>
    </row>
    <row r="54" spans="1:6" x14ac:dyDescent="0.2">
      <c r="A54" s="28">
        <v>1997.09</v>
      </c>
      <c r="B54" s="61">
        <v>386.14373874616325</v>
      </c>
      <c r="C54" s="62">
        <v>388.80739793920765</v>
      </c>
      <c r="E54" s="34"/>
      <c r="F54" s="33"/>
    </row>
    <row r="55" spans="1:6" x14ac:dyDescent="0.2">
      <c r="A55" s="28">
        <v>1997.1</v>
      </c>
      <c r="B55" s="61">
        <v>388.72106699815009</v>
      </c>
      <c r="C55" s="62">
        <v>392.07260547847375</v>
      </c>
      <c r="E55" s="34"/>
      <c r="F55" s="33"/>
    </row>
    <row r="56" spans="1:6" x14ac:dyDescent="0.2">
      <c r="A56" s="28">
        <v>1997.11</v>
      </c>
      <c r="B56" s="61">
        <v>391.58851832241197</v>
      </c>
      <c r="C56" s="62">
        <v>393.88982513255871</v>
      </c>
      <c r="E56" s="34"/>
      <c r="F56" s="33"/>
    </row>
    <row r="57" spans="1:6" x14ac:dyDescent="0.2">
      <c r="A57" s="28">
        <v>1997.12</v>
      </c>
      <c r="B57" s="61">
        <v>394.2918623499715</v>
      </c>
      <c r="C57" s="62">
        <v>394.93398958862946</v>
      </c>
      <c r="E57" s="34"/>
      <c r="F57" s="33"/>
    </row>
    <row r="58" spans="1:6" x14ac:dyDescent="0.2">
      <c r="A58" s="28">
        <v>1998.01</v>
      </c>
      <c r="B58" s="61">
        <v>393.05266000558498</v>
      </c>
      <c r="C58" s="62">
        <v>391.42834481290646</v>
      </c>
      <c r="E58" s="34"/>
      <c r="F58" s="33"/>
    </row>
    <row r="59" spans="1:6" x14ac:dyDescent="0.2">
      <c r="A59" s="28">
        <v>1998.02</v>
      </c>
      <c r="B59" s="61">
        <v>396.53944563968486</v>
      </c>
      <c r="C59" s="62">
        <v>393.4184944445276</v>
      </c>
      <c r="E59" s="34"/>
      <c r="F59" s="33"/>
    </row>
    <row r="60" spans="1:6" x14ac:dyDescent="0.2">
      <c r="A60" s="28">
        <v>1998.03</v>
      </c>
      <c r="B60" s="61">
        <v>399.07239808789859</v>
      </c>
      <c r="C60" s="62">
        <v>397.40442196364495</v>
      </c>
      <c r="E60" s="34"/>
      <c r="F60" s="33"/>
    </row>
    <row r="61" spans="1:6" x14ac:dyDescent="0.2">
      <c r="A61" s="28">
        <v>1998.04</v>
      </c>
      <c r="B61" s="61">
        <v>401.11011466140098</v>
      </c>
      <c r="C61" s="62">
        <v>396.96867629452072</v>
      </c>
      <c r="E61" s="34"/>
      <c r="F61" s="33"/>
    </row>
    <row r="62" spans="1:6" x14ac:dyDescent="0.2">
      <c r="A62" s="28">
        <v>1998.05</v>
      </c>
      <c r="B62" s="61">
        <v>402.0998767327464</v>
      </c>
      <c r="C62" s="62">
        <v>397.40046436171377</v>
      </c>
      <c r="E62" s="34"/>
      <c r="F62" s="33"/>
    </row>
    <row r="63" spans="1:6" x14ac:dyDescent="0.2">
      <c r="A63" s="28">
        <v>1998.06</v>
      </c>
      <c r="B63" s="61">
        <v>394.62338626683675</v>
      </c>
      <c r="C63" s="62">
        <v>392.1920413426547</v>
      </c>
      <c r="E63" s="34"/>
      <c r="F63" s="33"/>
    </row>
    <row r="64" spans="1:6" x14ac:dyDescent="0.2">
      <c r="A64" s="28">
        <v>1998.07</v>
      </c>
      <c r="B64" s="61">
        <v>390.05498751378775</v>
      </c>
      <c r="C64" s="62">
        <v>393.36110612532713</v>
      </c>
      <c r="E64" s="34"/>
      <c r="F64" s="33"/>
    </row>
    <row r="65" spans="1:6" x14ac:dyDescent="0.2">
      <c r="A65" s="28">
        <v>1998.08</v>
      </c>
      <c r="B65" s="61">
        <v>387.8398957938395</v>
      </c>
      <c r="C65" s="62">
        <v>391.96593358868108</v>
      </c>
      <c r="E65" s="34"/>
      <c r="F65" s="33"/>
    </row>
    <row r="66" spans="1:6" x14ac:dyDescent="0.2">
      <c r="A66" s="28">
        <v>1998.09</v>
      </c>
      <c r="B66" s="61">
        <v>392.57589989810731</v>
      </c>
      <c r="C66" s="62">
        <v>397.3151327420951</v>
      </c>
      <c r="E66" s="34"/>
      <c r="F66" s="33"/>
    </row>
    <row r="67" spans="1:6" x14ac:dyDescent="0.2">
      <c r="A67" s="28">
        <v>1998.1</v>
      </c>
      <c r="B67" s="61">
        <v>395.33918111007324</v>
      </c>
      <c r="C67" s="62">
        <v>398.2399475346075</v>
      </c>
      <c r="E67" s="34"/>
      <c r="F67" s="33"/>
    </row>
    <row r="68" spans="1:6" x14ac:dyDescent="0.2">
      <c r="A68" s="28">
        <v>1998.11</v>
      </c>
      <c r="B68" s="61">
        <v>397.85111129076273</v>
      </c>
      <c r="C68" s="62">
        <v>400.43076866002843</v>
      </c>
      <c r="E68" s="34"/>
      <c r="F68" s="33"/>
    </row>
    <row r="69" spans="1:6" x14ac:dyDescent="0.2">
      <c r="A69" s="28">
        <v>1998.12</v>
      </c>
      <c r="B69" s="61">
        <v>401.19503065017039</v>
      </c>
      <c r="C69" s="62">
        <v>402.17212629883869</v>
      </c>
      <c r="E69" s="34"/>
      <c r="F69" s="33"/>
    </row>
    <row r="70" spans="1:6" x14ac:dyDescent="0.2">
      <c r="A70" s="28">
        <v>1999.01</v>
      </c>
      <c r="B70" s="61">
        <v>399.54600666240577</v>
      </c>
      <c r="C70" s="62">
        <v>408.44663609046034</v>
      </c>
      <c r="E70" s="34"/>
      <c r="F70" s="33"/>
    </row>
    <row r="71" spans="1:6" x14ac:dyDescent="0.2">
      <c r="A71" s="28">
        <v>1999.02</v>
      </c>
      <c r="B71" s="61">
        <v>429.43909943295097</v>
      </c>
      <c r="C71" s="62">
        <v>413.59516253835989</v>
      </c>
      <c r="E71" s="34"/>
      <c r="F71" s="33"/>
    </row>
    <row r="72" spans="1:6" x14ac:dyDescent="0.2">
      <c r="A72" s="28">
        <v>1999.03</v>
      </c>
      <c r="B72" s="61">
        <v>430.49523533227961</v>
      </c>
      <c r="C72" s="62">
        <v>418.84910000913129</v>
      </c>
      <c r="E72" s="34"/>
      <c r="F72" s="33"/>
    </row>
    <row r="73" spans="1:6" x14ac:dyDescent="0.2">
      <c r="A73" s="28">
        <v>1999.04</v>
      </c>
      <c r="B73" s="61">
        <v>429.48537735369922</v>
      </c>
      <c r="C73" s="62">
        <v>424.53230783468234</v>
      </c>
      <c r="E73" s="34"/>
      <c r="F73" s="33"/>
    </row>
    <row r="74" spans="1:6" x14ac:dyDescent="0.2">
      <c r="A74" s="28">
        <v>1999.05</v>
      </c>
      <c r="B74" s="61">
        <v>420.58222129828772</v>
      </c>
      <c r="C74" s="62">
        <v>424.46743617956719</v>
      </c>
      <c r="E74" s="34"/>
      <c r="F74" s="33"/>
    </row>
    <row r="75" spans="1:6" x14ac:dyDescent="0.2">
      <c r="A75" s="28">
        <v>1999.06</v>
      </c>
      <c r="B75" s="61">
        <v>425.32923128278185</v>
      </c>
      <c r="C75" s="62">
        <v>424.69513186024113</v>
      </c>
      <c r="E75" s="34"/>
      <c r="F75" s="33"/>
    </row>
    <row r="76" spans="1:6" x14ac:dyDescent="0.2">
      <c r="A76" s="28">
        <v>1999.07</v>
      </c>
      <c r="B76" s="61">
        <v>428.47752285502344</v>
      </c>
      <c r="C76" s="62">
        <v>430.14118509523956</v>
      </c>
      <c r="E76" s="34"/>
      <c r="F76" s="33"/>
    </row>
    <row r="77" spans="1:6" x14ac:dyDescent="0.2">
      <c r="A77" s="28">
        <v>1999.08</v>
      </c>
      <c r="B77" s="61">
        <v>424.1875651736583</v>
      </c>
      <c r="C77" s="62">
        <v>428.23317765775045</v>
      </c>
      <c r="E77" s="34"/>
      <c r="F77" s="33"/>
    </row>
    <row r="78" spans="1:6" x14ac:dyDescent="0.2">
      <c r="A78" s="28">
        <v>1999.09</v>
      </c>
      <c r="B78" s="61">
        <v>425.24726678096891</v>
      </c>
      <c r="C78" s="62">
        <v>429.0754619982593</v>
      </c>
      <c r="E78" s="34"/>
      <c r="F78" s="33"/>
    </row>
    <row r="79" spans="1:6" x14ac:dyDescent="0.2">
      <c r="A79" s="28">
        <v>1999.1</v>
      </c>
      <c r="B79" s="61">
        <v>423.91152720347202</v>
      </c>
      <c r="C79" s="62">
        <v>427.58794737495862</v>
      </c>
      <c r="E79" s="34"/>
      <c r="F79" s="33"/>
    </row>
    <row r="80" spans="1:6" x14ac:dyDescent="0.2">
      <c r="A80" s="28">
        <v>1999.11</v>
      </c>
      <c r="B80" s="61">
        <v>425.02682364323118</v>
      </c>
      <c r="C80" s="62">
        <v>427.63429891265872</v>
      </c>
      <c r="E80" s="34"/>
      <c r="F80" s="33"/>
    </row>
    <row r="81" spans="1:6" x14ac:dyDescent="0.2">
      <c r="A81" s="28">
        <v>1999.12</v>
      </c>
      <c r="B81" s="61">
        <v>427.67961425693238</v>
      </c>
      <c r="C81" s="62">
        <v>428.2361972521669</v>
      </c>
      <c r="E81" s="34"/>
      <c r="F81" s="33"/>
    </row>
    <row r="82" spans="1:6" x14ac:dyDescent="0.2">
      <c r="A82" s="28">
        <v>2000.01</v>
      </c>
      <c r="B82" s="61">
        <v>438.21284600802124</v>
      </c>
      <c r="C82" s="62">
        <v>434.60670548799925</v>
      </c>
      <c r="E82" s="34"/>
      <c r="F82" s="33"/>
    </row>
    <row r="83" spans="1:6" x14ac:dyDescent="0.2">
      <c r="A83" s="28">
        <v>2000.02</v>
      </c>
      <c r="B83" s="61">
        <v>439.6223047805176</v>
      </c>
      <c r="C83" s="62">
        <v>436.77008676436691</v>
      </c>
      <c r="E83" s="34"/>
      <c r="F83" s="33"/>
    </row>
    <row r="84" spans="1:6" x14ac:dyDescent="0.2">
      <c r="A84" s="28">
        <v>2000.03</v>
      </c>
      <c r="B84" s="61">
        <v>438.01231913839456</v>
      </c>
      <c r="C84" s="62">
        <v>436.65830722907634</v>
      </c>
      <c r="E84" s="34"/>
      <c r="F84" s="33"/>
    </row>
    <row r="85" spans="1:6" x14ac:dyDescent="0.2">
      <c r="A85" s="28">
        <v>2000.04</v>
      </c>
      <c r="B85" s="61">
        <v>441.91909958963834</v>
      </c>
      <c r="C85" s="62">
        <v>437.8434775179108</v>
      </c>
      <c r="E85" s="34"/>
      <c r="F85" s="33"/>
    </row>
    <row r="86" spans="1:6" x14ac:dyDescent="0.2">
      <c r="A86" s="28">
        <v>2000.05</v>
      </c>
      <c r="B86" s="61">
        <v>441.22252640693534</v>
      </c>
      <c r="C86" s="62">
        <v>437.9610375351329</v>
      </c>
      <c r="E86" s="34"/>
      <c r="F86" s="33"/>
    </row>
    <row r="87" spans="1:6" x14ac:dyDescent="0.2">
      <c r="A87" s="28">
        <v>2000.06</v>
      </c>
      <c r="B87" s="61">
        <v>440.70100946321344</v>
      </c>
      <c r="C87" s="62">
        <v>440.6960136033079</v>
      </c>
      <c r="E87" s="34"/>
      <c r="F87" s="33"/>
    </row>
    <row r="88" spans="1:6" x14ac:dyDescent="0.2">
      <c r="A88" s="28">
        <v>2000.07</v>
      </c>
      <c r="B88" s="61">
        <v>441.18769795649013</v>
      </c>
      <c r="C88" s="62">
        <v>441.87862812520035</v>
      </c>
      <c r="E88" s="34"/>
      <c r="F88" s="33"/>
    </row>
    <row r="89" spans="1:6" x14ac:dyDescent="0.2">
      <c r="A89" s="28">
        <v>2000.08</v>
      </c>
      <c r="B89" s="61">
        <v>437.69405876489861</v>
      </c>
      <c r="C89" s="62">
        <v>442.16255046503323</v>
      </c>
      <c r="E89" s="34"/>
      <c r="F89" s="33"/>
    </row>
    <row r="90" spans="1:6" x14ac:dyDescent="0.2">
      <c r="A90" s="28">
        <v>2000.09</v>
      </c>
      <c r="B90" s="61">
        <v>436.96549071611543</v>
      </c>
      <c r="C90" s="62">
        <v>440.73841301281237</v>
      </c>
      <c r="E90" s="34"/>
      <c r="F90" s="33"/>
    </row>
    <row r="91" spans="1:6" x14ac:dyDescent="0.2">
      <c r="A91" s="28">
        <v>2000.1</v>
      </c>
      <c r="B91" s="61">
        <v>440.79292748100852</v>
      </c>
      <c r="C91" s="62">
        <v>444.03213036883523</v>
      </c>
      <c r="E91" s="34"/>
      <c r="F91" s="33"/>
    </row>
    <row r="92" spans="1:6" x14ac:dyDescent="0.2">
      <c r="A92" s="28">
        <v>2000.11</v>
      </c>
      <c r="B92" s="61">
        <v>442.76377920022907</v>
      </c>
      <c r="C92" s="62">
        <v>444.74277399879065</v>
      </c>
      <c r="E92" s="34"/>
      <c r="F92" s="33"/>
    </row>
    <row r="93" spans="1:6" x14ac:dyDescent="0.2">
      <c r="A93" s="28">
        <v>2000.12</v>
      </c>
      <c r="B93" s="61">
        <v>446.42597292161702</v>
      </c>
      <c r="C93" s="62">
        <v>446.44213461045831</v>
      </c>
      <c r="E93" s="34"/>
      <c r="F93" s="33"/>
    </row>
    <row r="94" spans="1:6" x14ac:dyDescent="0.2">
      <c r="A94" s="28">
        <v>2001.01</v>
      </c>
      <c r="B94" s="61">
        <v>453.00728300657244</v>
      </c>
      <c r="C94" s="62">
        <v>448.46167359055926</v>
      </c>
      <c r="E94" s="34"/>
      <c r="F94" s="33"/>
    </row>
    <row r="95" spans="1:6" x14ac:dyDescent="0.2">
      <c r="A95" s="28">
        <v>2001.02</v>
      </c>
      <c r="B95" s="61">
        <v>452.6294315810311</v>
      </c>
      <c r="C95" s="62">
        <v>448.37821650961871</v>
      </c>
      <c r="E95" s="34"/>
      <c r="F95" s="33"/>
    </row>
    <row r="96" spans="1:6" x14ac:dyDescent="0.2">
      <c r="A96" s="28">
        <v>2001.03</v>
      </c>
      <c r="B96" s="61">
        <v>449.05145407748614</v>
      </c>
      <c r="C96" s="62">
        <v>449.03727464899168</v>
      </c>
      <c r="E96" s="34"/>
      <c r="F96" s="33"/>
    </row>
    <row r="97" spans="1:6" x14ac:dyDescent="0.2">
      <c r="A97" s="28">
        <v>2001.04</v>
      </c>
      <c r="B97" s="61">
        <v>450.39481026316901</v>
      </c>
      <c r="C97" s="62">
        <v>447.2967165066654</v>
      </c>
      <c r="E97" s="34"/>
      <c r="F97" s="33"/>
    </row>
    <row r="98" spans="1:6" x14ac:dyDescent="0.2">
      <c r="A98" s="28">
        <v>2001.05</v>
      </c>
      <c r="B98" s="61">
        <v>450.77704471759489</v>
      </c>
      <c r="C98" s="62">
        <v>448.1903887820601</v>
      </c>
      <c r="E98" s="34"/>
      <c r="F98" s="33"/>
    </row>
    <row r="99" spans="1:6" x14ac:dyDescent="0.2">
      <c r="A99" s="28">
        <v>2001.06</v>
      </c>
      <c r="B99" s="61">
        <v>447.80013202491</v>
      </c>
      <c r="C99" s="62">
        <v>448.24296649227358</v>
      </c>
      <c r="E99" s="34"/>
      <c r="F99" s="33"/>
    </row>
    <row r="100" spans="1:6" x14ac:dyDescent="0.2">
      <c r="A100" s="28">
        <v>2001.07</v>
      </c>
      <c r="B100" s="61">
        <v>449.34423216409874</v>
      </c>
      <c r="C100" s="62">
        <v>448.79336155530774</v>
      </c>
      <c r="E100" s="34"/>
      <c r="F100" s="33"/>
    </row>
    <row r="101" spans="1:6" x14ac:dyDescent="0.2">
      <c r="A101" s="28">
        <v>2001.08</v>
      </c>
      <c r="B101" s="61">
        <v>448.13076879295858</v>
      </c>
      <c r="C101" s="62">
        <v>448.79038004517008</v>
      </c>
      <c r="E101" s="34"/>
      <c r="F101" s="33"/>
    </row>
    <row r="102" spans="1:6" x14ac:dyDescent="0.2">
      <c r="A102" s="28">
        <v>2001.09</v>
      </c>
      <c r="B102" s="61">
        <v>445.83146235592568</v>
      </c>
      <c r="C102" s="62">
        <v>449.30783701548074</v>
      </c>
      <c r="E102" s="34"/>
      <c r="F102" s="33"/>
    </row>
    <row r="103" spans="1:6" x14ac:dyDescent="0.2">
      <c r="A103" s="28">
        <v>2001.1</v>
      </c>
      <c r="B103" s="61">
        <v>439.74958279964073</v>
      </c>
      <c r="C103" s="62">
        <v>445.51809124256044</v>
      </c>
      <c r="E103" s="34"/>
      <c r="F103" s="33"/>
    </row>
    <row r="104" spans="1:6" x14ac:dyDescent="0.2">
      <c r="A104" s="28">
        <v>2001.11</v>
      </c>
      <c r="B104" s="61">
        <v>442.23626398214299</v>
      </c>
      <c r="C104" s="62">
        <v>443.25268254626246</v>
      </c>
      <c r="E104" s="34"/>
      <c r="F104" s="33"/>
    </row>
    <row r="105" spans="1:6" x14ac:dyDescent="0.2">
      <c r="A105" s="28">
        <v>2001.12</v>
      </c>
      <c r="B105" s="61">
        <v>442.43610224474401</v>
      </c>
      <c r="C105" s="62">
        <v>441.54325322346853</v>
      </c>
      <c r="E105" s="34"/>
      <c r="F105" s="33"/>
    </row>
    <row r="106" spans="1:6" x14ac:dyDescent="0.2">
      <c r="A106" s="28">
        <v>2002.01</v>
      </c>
      <c r="B106" s="61">
        <v>440.67991635847625</v>
      </c>
      <c r="C106" s="62">
        <v>435.35588069294113</v>
      </c>
      <c r="E106" s="34"/>
      <c r="F106" s="33"/>
    </row>
    <row r="107" spans="1:6" x14ac:dyDescent="0.2">
      <c r="A107" s="28">
        <v>2002.02</v>
      </c>
      <c r="B107" s="61">
        <v>429.47423920973478</v>
      </c>
      <c r="C107" s="62">
        <v>432.03199718267257</v>
      </c>
      <c r="E107" s="34"/>
      <c r="F107" s="33"/>
    </row>
    <row r="108" spans="1:6" x14ac:dyDescent="0.2">
      <c r="A108" s="28">
        <v>2002.03</v>
      </c>
      <c r="B108" s="61">
        <v>426.31983803175842</v>
      </c>
      <c r="C108" s="62">
        <v>427.88864078144894</v>
      </c>
      <c r="E108" s="34"/>
      <c r="F108" s="33"/>
    </row>
    <row r="109" spans="1:6" x14ac:dyDescent="0.2">
      <c r="A109" s="28">
        <v>2002.04</v>
      </c>
      <c r="B109" s="61">
        <v>427.28874137801068</v>
      </c>
      <c r="C109" s="62">
        <v>425.47125491082772</v>
      </c>
      <c r="E109" s="34"/>
      <c r="F109" s="33"/>
    </row>
    <row r="110" spans="1:6" x14ac:dyDescent="0.2">
      <c r="A110" s="28">
        <v>2002.05</v>
      </c>
      <c r="B110" s="61">
        <v>427.98042477294422</v>
      </c>
      <c r="C110" s="62">
        <v>426.26253562019008</v>
      </c>
      <c r="E110" s="34"/>
      <c r="F110" s="33"/>
    </row>
    <row r="111" spans="1:6" x14ac:dyDescent="0.2">
      <c r="A111" s="28">
        <v>2002.06</v>
      </c>
      <c r="B111" s="61">
        <v>425.49485759886147</v>
      </c>
      <c r="C111" s="62">
        <v>426.04863763068778</v>
      </c>
      <c r="E111" s="34"/>
      <c r="F111" s="33"/>
    </row>
    <row r="112" spans="1:6" x14ac:dyDescent="0.2">
      <c r="A112" s="28">
        <v>2002.07</v>
      </c>
      <c r="B112" s="61">
        <v>423.6674491211412</v>
      </c>
      <c r="C112" s="62">
        <v>423.9561670580639</v>
      </c>
      <c r="E112" s="34"/>
      <c r="F112" s="33"/>
    </row>
    <row r="113" spans="1:6" x14ac:dyDescent="0.2">
      <c r="A113" s="28">
        <v>2002.08</v>
      </c>
      <c r="B113" s="61">
        <v>421.38897405729199</v>
      </c>
      <c r="C113" s="62">
        <v>424.28174208224203</v>
      </c>
      <c r="E113" s="34"/>
      <c r="F113" s="33"/>
    </row>
    <row r="114" spans="1:6" x14ac:dyDescent="0.2">
      <c r="A114" s="28">
        <v>2002.09</v>
      </c>
      <c r="B114" s="61">
        <v>420.61683977301476</v>
      </c>
      <c r="C114" s="62">
        <v>422.93746166089142</v>
      </c>
      <c r="E114" s="34"/>
      <c r="F114" s="33"/>
    </row>
    <row r="115" spans="1:6" x14ac:dyDescent="0.2">
      <c r="A115" s="28">
        <v>2002.1</v>
      </c>
      <c r="B115" s="61">
        <v>423.62349388766393</v>
      </c>
      <c r="C115" s="62">
        <v>425.41191004166228</v>
      </c>
      <c r="E115" s="34"/>
      <c r="F115" s="33"/>
    </row>
    <row r="116" spans="1:6" x14ac:dyDescent="0.2">
      <c r="A116" s="28">
        <v>2002.11</v>
      </c>
      <c r="B116" s="61">
        <v>427.52859443251714</v>
      </c>
      <c r="C116" s="62">
        <v>424.97026613475941</v>
      </c>
      <c r="E116" s="34"/>
      <c r="F116" s="33"/>
    </row>
    <row r="117" spans="1:6" x14ac:dyDescent="0.2">
      <c r="A117" s="28">
        <v>2002.12</v>
      </c>
      <c r="B117" s="61">
        <v>426.8904217396871</v>
      </c>
      <c r="C117" s="62">
        <v>425.13376785200421</v>
      </c>
      <c r="E117" s="34"/>
      <c r="F117" s="33"/>
    </row>
    <row r="118" spans="1:6" x14ac:dyDescent="0.2">
      <c r="A118" s="28">
        <v>2003.01</v>
      </c>
      <c r="B118" s="61">
        <v>432.14670931447961</v>
      </c>
      <c r="C118" s="62">
        <v>426.58952348989601</v>
      </c>
      <c r="E118" s="34"/>
      <c r="F118" s="33"/>
    </row>
    <row r="119" spans="1:6" x14ac:dyDescent="0.2">
      <c r="A119" s="28">
        <v>2003.02</v>
      </c>
      <c r="B119" s="61">
        <v>423.87960201906981</v>
      </c>
      <c r="C119" s="62">
        <v>424.92251233933581</v>
      </c>
      <c r="E119" s="34"/>
      <c r="F119" s="33"/>
    </row>
    <row r="120" spans="1:6" x14ac:dyDescent="0.2">
      <c r="A120" s="28">
        <v>2003.03</v>
      </c>
      <c r="B120" s="61">
        <v>424.57565524691751</v>
      </c>
      <c r="C120" s="62">
        <v>426.76144710149703</v>
      </c>
      <c r="E120" s="34"/>
      <c r="F120" s="33"/>
    </row>
    <row r="121" spans="1:6" x14ac:dyDescent="0.2">
      <c r="A121" s="28">
        <v>2003.04</v>
      </c>
      <c r="B121" s="61">
        <v>430.77659507169034</v>
      </c>
      <c r="C121" s="62">
        <v>429.57251434963626</v>
      </c>
      <c r="E121" s="34"/>
      <c r="F121" s="33"/>
    </row>
    <row r="122" spans="1:6" x14ac:dyDescent="0.2">
      <c r="A122" s="28">
        <v>2003.05</v>
      </c>
      <c r="B122" s="61">
        <v>433.78098230719229</v>
      </c>
      <c r="C122" s="62">
        <v>432.41831079678263</v>
      </c>
      <c r="E122" s="34"/>
      <c r="F122" s="33"/>
    </row>
    <row r="123" spans="1:6" x14ac:dyDescent="0.2">
      <c r="A123" s="28">
        <v>2003.06</v>
      </c>
      <c r="B123" s="61">
        <v>433.29390235212719</v>
      </c>
      <c r="C123" s="62">
        <v>433.91550682387071</v>
      </c>
      <c r="E123" s="34"/>
      <c r="F123" s="33"/>
    </row>
    <row r="124" spans="1:6" x14ac:dyDescent="0.2">
      <c r="A124" s="28">
        <v>2003.07</v>
      </c>
      <c r="B124" s="61">
        <v>439.30504833902864</v>
      </c>
      <c r="C124" s="62">
        <v>439.01722942379979</v>
      </c>
      <c r="E124" s="34"/>
      <c r="F124" s="33"/>
    </row>
    <row r="125" spans="1:6" x14ac:dyDescent="0.2">
      <c r="A125" s="28">
        <v>2003.08</v>
      </c>
      <c r="B125" s="61">
        <v>437.25864176930372</v>
      </c>
      <c r="C125" s="62">
        <v>441.03681607064408</v>
      </c>
      <c r="E125" s="34"/>
      <c r="F125" s="33"/>
    </row>
    <row r="126" spans="1:6" x14ac:dyDescent="0.2">
      <c r="A126" s="28">
        <v>2003.09</v>
      </c>
      <c r="B126" s="61">
        <v>440.76569384353434</v>
      </c>
      <c r="C126" s="62">
        <v>443.52791316775858</v>
      </c>
      <c r="E126" s="34"/>
      <c r="F126" s="33"/>
    </row>
    <row r="127" spans="1:6" x14ac:dyDescent="0.2">
      <c r="A127" s="28">
        <v>2003.1</v>
      </c>
      <c r="B127" s="61">
        <v>447.46370360793776</v>
      </c>
      <c r="C127" s="62">
        <v>446.64179399378213</v>
      </c>
      <c r="E127" s="34"/>
      <c r="F127" s="33"/>
    </row>
    <row r="128" spans="1:6" x14ac:dyDescent="0.2">
      <c r="A128" s="28">
        <v>2003.11</v>
      </c>
      <c r="B128" s="61">
        <v>448.79512368858673</v>
      </c>
      <c r="C128" s="62">
        <v>450.71557336815806</v>
      </c>
      <c r="E128" s="34"/>
      <c r="F128" s="33"/>
    </row>
    <row r="129" spans="1:6" x14ac:dyDescent="0.2">
      <c r="A129" s="28">
        <v>2003.12</v>
      </c>
      <c r="B129" s="61">
        <v>455.25798407116361</v>
      </c>
      <c r="C129" s="62">
        <v>452.58010721772808</v>
      </c>
      <c r="E129" s="34"/>
      <c r="F129" s="33"/>
    </row>
    <row r="130" spans="1:6" x14ac:dyDescent="0.2">
      <c r="A130" s="28">
        <v>2004.01</v>
      </c>
      <c r="B130" s="61">
        <v>461.9563189224433</v>
      </c>
      <c r="C130" s="62">
        <v>455.43634973504624</v>
      </c>
      <c r="E130" s="34"/>
      <c r="F130" s="33"/>
    </row>
    <row r="131" spans="1:6" x14ac:dyDescent="0.2">
      <c r="A131" s="28">
        <v>2004.02</v>
      </c>
      <c r="B131" s="61">
        <v>460.26948543253047</v>
      </c>
      <c r="C131" s="62">
        <v>460.65001773623425</v>
      </c>
      <c r="E131" s="34"/>
      <c r="F131" s="33"/>
    </row>
    <row r="132" spans="1:6" x14ac:dyDescent="0.2">
      <c r="A132" s="28">
        <v>2004.03</v>
      </c>
      <c r="B132" s="61">
        <v>462.01061597205427</v>
      </c>
      <c r="C132" s="62">
        <v>465.12677200326499</v>
      </c>
      <c r="E132" s="34"/>
      <c r="F132" s="33"/>
    </row>
    <row r="133" spans="1:6" x14ac:dyDescent="0.2">
      <c r="A133" s="28">
        <v>2004.04</v>
      </c>
      <c r="B133" s="61">
        <v>471.07571653532943</v>
      </c>
      <c r="C133" s="62">
        <v>469.99577625055616</v>
      </c>
      <c r="E133" s="34"/>
      <c r="F133" s="33"/>
    </row>
    <row r="134" spans="1:6" x14ac:dyDescent="0.2">
      <c r="A134" s="28">
        <v>2004.05</v>
      </c>
      <c r="B134" s="61">
        <v>474.39196273814383</v>
      </c>
      <c r="C134" s="62">
        <v>473.23690053072647</v>
      </c>
      <c r="E134" s="34"/>
      <c r="F134" s="33"/>
    </row>
    <row r="135" spans="1:6" x14ac:dyDescent="0.2">
      <c r="A135" s="28">
        <v>2004.06</v>
      </c>
      <c r="B135" s="61">
        <v>478.07346019559469</v>
      </c>
      <c r="C135" s="62">
        <v>479.10470970710514</v>
      </c>
      <c r="E135" s="34"/>
      <c r="F135" s="33"/>
    </row>
    <row r="136" spans="1:6" x14ac:dyDescent="0.2">
      <c r="A136" s="28">
        <v>2004.07</v>
      </c>
      <c r="B136" s="61">
        <v>479.24610133527131</v>
      </c>
      <c r="C136" s="62">
        <v>482.0296646384852</v>
      </c>
      <c r="E136" s="34"/>
      <c r="F136" s="33"/>
    </row>
    <row r="137" spans="1:6" x14ac:dyDescent="0.2">
      <c r="A137" s="28">
        <v>2004.08</v>
      </c>
      <c r="B137" s="61">
        <v>484.95545825267288</v>
      </c>
      <c r="C137" s="62">
        <v>484.20001489878439</v>
      </c>
      <c r="E137" s="34"/>
      <c r="F137" s="33"/>
    </row>
    <row r="138" spans="1:6" x14ac:dyDescent="0.2">
      <c r="A138" s="28">
        <v>2004.09</v>
      </c>
      <c r="B138" s="61">
        <v>485.98172772679715</v>
      </c>
      <c r="C138" s="62">
        <v>488.90466511340293</v>
      </c>
      <c r="E138" s="34"/>
      <c r="F138" s="33"/>
    </row>
    <row r="139" spans="1:6" x14ac:dyDescent="0.2">
      <c r="A139" s="28">
        <v>2004.1</v>
      </c>
      <c r="B139" s="61">
        <v>489.29126829238965</v>
      </c>
      <c r="C139" s="62">
        <v>490.72786616440317</v>
      </c>
      <c r="E139" s="34"/>
      <c r="F139" s="33"/>
    </row>
    <row r="140" spans="1:6" x14ac:dyDescent="0.2">
      <c r="A140" s="28">
        <v>2004.11</v>
      </c>
      <c r="B140" s="61">
        <v>495.6854490389847</v>
      </c>
      <c r="C140" s="62">
        <v>494.77523537642173</v>
      </c>
      <c r="E140" s="34"/>
      <c r="F140" s="33"/>
    </row>
    <row r="141" spans="1:6" x14ac:dyDescent="0.2">
      <c r="A141" s="28">
        <v>2004.12</v>
      </c>
      <c r="B141" s="61">
        <v>503.02090140446393</v>
      </c>
      <c r="C141" s="62">
        <v>499.67070685014266</v>
      </c>
      <c r="E141" s="34"/>
      <c r="F141" s="33"/>
    </row>
    <row r="142" spans="1:6" x14ac:dyDescent="0.2">
      <c r="A142" s="28">
        <v>2005.01</v>
      </c>
      <c r="B142" s="61">
        <v>510.4305577402846</v>
      </c>
      <c r="C142" s="62">
        <v>502.86515966725341</v>
      </c>
      <c r="E142" s="34"/>
      <c r="F142" s="33"/>
    </row>
    <row r="143" spans="1:6" x14ac:dyDescent="0.2">
      <c r="A143" s="28">
        <v>2005.02</v>
      </c>
      <c r="B143" s="61">
        <v>504.83568125212292</v>
      </c>
      <c r="C143" s="62">
        <v>505.62267938790296</v>
      </c>
      <c r="E143" s="34"/>
      <c r="F143" s="33"/>
    </row>
    <row r="144" spans="1:6" x14ac:dyDescent="0.2">
      <c r="A144" s="28">
        <v>2005.03</v>
      </c>
      <c r="B144" s="61">
        <v>504.64073240021418</v>
      </c>
      <c r="C144" s="62">
        <v>508.28924117434656</v>
      </c>
      <c r="E144" s="34"/>
      <c r="F144" s="33"/>
    </row>
    <row r="145" spans="1:6" x14ac:dyDescent="0.2">
      <c r="A145" s="28">
        <v>2005.04</v>
      </c>
      <c r="B145" s="61">
        <v>513.48669090152384</v>
      </c>
      <c r="C145" s="62">
        <v>512.59484814509051</v>
      </c>
      <c r="E145" s="34"/>
      <c r="F145" s="33"/>
    </row>
    <row r="146" spans="1:6" x14ac:dyDescent="0.2">
      <c r="A146" s="28">
        <v>2005.05</v>
      </c>
      <c r="B146" s="61">
        <v>516.01815065538858</v>
      </c>
      <c r="C146" s="62">
        <v>515.29962626445911</v>
      </c>
      <c r="E146" s="34"/>
      <c r="F146" s="33"/>
    </row>
    <row r="147" spans="1:6" x14ac:dyDescent="0.2">
      <c r="A147" s="28">
        <v>2005.06</v>
      </c>
      <c r="B147" s="61">
        <v>517.6813836989727</v>
      </c>
      <c r="C147" s="62">
        <v>517.25640024407016</v>
      </c>
      <c r="E147" s="34"/>
      <c r="F147" s="33"/>
    </row>
    <row r="148" spans="1:6" x14ac:dyDescent="0.2">
      <c r="A148" s="28">
        <v>2005.07</v>
      </c>
      <c r="B148" s="61">
        <v>516.9625115311203</v>
      </c>
      <c r="C148" s="62">
        <v>520.13804142563993</v>
      </c>
      <c r="E148" s="34"/>
      <c r="F148" s="33"/>
    </row>
    <row r="149" spans="1:6" x14ac:dyDescent="0.2">
      <c r="A149" s="28">
        <v>2005.08</v>
      </c>
      <c r="B149" s="61">
        <v>519.1257831693714</v>
      </c>
      <c r="C149" s="62">
        <v>523.15245256824494</v>
      </c>
      <c r="E149" s="34"/>
      <c r="F149" s="33"/>
    </row>
    <row r="150" spans="1:6" x14ac:dyDescent="0.2">
      <c r="A150" s="28">
        <v>2005.09</v>
      </c>
      <c r="B150" s="61">
        <v>524.83047687583189</v>
      </c>
      <c r="C150" s="62">
        <v>527.84367708496347</v>
      </c>
      <c r="E150" s="34"/>
      <c r="F150" s="33"/>
    </row>
    <row r="151" spans="1:6" x14ac:dyDescent="0.2">
      <c r="A151" s="28">
        <v>2005.1</v>
      </c>
      <c r="B151" s="61">
        <v>530.3532523569188</v>
      </c>
      <c r="C151" s="62">
        <v>531.55108313900644</v>
      </c>
      <c r="E151" s="34"/>
      <c r="F151" s="33"/>
    </row>
    <row r="152" spans="1:6" x14ac:dyDescent="0.2">
      <c r="A152" s="28">
        <v>2005.11</v>
      </c>
      <c r="B152" s="61">
        <v>536.13262279010758</v>
      </c>
      <c r="C152" s="62">
        <v>534.91091769658635</v>
      </c>
      <c r="E152" s="34"/>
      <c r="F152" s="33"/>
    </row>
    <row r="153" spans="1:6" x14ac:dyDescent="0.2">
      <c r="A153" s="28">
        <v>2005.12</v>
      </c>
      <c r="B153" s="61">
        <v>542.47769870656509</v>
      </c>
      <c r="C153" s="62">
        <v>538.58130264942292</v>
      </c>
      <c r="E153" s="34"/>
      <c r="F153" s="33"/>
    </row>
    <row r="154" spans="1:6" x14ac:dyDescent="0.2">
      <c r="A154" s="28">
        <v>2006.01</v>
      </c>
      <c r="B154" s="61">
        <v>551.68874519057431</v>
      </c>
      <c r="C154" s="62">
        <v>542.64373045495643</v>
      </c>
      <c r="E154" s="34"/>
      <c r="F154" s="33"/>
    </row>
    <row r="155" spans="1:6" x14ac:dyDescent="0.2">
      <c r="A155" s="28">
        <v>2006.02</v>
      </c>
      <c r="B155" s="61">
        <v>546.38642299209937</v>
      </c>
      <c r="C155" s="62">
        <v>544.07897565826863</v>
      </c>
      <c r="E155" s="34"/>
      <c r="F155" s="33"/>
    </row>
    <row r="156" spans="1:6" x14ac:dyDescent="0.2">
      <c r="A156" s="28">
        <v>2006.03</v>
      </c>
      <c r="B156" s="61">
        <v>543.20880355833549</v>
      </c>
      <c r="C156" s="62">
        <v>547.18061344810644</v>
      </c>
      <c r="E156" s="34"/>
      <c r="F156" s="33"/>
    </row>
    <row r="157" spans="1:6" x14ac:dyDescent="0.2">
      <c r="A157" s="28">
        <v>2006.04</v>
      </c>
      <c r="B157" s="61">
        <v>551.27201696235215</v>
      </c>
      <c r="C157" s="62">
        <v>550.74898589611519</v>
      </c>
      <c r="E157" s="34"/>
      <c r="F157" s="33"/>
    </row>
    <row r="158" spans="1:6" x14ac:dyDescent="0.2">
      <c r="A158" s="28">
        <v>2006.05</v>
      </c>
      <c r="B158" s="61">
        <v>552.40007108191037</v>
      </c>
      <c r="C158" s="62">
        <v>552.15932941093831</v>
      </c>
      <c r="E158" s="34"/>
      <c r="F158" s="33"/>
    </row>
    <row r="159" spans="1:6" x14ac:dyDescent="0.2">
      <c r="A159" s="28">
        <v>2006.06</v>
      </c>
      <c r="B159" s="61">
        <v>553.55539349941489</v>
      </c>
      <c r="C159" s="62">
        <v>555.39642740553415</v>
      </c>
      <c r="E159" s="34"/>
      <c r="F159" s="33"/>
    </row>
    <row r="160" spans="1:6" x14ac:dyDescent="0.2">
      <c r="A160" s="28">
        <v>2006.07</v>
      </c>
      <c r="B160" s="61">
        <v>557.56748820434495</v>
      </c>
      <c r="C160" s="62">
        <v>557.9435153624662</v>
      </c>
      <c r="E160" s="34"/>
      <c r="F160" s="33"/>
    </row>
    <row r="161" spans="1:6" x14ac:dyDescent="0.2">
      <c r="A161" s="28">
        <v>2006.08</v>
      </c>
      <c r="B161" s="61">
        <v>555.88346159512162</v>
      </c>
      <c r="C161" s="62">
        <v>559.6828005183944</v>
      </c>
      <c r="E161" s="34"/>
      <c r="F161" s="33"/>
    </row>
    <row r="162" spans="1:6" x14ac:dyDescent="0.2">
      <c r="A162" s="28">
        <v>2006.09</v>
      </c>
      <c r="B162" s="61">
        <v>558.16199998671289</v>
      </c>
      <c r="C162" s="62">
        <v>560.98634191104975</v>
      </c>
      <c r="E162" s="34"/>
      <c r="F162" s="33"/>
    </row>
    <row r="163" spans="1:6" x14ac:dyDescent="0.2">
      <c r="A163" s="28">
        <v>2006.1</v>
      </c>
      <c r="B163" s="61">
        <v>562.590588482464</v>
      </c>
      <c r="C163" s="62">
        <v>563.27079550968597</v>
      </c>
      <c r="E163" s="34"/>
      <c r="F163" s="33"/>
    </row>
    <row r="164" spans="1:6" x14ac:dyDescent="0.2">
      <c r="A164" s="28">
        <v>2006.11</v>
      </c>
      <c r="B164" s="61">
        <v>567.29280713284675</v>
      </c>
      <c r="C164" s="62">
        <v>565.60698981127507</v>
      </c>
      <c r="E164" s="34"/>
      <c r="F164" s="33"/>
    </row>
    <row r="165" spans="1:6" x14ac:dyDescent="0.2">
      <c r="A165" s="28">
        <v>2006.12</v>
      </c>
      <c r="B165" s="61">
        <v>572.61677684352253</v>
      </c>
      <c r="C165" s="62">
        <v>568.34518045088248</v>
      </c>
      <c r="E165" s="34"/>
      <c r="F165" s="33"/>
    </row>
    <row r="166" spans="1:6" x14ac:dyDescent="0.2">
      <c r="A166" s="28">
        <v>2007.01</v>
      </c>
      <c r="B166" s="61">
        <v>580.39778828668182</v>
      </c>
      <c r="C166" s="62">
        <v>570.98662384951626</v>
      </c>
      <c r="E166" s="34"/>
      <c r="F166" s="33"/>
    </row>
    <row r="167" spans="1:6" x14ac:dyDescent="0.2">
      <c r="A167" s="28">
        <v>2007.02</v>
      </c>
      <c r="B167" s="61">
        <v>574.63584960018045</v>
      </c>
      <c r="C167" s="62">
        <v>575.57141721198491</v>
      </c>
      <c r="E167" s="34"/>
      <c r="F167" s="33"/>
    </row>
    <row r="168" spans="1:6" x14ac:dyDescent="0.2">
      <c r="A168" s="28">
        <v>2007.03</v>
      </c>
      <c r="B168" s="61">
        <v>573.31077134931729</v>
      </c>
      <c r="C168" s="62">
        <v>577.50319254733813</v>
      </c>
      <c r="E168" s="34"/>
      <c r="F168" s="33"/>
    </row>
    <row r="169" spans="1:6" x14ac:dyDescent="0.2">
      <c r="A169" s="28">
        <v>2007.04</v>
      </c>
      <c r="B169" s="61">
        <v>572.43536242633877</v>
      </c>
      <c r="C169" s="62">
        <v>580.30727461304969</v>
      </c>
      <c r="E169" s="34"/>
      <c r="F169" s="33"/>
    </row>
    <row r="170" spans="1:6" x14ac:dyDescent="0.2">
      <c r="A170" s="28">
        <v>2007.05</v>
      </c>
      <c r="B170" s="61">
        <v>583.44463646375652</v>
      </c>
      <c r="C170" s="62">
        <v>583.6672393492247</v>
      </c>
      <c r="E170" s="34"/>
      <c r="F170" s="33"/>
    </row>
    <row r="171" spans="1:6" x14ac:dyDescent="0.2">
      <c r="A171" s="28">
        <v>2007.06</v>
      </c>
      <c r="B171" s="61">
        <v>582.42429099600463</v>
      </c>
      <c r="C171" s="62">
        <v>584.49667796625204</v>
      </c>
      <c r="E171" s="34"/>
      <c r="F171" s="33"/>
    </row>
    <row r="172" spans="1:6" x14ac:dyDescent="0.2">
      <c r="A172" s="28">
        <v>2007.07</v>
      </c>
      <c r="B172" s="61">
        <v>586.76068631119881</v>
      </c>
      <c r="C172" s="62">
        <v>587.55048785415238</v>
      </c>
      <c r="E172" s="34"/>
      <c r="F172" s="33"/>
    </row>
    <row r="173" spans="1:6" x14ac:dyDescent="0.2">
      <c r="A173" s="28">
        <v>2007.08</v>
      </c>
      <c r="B173" s="61">
        <v>588.20128927807525</v>
      </c>
      <c r="C173" s="62">
        <v>591.56882848637031</v>
      </c>
      <c r="E173" s="34"/>
      <c r="F173" s="33"/>
    </row>
    <row r="174" spans="1:6" x14ac:dyDescent="0.2">
      <c r="A174" s="28">
        <v>2007.09</v>
      </c>
      <c r="B174" s="61">
        <v>590.95795843618816</v>
      </c>
      <c r="C174" s="62">
        <v>593.23184761992286</v>
      </c>
      <c r="E174" s="34"/>
      <c r="F174" s="33"/>
    </row>
    <row r="175" spans="1:6" x14ac:dyDescent="0.2">
      <c r="A175" s="28">
        <v>2007.1</v>
      </c>
      <c r="B175" s="61">
        <v>600.55330526155922</v>
      </c>
      <c r="C175" s="62">
        <v>596.38925336900331</v>
      </c>
      <c r="E175" s="34"/>
      <c r="F175" s="33"/>
    </row>
    <row r="176" spans="1:6" x14ac:dyDescent="0.2">
      <c r="A176" s="28">
        <v>2007.11</v>
      </c>
      <c r="B176" s="61">
        <v>601.11947053389747</v>
      </c>
      <c r="C176" s="62">
        <v>599.11584767511033</v>
      </c>
      <c r="E176" s="34"/>
      <c r="F176" s="33"/>
    </row>
    <row r="177" spans="1:6" x14ac:dyDescent="0.2">
      <c r="A177" s="28">
        <v>2007.12</v>
      </c>
      <c r="B177" s="61">
        <v>605.60916344171073</v>
      </c>
      <c r="C177" s="62">
        <v>601.09167954501527</v>
      </c>
      <c r="E177" s="35"/>
      <c r="F177" s="33"/>
    </row>
    <row r="178" spans="1:6" x14ac:dyDescent="0.2">
      <c r="A178" s="28">
        <f t="shared" ref="A178:A241" si="0">A166+1</f>
        <v>2008.01</v>
      </c>
      <c r="B178" s="61">
        <v>613.79191133732456</v>
      </c>
      <c r="C178" s="62">
        <v>604.62338392330014</v>
      </c>
      <c r="E178" s="34"/>
      <c r="F178" s="33"/>
    </row>
    <row r="179" spans="1:6" x14ac:dyDescent="0.2">
      <c r="A179" s="28">
        <f t="shared" si="0"/>
        <v>2008.02</v>
      </c>
      <c r="B179" s="61">
        <v>602.86288670667955</v>
      </c>
      <c r="C179" s="62">
        <v>605.83468595146962</v>
      </c>
      <c r="E179" s="34"/>
      <c r="F179" s="33"/>
    </row>
    <row r="180" spans="1:6" x14ac:dyDescent="0.2">
      <c r="A180" s="28">
        <f t="shared" si="0"/>
        <v>2008.03</v>
      </c>
      <c r="B180" s="61">
        <v>603.15157346994908</v>
      </c>
      <c r="C180" s="62">
        <v>609.68168827514842</v>
      </c>
      <c r="E180" s="34"/>
      <c r="F180" s="33"/>
    </row>
    <row r="181" spans="1:6" x14ac:dyDescent="0.2">
      <c r="A181" s="28">
        <f t="shared" si="0"/>
        <v>2008.04</v>
      </c>
      <c r="B181" s="61">
        <v>610.77520000000004</v>
      </c>
      <c r="C181" s="62">
        <v>609.00501916123358</v>
      </c>
      <c r="E181" s="34"/>
      <c r="F181" s="33"/>
    </row>
    <row r="182" spans="1:6" x14ac:dyDescent="0.2">
      <c r="A182" s="28">
        <f t="shared" si="0"/>
        <v>2008.05</v>
      </c>
      <c r="B182" s="61">
        <v>613.08993333333308</v>
      </c>
      <c r="C182" s="62">
        <v>612.41366560570964</v>
      </c>
      <c r="E182" s="34"/>
      <c r="F182" s="33"/>
    </row>
    <row r="183" spans="1:6" x14ac:dyDescent="0.2">
      <c r="A183" s="28">
        <f t="shared" si="0"/>
        <v>2008.06</v>
      </c>
      <c r="B183" s="61">
        <v>609.35456666666698</v>
      </c>
      <c r="C183" s="62">
        <v>616.30878612774723</v>
      </c>
      <c r="E183" s="34"/>
      <c r="F183" s="33"/>
    </row>
    <row r="184" spans="1:6" x14ac:dyDescent="0.2">
      <c r="A184" s="28">
        <f t="shared" si="0"/>
        <v>2008.07</v>
      </c>
      <c r="B184" s="61">
        <v>618.57799999999997</v>
      </c>
      <c r="C184" s="62">
        <v>619.55312311342425</v>
      </c>
      <c r="E184" s="34"/>
      <c r="F184" s="33"/>
    </row>
    <row r="185" spans="1:6" x14ac:dyDescent="0.2">
      <c r="A185" s="28">
        <f t="shared" si="0"/>
        <v>2008.08</v>
      </c>
      <c r="B185" s="61">
        <v>619.37400000000002</v>
      </c>
      <c r="C185" s="62">
        <v>622.01672180356445</v>
      </c>
      <c r="E185" s="34"/>
      <c r="F185" s="33"/>
    </row>
    <row r="186" spans="1:6" x14ac:dyDescent="0.2">
      <c r="A186" s="28">
        <f t="shared" si="0"/>
        <v>2008.09</v>
      </c>
      <c r="B186" s="61">
        <v>621.65300000000002</v>
      </c>
      <c r="C186" s="62">
        <v>623.78990180362166</v>
      </c>
      <c r="E186" s="34"/>
      <c r="F186" s="33"/>
    </row>
    <row r="187" spans="1:6" x14ac:dyDescent="0.2">
      <c r="A187" s="28">
        <f t="shared" si="0"/>
        <v>2008.1</v>
      </c>
      <c r="B187" s="61">
        <v>623.93400000000008</v>
      </c>
      <c r="C187" s="62">
        <v>623.6268606994812</v>
      </c>
      <c r="E187" s="34"/>
      <c r="F187" s="33"/>
    </row>
    <row r="188" spans="1:6" x14ac:dyDescent="0.2">
      <c r="A188" s="28">
        <f t="shared" si="0"/>
        <v>2008.11</v>
      </c>
      <c r="B188" s="61">
        <v>627.83899999999994</v>
      </c>
      <c r="C188" s="62">
        <v>622.7269909302621</v>
      </c>
      <c r="E188" s="34"/>
      <c r="F188" s="33"/>
    </row>
    <row r="189" spans="1:6" x14ac:dyDescent="0.2">
      <c r="A189" s="28">
        <f t="shared" si="0"/>
        <v>2008.12</v>
      </c>
      <c r="B189" s="61">
        <v>625.60900000000004</v>
      </c>
      <c r="C189" s="62">
        <v>621.19208326245223</v>
      </c>
      <c r="E189" s="35"/>
      <c r="F189" s="33"/>
    </row>
    <row r="190" spans="1:6" x14ac:dyDescent="0.2">
      <c r="A190" s="28">
        <f t="shared" si="0"/>
        <v>2009.01</v>
      </c>
      <c r="B190" s="61">
        <v>627.246033333333</v>
      </c>
      <c r="C190" s="62">
        <v>618.6762959774328</v>
      </c>
      <c r="E190" s="34"/>
      <c r="F190" s="33"/>
    </row>
    <row r="191" spans="1:6" x14ac:dyDescent="0.2">
      <c r="A191" s="28">
        <f t="shared" si="0"/>
        <v>2009.02</v>
      </c>
      <c r="B191" s="61">
        <v>614.26330000000007</v>
      </c>
      <c r="C191" s="62">
        <v>616.36696597526145</v>
      </c>
      <c r="E191" s="34"/>
      <c r="F191" s="33"/>
    </row>
    <row r="192" spans="1:6" x14ac:dyDescent="0.2">
      <c r="A192" s="28">
        <f t="shared" si="0"/>
        <v>2009.03</v>
      </c>
      <c r="B192" s="61">
        <v>609.72329999999999</v>
      </c>
      <c r="C192" s="62">
        <v>614.19327876974376</v>
      </c>
      <c r="E192" s="34"/>
      <c r="F192" s="33"/>
    </row>
    <row r="193" spans="1:6" x14ac:dyDescent="0.2">
      <c r="A193" s="28">
        <f t="shared" si="0"/>
        <v>2009.04</v>
      </c>
      <c r="B193" s="61">
        <v>611.96903333333307</v>
      </c>
      <c r="C193" s="62">
        <v>612.83871760288639</v>
      </c>
      <c r="E193" s="34"/>
      <c r="F193" s="33"/>
    </row>
    <row r="194" spans="1:6" x14ac:dyDescent="0.2">
      <c r="A194" s="28">
        <f t="shared" si="0"/>
        <v>2009.05</v>
      </c>
      <c r="B194" s="61">
        <v>609.703033333333</v>
      </c>
      <c r="C194" s="62">
        <v>610.16988957213459</v>
      </c>
      <c r="E194" s="34"/>
      <c r="F194" s="33"/>
    </row>
    <row r="195" spans="1:6" x14ac:dyDescent="0.2">
      <c r="A195" s="28">
        <f t="shared" si="0"/>
        <v>2009.06</v>
      </c>
      <c r="B195" s="61">
        <v>607.48066666666693</v>
      </c>
      <c r="C195" s="62">
        <v>609.15951797470836</v>
      </c>
      <c r="E195" s="34"/>
      <c r="F195" s="33"/>
    </row>
    <row r="196" spans="1:6" x14ac:dyDescent="0.2">
      <c r="A196" s="28">
        <f t="shared" si="0"/>
        <v>2009.07</v>
      </c>
      <c r="B196" s="61">
        <v>607.37803333333295</v>
      </c>
      <c r="C196" s="62">
        <v>608.32474622995983</v>
      </c>
      <c r="E196" s="34"/>
      <c r="F196" s="33"/>
    </row>
    <row r="197" spans="1:6" x14ac:dyDescent="0.2">
      <c r="A197" s="28">
        <f t="shared" si="0"/>
        <v>2009.08</v>
      </c>
      <c r="B197" s="61">
        <v>605.72466666666696</v>
      </c>
      <c r="C197" s="62">
        <v>608.07274610946138</v>
      </c>
      <c r="E197" s="34"/>
      <c r="F197" s="33"/>
    </row>
    <row r="198" spans="1:6" x14ac:dyDescent="0.2">
      <c r="A198" s="28">
        <f t="shared" si="0"/>
        <v>2009.09</v>
      </c>
      <c r="B198" s="61">
        <v>604.75626666666699</v>
      </c>
      <c r="C198" s="62">
        <v>607.54294110428179</v>
      </c>
      <c r="E198" s="34"/>
      <c r="F198" s="33"/>
    </row>
    <row r="199" spans="1:6" x14ac:dyDescent="0.2">
      <c r="A199" s="28">
        <f t="shared" si="0"/>
        <v>2009.1</v>
      </c>
      <c r="B199" s="61">
        <v>611.83986666666704</v>
      </c>
      <c r="C199" s="62">
        <v>611.59470384309213</v>
      </c>
      <c r="E199" s="34"/>
      <c r="F199" s="33"/>
    </row>
    <row r="200" spans="1:6" x14ac:dyDescent="0.2">
      <c r="A200" s="28">
        <f t="shared" si="0"/>
        <v>2009.11</v>
      </c>
      <c r="B200" s="61">
        <v>614.53166666666698</v>
      </c>
      <c r="C200" s="62">
        <v>612.00378339530391</v>
      </c>
      <c r="E200" s="34"/>
      <c r="F200" s="33"/>
    </row>
    <row r="201" spans="1:6" x14ac:dyDescent="0.2">
      <c r="A201" s="28">
        <f t="shared" si="0"/>
        <v>2009.12</v>
      </c>
      <c r="B201" s="61">
        <v>615.63583333333304</v>
      </c>
      <c r="C201" s="62">
        <v>611.54874539289096</v>
      </c>
      <c r="E201" s="35"/>
      <c r="F201" s="33"/>
    </row>
    <row r="202" spans="1:6" x14ac:dyDescent="0.2">
      <c r="A202" s="28">
        <f t="shared" si="0"/>
        <v>2010.01</v>
      </c>
      <c r="B202" s="61">
        <v>619.82063333333303</v>
      </c>
      <c r="C202" s="62">
        <v>612.19441899997537</v>
      </c>
      <c r="E202" s="34"/>
      <c r="F202" s="33"/>
    </row>
    <row r="203" spans="1:6" x14ac:dyDescent="0.2">
      <c r="A203" s="28">
        <f t="shared" si="0"/>
        <v>2010.02</v>
      </c>
      <c r="B203" s="61">
        <v>610.08463333333304</v>
      </c>
      <c r="C203" s="62">
        <v>613.30529781334371</v>
      </c>
      <c r="E203" s="34"/>
      <c r="F203" s="33"/>
    </row>
    <row r="204" spans="1:6" x14ac:dyDescent="0.2">
      <c r="A204" s="28">
        <f t="shared" si="0"/>
        <v>2010.03</v>
      </c>
      <c r="B204" s="61">
        <v>611.096133333333</v>
      </c>
      <c r="C204" s="62">
        <v>615.94663349429561</v>
      </c>
      <c r="E204" s="34"/>
      <c r="F204" s="33"/>
    </row>
    <row r="205" spans="1:6" x14ac:dyDescent="0.2">
      <c r="A205" s="28">
        <f t="shared" si="0"/>
        <v>2010.04</v>
      </c>
      <c r="B205" s="61">
        <v>619.00329999999997</v>
      </c>
      <c r="C205" s="62">
        <v>618.87015085456233</v>
      </c>
      <c r="E205" s="34"/>
      <c r="F205" s="33"/>
    </row>
    <row r="206" spans="1:6" x14ac:dyDescent="0.2">
      <c r="A206" s="28">
        <f t="shared" si="0"/>
        <v>2010.05</v>
      </c>
      <c r="B206" s="61">
        <v>620.37336666666704</v>
      </c>
      <c r="C206" s="62">
        <v>620.42206182702876</v>
      </c>
      <c r="E206" s="34"/>
      <c r="F206" s="33"/>
    </row>
    <row r="207" spans="1:6" x14ac:dyDescent="0.2">
      <c r="A207" s="28">
        <f t="shared" si="0"/>
        <v>2010.06</v>
      </c>
      <c r="B207" s="61">
        <v>619.61006666666697</v>
      </c>
      <c r="C207" s="62">
        <v>620.6888418928902</v>
      </c>
      <c r="E207" s="34"/>
      <c r="F207" s="33"/>
    </row>
    <row r="208" spans="1:6" x14ac:dyDescent="0.2">
      <c r="A208" s="28">
        <f t="shared" si="0"/>
        <v>2010.07</v>
      </c>
      <c r="B208" s="61">
        <v>620.78313333333301</v>
      </c>
      <c r="C208" s="62">
        <v>621.65874887573341</v>
      </c>
      <c r="E208" s="34"/>
      <c r="F208" s="33"/>
    </row>
    <row r="209" spans="1:6" x14ac:dyDescent="0.2">
      <c r="A209" s="28">
        <f t="shared" si="0"/>
        <v>2010.08</v>
      </c>
      <c r="B209" s="61">
        <v>622.00403333333304</v>
      </c>
      <c r="C209" s="62">
        <v>624.2683878541726</v>
      </c>
      <c r="E209" s="34"/>
      <c r="F209" s="33"/>
    </row>
    <row r="210" spans="1:6" x14ac:dyDescent="0.2">
      <c r="A210" s="28">
        <f t="shared" si="0"/>
        <v>2010.09</v>
      </c>
      <c r="B210" s="61">
        <v>624.73763333333306</v>
      </c>
      <c r="C210" s="62">
        <v>625.9032673129625</v>
      </c>
      <c r="E210" s="34"/>
      <c r="F210" s="33"/>
    </row>
    <row r="211" spans="1:6" x14ac:dyDescent="0.2">
      <c r="A211" s="28">
        <f t="shared" si="0"/>
        <v>2010.1</v>
      </c>
      <c r="B211" s="61">
        <v>626.64030000000002</v>
      </c>
      <c r="C211" s="62">
        <v>626.63907957161837</v>
      </c>
      <c r="E211" s="34"/>
      <c r="F211" s="33"/>
    </row>
    <row r="212" spans="1:6" x14ac:dyDescent="0.2">
      <c r="A212" s="28">
        <f t="shared" si="0"/>
        <v>2010.11</v>
      </c>
      <c r="B212" s="61">
        <v>630.96730000000002</v>
      </c>
      <c r="C212" s="62">
        <v>629.2581047228208</v>
      </c>
      <c r="E212" s="34"/>
      <c r="F212" s="33"/>
    </row>
    <row r="213" spans="1:6" x14ac:dyDescent="0.2">
      <c r="A213" s="28">
        <f t="shared" si="0"/>
        <v>2010.12</v>
      </c>
      <c r="B213" s="61">
        <v>637.96876666666697</v>
      </c>
      <c r="C213" s="62">
        <v>633.16162801329017</v>
      </c>
      <c r="E213" s="35"/>
      <c r="F213" s="33"/>
    </row>
    <row r="214" spans="1:6" x14ac:dyDescent="0.2">
      <c r="A214" s="28">
        <f t="shared" si="0"/>
        <v>2011.01</v>
      </c>
      <c r="B214" s="61">
        <v>645.66069999999991</v>
      </c>
      <c r="C214" s="62">
        <v>638.53312007501995</v>
      </c>
      <c r="E214" s="34"/>
      <c r="F214" s="33"/>
    </row>
    <row r="215" spans="1:6" x14ac:dyDescent="0.2">
      <c r="A215" s="28">
        <f t="shared" si="0"/>
        <v>2011.02</v>
      </c>
      <c r="B215" s="61">
        <v>639.45313333333308</v>
      </c>
      <c r="C215" s="62">
        <v>640.67980660477724</v>
      </c>
      <c r="E215" s="34"/>
      <c r="F215" s="33"/>
    </row>
    <row r="216" spans="1:6" x14ac:dyDescent="0.2">
      <c r="A216" s="28">
        <f t="shared" si="0"/>
        <v>2011.03</v>
      </c>
      <c r="B216" s="61">
        <v>639.01853333333304</v>
      </c>
      <c r="C216" s="62">
        <v>643.8902979887082</v>
      </c>
      <c r="E216" s="34"/>
      <c r="F216" s="33"/>
    </row>
    <row r="217" spans="1:6" x14ac:dyDescent="0.2">
      <c r="A217" s="28">
        <f t="shared" si="0"/>
        <v>2011.04</v>
      </c>
      <c r="B217" s="61">
        <v>644.56046666666703</v>
      </c>
      <c r="C217" s="62">
        <v>646.04715904572879</v>
      </c>
      <c r="E217" s="34"/>
      <c r="F217" s="33"/>
    </row>
    <row r="218" spans="1:6" x14ac:dyDescent="0.2">
      <c r="A218" s="28">
        <f t="shared" si="0"/>
        <v>2011.05</v>
      </c>
      <c r="B218" s="61">
        <v>648.54013333333296</v>
      </c>
      <c r="C218" s="62">
        <v>648.35666381436965</v>
      </c>
      <c r="E218" s="34"/>
      <c r="F218" s="33"/>
    </row>
    <row r="219" spans="1:6" x14ac:dyDescent="0.2">
      <c r="A219" s="28">
        <f t="shared" si="0"/>
        <v>2011.06</v>
      </c>
      <c r="B219" s="61">
        <v>650.99486666666701</v>
      </c>
      <c r="C219" s="62">
        <v>651.48282482692935</v>
      </c>
      <c r="E219" s="34"/>
      <c r="F219" s="33"/>
    </row>
    <row r="220" spans="1:6" x14ac:dyDescent="0.2">
      <c r="A220" s="28">
        <f t="shared" si="0"/>
        <v>2011.07</v>
      </c>
      <c r="B220" s="61">
        <v>653.11289999999997</v>
      </c>
      <c r="C220" s="62">
        <v>653.79230720774035</v>
      </c>
      <c r="E220" s="34"/>
      <c r="F220" s="33"/>
    </row>
    <row r="221" spans="1:6" x14ac:dyDescent="0.2">
      <c r="A221" s="28">
        <f t="shared" si="0"/>
        <v>2011.08</v>
      </c>
      <c r="B221" s="61">
        <v>652.45993333333297</v>
      </c>
      <c r="C221" s="62">
        <v>654.48493213568065</v>
      </c>
      <c r="E221" s="34"/>
      <c r="F221" s="33"/>
    </row>
    <row r="222" spans="1:6" x14ac:dyDescent="0.2">
      <c r="A222" s="28">
        <f t="shared" si="0"/>
        <v>2011.09</v>
      </c>
      <c r="B222" s="61">
        <v>657.74873333333301</v>
      </c>
      <c r="C222" s="62">
        <v>658.67692546390117</v>
      </c>
      <c r="E222" s="34"/>
      <c r="F222" s="33"/>
    </row>
    <row r="223" spans="1:6" x14ac:dyDescent="0.2">
      <c r="A223" s="28">
        <f t="shared" si="0"/>
        <v>2011.1</v>
      </c>
      <c r="B223" s="61">
        <v>657.93766666666704</v>
      </c>
      <c r="C223" s="62">
        <v>658.32820089233223</v>
      </c>
      <c r="E223" s="34"/>
      <c r="F223" s="33"/>
    </row>
    <row r="224" spans="1:6" x14ac:dyDescent="0.2">
      <c r="A224" s="28">
        <f t="shared" si="0"/>
        <v>2011.11</v>
      </c>
      <c r="B224" s="61">
        <v>660.34596666666698</v>
      </c>
      <c r="C224" s="62">
        <v>659.25389826002231</v>
      </c>
      <c r="E224" s="34"/>
      <c r="F224" s="33"/>
    </row>
    <row r="225" spans="1:6" x14ac:dyDescent="0.2">
      <c r="A225" s="28">
        <f t="shared" si="0"/>
        <v>2011.12</v>
      </c>
      <c r="B225" s="61">
        <v>665.80989999999997</v>
      </c>
      <c r="C225" s="62">
        <v>662.81748242781748</v>
      </c>
      <c r="E225" s="35"/>
      <c r="F225" s="33"/>
    </row>
    <row r="226" spans="1:6" x14ac:dyDescent="0.2">
      <c r="A226" s="28">
        <f t="shared" si="0"/>
        <v>2012.01</v>
      </c>
      <c r="B226" s="61">
        <v>669.25126666666699</v>
      </c>
      <c r="C226" s="62">
        <v>662.96401062547079</v>
      </c>
      <c r="E226" s="34"/>
      <c r="F226" s="33"/>
    </row>
    <row r="227" spans="1:6" x14ac:dyDescent="0.2">
      <c r="A227" s="28">
        <f t="shared" si="0"/>
        <v>2012.02</v>
      </c>
      <c r="B227" s="61">
        <v>661.341366666667</v>
      </c>
      <c r="C227" s="62">
        <v>663.63090008228551</v>
      </c>
      <c r="E227" s="34"/>
      <c r="F227" s="33"/>
    </row>
    <row r="228" spans="1:6" x14ac:dyDescent="0.2">
      <c r="A228" s="28">
        <f t="shared" si="0"/>
        <v>2012.03</v>
      </c>
      <c r="B228" s="61">
        <v>659.16326666666703</v>
      </c>
      <c r="C228" s="62">
        <v>664.60866372331782</v>
      </c>
      <c r="E228" s="34"/>
      <c r="F228" s="33"/>
    </row>
    <row r="229" spans="1:6" x14ac:dyDescent="0.2">
      <c r="A229" s="28">
        <f t="shared" si="0"/>
        <v>2012.04</v>
      </c>
      <c r="B229" s="61">
        <v>665.27670000000012</v>
      </c>
      <c r="C229" s="62">
        <v>664.56057048984542</v>
      </c>
      <c r="E229" s="34"/>
      <c r="F229" s="33"/>
    </row>
    <row r="230" spans="1:6" x14ac:dyDescent="0.2">
      <c r="A230" s="28">
        <f t="shared" si="0"/>
        <v>2012.05</v>
      </c>
      <c r="B230" s="61">
        <v>666.47710000000006</v>
      </c>
      <c r="C230" s="62">
        <v>665.89457184195601</v>
      </c>
      <c r="E230" s="34"/>
      <c r="F230" s="33"/>
    </row>
    <row r="231" spans="1:6" x14ac:dyDescent="0.2">
      <c r="A231" s="28">
        <f t="shared" si="0"/>
        <v>2012.06</v>
      </c>
      <c r="B231" s="61">
        <v>665.99926666666704</v>
      </c>
      <c r="C231" s="62">
        <v>666.0196656755279</v>
      </c>
      <c r="E231" s="34"/>
      <c r="F231" s="33"/>
    </row>
    <row r="232" spans="1:6" x14ac:dyDescent="0.2">
      <c r="A232" s="28">
        <f t="shared" si="0"/>
        <v>2012.07</v>
      </c>
      <c r="B232" s="61">
        <v>665.25580000000002</v>
      </c>
      <c r="C232" s="62">
        <v>665.61464574076592</v>
      </c>
      <c r="E232" s="34"/>
      <c r="F232" s="33"/>
    </row>
    <row r="233" spans="1:6" x14ac:dyDescent="0.2">
      <c r="A233" s="28">
        <f t="shared" si="0"/>
        <v>2012.08</v>
      </c>
      <c r="B233" s="61">
        <v>663.73300000000006</v>
      </c>
      <c r="C233" s="62">
        <v>665.53961751272561</v>
      </c>
      <c r="E233" s="34"/>
      <c r="F233" s="33"/>
    </row>
    <row r="234" spans="1:6" x14ac:dyDescent="0.2">
      <c r="A234" s="28">
        <f t="shared" si="0"/>
        <v>2012.09</v>
      </c>
      <c r="B234" s="61">
        <v>663.88100000000009</v>
      </c>
      <c r="C234" s="62">
        <v>664.50962835744383</v>
      </c>
      <c r="E234" s="34"/>
      <c r="F234" s="33"/>
    </row>
    <row r="235" spans="1:6" x14ac:dyDescent="0.2">
      <c r="A235" s="28">
        <f t="shared" si="0"/>
        <v>2012.1</v>
      </c>
      <c r="B235" s="61">
        <v>664.21500000000003</v>
      </c>
      <c r="C235" s="62">
        <v>665.11893421249306</v>
      </c>
      <c r="E235" s="34"/>
      <c r="F235" s="33"/>
    </row>
    <row r="236" spans="1:6" x14ac:dyDescent="0.2">
      <c r="A236" s="28">
        <f t="shared" si="0"/>
        <v>2012.11</v>
      </c>
      <c r="B236" s="61">
        <v>669.36500000000001</v>
      </c>
      <c r="C236" s="62">
        <v>666.72806546355389</v>
      </c>
      <c r="E236" s="34"/>
      <c r="F236" s="33"/>
    </row>
    <row r="237" spans="1:6" x14ac:dyDescent="0.2">
      <c r="A237" s="28">
        <f t="shared" si="0"/>
        <v>2012.12</v>
      </c>
      <c r="B237" s="61">
        <v>669.32799999999997</v>
      </c>
      <c r="C237" s="62">
        <v>665.58396864163569</v>
      </c>
      <c r="E237" s="35"/>
      <c r="F237" s="33"/>
    </row>
    <row r="238" spans="1:6" x14ac:dyDescent="0.2">
      <c r="A238" s="28">
        <f t="shared" si="0"/>
        <v>2013.01</v>
      </c>
      <c r="B238" s="61">
        <v>672.00300000000004</v>
      </c>
      <c r="C238" s="62">
        <v>666.73029752297509</v>
      </c>
      <c r="E238" s="34"/>
      <c r="F238" s="33"/>
    </row>
    <row r="239" spans="1:6" x14ac:dyDescent="0.2">
      <c r="A239" s="28">
        <f t="shared" si="0"/>
        <v>2013.02</v>
      </c>
      <c r="B239" s="61">
        <v>667.846</v>
      </c>
      <c r="C239" s="62">
        <v>670.07585902959568</v>
      </c>
      <c r="E239" s="34"/>
      <c r="F239" s="33"/>
    </row>
    <row r="240" spans="1:6" x14ac:dyDescent="0.2">
      <c r="A240" s="28">
        <f t="shared" si="0"/>
        <v>2013.03</v>
      </c>
      <c r="B240" s="61">
        <v>665.40800000000002</v>
      </c>
      <c r="C240" s="62">
        <v>670.89593619588152</v>
      </c>
      <c r="E240" s="34"/>
      <c r="F240" s="33"/>
    </row>
    <row r="241" spans="1:6" x14ac:dyDescent="0.2">
      <c r="A241" s="28">
        <f t="shared" si="0"/>
        <v>2013.04</v>
      </c>
      <c r="B241" s="61">
        <v>673.69999999999993</v>
      </c>
      <c r="C241" s="62">
        <v>675.03845446808532</v>
      </c>
      <c r="E241" s="34"/>
      <c r="F241" s="33"/>
    </row>
    <row r="242" spans="1:6" x14ac:dyDescent="0.2">
      <c r="A242" s="28">
        <f t="shared" ref="A242:A305" si="1">A230+1</f>
        <v>2013.05</v>
      </c>
      <c r="B242" s="61">
        <v>679.44699999999989</v>
      </c>
      <c r="C242" s="62">
        <v>677.37835083147877</v>
      </c>
      <c r="E242" s="34"/>
      <c r="F242" s="33"/>
    </row>
    <row r="243" spans="1:6" x14ac:dyDescent="0.2">
      <c r="A243" s="28">
        <f t="shared" si="1"/>
        <v>2013.06</v>
      </c>
      <c r="B243" s="61">
        <v>680.04700000000003</v>
      </c>
      <c r="C243" s="62">
        <v>679.41006294936324</v>
      </c>
      <c r="E243" s="34"/>
      <c r="F243" s="33"/>
    </row>
    <row r="244" spans="1:6" x14ac:dyDescent="0.2">
      <c r="A244" s="28">
        <f t="shared" si="1"/>
        <v>2013.07</v>
      </c>
      <c r="B244" s="61">
        <v>676.85399999999993</v>
      </c>
      <c r="C244" s="62">
        <v>678.76800545933236</v>
      </c>
      <c r="E244" s="34"/>
      <c r="F244" s="33"/>
    </row>
    <row r="245" spans="1:6" x14ac:dyDescent="0.2">
      <c r="A245" s="28">
        <f t="shared" si="1"/>
        <v>2013.08</v>
      </c>
      <c r="B245" s="61">
        <v>678.68999999999994</v>
      </c>
      <c r="C245" s="62">
        <v>680.32713673679689</v>
      </c>
      <c r="E245" s="34"/>
      <c r="F245" s="33"/>
    </row>
    <row r="246" spans="1:6" x14ac:dyDescent="0.2">
      <c r="A246" s="28">
        <f t="shared" si="1"/>
        <v>2013.09</v>
      </c>
      <c r="B246" s="61">
        <v>681.00200000000007</v>
      </c>
      <c r="C246" s="62">
        <v>681.43439514366889</v>
      </c>
      <c r="E246" s="34"/>
      <c r="F246" s="33"/>
    </row>
    <row r="247" spans="1:6" x14ac:dyDescent="0.2">
      <c r="A247" s="28">
        <f t="shared" si="1"/>
        <v>2013.1</v>
      </c>
      <c r="B247" s="61">
        <v>680.90200000000004</v>
      </c>
      <c r="C247" s="62">
        <v>681.70341518701639</v>
      </c>
      <c r="E247" s="34"/>
      <c r="F247" s="33"/>
    </row>
    <row r="248" spans="1:6" x14ac:dyDescent="0.2">
      <c r="A248" s="28">
        <f t="shared" si="1"/>
        <v>2013.11</v>
      </c>
      <c r="B248" s="61">
        <v>684.05399999999997</v>
      </c>
      <c r="C248" s="62">
        <v>682.23193814840624</v>
      </c>
      <c r="E248" s="34"/>
      <c r="F248" s="33"/>
    </row>
    <row r="249" spans="1:6" x14ac:dyDescent="0.2">
      <c r="A249" s="28">
        <f t="shared" si="1"/>
        <v>2013.12</v>
      </c>
      <c r="B249" s="61">
        <v>687.65500000000009</v>
      </c>
      <c r="C249" s="62">
        <v>683.9365041833305</v>
      </c>
      <c r="E249" s="35"/>
      <c r="F249" s="33"/>
    </row>
    <row r="250" spans="1:6" x14ac:dyDescent="0.2">
      <c r="A250" s="28">
        <f t="shared" si="1"/>
        <v>2014.01</v>
      </c>
      <c r="B250" s="61">
        <v>688.58999999999992</v>
      </c>
      <c r="C250" s="62">
        <v>685.17425673442676</v>
      </c>
      <c r="E250" s="34"/>
      <c r="F250" s="33"/>
    </row>
    <row r="251" spans="1:6" x14ac:dyDescent="0.2">
      <c r="A251" s="28">
        <f t="shared" si="1"/>
        <v>2014.02</v>
      </c>
      <c r="B251" s="61">
        <v>684.23900000000003</v>
      </c>
      <c r="C251" s="62">
        <v>686.00978842273094</v>
      </c>
      <c r="E251" s="34"/>
      <c r="F251" s="33"/>
    </row>
    <row r="252" spans="1:6" x14ac:dyDescent="0.2">
      <c r="A252" s="28">
        <f t="shared" si="1"/>
        <v>2014.03</v>
      </c>
      <c r="B252" s="61">
        <v>678.83399999999995</v>
      </c>
      <c r="C252" s="62">
        <v>684.15749225011223</v>
      </c>
      <c r="E252" s="34"/>
      <c r="F252" s="33"/>
    </row>
    <row r="253" spans="1:6" x14ac:dyDescent="0.2">
      <c r="A253" s="28">
        <f t="shared" si="1"/>
        <v>2014.04</v>
      </c>
      <c r="B253" s="61">
        <v>679.24399999999991</v>
      </c>
      <c r="C253" s="62">
        <v>682.80081378176908</v>
      </c>
      <c r="E253" s="34"/>
      <c r="F253" s="33"/>
    </row>
    <row r="254" spans="1:6" x14ac:dyDescent="0.2">
      <c r="A254" s="28">
        <f t="shared" si="1"/>
        <v>2014.05</v>
      </c>
      <c r="B254" s="61">
        <v>682.88100000000009</v>
      </c>
      <c r="C254" s="62">
        <v>682.50055790398039</v>
      </c>
      <c r="E254" s="34"/>
      <c r="F254" s="33"/>
    </row>
    <row r="255" spans="1:6" x14ac:dyDescent="0.2">
      <c r="A255" s="28">
        <f t="shared" si="1"/>
        <v>2014.06</v>
      </c>
      <c r="B255" s="61">
        <v>682.96100000000001</v>
      </c>
      <c r="C255" s="62">
        <v>682.58927233451072</v>
      </c>
      <c r="E255" s="34"/>
      <c r="F255" s="33"/>
    </row>
    <row r="256" spans="1:6" x14ac:dyDescent="0.2">
      <c r="A256" s="28">
        <f t="shared" si="1"/>
        <v>2014.07</v>
      </c>
      <c r="B256" s="61">
        <v>684.69599999999991</v>
      </c>
      <c r="C256" s="62">
        <v>684.50334068481982</v>
      </c>
      <c r="E256" s="34"/>
      <c r="F256" s="33"/>
    </row>
    <row r="257" spans="1:6" x14ac:dyDescent="0.2">
      <c r="A257" s="28">
        <f t="shared" si="1"/>
        <v>2014.08</v>
      </c>
      <c r="B257" s="61">
        <v>684.40100000000007</v>
      </c>
      <c r="C257" s="62">
        <v>686.0562612614691</v>
      </c>
      <c r="E257" s="34"/>
      <c r="F257" s="33"/>
    </row>
    <row r="258" spans="1:6" x14ac:dyDescent="0.2">
      <c r="A258" s="28">
        <f t="shared" si="1"/>
        <v>2014.09</v>
      </c>
      <c r="B258" s="61">
        <v>685.17300000000012</v>
      </c>
      <c r="C258" s="62">
        <v>685.45925373342266</v>
      </c>
      <c r="E258" s="34"/>
      <c r="F258" s="33"/>
    </row>
    <row r="259" spans="1:6" x14ac:dyDescent="0.2">
      <c r="A259" s="28">
        <f t="shared" si="1"/>
        <v>2014.1</v>
      </c>
      <c r="B259" s="61">
        <v>685.98199999999997</v>
      </c>
      <c r="C259" s="62">
        <v>687.9176562220955</v>
      </c>
      <c r="E259" s="34"/>
      <c r="F259" s="33"/>
    </row>
    <row r="260" spans="1:6" x14ac:dyDescent="0.2">
      <c r="A260" s="28">
        <f t="shared" si="1"/>
        <v>2014.11</v>
      </c>
      <c r="B260" s="61">
        <v>690.37</v>
      </c>
      <c r="C260" s="62">
        <v>688.16161724675908</v>
      </c>
      <c r="E260" s="34"/>
      <c r="F260" s="33"/>
    </row>
    <row r="261" spans="1:6" x14ac:dyDescent="0.2">
      <c r="A261" s="28">
        <f t="shared" si="1"/>
        <v>2014.12</v>
      </c>
      <c r="B261" s="61">
        <v>692.79</v>
      </c>
      <c r="C261" s="62">
        <v>688.94145299392221</v>
      </c>
      <c r="E261" s="35"/>
      <c r="F261" s="33"/>
    </row>
    <row r="262" spans="1:6" x14ac:dyDescent="0.2">
      <c r="A262" s="28">
        <f t="shared" si="1"/>
        <v>2015.01</v>
      </c>
      <c r="B262" s="61">
        <v>693.01899999999989</v>
      </c>
      <c r="C262" s="62">
        <v>690.13496426669224</v>
      </c>
      <c r="E262" s="34"/>
      <c r="F262" s="33"/>
    </row>
    <row r="263" spans="1:6" x14ac:dyDescent="0.2">
      <c r="A263" s="28">
        <f t="shared" si="1"/>
        <v>2015.02</v>
      </c>
      <c r="B263" s="61">
        <v>688.92399999999998</v>
      </c>
      <c r="C263" s="62">
        <v>691.67201750361414</v>
      </c>
      <c r="E263" s="34"/>
      <c r="F263" s="33"/>
    </row>
    <row r="264" spans="1:6" x14ac:dyDescent="0.2">
      <c r="A264" s="28">
        <f t="shared" si="1"/>
        <v>2015.03</v>
      </c>
      <c r="B264" s="61">
        <v>688.02799999999991</v>
      </c>
      <c r="C264" s="62">
        <v>693.13360202849742</v>
      </c>
      <c r="E264" s="34"/>
      <c r="F264" s="33"/>
    </row>
    <row r="265" spans="1:6" x14ac:dyDescent="0.2">
      <c r="A265" s="28">
        <f t="shared" si="1"/>
        <v>2015.04</v>
      </c>
      <c r="B265" s="61">
        <v>695.41000000000008</v>
      </c>
      <c r="C265" s="62">
        <v>695.6049835360385</v>
      </c>
      <c r="E265" s="34"/>
      <c r="F265" s="33"/>
    </row>
    <row r="266" spans="1:6" x14ac:dyDescent="0.2">
      <c r="A266" s="28">
        <f t="shared" si="1"/>
        <v>2015.05</v>
      </c>
      <c r="B266" s="61">
        <v>700.99199999999996</v>
      </c>
      <c r="C266" s="62">
        <v>698.91409516502517</v>
      </c>
      <c r="E266" s="34"/>
      <c r="F266" s="33"/>
    </row>
    <row r="267" spans="1:6" x14ac:dyDescent="0.2">
      <c r="A267" s="28">
        <f t="shared" si="1"/>
        <v>2015.06</v>
      </c>
      <c r="B267" s="61">
        <v>701.57</v>
      </c>
      <c r="C267" s="62">
        <v>701.12253429948453</v>
      </c>
      <c r="E267" s="34"/>
      <c r="F267" s="33"/>
    </row>
    <row r="268" spans="1:6" x14ac:dyDescent="0.2">
      <c r="A268" s="28">
        <f t="shared" si="1"/>
        <v>2015.07</v>
      </c>
      <c r="B268" s="61">
        <v>706.255</v>
      </c>
      <c r="C268" s="62">
        <v>704.72699699087684</v>
      </c>
      <c r="E268" s="34"/>
      <c r="F268" s="33"/>
    </row>
    <row r="269" spans="1:6" x14ac:dyDescent="0.2">
      <c r="A269" s="28">
        <f t="shared" si="1"/>
        <v>2015.08</v>
      </c>
      <c r="B269" s="61">
        <v>703.98399999999992</v>
      </c>
      <c r="C269" s="62">
        <v>705.79669170968521</v>
      </c>
      <c r="E269" s="34"/>
      <c r="F269" s="33"/>
    </row>
    <row r="270" spans="1:6" x14ac:dyDescent="0.2">
      <c r="A270" s="28">
        <f t="shared" si="1"/>
        <v>2015.09</v>
      </c>
      <c r="B270" s="61">
        <v>706.89100000000008</v>
      </c>
      <c r="C270" s="62">
        <v>707.09767844594546</v>
      </c>
      <c r="E270" s="34"/>
      <c r="F270" s="33"/>
    </row>
    <row r="271" spans="1:6" x14ac:dyDescent="0.2">
      <c r="A271" s="28">
        <f t="shared" si="1"/>
        <v>2015.1</v>
      </c>
      <c r="B271" s="61">
        <v>705.62599999999998</v>
      </c>
      <c r="C271" s="62">
        <v>705.97604194767712</v>
      </c>
      <c r="E271" s="34"/>
      <c r="F271" s="33"/>
    </row>
    <row r="272" spans="1:6" x14ac:dyDescent="0.2">
      <c r="A272" s="28">
        <f t="shared" si="1"/>
        <v>2015.11</v>
      </c>
      <c r="B272" s="61">
        <v>710.21900000000005</v>
      </c>
      <c r="C272" s="62">
        <v>707.55849884695897</v>
      </c>
      <c r="E272" s="34"/>
      <c r="F272" s="33"/>
    </row>
    <row r="273" spans="1:6" x14ac:dyDescent="0.2">
      <c r="A273" s="28">
        <f t="shared" si="1"/>
        <v>2015.12</v>
      </c>
      <c r="B273" s="61">
        <v>710.63499999999999</v>
      </c>
      <c r="C273" s="62">
        <v>706.71088751270236</v>
      </c>
      <c r="E273" s="34"/>
      <c r="F273" s="33"/>
    </row>
    <row r="274" spans="1:6" x14ac:dyDescent="0.2">
      <c r="A274" s="28">
        <f t="shared" si="1"/>
        <v>2016.01</v>
      </c>
      <c r="B274" s="61">
        <v>707.58600000000001</v>
      </c>
      <c r="C274" s="62">
        <v>704.15520085872095</v>
      </c>
      <c r="E274" s="34"/>
      <c r="F274" s="33"/>
    </row>
    <row r="275" spans="1:6" x14ac:dyDescent="0.2">
      <c r="A275" s="28">
        <f t="shared" si="1"/>
        <v>2016.02</v>
      </c>
      <c r="B275" s="61">
        <v>701.13300000000004</v>
      </c>
      <c r="C275" s="62">
        <v>704.25643030236381</v>
      </c>
      <c r="E275" s="34"/>
      <c r="F275" s="33"/>
    </row>
    <row r="276" spans="1:6" x14ac:dyDescent="0.2">
      <c r="A276" s="28">
        <f t="shared" si="1"/>
        <v>2016.03</v>
      </c>
      <c r="B276" s="61">
        <v>700.81200000000001</v>
      </c>
      <c r="C276" s="62">
        <v>705.51836704156756</v>
      </c>
      <c r="E276" s="34"/>
      <c r="F276" s="33"/>
    </row>
    <row r="277" spans="1:6" x14ac:dyDescent="0.2">
      <c r="A277" s="28">
        <f t="shared" si="1"/>
        <v>2016.04</v>
      </c>
      <c r="B277" s="61">
        <v>705.44099999999992</v>
      </c>
      <c r="C277" s="62">
        <v>705.49515904904069</v>
      </c>
      <c r="E277" s="34"/>
      <c r="F277" s="33"/>
    </row>
    <row r="278" spans="1:6" x14ac:dyDescent="0.2">
      <c r="A278" s="28">
        <f t="shared" si="1"/>
        <v>2016.05</v>
      </c>
      <c r="B278" s="61">
        <v>703.95400000000006</v>
      </c>
      <c r="C278" s="62">
        <v>704.32846392018791</v>
      </c>
      <c r="E278" s="35"/>
      <c r="F278" s="33"/>
    </row>
    <row r="279" spans="1:6" x14ac:dyDescent="0.2">
      <c r="A279" s="28">
        <f t="shared" si="1"/>
        <v>2016.06</v>
      </c>
      <c r="B279" s="61">
        <v>703.82399999999996</v>
      </c>
      <c r="C279" s="62">
        <v>703.43959138863954</v>
      </c>
      <c r="E279" s="34"/>
      <c r="F279" s="33"/>
    </row>
    <row r="280" spans="1:6" x14ac:dyDescent="0.2">
      <c r="A280" s="28">
        <f t="shared" si="1"/>
        <v>2016.07</v>
      </c>
      <c r="B280" s="61">
        <v>703.87</v>
      </c>
      <c r="C280" s="62">
        <v>703.87886031418566</v>
      </c>
      <c r="E280" s="35"/>
      <c r="F280" s="33"/>
    </row>
    <row r="281" spans="1:6" x14ac:dyDescent="0.2">
      <c r="A281" s="28">
        <f t="shared" si="1"/>
        <v>2016.08</v>
      </c>
      <c r="B281" s="61">
        <v>699.31600000000003</v>
      </c>
      <c r="C281" s="62">
        <v>702.20603761976088</v>
      </c>
      <c r="E281" s="34"/>
      <c r="F281" s="33"/>
    </row>
    <row r="282" spans="1:6" x14ac:dyDescent="0.2">
      <c r="A282" s="28">
        <f t="shared" si="1"/>
        <v>2016.09</v>
      </c>
      <c r="B282" s="61">
        <v>702.96199999999999</v>
      </c>
      <c r="C282" s="62">
        <v>702.89875788429185</v>
      </c>
      <c r="E282" s="34"/>
      <c r="F282" s="33"/>
    </row>
    <row r="283" spans="1:6" x14ac:dyDescent="0.2">
      <c r="A283" s="28">
        <f t="shared" si="1"/>
        <v>2016.1</v>
      </c>
      <c r="B283" s="61">
        <v>704.21600000000001</v>
      </c>
      <c r="C283" s="62">
        <v>704.18966571206124</v>
      </c>
      <c r="E283" s="34"/>
      <c r="F283" s="33"/>
    </row>
    <row r="284" spans="1:6" x14ac:dyDescent="0.2">
      <c r="A284" s="28">
        <f t="shared" si="1"/>
        <v>2016.11</v>
      </c>
      <c r="B284" s="61">
        <v>706.53800000000001</v>
      </c>
      <c r="C284" s="62">
        <v>703.53162572437145</v>
      </c>
      <c r="E284" s="34"/>
      <c r="F284" s="33"/>
    </row>
    <row r="285" spans="1:6" x14ac:dyDescent="0.2">
      <c r="A285" s="28">
        <f t="shared" si="1"/>
        <v>2016.12</v>
      </c>
      <c r="B285" s="61">
        <v>710.00900000000001</v>
      </c>
      <c r="C285" s="62">
        <v>706.05105775646246</v>
      </c>
      <c r="E285" s="34"/>
      <c r="F285" s="33"/>
    </row>
    <row r="286" spans="1:6" x14ac:dyDescent="0.2">
      <c r="A286" s="28">
        <f t="shared" si="1"/>
        <v>2017.01</v>
      </c>
      <c r="B286" s="61">
        <v>711.44800000000009</v>
      </c>
      <c r="C286" s="62">
        <v>708.38207000373734</v>
      </c>
      <c r="E286" s="34"/>
      <c r="F286" s="33"/>
    </row>
    <row r="287" spans="1:6" x14ac:dyDescent="0.2">
      <c r="A287" s="28">
        <f t="shared" si="1"/>
        <v>2017.02</v>
      </c>
      <c r="B287" s="61">
        <v>705.57899999999995</v>
      </c>
      <c r="C287" s="62">
        <v>708.91574272797618</v>
      </c>
      <c r="E287" s="34"/>
      <c r="F287" s="33"/>
    </row>
    <row r="288" spans="1:6" x14ac:dyDescent="0.2">
      <c r="A288" s="28">
        <f t="shared" si="1"/>
        <v>2017.03</v>
      </c>
      <c r="B288" s="61">
        <v>706.42200000000003</v>
      </c>
      <c r="C288" s="62">
        <v>710.63025970994715</v>
      </c>
      <c r="E288" s="34"/>
      <c r="F288" s="33"/>
    </row>
    <row r="289" spans="1:6" x14ac:dyDescent="0.2">
      <c r="A289" s="28">
        <f t="shared" si="1"/>
        <v>2017.04</v>
      </c>
      <c r="B289" s="61">
        <v>711.90300000000002</v>
      </c>
      <c r="C289" s="62">
        <v>711.78941747500608</v>
      </c>
      <c r="E289" s="34"/>
      <c r="F289" s="33"/>
    </row>
    <row r="290" spans="1:6" x14ac:dyDescent="0.2">
      <c r="A290" s="28">
        <f t="shared" si="1"/>
        <v>2017.05</v>
      </c>
      <c r="B290" s="61">
        <v>709.01400000000001</v>
      </c>
      <c r="C290" s="62">
        <v>711.31877800293262</v>
      </c>
      <c r="E290" s="34"/>
      <c r="F290" s="33"/>
    </row>
    <row r="291" spans="1:6" x14ac:dyDescent="0.2">
      <c r="A291" s="28">
        <f t="shared" si="1"/>
        <v>2017.06</v>
      </c>
      <c r="B291" s="61">
        <v>713.67200000000014</v>
      </c>
      <c r="C291" s="62">
        <v>713.43184409723096</v>
      </c>
      <c r="E291" s="34"/>
      <c r="F291" s="33"/>
    </row>
    <row r="292" spans="1:6" x14ac:dyDescent="0.2">
      <c r="A292" s="28">
        <f t="shared" si="1"/>
        <v>2017.07</v>
      </c>
      <c r="B292" s="61">
        <v>711.71299999999997</v>
      </c>
      <c r="C292" s="62">
        <v>712.02502538599731</v>
      </c>
      <c r="E292" s="34"/>
      <c r="F292" s="33"/>
    </row>
    <row r="293" spans="1:6" x14ac:dyDescent="0.2">
      <c r="A293" s="28">
        <f t="shared" si="1"/>
        <v>2017.08</v>
      </c>
      <c r="B293" s="61">
        <v>709.2890000000001</v>
      </c>
      <c r="C293" s="62">
        <v>712.70460782705482</v>
      </c>
      <c r="E293" s="34"/>
      <c r="F293" s="33"/>
    </row>
    <row r="294" spans="1:6" x14ac:dyDescent="0.2">
      <c r="A294" s="28">
        <f t="shared" si="1"/>
        <v>2017.09</v>
      </c>
      <c r="B294" s="61">
        <v>715.50599999999997</v>
      </c>
      <c r="C294" s="62">
        <v>713.28414787448799</v>
      </c>
      <c r="E294" s="34"/>
      <c r="F294" s="33"/>
    </row>
    <row r="295" spans="1:6" x14ac:dyDescent="0.2">
      <c r="A295" s="28">
        <f t="shared" si="1"/>
        <v>2017.1</v>
      </c>
      <c r="B295" s="61">
        <v>714.53200000000004</v>
      </c>
      <c r="C295" s="62">
        <v>714.30667940402338</v>
      </c>
      <c r="E295" s="34"/>
      <c r="F295" s="33"/>
    </row>
    <row r="296" spans="1:6" x14ac:dyDescent="0.2">
      <c r="A296" s="28">
        <f t="shared" si="1"/>
        <v>2017.11</v>
      </c>
      <c r="B296" s="61">
        <v>722.18700000000001</v>
      </c>
      <c r="C296" s="62">
        <v>716.84673030616068</v>
      </c>
      <c r="E296" s="34"/>
      <c r="F296" s="33"/>
    </row>
    <row r="297" spans="1:6" x14ac:dyDescent="0.2">
      <c r="A297" s="28">
        <f t="shared" si="1"/>
        <v>2017.12</v>
      </c>
      <c r="B297" s="61">
        <v>722.35300000000007</v>
      </c>
      <c r="C297" s="62">
        <v>718.53509236394177</v>
      </c>
      <c r="E297" s="34"/>
      <c r="F297" s="33"/>
    </row>
    <row r="298" spans="1:6" x14ac:dyDescent="0.2">
      <c r="A298" s="28">
        <f t="shared" si="1"/>
        <v>2018.01</v>
      </c>
      <c r="B298" s="61">
        <v>721.08400000000006</v>
      </c>
      <c r="C298" s="62">
        <v>718.33234437288786</v>
      </c>
      <c r="E298" s="34"/>
      <c r="F298" s="33"/>
    </row>
    <row r="299" spans="1:6" x14ac:dyDescent="0.2">
      <c r="A299" s="28">
        <f t="shared" si="1"/>
        <v>2018.02</v>
      </c>
      <c r="B299" s="61">
        <v>713.47500000000002</v>
      </c>
      <c r="C299" s="62">
        <v>716.80916880833263</v>
      </c>
      <c r="E299" s="34"/>
      <c r="F299" s="33"/>
    </row>
    <row r="300" spans="1:6" x14ac:dyDescent="0.2">
      <c r="A300" s="28">
        <f t="shared" si="1"/>
        <v>2018.03</v>
      </c>
      <c r="B300" s="61">
        <v>712.03700000000003</v>
      </c>
      <c r="C300" s="62">
        <v>715.81214249034474</v>
      </c>
      <c r="E300" s="34"/>
      <c r="F300" s="33"/>
    </row>
    <row r="301" spans="1:6" x14ac:dyDescent="0.2">
      <c r="A301" s="28">
        <f t="shared" si="1"/>
        <v>2018.04</v>
      </c>
      <c r="B301" s="61">
        <v>716.13200000000006</v>
      </c>
      <c r="C301" s="62">
        <v>715.80155095304337</v>
      </c>
      <c r="E301" s="34"/>
      <c r="F301" s="33"/>
    </row>
    <row r="302" spans="1:6" x14ac:dyDescent="0.2">
      <c r="A302" s="28">
        <f t="shared" si="1"/>
        <v>2018.05</v>
      </c>
      <c r="B302" s="61">
        <v>714.58999999999992</v>
      </c>
      <c r="C302" s="62">
        <v>715.22145269846078</v>
      </c>
      <c r="E302" s="34"/>
      <c r="F302" s="33"/>
    </row>
    <row r="303" spans="1:6" x14ac:dyDescent="0.2">
      <c r="A303" s="28">
        <f t="shared" si="1"/>
        <v>2018.06</v>
      </c>
      <c r="B303" s="61">
        <v>717.06500000000005</v>
      </c>
      <c r="C303" s="62">
        <v>717.1209107628448</v>
      </c>
      <c r="E303" s="34"/>
      <c r="F303" s="33"/>
    </row>
    <row r="304" spans="1:6" x14ac:dyDescent="0.2">
      <c r="A304" s="28">
        <f t="shared" si="1"/>
        <v>2018.07</v>
      </c>
      <c r="B304" s="61">
        <v>712.99400000000003</v>
      </c>
      <c r="C304" s="62">
        <v>713.75599262963465</v>
      </c>
      <c r="E304" s="34"/>
      <c r="F304" s="33"/>
    </row>
    <row r="305" spans="1:7" x14ac:dyDescent="0.2">
      <c r="A305" s="28">
        <f t="shared" si="1"/>
        <v>2018.08</v>
      </c>
      <c r="B305" s="61">
        <v>710.87</v>
      </c>
      <c r="C305" s="62">
        <v>713.23961955773416</v>
      </c>
      <c r="E305" s="34"/>
      <c r="F305" s="33"/>
    </row>
    <row r="306" spans="1:7" x14ac:dyDescent="0.2">
      <c r="A306" s="28">
        <f t="shared" ref="A306:A369" si="2">A294+1</f>
        <v>2018.09</v>
      </c>
      <c r="B306" s="61">
        <v>716.26700000000005</v>
      </c>
      <c r="C306" s="62">
        <v>712.91596116274559</v>
      </c>
      <c r="E306" s="34"/>
      <c r="F306" s="33"/>
    </row>
    <row r="307" spans="1:7" x14ac:dyDescent="0.2">
      <c r="A307" s="28">
        <f t="shared" si="2"/>
        <v>2018.1</v>
      </c>
      <c r="B307" s="61">
        <v>713.64200000000005</v>
      </c>
      <c r="C307" s="62">
        <v>713.19719498258996</v>
      </c>
      <c r="E307" s="34"/>
      <c r="F307" s="33"/>
    </row>
    <row r="308" spans="1:7" x14ac:dyDescent="0.2">
      <c r="A308" s="28">
        <f t="shared" si="2"/>
        <v>2018.11</v>
      </c>
      <c r="B308" s="61">
        <v>715.06699999999989</v>
      </c>
      <c r="C308" s="62">
        <v>711.74184640614021</v>
      </c>
      <c r="E308" s="34"/>
      <c r="F308" s="33"/>
    </row>
    <row r="309" spans="1:7" x14ac:dyDescent="0.2">
      <c r="A309" s="28">
        <f t="shared" si="2"/>
        <v>2018.12</v>
      </c>
      <c r="B309" s="61">
        <v>711.87</v>
      </c>
      <c r="C309" s="62">
        <v>708.19589930582822</v>
      </c>
      <c r="E309" s="35"/>
      <c r="F309" s="33"/>
      <c r="G309" s="30"/>
    </row>
    <row r="310" spans="1:7" ht="14.25" x14ac:dyDescent="0.2">
      <c r="A310" s="28">
        <f t="shared" si="2"/>
        <v>2019.01</v>
      </c>
      <c r="B310" s="61">
        <v>710.22399999999993</v>
      </c>
      <c r="C310" s="62">
        <v>707.79152655067003</v>
      </c>
      <c r="E310" s="37"/>
      <c r="F310" s="38"/>
    </row>
    <row r="311" spans="1:7" ht="14.25" x14ac:dyDescent="0.2">
      <c r="A311" s="28">
        <f t="shared" si="2"/>
        <v>2019.02</v>
      </c>
      <c r="B311" s="61">
        <v>703.37300000000005</v>
      </c>
      <c r="C311" s="62">
        <v>706.40550339715537</v>
      </c>
      <c r="E311" s="37"/>
      <c r="F311" s="38"/>
    </row>
    <row r="312" spans="1:7" ht="14.25" x14ac:dyDescent="0.2">
      <c r="A312" s="28">
        <f t="shared" si="2"/>
        <v>2019.03</v>
      </c>
      <c r="B312" s="61">
        <v>704.94299999999998</v>
      </c>
      <c r="C312" s="62">
        <v>708.52063771431972</v>
      </c>
      <c r="E312" s="37"/>
      <c r="F312" s="38"/>
    </row>
    <row r="313" spans="1:7" ht="14.25" x14ac:dyDescent="0.2">
      <c r="A313" s="28">
        <f t="shared" si="2"/>
        <v>2019.04</v>
      </c>
      <c r="B313" s="61">
        <v>704.87300000000005</v>
      </c>
      <c r="C313" s="62">
        <v>707.49481062295229</v>
      </c>
      <c r="E313" s="37"/>
      <c r="F313" s="38"/>
    </row>
    <row r="314" spans="1:7" ht="14.25" x14ac:dyDescent="0.2">
      <c r="A314" s="28">
        <f t="shared" si="2"/>
        <v>2019.05</v>
      </c>
      <c r="B314" s="61">
        <v>708.80700000000002</v>
      </c>
      <c r="C314" s="62">
        <v>708.55094018752538</v>
      </c>
      <c r="E314" s="37"/>
      <c r="F314" s="38"/>
    </row>
    <row r="315" spans="1:7" ht="14.25" x14ac:dyDescent="0.2">
      <c r="A315" s="28">
        <f t="shared" si="2"/>
        <v>2019.06</v>
      </c>
      <c r="B315" s="61">
        <v>706.14799999999991</v>
      </c>
      <c r="C315" s="62">
        <v>706.52525276722963</v>
      </c>
      <c r="E315" s="37"/>
      <c r="F315" s="38"/>
    </row>
    <row r="316" spans="1:7" ht="14.25" x14ac:dyDescent="0.2">
      <c r="A316" s="28">
        <f t="shared" si="2"/>
        <v>2019.07</v>
      </c>
      <c r="B316" s="61">
        <v>707.61300000000006</v>
      </c>
      <c r="C316" s="62">
        <v>709.78061067268266</v>
      </c>
      <c r="E316" s="37"/>
      <c r="F316" s="38"/>
    </row>
    <row r="317" spans="1:7" ht="14.25" x14ac:dyDescent="0.2">
      <c r="A317" s="28">
        <f t="shared" si="2"/>
        <v>2019.08</v>
      </c>
      <c r="B317" s="61">
        <v>705.81600000000003</v>
      </c>
      <c r="C317" s="62">
        <v>707.32219916619351</v>
      </c>
      <c r="E317" s="37"/>
      <c r="F317" s="38"/>
    </row>
    <row r="318" spans="1:7" ht="14.25" x14ac:dyDescent="0.2">
      <c r="A318" s="28">
        <f t="shared" si="2"/>
        <v>2019.09</v>
      </c>
      <c r="B318" s="61">
        <v>711.61500000000001</v>
      </c>
      <c r="C318" s="62">
        <v>708.30614263799237</v>
      </c>
      <c r="E318" s="37"/>
      <c r="F318" s="38"/>
    </row>
    <row r="319" spans="1:7" ht="14.25" x14ac:dyDescent="0.2">
      <c r="A319" s="28">
        <f t="shared" si="2"/>
        <v>2019.1</v>
      </c>
      <c r="B319" s="61">
        <v>705.64499999999998</v>
      </c>
      <c r="C319" s="62">
        <v>705.47648878012319</v>
      </c>
      <c r="E319" s="37"/>
      <c r="F319" s="38"/>
    </row>
    <row r="320" spans="1:7" ht="14.25" x14ac:dyDescent="0.2">
      <c r="A320" s="28">
        <f t="shared" si="2"/>
        <v>2019.11</v>
      </c>
      <c r="B320" s="61">
        <v>708.36149999999998</v>
      </c>
      <c r="C320" s="62">
        <v>703.04460425873424</v>
      </c>
      <c r="E320" s="37"/>
      <c r="F320" s="38"/>
    </row>
    <row r="321" spans="1:7" ht="14.25" x14ac:dyDescent="0.2">
      <c r="A321" s="28">
        <f t="shared" si="2"/>
        <v>2019.12</v>
      </c>
      <c r="B321" s="61">
        <v>703.88499999999999</v>
      </c>
      <c r="C321" s="62">
        <v>700.33262801084595</v>
      </c>
      <c r="E321" s="40"/>
      <c r="F321" s="38"/>
      <c r="G321" s="36"/>
    </row>
    <row r="322" spans="1:7" x14ac:dyDescent="0.2">
      <c r="A322" s="28">
        <f t="shared" si="2"/>
        <v>2020.01</v>
      </c>
      <c r="B322" s="61">
        <v>699.30499999999995</v>
      </c>
      <c r="C322" s="62">
        <v>697.20940741800791</v>
      </c>
      <c r="E322" s="39"/>
      <c r="F322" s="39"/>
    </row>
    <row r="323" spans="1:7" x14ac:dyDescent="0.2">
      <c r="A323" s="28">
        <f t="shared" si="2"/>
        <v>2020.02</v>
      </c>
      <c r="B323" s="61">
        <v>694.02700000000004</v>
      </c>
      <c r="C323" s="62">
        <v>696.2214120359954</v>
      </c>
    </row>
    <row r="324" spans="1:7" x14ac:dyDescent="0.2">
      <c r="A324" s="28">
        <f t="shared" si="2"/>
        <v>2020.03</v>
      </c>
      <c r="B324" s="61">
        <v>691.16000000000008</v>
      </c>
      <c r="C324" s="62">
        <v>691.98650954152072</v>
      </c>
    </row>
    <row r="325" spans="1:7" x14ac:dyDescent="0.2">
      <c r="A325" s="28">
        <f t="shared" si="2"/>
        <v>2020.04</v>
      </c>
      <c r="B325" s="61">
        <v>688.91700000000003</v>
      </c>
      <c r="C325" s="62">
        <v>688.47320104133564</v>
      </c>
    </row>
    <row r="326" spans="1:7" x14ac:dyDescent="0.2">
      <c r="A326" s="28">
        <f t="shared" si="2"/>
        <v>2020.05</v>
      </c>
      <c r="B326" s="61">
        <v>680.31600000000003</v>
      </c>
      <c r="C326" s="62">
        <v>684.91960868591411</v>
      </c>
    </row>
    <row r="327" spans="1:7" x14ac:dyDescent="0.2">
      <c r="A327" s="28">
        <f t="shared" si="2"/>
        <v>2020.06</v>
      </c>
      <c r="B327" s="61">
        <v>679.35599999999999</v>
      </c>
      <c r="C327" s="62">
        <v>682.14612159601609</v>
      </c>
    </row>
    <row r="328" spans="1:7" x14ac:dyDescent="0.2">
      <c r="A328" s="28">
        <f t="shared" si="2"/>
        <v>2020.07</v>
      </c>
      <c r="B328" s="61">
        <v>679.3</v>
      </c>
      <c r="C328" s="62">
        <v>680.69338804707309</v>
      </c>
    </row>
    <row r="329" spans="1:7" x14ac:dyDescent="0.2">
      <c r="A329" s="28">
        <f t="shared" si="2"/>
        <v>2020.08</v>
      </c>
      <c r="B329" s="61">
        <v>680.73399999999992</v>
      </c>
      <c r="C329" s="62">
        <v>682.25702943889996</v>
      </c>
    </row>
    <row r="330" spans="1:7" x14ac:dyDescent="0.2">
      <c r="A330" s="28">
        <f t="shared" si="2"/>
        <v>2020.09</v>
      </c>
      <c r="B330" s="61">
        <v>680.226</v>
      </c>
      <c r="C330" s="62">
        <v>680.10552336103513</v>
      </c>
    </row>
    <row r="331" spans="1:7" x14ac:dyDescent="0.2">
      <c r="A331" s="28">
        <f t="shared" si="2"/>
        <v>2020.1</v>
      </c>
      <c r="B331" s="61">
        <v>681.37199999999996</v>
      </c>
      <c r="C331" s="62">
        <v>680.42473521961028</v>
      </c>
    </row>
    <row r="332" spans="1:7" x14ac:dyDescent="0.2">
      <c r="A332" s="28">
        <f t="shared" si="2"/>
        <v>2020.11</v>
      </c>
      <c r="B332" s="61">
        <v>684.84299999999996</v>
      </c>
      <c r="C332" s="62">
        <v>681.77913286912928</v>
      </c>
    </row>
    <row r="333" spans="1:7" x14ac:dyDescent="0.2">
      <c r="A333" s="28">
        <f t="shared" si="2"/>
        <v>2020.12</v>
      </c>
      <c r="B333" s="61">
        <v>686.67499999999995</v>
      </c>
      <c r="C333" s="62">
        <v>683.02944070766944</v>
      </c>
    </row>
    <row r="334" spans="1:7" x14ac:dyDescent="0.2">
      <c r="A334" s="28">
        <f t="shared" si="2"/>
        <v>2021.01</v>
      </c>
      <c r="B334" s="61">
        <v>688.07199999999989</v>
      </c>
      <c r="C334" s="62">
        <v>686.27856688157283</v>
      </c>
      <c r="E334" s="30"/>
    </row>
    <row r="335" spans="1:7" x14ac:dyDescent="0.2">
      <c r="A335" s="28">
        <f t="shared" si="2"/>
        <v>2021.02</v>
      </c>
      <c r="B335" s="61">
        <v>688.10699999999997</v>
      </c>
      <c r="C335" s="62">
        <v>690.76438339870799</v>
      </c>
      <c r="E335" s="30"/>
      <c r="F335" s="30"/>
    </row>
    <row r="336" spans="1:7" x14ac:dyDescent="0.2">
      <c r="A336" s="28">
        <f t="shared" si="2"/>
        <v>2021.03</v>
      </c>
      <c r="B336" s="61">
        <v>690.68600000000004</v>
      </c>
      <c r="C336" s="62">
        <v>694.43785924278177</v>
      </c>
      <c r="E336" s="30"/>
      <c r="F336" s="30"/>
    </row>
    <row r="337" spans="1:6" x14ac:dyDescent="0.2">
      <c r="A337" s="28">
        <f t="shared" si="2"/>
        <v>2021.04</v>
      </c>
      <c r="B337" s="61">
        <v>696.70900000000006</v>
      </c>
      <c r="C337" s="62">
        <v>696.19785759054594</v>
      </c>
      <c r="E337" s="30"/>
      <c r="F337" s="30"/>
    </row>
    <row r="338" spans="1:6" x14ac:dyDescent="0.2">
      <c r="A338" s="28">
        <f t="shared" si="2"/>
        <v>2021.05</v>
      </c>
      <c r="B338" s="61">
        <v>699.40899999999999</v>
      </c>
      <c r="C338" s="62">
        <v>697.46955763788264</v>
      </c>
    </row>
    <row r="339" spans="1:6" x14ac:dyDescent="0.2">
      <c r="A339" s="28">
        <f t="shared" si="2"/>
        <v>2021.06</v>
      </c>
      <c r="B339" s="61">
        <v>697.71</v>
      </c>
      <c r="C339" s="62">
        <v>698.76307595780872</v>
      </c>
    </row>
    <row r="340" spans="1:6" x14ac:dyDescent="0.2">
      <c r="A340" s="28">
        <f t="shared" si="2"/>
        <v>2021.07</v>
      </c>
      <c r="B340" s="61">
        <v>696.5630000000001</v>
      </c>
      <c r="C340" s="62">
        <v>698.26495623412177</v>
      </c>
    </row>
    <row r="341" spans="1:6" x14ac:dyDescent="0.2">
      <c r="A341" s="28">
        <f t="shared" si="2"/>
        <v>2021.08</v>
      </c>
      <c r="B341" s="61">
        <v>697.24300000000005</v>
      </c>
      <c r="C341" s="62">
        <v>698.52491355536324</v>
      </c>
    </row>
    <row r="342" spans="1:6" x14ac:dyDescent="0.2">
      <c r="A342" s="28">
        <f t="shared" si="2"/>
        <v>2021.09</v>
      </c>
      <c r="B342" s="61">
        <v>700.86700000000008</v>
      </c>
      <c r="C342" s="62">
        <v>700.47006068510007</v>
      </c>
    </row>
    <row r="343" spans="1:6" x14ac:dyDescent="0.2">
      <c r="A343" s="28">
        <f t="shared" si="2"/>
        <v>2021.1</v>
      </c>
      <c r="B343" s="61">
        <v>705.68499999999995</v>
      </c>
      <c r="C343" s="62">
        <v>702.01179136585324</v>
      </c>
    </row>
    <row r="344" spans="1:6" x14ac:dyDescent="0.2">
      <c r="A344" s="28">
        <f t="shared" si="2"/>
        <v>2021.11</v>
      </c>
      <c r="B344" s="61">
        <v>703.34199999999987</v>
      </c>
      <c r="C344" s="62">
        <v>703.3485771492484</v>
      </c>
    </row>
    <row r="345" spans="1:6" x14ac:dyDescent="0.2">
      <c r="A345" s="28">
        <f t="shared" si="2"/>
        <v>2021.12</v>
      </c>
      <c r="B345" s="61">
        <v>713.20100000000002</v>
      </c>
      <c r="C345" s="62">
        <v>706.45732428917836</v>
      </c>
    </row>
    <row r="346" spans="1:6" x14ac:dyDescent="0.2">
      <c r="A346" s="28">
        <f t="shared" si="2"/>
        <v>2022.01</v>
      </c>
      <c r="B346" s="61">
        <v>709.97</v>
      </c>
      <c r="C346" s="62">
        <v>708.21590725006263</v>
      </c>
    </row>
    <row r="347" spans="1:6" x14ac:dyDescent="0.2">
      <c r="A347" s="28">
        <f t="shared" si="2"/>
        <v>2022.02</v>
      </c>
      <c r="B347" s="61">
        <v>704.44600000000003</v>
      </c>
      <c r="C347" s="62">
        <v>708.34630763350572</v>
      </c>
    </row>
    <row r="348" spans="1:6" x14ac:dyDescent="0.2">
      <c r="A348" s="28">
        <f t="shared" si="2"/>
        <v>2022.03</v>
      </c>
      <c r="B348" s="61">
        <v>704.46800000000007</v>
      </c>
      <c r="C348" s="62">
        <v>708.56558991238933</v>
      </c>
    </row>
    <row r="349" spans="1:6" x14ac:dyDescent="0.2">
      <c r="A349" s="28">
        <f t="shared" si="2"/>
        <v>2022.04</v>
      </c>
      <c r="B349" s="61">
        <v>712.55500000000006</v>
      </c>
      <c r="C349" s="62">
        <v>712.00527836826097</v>
      </c>
    </row>
    <row r="350" spans="1:6" x14ac:dyDescent="0.2">
      <c r="A350" s="28">
        <f t="shared" si="2"/>
        <v>2022.05</v>
      </c>
      <c r="B350" s="61">
        <v>714.54399999999998</v>
      </c>
      <c r="C350" s="62">
        <v>714.59760302321502</v>
      </c>
    </row>
    <row r="351" spans="1:6" x14ac:dyDescent="0.2">
      <c r="A351" s="28">
        <f t="shared" si="2"/>
        <v>2022.06</v>
      </c>
      <c r="B351" s="61">
        <v>715.23</v>
      </c>
      <c r="C351" s="62">
        <v>716.32513964130601</v>
      </c>
    </row>
    <row r="352" spans="1:6" x14ac:dyDescent="0.2">
      <c r="A352" s="28">
        <f t="shared" si="2"/>
        <v>2022.07</v>
      </c>
      <c r="B352" s="61">
        <v>717.35100000000011</v>
      </c>
      <c r="C352" s="62">
        <v>719.26330102995041</v>
      </c>
    </row>
    <row r="353" spans="1:3" x14ac:dyDescent="0.2">
      <c r="A353" s="28">
        <f t="shared" si="2"/>
        <v>2022.08</v>
      </c>
      <c r="B353" s="61">
        <v>720.50600000000009</v>
      </c>
      <c r="C353" s="62">
        <v>721.74819942365252</v>
      </c>
    </row>
    <row r="354" spans="1:3" x14ac:dyDescent="0.2">
      <c r="A354" s="28">
        <f t="shared" si="2"/>
        <v>2022.09</v>
      </c>
      <c r="B354" s="61">
        <v>721.40200000000004</v>
      </c>
      <c r="C354" s="62">
        <v>721.05743844741983</v>
      </c>
    </row>
    <row r="355" spans="1:3" x14ac:dyDescent="0.2">
      <c r="A355" s="28">
        <f t="shared" si="2"/>
        <v>2022.1</v>
      </c>
      <c r="B355" s="61">
        <v>724.19600000000014</v>
      </c>
      <c r="C355" s="62">
        <v>722.79857710769738</v>
      </c>
    </row>
    <row r="356" spans="1:3" x14ac:dyDescent="0.2">
      <c r="A356" s="28">
        <f t="shared" si="2"/>
        <v>2022.11</v>
      </c>
      <c r="B356" s="61">
        <v>727.60799999999995</v>
      </c>
      <c r="C356" s="62">
        <v>724.55830635999075</v>
      </c>
    </row>
    <row r="357" spans="1:3" x14ac:dyDescent="0.2">
      <c r="A357" s="28">
        <f t="shared" si="2"/>
        <v>2022.12</v>
      </c>
      <c r="B357" s="61">
        <v>730.70699999999999</v>
      </c>
      <c r="C357" s="62">
        <v>726.23030423479588</v>
      </c>
    </row>
    <row r="358" spans="1:3" x14ac:dyDescent="0.2">
      <c r="A358" s="28">
        <f t="shared" si="2"/>
        <v>2023.01</v>
      </c>
      <c r="B358" s="61">
        <v>728.6099999999999</v>
      </c>
      <c r="C358" s="62">
        <v>726.68144052007381</v>
      </c>
    </row>
    <row r="359" spans="1:3" x14ac:dyDescent="0.2">
      <c r="A359" s="28">
        <f t="shared" si="2"/>
        <v>2023.02</v>
      </c>
      <c r="B359" s="61">
        <v>727.42100000000005</v>
      </c>
      <c r="C359" s="62">
        <v>729.58987106354232</v>
      </c>
    </row>
    <row r="360" spans="1:3" x14ac:dyDescent="0.2">
      <c r="A360" s="28">
        <f t="shared" si="2"/>
        <v>2023.03</v>
      </c>
      <c r="B360" s="61">
        <v>727.51300000000003</v>
      </c>
      <c r="C360" s="62">
        <v>732.04307759079529</v>
      </c>
    </row>
    <row r="361" spans="1:3" x14ac:dyDescent="0.2">
      <c r="A361" s="28">
        <f t="shared" si="2"/>
        <v>2023.04</v>
      </c>
      <c r="B361" s="61">
        <v>735.28499999999997</v>
      </c>
      <c r="C361" s="62">
        <v>734.73152648305586</v>
      </c>
    </row>
    <row r="362" spans="1:3" x14ac:dyDescent="0.2">
      <c r="A362" s="28">
        <f t="shared" si="2"/>
        <v>2023.05</v>
      </c>
      <c r="B362" s="61">
        <v>736.94800000000009</v>
      </c>
      <c r="C362" s="62">
        <v>738.10965970153143</v>
      </c>
    </row>
    <row r="363" spans="1:3" x14ac:dyDescent="0.2">
      <c r="A363" s="28">
        <f t="shared" si="2"/>
        <v>2023.06</v>
      </c>
      <c r="B363" s="61">
        <v>738.00199999999995</v>
      </c>
      <c r="C363" s="62">
        <v>740.97793370412774</v>
      </c>
    </row>
    <row r="364" spans="1:3" x14ac:dyDescent="0.2">
      <c r="A364" s="28">
        <f t="shared" si="2"/>
        <v>2023.07</v>
      </c>
      <c r="B364" s="61">
        <v>741.02500000000009</v>
      </c>
      <c r="C364" s="62">
        <v>743.17364207898424</v>
      </c>
    </row>
    <row r="365" spans="1:3" x14ac:dyDescent="0.2">
      <c r="A365" s="28">
        <f t="shared" si="2"/>
        <v>2023.08</v>
      </c>
      <c r="B365" s="61">
        <v>745.02500000000009</v>
      </c>
      <c r="C365" s="62">
        <v>746.22831490950944</v>
      </c>
    </row>
    <row r="366" spans="1:3" x14ac:dyDescent="0.2">
      <c r="A366" s="28">
        <f t="shared" si="2"/>
        <v>2023.09</v>
      </c>
      <c r="B366" s="61">
        <v>750.84100000000001</v>
      </c>
      <c r="C366" s="62">
        <v>749.34269766547436</v>
      </c>
    </row>
    <row r="367" spans="1:3" x14ac:dyDescent="0.2">
      <c r="A367" s="28">
        <f t="shared" si="2"/>
        <v>2023.1</v>
      </c>
      <c r="B367" s="61">
        <v>752.03800000000001</v>
      </c>
      <c r="C367" s="62">
        <v>750.385312703453</v>
      </c>
    </row>
    <row r="368" spans="1:3" x14ac:dyDescent="0.2">
      <c r="A368" s="28">
        <f t="shared" si="2"/>
        <v>2023.11</v>
      </c>
      <c r="B368" s="61">
        <v>753.48200000000008</v>
      </c>
      <c r="C368" s="62">
        <v>750.40560929059689</v>
      </c>
    </row>
    <row r="369" spans="1:3" x14ac:dyDescent="0.2">
      <c r="A369" s="28">
        <f t="shared" si="2"/>
        <v>2023.12</v>
      </c>
      <c r="B369" s="61">
        <v>754.072</v>
      </c>
      <c r="C369" s="62">
        <v>749.25344804881877</v>
      </c>
    </row>
    <row r="370" spans="1:3" x14ac:dyDescent="0.2">
      <c r="A370" s="28">
        <f t="shared" ref="A370:A405" si="3">A358+1</f>
        <v>2024.01</v>
      </c>
      <c r="B370" s="61">
        <v>749.68700000000001</v>
      </c>
      <c r="C370" s="62">
        <v>747.56239583506976</v>
      </c>
    </row>
    <row r="371" spans="1:3" x14ac:dyDescent="0.2">
      <c r="A371" s="28">
        <f t="shared" si="3"/>
        <v>2024.02</v>
      </c>
      <c r="B371" s="61">
        <v>741.45100000000002</v>
      </c>
      <c r="C371" s="62">
        <v>744.75728805274957</v>
      </c>
    </row>
    <row r="372" spans="1:3" x14ac:dyDescent="0.2">
      <c r="A372" s="28">
        <f t="shared" si="3"/>
        <v>2024.03</v>
      </c>
      <c r="B372" s="61">
        <v>738.03599999999994</v>
      </c>
      <c r="C372" s="62">
        <v>742.57903525204676</v>
      </c>
    </row>
    <row r="373" spans="1:3" x14ac:dyDescent="0.2">
      <c r="A373" s="28">
        <f t="shared" si="3"/>
        <v>2024.04</v>
      </c>
      <c r="B373" s="61">
        <v>738.79300000000001</v>
      </c>
      <c r="C373" s="62">
        <v>740.25412312596268</v>
      </c>
    </row>
    <row r="374" spans="1:3" x14ac:dyDescent="0.2">
      <c r="A374" s="28">
        <f t="shared" si="3"/>
        <v>2024.05</v>
      </c>
      <c r="B374" s="61">
        <v>737.62499999999989</v>
      </c>
      <c r="C374" s="62">
        <v>737.66516808254801</v>
      </c>
    </row>
    <row r="375" spans="1:3" x14ac:dyDescent="0.2">
      <c r="A375" s="28">
        <f t="shared" si="3"/>
        <v>2024.06</v>
      </c>
      <c r="B375" s="61">
        <v>734.67099999999994</v>
      </c>
      <c r="C375" s="62">
        <v>735.4210356258294</v>
      </c>
    </row>
    <row r="376" spans="1:3" x14ac:dyDescent="0.2">
      <c r="A376" s="28">
        <f t="shared" si="3"/>
        <v>2024.07</v>
      </c>
      <c r="B376" s="61">
        <v>731.99499999999989</v>
      </c>
      <c r="C376" s="62">
        <v>733.74659688401255</v>
      </c>
    </row>
    <row r="377" spans="1:3" x14ac:dyDescent="0.2">
      <c r="A377" s="28">
        <f t="shared" si="3"/>
        <v>2024.08</v>
      </c>
      <c r="B377" s="61">
        <v>731.33200000000011</v>
      </c>
      <c r="C377" s="62">
        <v>732.62738809528776</v>
      </c>
    </row>
    <row r="378" spans="1:3" x14ac:dyDescent="0.2">
      <c r="A378" s="28">
        <f t="shared" si="3"/>
        <v>2024.09</v>
      </c>
      <c r="B378" s="61">
        <v>732.93399999999997</v>
      </c>
      <c r="C378" s="62">
        <v>732.74160357115704</v>
      </c>
    </row>
    <row r="379" spans="1:3" x14ac:dyDescent="0.2">
      <c r="A379" s="28">
        <f>A367+1</f>
        <v>2024.1</v>
      </c>
      <c r="B379" s="61">
        <v>734.3119999999999</v>
      </c>
      <c r="C379" s="62">
        <v>732.79306741621656</v>
      </c>
    </row>
    <row r="380" spans="1:3" x14ac:dyDescent="0.2">
      <c r="A380" s="28">
        <f t="shared" si="3"/>
        <v>2024.11</v>
      </c>
      <c r="B380" s="61">
        <v>737.8900000000001</v>
      </c>
      <c r="C380" s="62">
        <v>733.12742393526446</v>
      </c>
    </row>
    <row r="381" spans="1:3" x14ac:dyDescent="0.2">
      <c r="A381" s="28">
        <f t="shared" si="3"/>
        <v>2024.12</v>
      </c>
      <c r="B381" s="61">
        <v>739.24753333333308</v>
      </c>
      <c r="C381" s="62">
        <v>734.7944435844712</v>
      </c>
    </row>
    <row r="382" spans="1:3" x14ac:dyDescent="0.2">
      <c r="A382" s="28">
        <f t="shared" si="3"/>
        <v>2025.01</v>
      </c>
      <c r="B382" s="61">
        <v>736.82</v>
      </c>
      <c r="C382" s="62">
        <v>734.60953575002748</v>
      </c>
    </row>
    <row r="383" spans="1:3" x14ac:dyDescent="0.2">
      <c r="A383" s="28">
        <f t="shared" si="3"/>
        <v>2025.02</v>
      </c>
      <c r="B383" s="61">
        <v>731.34699999999998</v>
      </c>
      <c r="C383" s="62">
        <v>734.69918354911522</v>
      </c>
    </row>
    <row r="384" spans="1:3" x14ac:dyDescent="0.2">
      <c r="A384" s="28">
        <f t="shared" si="3"/>
        <v>2025.03</v>
      </c>
      <c r="B384" s="61">
        <v>730.83800000000008</v>
      </c>
      <c r="C384" s="62">
        <v>735.2625727386004</v>
      </c>
    </row>
    <row r="385" spans="1:3" x14ac:dyDescent="0.2">
      <c r="A385" s="28">
        <f t="shared" si="3"/>
        <v>2025.04</v>
      </c>
      <c r="B385" s="61">
        <v>734.53700000000003</v>
      </c>
      <c r="C385" s="62">
        <v>735.99822190275006</v>
      </c>
    </row>
    <row r="386" spans="1:3" x14ac:dyDescent="0.2">
      <c r="A386" s="28">
        <f t="shared" si="3"/>
        <v>2025.05</v>
      </c>
      <c r="B386" s="61">
        <v>739.09</v>
      </c>
      <c r="C386" s="62">
        <v>737.21302808604833</v>
      </c>
    </row>
    <row r="387" spans="1:3" x14ac:dyDescent="0.2">
      <c r="A387" s="28">
        <f t="shared" si="3"/>
        <v>2025.06</v>
      </c>
      <c r="B387" s="61">
        <v>737.65800000000002</v>
      </c>
      <c r="C387" s="62">
        <v>738.22911293859624</v>
      </c>
    </row>
    <row r="388" spans="1:3" x14ac:dyDescent="0.2">
      <c r="A388" s="28">
        <f t="shared" si="3"/>
        <v>2025.07</v>
      </c>
      <c r="B388" s="61">
        <v>739.27699999999993</v>
      </c>
      <c r="C388" s="62">
        <v>739.10596964625915</v>
      </c>
    </row>
    <row r="389" spans="1:3" x14ac:dyDescent="0.2">
      <c r="A389" s="28">
        <f t="shared" si="3"/>
        <v>2025.08</v>
      </c>
      <c r="B389" s="61">
        <v>735.95300000000009</v>
      </c>
      <c r="C389" s="62">
        <v>738.26429542109975</v>
      </c>
    </row>
    <row r="390" spans="1:3" x14ac:dyDescent="0.2">
      <c r="A390" s="28">
        <f t="shared" si="3"/>
        <v>2025.09</v>
      </c>
      <c r="B390" s="61">
        <v>736.24</v>
      </c>
      <c r="C390" s="62">
        <v>736.90493710241037</v>
      </c>
    </row>
    <row r="391" spans="1:3" x14ac:dyDescent="0.2">
      <c r="A391" s="28">
        <f t="shared" si="3"/>
        <v>2025.1</v>
      </c>
      <c r="B391" s="61">
        <v>737.72199999999998</v>
      </c>
      <c r="C391" s="62">
        <v>736.77332675471587</v>
      </c>
    </row>
    <row r="392" spans="1:3" x14ac:dyDescent="0.2">
      <c r="A392" s="28">
        <f t="shared" si="3"/>
        <v>2025.11</v>
      </c>
      <c r="B392" s="61">
        <v>741.47400000000005</v>
      </c>
      <c r="C392" s="62">
        <v>735.94846661726899</v>
      </c>
    </row>
    <row r="393" spans="1:3" x14ac:dyDescent="0.2">
      <c r="A393" s="28">
        <f t="shared" si="3"/>
        <v>2025.12</v>
      </c>
      <c r="B393" s="61">
        <v>738.85876666666695</v>
      </c>
      <c r="C393" s="62">
        <v>734.85647770258549</v>
      </c>
    </row>
    <row r="394" spans="1:3" x14ac:dyDescent="0.2">
      <c r="A394" s="28">
        <f t="shared" si="3"/>
        <v>2026.01</v>
      </c>
      <c r="B394" s="61">
        <v>738.800518643082</v>
      </c>
      <c r="C394" s="62">
        <v>736.62069757515496</v>
      </c>
    </row>
    <row r="395" spans="1:3" x14ac:dyDescent="0.2">
      <c r="A395" s="28">
        <f t="shared" si="3"/>
        <v>2026.02</v>
      </c>
      <c r="B395" s="61">
        <v>733.80238461732995</v>
      </c>
      <c r="C395" s="62">
        <v>737.13438536176329</v>
      </c>
    </row>
    <row r="396" spans="1:3" x14ac:dyDescent="0.2">
      <c r="A396" s="28">
        <f t="shared" si="3"/>
        <v>2026.03</v>
      </c>
      <c r="B396" s="61">
        <v>733.46581773148102</v>
      </c>
      <c r="C396" s="62">
        <v>737.6768133299056</v>
      </c>
    </row>
    <row r="397" spans="1:3" x14ac:dyDescent="0.2">
      <c r="A397" s="28">
        <f t="shared" si="3"/>
        <v>2026.04</v>
      </c>
      <c r="B397" s="61">
        <v>737.72379357082809</v>
      </c>
      <c r="C397" s="62">
        <v>737.29643469723521</v>
      </c>
    </row>
    <row r="398" spans="1:3" x14ac:dyDescent="0.2">
      <c r="A398" s="28">
        <f t="shared" si="3"/>
        <v>2026.05</v>
      </c>
      <c r="B398" s="61">
        <v>734.53141793145403</v>
      </c>
      <c r="C398" s="62">
        <v>736.33171844524725</v>
      </c>
    </row>
    <row r="399" spans="1:3" x14ac:dyDescent="0.2">
      <c r="A399" s="28">
        <f t="shared" si="3"/>
        <v>2026.06</v>
      </c>
      <c r="B399" s="61">
        <v>735.43754443930311</v>
      </c>
      <c r="C399" s="62">
        <v>735.82825865853329</v>
      </c>
    </row>
    <row r="400" spans="1:3" x14ac:dyDescent="0.2">
      <c r="A400" s="28">
        <f t="shared" si="3"/>
        <v>2026.07</v>
      </c>
      <c r="B400" s="61">
        <v>733.53584373250692</v>
      </c>
      <c r="C400" s="62">
        <v>735.03586894131831</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91</v>
      </c>
      <c r="C2" s="25"/>
    </row>
    <row r="3" spans="1:6" s="3" customFormat="1" ht="45" x14ac:dyDescent="0.2">
      <c r="A3" s="76" t="s">
        <v>8</v>
      </c>
      <c r="B3" s="16" t="s">
        <v>92</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111</v>
      </c>
      <c r="C7" s="47" t="s">
        <v>111</v>
      </c>
    </row>
    <row r="8" spans="1:6" s="3" customFormat="1" x14ac:dyDescent="0.2">
      <c r="A8" s="81" t="s">
        <v>23</v>
      </c>
      <c r="B8" s="89" t="s">
        <v>25</v>
      </c>
      <c r="C8" s="91" t="s">
        <v>39</v>
      </c>
    </row>
    <row r="9" spans="1:6" s="4" customFormat="1" ht="13.5" thickBot="1" x14ac:dyDescent="0.25">
      <c r="A9" s="82"/>
      <c r="B9" s="27"/>
      <c r="C9" s="49"/>
    </row>
    <row r="10" spans="1:6" s="4" customFormat="1" x14ac:dyDescent="0.2">
      <c r="A10" s="28">
        <v>1994.01</v>
      </c>
      <c r="B10" s="50"/>
      <c r="C10" s="60">
        <v>190.28832964473676</v>
      </c>
      <c r="E10" s="33"/>
      <c r="F10" s="33"/>
    </row>
    <row r="11" spans="1:6" s="4" customFormat="1" x14ac:dyDescent="0.2">
      <c r="A11" s="28">
        <v>1994.02</v>
      </c>
      <c r="B11" s="51"/>
      <c r="C11" s="62">
        <v>192.40554016623332</v>
      </c>
      <c r="E11" s="33"/>
      <c r="F11" s="33"/>
    </row>
    <row r="12" spans="1:6" s="4" customFormat="1" x14ac:dyDescent="0.2">
      <c r="A12" s="28">
        <v>1994.03</v>
      </c>
      <c r="B12" s="51"/>
      <c r="C12" s="62">
        <v>192.13775963909526</v>
      </c>
      <c r="E12" s="33"/>
      <c r="F12" s="33"/>
    </row>
    <row r="13" spans="1:6" s="4" customFormat="1" x14ac:dyDescent="0.2">
      <c r="A13" s="28">
        <v>1994.04</v>
      </c>
      <c r="B13" s="51"/>
      <c r="C13" s="62">
        <v>186.3467892053346</v>
      </c>
      <c r="E13" s="33"/>
      <c r="F13" s="33"/>
    </row>
    <row r="14" spans="1:6" s="4" customFormat="1" x14ac:dyDescent="0.2">
      <c r="A14" s="28">
        <v>1994.05</v>
      </c>
      <c r="B14" s="51"/>
      <c r="C14" s="62">
        <v>176.0461490959182</v>
      </c>
      <c r="E14" s="33"/>
      <c r="F14" s="33"/>
    </row>
    <row r="15" spans="1:6" s="4" customFormat="1" x14ac:dyDescent="0.2">
      <c r="A15" s="28">
        <v>1994.06</v>
      </c>
      <c r="B15" s="51"/>
      <c r="C15" s="62">
        <v>163.12556551181629</v>
      </c>
      <c r="E15" s="33"/>
      <c r="F15" s="33"/>
    </row>
    <row r="16" spans="1:6" s="4" customFormat="1" x14ac:dyDescent="0.2">
      <c r="A16" s="28">
        <v>1994.07</v>
      </c>
      <c r="B16" s="51"/>
      <c r="C16" s="62">
        <v>149.67458536586022</v>
      </c>
      <c r="E16" s="33"/>
      <c r="F16" s="33"/>
    </row>
    <row r="17" spans="1:6" s="4" customFormat="1" x14ac:dyDescent="0.2">
      <c r="A17" s="28">
        <v>1994.08</v>
      </c>
      <c r="B17" s="51"/>
      <c r="C17" s="62">
        <v>137.73574029536462</v>
      </c>
      <c r="E17" s="33"/>
      <c r="F17" s="33"/>
    </row>
    <row r="18" spans="1:6" s="4" customFormat="1" x14ac:dyDescent="0.2">
      <c r="A18" s="28">
        <v>1994.09</v>
      </c>
      <c r="B18" s="51"/>
      <c r="C18" s="62">
        <v>128.4662906709635</v>
      </c>
      <c r="E18" s="33"/>
      <c r="F18" s="33"/>
    </row>
    <row r="19" spans="1:6" s="4" customFormat="1" x14ac:dyDescent="0.2">
      <c r="A19" s="28">
        <v>1994.1</v>
      </c>
      <c r="B19" s="51"/>
      <c r="C19" s="62">
        <v>121.99862552318876</v>
      </c>
      <c r="E19" s="33"/>
      <c r="F19" s="33"/>
    </row>
    <row r="20" spans="1:6" s="4" customFormat="1" x14ac:dyDescent="0.2">
      <c r="A20" s="28">
        <v>1994.11</v>
      </c>
      <c r="B20" s="51"/>
      <c r="C20" s="62">
        <v>118.04608641561499</v>
      </c>
      <c r="E20" s="33"/>
      <c r="F20" s="33"/>
    </row>
    <row r="21" spans="1:6" s="4" customFormat="1" x14ac:dyDescent="0.2">
      <c r="A21" s="28">
        <v>1994.12</v>
      </c>
      <c r="B21" s="51"/>
      <c r="C21" s="62">
        <v>115.63800682154677</v>
      </c>
      <c r="E21" s="33"/>
      <c r="F21" s="33"/>
    </row>
    <row r="22" spans="1:6" x14ac:dyDescent="0.2">
      <c r="A22" s="28">
        <v>1995.01</v>
      </c>
      <c r="B22" s="51"/>
      <c r="C22" s="62">
        <v>113.12820946115013</v>
      </c>
      <c r="E22" s="34"/>
      <c r="F22" s="33"/>
    </row>
    <row r="23" spans="1:6" x14ac:dyDescent="0.2">
      <c r="A23" s="28">
        <v>1995.02</v>
      </c>
      <c r="B23" s="51"/>
      <c r="C23" s="62">
        <v>109.49477104358023</v>
      </c>
      <c r="E23" s="34"/>
      <c r="F23" s="33"/>
    </row>
    <row r="24" spans="1:6" x14ac:dyDescent="0.2">
      <c r="A24" s="28">
        <v>1995.03</v>
      </c>
      <c r="B24" s="51"/>
      <c r="C24" s="62">
        <v>104.85002826124864</v>
      </c>
      <c r="E24" s="34"/>
      <c r="F24" s="33"/>
    </row>
    <row r="25" spans="1:6" x14ac:dyDescent="0.2">
      <c r="A25" s="28">
        <v>1995.04</v>
      </c>
      <c r="B25" s="51"/>
      <c r="C25" s="62">
        <v>99.741897474722322</v>
      </c>
      <c r="E25" s="34"/>
      <c r="F25" s="33"/>
    </row>
    <row r="26" spans="1:6" x14ac:dyDescent="0.2">
      <c r="A26" s="28">
        <v>1995.05</v>
      </c>
      <c r="B26" s="51"/>
      <c r="C26" s="62">
        <v>94.782776185476493</v>
      </c>
      <c r="E26" s="34"/>
      <c r="F26" s="33"/>
    </row>
    <row r="27" spans="1:6" x14ac:dyDescent="0.2">
      <c r="A27" s="28">
        <v>1995.06</v>
      </c>
      <c r="B27" s="51"/>
      <c r="C27" s="62">
        <v>90.53803916723011</v>
      </c>
      <c r="E27" s="34"/>
      <c r="F27" s="33"/>
    </row>
    <row r="28" spans="1:6" x14ac:dyDescent="0.2">
      <c r="A28" s="28">
        <v>1995.07</v>
      </c>
      <c r="B28" s="51"/>
      <c r="C28" s="62">
        <v>87.0141010628343</v>
      </c>
      <c r="E28" s="34"/>
      <c r="F28" s="33"/>
    </row>
    <row r="29" spans="1:6" x14ac:dyDescent="0.2">
      <c r="A29" s="28">
        <v>1995.08</v>
      </c>
      <c r="B29" s="51"/>
      <c r="C29" s="62">
        <v>83.4787888405519</v>
      </c>
      <c r="E29" s="34"/>
      <c r="F29" s="33"/>
    </row>
    <row r="30" spans="1:6" x14ac:dyDescent="0.2">
      <c r="A30" s="28">
        <v>1995.09</v>
      </c>
      <c r="B30" s="51"/>
      <c r="C30" s="62">
        <v>79.27558226837408</v>
      </c>
      <c r="E30" s="34"/>
      <c r="F30" s="33"/>
    </row>
    <row r="31" spans="1:6" x14ac:dyDescent="0.2">
      <c r="A31" s="28">
        <v>1995.1</v>
      </c>
      <c r="B31" s="51"/>
      <c r="C31" s="62">
        <v>74.468365359965389</v>
      </c>
      <c r="E31" s="34"/>
      <c r="F31" s="33"/>
    </row>
    <row r="32" spans="1:6" x14ac:dyDescent="0.2">
      <c r="A32" s="28">
        <v>1995.11</v>
      </c>
      <c r="B32" s="51"/>
      <c r="C32" s="62">
        <v>69.734238917144509</v>
      </c>
      <c r="E32" s="34"/>
      <c r="F32" s="33"/>
    </row>
    <row r="33" spans="1:6" x14ac:dyDescent="0.2">
      <c r="A33" s="28">
        <v>1995.12</v>
      </c>
      <c r="B33" s="51"/>
      <c r="C33" s="62">
        <v>66.153349277582848</v>
      </c>
      <c r="E33" s="34"/>
      <c r="F33" s="33"/>
    </row>
    <row r="34" spans="1:6" x14ac:dyDescent="0.2">
      <c r="A34" s="28">
        <v>1996.01</v>
      </c>
      <c r="B34" s="51"/>
      <c r="C34" s="62">
        <v>64.388070620697079</v>
      </c>
      <c r="E34" s="34"/>
      <c r="F34" s="33"/>
    </row>
    <row r="35" spans="1:6" x14ac:dyDescent="0.2">
      <c r="A35" s="28">
        <v>1996.02</v>
      </c>
      <c r="B35" s="51"/>
      <c r="C35" s="62">
        <v>63.891429471082276</v>
      </c>
      <c r="E35" s="34"/>
      <c r="F35" s="33"/>
    </row>
    <row r="36" spans="1:6" x14ac:dyDescent="0.2">
      <c r="A36" s="28">
        <v>1996.03</v>
      </c>
      <c r="B36" s="51"/>
      <c r="C36" s="62">
        <v>63.78202851862779</v>
      </c>
      <c r="E36" s="34"/>
      <c r="F36" s="33"/>
    </row>
    <row r="37" spans="1:6" x14ac:dyDescent="0.2">
      <c r="A37" s="28">
        <v>1996.04</v>
      </c>
      <c r="B37" s="51"/>
      <c r="C37" s="62">
        <v>63.793556691397157</v>
      </c>
      <c r="E37" s="34"/>
      <c r="F37" s="33"/>
    </row>
    <row r="38" spans="1:6" x14ac:dyDescent="0.2">
      <c r="A38" s="28">
        <v>1996.05</v>
      </c>
      <c r="B38" s="51"/>
      <c r="C38" s="62">
        <v>63.946793906390475</v>
      </c>
      <c r="E38" s="34"/>
      <c r="F38" s="33"/>
    </row>
    <row r="39" spans="1:6" x14ac:dyDescent="0.2">
      <c r="A39" s="28">
        <v>1996.06</v>
      </c>
      <c r="B39" s="51"/>
      <c r="C39" s="62">
        <v>64.192968437483842</v>
      </c>
      <c r="E39" s="34"/>
      <c r="F39" s="33"/>
    </row>
    <row r="40" spans="1:6" x14ac:dyDescent="0.2">
      <c r="A40" s="28">
        <v>1996.07</v>
      </c>
      <c r="B40" s="51"/>
      <c r="C40" s="62">
        <v>64.446365899565308</v>
      </c>
      <c r="E40" s="34"/>
      <c r="F40" s="33"/>
    </row>
    <row r="41" spans="1:6" x14ac:dyDescent="0.2">
      <c r="A41" s="28">
        <v>1996.08</v>
      </c>
      <c r="B41" s="51"/>
      <c r="C41" s="62">
        <v>64.647106969713263</v>
      </c>
      <c r="E41" s="34"/>
      <c r="F41" s="33"/>
    </row>
    <row r="42" spans="1:6" x14ac:dyDescent="0.2">
      <c r="A42" s="28">
        <v>1996.09</v>
      </c>
      <c r="B42" s="51"/>
      <c r="C42" s="62">
        <v>64.792107717295011</v>
      </c>
      <c r="E42" s="34"/>
      <c r="F42" s="33"/>
    </row>
    <row r="43" spans="1:6" x14ac:dyDescent="0.2">
      <c r="A43" s="28">
        <v>1996.1</v>
      </c>
      <c r="B43" s="51"/>
      <c r="C43" s="62">
        <v>64.931168768988371</v>
      </c>
      <c r="E43" s="34"/>
      <c r="F43" s="33"/>
    </row>
    <row r="44" spans="1:6" x14ac:dyDescent="0.2">
      <c r="A44" s="28">
        <v>1996.11</v>
      </c>
      <c r="B44" s="51"/>
      <c r="C44" s="62">
        <v>65.142208485313134</v>
      </c>
      <c r="E44" s="34"/>
      <c r="F44" s="33"/>
    </row>
    <row r="45" spans="1:6" x14ac:dyDescent="0.2">
      <c r="A45" s="28">
        <v>1996.12</v>
      </c>
      <c r="B45" s="51"/>
      <c r="C45" s="62">
        <v>65.487387758351076</v>
      </c>
      <c r="E45" s="34"/>
      <c r="F45" s="33"/>
    </row>
    <row r="46" spans="1:6" x14ac:dyDescent="0.2">
      <c r="A46" s="28">
        <v>1997.01</v>
      </c>
      <c r="B46" s="51"/>
      <c r="C46" s="62">
        <v>65.984974422329529</v>
      </c>
      <c r="E46" s="34"/>
      <c r="F46" s="33"/>
    </row>
    <row r="47" spans="1:6" x14ac:dyDescent="0.2">
      <c r="A47" s="28">
        <v>1997.02</v>
      </c>
      <c r="B47" s="51"/>
      <c r="C47" s="62">
        <v>66.602653031343493</v>
      </c>
      <c r="E47" s="34"/>
      <c r="F47" s="33"/>
    </row>
    <row r="48" spans="1:6" x14ac:dyDescent="0.2">
      <c r="A48" s="28">
        <v>1997.03</v>
      </c>
      <c r="B48" s="51"/>
      <c r="C48" s="62">
        <v>67.25849471960305</v>
      </c>
      <c r="E48" s="34"/>
      <c r="F48" s="33"/>
    </row>
    <row r="49" spans="1:6" x14ac:dyDescent="0.2">
      <c r="A49" s="28">
        <v>1997.04</v>
      </c>
      <c r="B49" s="51"/>
      <c r="C49" s="62">
        <v>67.851328942009047</v>
      </c>
      <c r="E49" s="34"/>
      <c r="F49" s="33"/>
    </row>
    <row r="50" spans="1:6" x14ac:dyDescent="0.2">
      <c r="A50" s="28">
        <v>1997.05</v>
      </c>
      <c r="B50" s="51"/>
      <c r="C50" s="62">
        <v>68.323246706285573</v>
      </c>
      <c r="E50" s="34"/>
      <c r="F50" s="33"/>
    </row>
    <row r="51" spans="1:6" x14ac:dyDescent="0.2">
      <c r="A51" s="28">
        <v>1997.06</v>
      </c>
      <c r="B51" s="51"/>
      <c r="C51" s="62">
        <v>68.699899284596199</v>
      </c>
      <c r="E51" s="34"/>
      <c r="F51" s="33"/>
    </row>
    <row r="52" spans="1:6" x14ac:dyDescent="0.2">
      <c r="A52" s="28">
        <v>1997.07</v>
      </c>
      <c r="B52" s="51"/>
      <c r="C52" s="62">
        <v>69.066967190346602</v>
      </c>
      <c r="E52" s="34"/>
      <c r="F52" s="33"/>
    </row>
    <row r="53" spans="1:6" x14ac:dyDescent="0.2">
      <c r="A53" s="28">
        <v>1997.08</v>
      </c>
      <c r="B53" s="51"/>
      <c r="C53" s="62">
        <v>69.50969350994194</v>
      </c>
      <c r="E53" s="34"/>
      <c r="F53" s="33"/>
    </row>
    <row r="54" spans="1:6" x14ac:dyDescent="0.2">
      <c r="A54" s="28">
        <v>1997.09</v>
      </c>
      <c r="B54" s="51"/>
      <c r="C54" s="62">
        <v>70.052311828910589</v>
      </c>
      <c r="E54" s="34"/>
      <c r="F54" s="33"/>
    </row>
    <row r="55" spans="1:6" x14ac:dyDescent="0.2">
      <c r="A55" s="28">
        <v>1997.1</v>
      </c>
      <c r="B55" s="51"/>
      <c r="C55" s="62">
        <v>70.638271817678088</v>
      </c>
      <c r="E55" s="34"/>
      <c r="F55" s="33"/>
    </row>
    <row r="56" spans="1:6" x14ac:dyDescent="0.2">
      <c r="A56" s="28">
        <v>1997.11</v>
      </c>
      <c r="B56" s="51"/>
      <c r="C56" s="62">
        <v>71.188212203570529</v>
      </c>
      <c r="E56" s="34"/>
      <c r="F56" s="33"/>
    </row>
    <row r="57" spans="1:6" x14ac:dyDescent="0.2">
      <c r="A57" s="28">
        <v>1997.12</v>
      </c>
      <c r="B57" s="51"/>
      <c r="C57" s="62">
        <v>71.662417833944545</v>
      </c>
      <c r="E57" s="34"/>
      <c r="F57" s="33"/>
    </row>
    <row r="58" spans="1:6" x14ac:dyDescent="0.2">
      <c r="A58" s="28">
        <v>1998.01</v>
      </c>
      <c r="B58" s="51"/>
      <c r="C58" s="62">
        <v>73.23899102629133</v>
      </c>
      <c r="E58" s="34"/>
      <c r="F58" s="33"/>
    </row>
    <row r="59" spans="1:6" x14ac:dyDescent="0.2">
      <c r="A59" s="28">
        <v>1998.02</v>
      </c>
      <c r="B59" s="51"/>
      <c r="C59" s="62">
        <v>74.850248828869752</v>
      </c>
      <c r="E59" s="34"/>
      <c r="F59" s="33"/>
    </row>
    <row r="60" spans="1:6" x14ac:dyDescent="0.2">
      <c r="A60" s="28">
        <v>1998.03</v>
      </c>
      <c r="B60" s="51"/>
      <c r="C60" s="62">
        <v>76.496954303104886</v>
      </c>
      <c r="E60" s="34"/>
      <c r="F60" s="33"/>
    </row>
    <row r="61" spans="1:6" x14ac:dyDescent="0.2">
      <c r="A61" s="28">
        <v>1998.04</v>
      </c>
      <c r="B61" s="51"/>
      <c r="C61" s="62">
        <v>78.179887297773192</v>
      </c>
      <c r="E61" s="34"/>
      <c r="F61" s="33"/>
    </row>
    <row r="62" spans="1:6" x14ac:dyDescent="0.2">
      <c r="A62" s="28">
        <v>1998.05</v>
      </c>
      <c r="B62" s="51"/>
      <c r="C62" s="62">
        <v>79.899844818324212</v>
      </c>
      <c r="E62" s="34"/>
      <c r="F62" s="33"/>
    </row>
    <row r="63" spans="1:6" x14ac:dyDescent="0.2">
      <c r="A63" s="28">
        <v>1998.06</v>
      </c>
      <c r="B63" s="51"/>
      <c r="C63" s="62">
        <v>81.65764140432735</v>
      </c>
      <c r="E63" s="34"/>
      <c r="F63" s="33"/>
    </row>
    <row r="64" spans="1:6" x14ac:dyDescent="0.2">
      <c r="A64" s="28">
        <v>1998.07</v>
      </c>
      <c r="B64" s="51"/>
      <c r="C64" s="62">
        <v>83.454109515222541</v>
      </c>
      <c r="E64" s="34"/>
      <c r="F64" s="33"/>
    </row>
    <row r="65" spans="1:6" x14ac:dyDescent="0.2">
      <c r="A65" s="28">
        <v>1998.08</v>
      </c>
      <c r="B65" s="51"/>
      <c r="C65" s="62">
        <v>85.290099924557438</v>
      </c>
      <c r="E65" s="34"/>
      <c r="F65" s="33"/>
    </row>
    <row r="66" spans="1:6" x14ac:dyDescent="0.2">
      <c r="A66" s="28">
        <v>1998.09</v>
      </c>
      <c r="B66" s="51"/>
      <c r="C66" s="62">
        <v>87.166482122897705</v>
      </c>
      <c r="E66" s="34"/>
      <c r="F66" s="33"/>
    </row>
    <row r="67" spans="1:6" x14ac:dyDescent="0.2">
      <c r="A67" s="28">
        <v>1998.1</v>
      </c>
      <c r="B67" s="51"/>
      <c r="C67" s="62">
        <v>89.084144729601462</v>
      </c>
      <c r="E67" s="34"/>
      <c r="F67" s="33"/>
    </row>
    <row r="68" spans="1:6" x14ac:dyDescent="0.2">
      <c r="A68" s="28">
        <v>1998.11</v>
      </c>
      <c r="B68" s="51"/>
      <c r="C68" s="62">
        <v>91.043995913652708</v>
      </c>
      <c r="E68" s="34"/>
      <c r="F68" s="33"/>
    </row>
    <row r="69" spans="1:6" x14ac:dyDescent="0.2">
      <c r="A69" s="28">
        <v>1998.12</v>
      </c>
      <c r="B69" s="51"/>
      <c r="C69" s="62">
        <v>93.046963823753089</v>
      </c>
      <c r="E69" s="34"/>
      <c r="F69" s="33"/>
    </row>
    <row r="70" spans="1:6" x14ac:dyDescent="0.2">
      <c r="A70" s="28">
        <v>1999.01</v>
      </c>
      <c r="B70" s="51"/>
      <c r="C70" s="62">
        <v>95.093997027875659</v>
      </c>
      <c r="E70" s="34"/>
      <c r="F70" s="33"/>
    </row>
    <row r="71" spans="1:6" x14ac:dyDescent="0.2">
      <c r="A71" s="28">
        <v>1999.02</v>
      </c>
      <c r="B71" s="51"/>
      <c r="C71" s="62">
        <v>97.186064962488942</v>
      </c>
      <c r="E71" s="34"/>
      <c r="F71" s="33"/>
    </row>
    <row r="72" spans="1:6" x14ac:dyDescent="0.2">
      <c r="A72" s="28">
        <v>1999.03</v>
      </c>
      <c r="B72" s="51"/>
      <c r="C72" s="62">
        <v>99.324158391663701</v>
      </c>
      <c r="E72" s="34"/>
      <c r="F72" s="33"/>
    </row>
    <row r="73" spans="1:6" x14ac:dyDescent="0.2">
      <c r="A73" s="28">
        <v>1999.04</v>
      </c>
      <c r="B73" s="51"/>
      <c r="C73" s="62">
        <v>101.50928987628029</v>
      </c>
      <c r="E73" s="34"/>
      <c r="F73" s="33"/>
    </row>
    <row r="74" spans="1:6" x14ac:dyDescent="0.2">
      <c r="A74" s="28">
        <v>1999.05</v>
      </c>
      <c r="B74" s="51"/>
      <c r="C74" s="62">
        <v>103.74249425355846</v>
      </c>
      <c r="E74" s="34"/>
      <c r="F74" s="33"/>
    </row>
    <row r="75" spans="1:6" x14ac:dyDescent="0.2">
      <c r="A75" s="28">
        <v>1999.06</v>
      </c>
      <c r="B75" s="51"/>
      <c r="C75" s="62">
        <v>106.02482912713674</v>
      </c>
      <c r="E75" s="34"/>
      <c r="F75" s="33"/>
    </row>
    <row r="76" spans="1:6" x14ac:dyDescent="0.2">
      <c r="A76" s="28">
        <v>1999.07</v>
      </c>
      <c r="B76" s="51"/>
      <c r="C76" s="62">
        <v>108.35737536793376</v>
      </c>
      <c r="E76" s="34"/>
      <c r="F76" s="33"/>
    </row>
    <row r="77" spans="1:6" x14ac:dyDescent="0.2">
      <c r="A77" s="28">
        <v>1999.08</v>
      </c>
      <c r="B77" s="51"/>
      <c r="C77" s="62">
        <v>110.74123762602829</v>
      </c>
      <c r="E77" s="34"/>
      <c r="F77" s="33"/>
    </row>
    <row r="78" spans="1:6" x14ac:dyDescent="0.2">
      <c r="A78" s="28">
        <v>1999.09</v>
      </c>
      <c r="B78" s="51"/>
      <c r="C78" s="62">
        <v>113.17754485380091</v>
      </c>
      <c r="E78" s="34"/>
      <c r="F78" s="33"/>
    </row>
    <row r="79" spans="1:6" x14ac:dyDescent="0.2">
      <c r="A79" s="28">
        <v>1999.1</v>
      </c>
      <c r="B79" s="51"/>
      <c r="C79" s="62">
        <v>115.66745084058454</v>
      </c>
      <c r="E79" s="34"/>
      <c r="F79" s="33"/>
    </row>
    <row r="80" spans="1:6" x14ac:dyDescent="0.2">
      <c r="A80" s="28">
        <v>1999.11</v>
      </c>
      <c r="B80" s="51"/>
      <c r="C80" s="62">
        <v>118.21213475907739</v>
      </c>
      <c r="E80" s="34"/>
      <c r="F80" s="33"/>
    </row>
    <row r="81" spans="1:6" x14ac:dyDescent="0.2">
      <c r="A81" s="28">
        <v>1999.12</v>
      </c>
      <c r="B81" s="51"/>
      <c r="C81" s="62">
        <v>120.81280172377707</v>
      </c>
      <c r="E81" s="34"/>
      <c r="F81" s="33"/>
    </row>
    <row r="82" spans="1:6" x14ac:dyDescent="0.2">
      <c r="A82" s="28">
        <v>2000.01</v>
      </c>
      <c r="B82" s="59">
        <v>178.39252074870359</v>
      </c>
      <c r="C82" s="62">
        <v>121.28562721542659</v>
      </c>
      <c r="E82" s="34"/>
      <c r="F82" s="33"/>
    </row>
    <row r="83" spans="1:6" x14ac:dyDescent="0.2">
      <c r="A83" s="28">
        <v>2000.02</v>
      </c>
      <c r="B83" s="61">
        <v>67.738008418621064</v>
      </c>
      <c r="C83" s="62">
        <v>122.84330145247817</v>
      </c>
      <c r="E83" s="34"/>
      <c r="F83" s="33"/>
    </row>
    <row r="84" spans="1:6" x14ac:dyDescent="0.2">
      <c r="A84" s="28">
        <v>2000.03</v>
      </c>
      <c r="B84" s="61">
        <v>107.18615813642157</v>
      </c>
      <c r="C84" s="62">
        <v>124.4209809373442</v>
      </c>
      <c r="E84" s="34"/>
      <c r="F84" s="33"/>
    </row>
    <row r="85" spans="1:6" x14ac:dyDescent="0.2">
      <c r="A85" s="28">
        <v>2000.04</v>
      </c>
      <c r="B85" s="61">
        <v>58.454030021447764</v>
      </c>
      <c r="C85" s="62">
        <v>126.01892259790509</v>
      </c>
      <c r="E85" s="34"/>
      <c r="F85" s="33"/>
    </row>
    <row r="86" spans="1:6" x14ac:dyDescent="0.2">
      <c r="A86" s="28">
        <v>2000.05</v>
      </c>
      <c r="B86" s="61">
        <v>94.048452857402737</v>
      </c>
      <c r="C86" s="62">
        <v>127.63738666177224</v>
      </c>
      <c r="E86" s="34"/>
      <c r="F86" s="33"/>
    </row>
    <row r="87" spans="1:6" x14ac:dyDescent="0.2">
      <c r="A87" s="28">
        <v>2000.06</v>
      </c>
      <c r="B87" s="61">
        <v>122.3383115582233</v>
      </c>
      <c r="C87" s="62">
        <v>129.27663669866652</v>
      </c>
      <c r="E87" s="34"/>
      <c r="F87" s="33"/>
    </row>
    <row r="88" spans="1:6" x14ac:dyDescent="0.2">
      <c r="A88" s="28">
        <v>2000.07</v>
      </c>
      <c r="B88" s="61">
        <v>128.88964725736068</v>
      </c>
      <c r="C88" s="62">
        <v>130.93693966334112</v>
      </c>
      <c r="E88" s="34"/>
      <c r="F88" s="33"/>
    </row>
    <row r="89" spans="1:6" x14ac:dyDescent="0.2">
      <c r="A89" s="28">
        <v>2000.08</v>
      </c>
      <c r="B89" s="61">
        <v>138.17362565453399</v>
      </c>
      <c r="C89" s="62">
        <v>132.61856593905554</v>
      </c>
      <c r="E89" s="34"/>
      <c r="F89" s="33"/>
    </row>
    <row r="90" spans="1:6" x14ac:dyDescent="0.2">
      <c r="A90" s="28">
        <v>2000.09</v>
      </c>
      <c r="B90" s="61">
        <v>162.32948642755659</v>
      </c>
      <c r="C90" s="62">
        <v>135.30668641364588</v>
      </c>
      <c r="E90" s="34"/>
      <c r="F90" s="33"/>
    </row>
    <row r="91" spans="1:6" x14ac:dyDescent="0.2">
      <c r="A91" s="28">
        <v>2000.1</v>
      </c>
      <c r="B91" s="61">
        <v>195.41898679031203</v>
      </c>
      <c r="C91" s="62">
        <v>136.20588935274316</v>
      </c>
      <c r="E91" s="34"/>
      <c r="F91" s="33"/>
    </row>
    <row r="92" spans="1:6" x14ac:dyDescent="0.2">
      <c r="A92" s="28">
        <v>2000.11</v>
      </c>
      <c r="B92" s="61">
        <v>177.93708029903095</v>
      </c>
      <c r="C92" s="62">
        <v>136.54017096484267</v>
      </c>
      <c r="E92" s="34"/>
      <c r="F92" s="33"/>
    </row>
    <row r="93" spans="1:6" x14ac:dyDescent="0.2">
      <c r="A93" s="28">
        <v>2000.12</v>
      </c>
      <c r="B93" s="61">
        <v>152.67765228257073</v>
      </c>
      <c r="C93" s="62">
        <v>137.79847118156647</v>
      </c>
      <c r="E93" s="34"/>
      <c r="F93" s="33"/>
    </row>
    <row r="94" spans="1:6" x14ac:dyDescent="0.2">
      <c r="A94" s="28">
        <v>2001.01</v>
      </c>
      <c r="B94" s="61">
        <v>153.71115176452025</v>
      </c>
      <c r="C94" s="62">
        <v>144.31040885012547</v>
      </c>
      <c r="E94" s="34"/>
      <c r="F94" s="33"/>
    </row>
    <row r="95" spans="1:6" x14ac:dyDescent="0.2">
      <c r="A95" s="28">
        <v>2001.02</v>
      </c>
      <c r="B95" s="61">
        <v>132.77840801995026</v>
      </c>
      <c r="C95" s="62">
        <v>135.32704445779231</v>
      </c>
      <c r="E95" s="34"/>
      <c r="F95" s="33"/>
    </row>
    <row r="96" spans="1:6" x14ac:dyDescent="0.2">
      <c r="A96" s="28">
        <v>2001.03</v>
      </c>
      <c r="B96" s="61">
        <v>106.66064992526083</v>
      </c>
      <c r="C96" s="62">
        <v>129.07052845965896</v>
      </c>
      <c r="E96" s="34"/>
      <c r="F96" s="33"/>
    </row>
    <row r="97" spans="1:6" x14ac:dyDescent="0.2">
      <c r="A97" s="28">
        <v>2001.04</v>
      </c>
      <c r="B97" s="61">
        <v>80.56040877094344</v>
      </c>
      <c r="C97" s="62">
        <v>124.28446116308039</v>
      </c>
      <c r="E97" s="34"/>
      <c r="F97" s="33"/>
    </row>
    <row r="98" spans="1:6" x14ac:dyDescent="0.2">
      <c r="A98" s="28">
        <v>2001.05</v>
      </c>
      <c r="B98" s="61">
        <v>79.96483279829458</v>
      </c>
      <c r="C98" s="62">
        <v>123.69530813960866</v>
      </c>
      <c r="E98" s="34"/>
      <c r="F98" s="33"/>
    </row>
    <row r="99" spans="1:6" x14ac:dyDescent="0.2">
      <c r="A99" s="28">
        <v>2001.06</v>
      </c>
      <c r="B99" s="61">
        <v>166.62113681870275</v>
      </c>
      <c r="C99" s="62">
        <v>119.99809548684</v>
      </c>
      <c r="E99" s="34"/>
      <c r="F99" s="33"/>
    </row>
    <row r="100" spans="1:6" x14ac:dyDescent="0.2">
      <c r="A100" s="28">
        <v>2001.07</v>
      </c>
      <c r="B100" s="61">
        <v>182.45645091501345</v>
      </c>
      <c r="C100" s="62">
        <v>114.9918655423259</v>
      </c>
      <c r="E100" s="34"/>
      <c r="F100" s="33"/>
    </row>
    <row r="101" spans="1:6" x14ac:dyDescent="0.2">
      <c r="A101" s="28">
        <v>2001.08</v>
      </c>
      <c r="B101" s="61">
        <v>107.71166634758234</v>
      </c>
      <c r="C101" s="62">
        <v>107.86712318196621</v>
      </c>
      <c r="E101" s="34"/>
      <c r="F101" s="33"/>
    </row>
    <row r="102" spans="1:6" x14ac:dyDescent="0.2">
      <c r="A102" s="28">
        <v>2001.09</v>
      </c>
      <c r="B102" s="61">
        <v>78.143070999603964</v>
      </c>
      <c r="C102" s="62">
        <v>97.409679260716814</v>
      </c>
      <c r="E102" s="34"/>
      <c r="F102" s="33"/>
    </row>
    <row r="103" spans="1:6" x14ac:dyDescent="0.2">
      <c r="A103" s="28">
        <v>2001.1</v>
      </c>
      <c r="B103" s="61">
        <v>105.50453186070716</v>
      </c>
      <c r="C103" s="62">
        <v>84.485616259408687</v>
      </c>
      <c r="E103" s="34"/>
      <c r="F103" s="33"/>
    </row>
    <row r="104" spans="1:6" x14ac:dyDescent="0.2">
      <c r="A104" s="28">
        <v>2001.11</v>
      </c>
      <c r="B104" s="61">
        <v>105.01405753029047</v>
      </c>
      <c r="C104" s="62">
        <v>72.927687321641514</v>
      </c>
      <c r="E104" s="34"/>
      <c r="F104" s="33"/>
    </row>
    <row r="105" spans="1:6" x14ac:dyDescent="0.2">
      <c r="A105" s="28">
        <v>2001.12</v>
      </c>
      <c r="B105" s="61">
        <v>39.202912552592174</v>
      </c>
      <c r="C105" s="62">
        <v>65.274393600510479</v>
      </c>
      <c r="E105" s="34"/>
      <c r="F105" s="33"/>
    </row>
    <row r="106" spans="1:6" x14ac:dyDescent="0.2">
      <c r="A106" s="28">
        <v>2002.01</v>
      </c>
      <c r="B106" s="61">
        <v>58.874436590376355</v>
      </c>
      <c r="C106" s="62">
        <v>58.485677379089232</v>
      </c>
      <c r="E106" s="34"/>
      <c r="F106" s="33"/>
    </row>
    <row r="107" spans="1:6" x14ac:dyDescent="0.2">
      <c r="A107" s="28">
        <v>2002.02</v>
      </c>
      <c r="B107" s="61">
        <v>98.077349142968544</v>
      </c>
      <c r="C107" s="62">
        <v>55.384645519399001</v>
      </c>
      <c r="E107" s="34"/>
      <c r="F107" s="33"/>
    </row>
    <row r="108" spans="1:6" x14ac:dyDescent="0.2">
      <c r="A108" s="28">
        <v>2002.03</v>
      </c>
      <c r="B108" s="61">
        <v>46.122103999542084</v>
      </c>
      <c r="C108" s="62">
        <v>54.882722334151275</v>
      </c>
      <c r="E108" s="34"/>
      <c r="F108" s="33"/>
    </row>
    <row r="109" spans="1:6" x14ac:dyDescent="0.2">
      <c r="A109" s="28">
        <v>2002.04</v>
      </c>
      <c r="B109" s="61">
        <v>34.806160519213876</v>
      </c>
      <c r="C109" s="62">
        <v>56.911596585026608</v>
      </c>
      <c r="E109" s="34"/>
      <c r="F109" s="33"/>
    </row>
    <row r="110" spans="1:6" x14ac:dyDescent="0.2">
      <c r="A110" s="28">
        <v>2002.05</v>
      </c>
      <c r="B110" s="61">
        <v>61.344325182831895</v>
      </c>
      <c r="C110" s="62">
        <v>58.572149039082113</v>
      </c>
      <c r="E110" s="34"/>
      <c r="F110" s="33"/>
    </row>
    <row r="111" spans="1:6" x14ac:dyDescent="0.2">
      <c r="A111" s="28">
        <v>2002.06</v>
      </c>
      <c r="B111" s="61">
        <v>29.393425944258116</v>
      </c>
      <c r="C111" s="62">
        <v>60.872211552909455</v>
      </c>
      <c r="E111" s="34"/>
      <c r="F111" s="33"/>
    </row>
    <row r="112" spans="1:6" x14ac:dyDescent="0.2">
      <c r="A112" s="28">
        <v>2002.07</v>
      </c>
      <c r="B112" s="61">
        <v>113.17695174365416</v>
      </c>
      <c r="C112" s="62">
        <v>65.020267654831969</v>
      </c>
      <c r="E112" s="34"/>
      <c r="F112" s="33"/>
    </row>
    <row r="113" spans="1:6" x14ac:dyDescent="0.2">
      <c r="A113" s="28">
        <v>2002.08</v>
      </c>
      <c r="B113" s="61">
        <v>31.863314536713649</v>
      </c>
      <c r="C113" s="62">
        <v>72.270414774447858</v>
      </c>
      <c r="E113" s="34"/>
      <c r="F113" s="33"/>
    </row>
    <row r="114" spans="1:6" x14ac:dyDescent="0.2">
      <c r="A114" s="28">
        <v>2002.09</v>
      </c>
      <c r="B114" s="61">
        <v>58.856919650004322</v>
      </c>
      <c r="C114" s="62">
        <v>84.519340406411075</v>
      </c>
      <c r="E114" s="34"/>
      <c r="F114" s="33"/>
    </row>
    <row r="115" spans="1:6" x14ac:dyDescent="0.2">
      <c r="A115" s="28">
        <v>2002.1</v>
      </c>
      <c r="B115" s="61">
        <v>119.92097378688385</v>
      </c>
      <c r="C115" s="62">
        <v>100.24362540910971</v>
      </c>
      <c r="E115" s="34"/>
      <c r="F115" s="33"/>
    </row>
    <row r="116" spans="1:6" x14ac:dyDescent="0.2">
      <c r="A116" s="28">
        <v>2002.11</v>
      </c>
      <c r="B116" s="61">
        <v>140.29317543954903</v>
      </c>
      <c r="C116" s="62">
        <v>120.1055420721862</v>
      </c>
      <c r="E116" s="34"/>
      <c r="F116" s="33"/>
    </row>
    <row r="117" spans="1:6" x14ac:dyDescent="0.2">
      <c r="A117" s="28">
        <v>2002.12</v>
      </c>
      <c r="B117" s="61">
        <v>122.14562521413102</v>
      </c>
      <c r="C117" s="62">
        <v>140.79616915509496</v>
      </c>
      <c r="E117" s="34"/>
      <c r="F117" s="33"/>
    </row>
    <row r="118" spans="1:6" x14ac:dyDescent="0.2">
      <c r="A118" s="28">
        <v>2003.01</v>
      </c>
      <c r="B118" s="61">
        <v>165.41246793303301</v>
      </c>
      <c r="C118" s="62">
        <v>160.13261944838624</v>
      </c>
      <c r="E118" s="34"/>
      <c r="F118" s="33"/>
    </row>
    <row r="119" spans="1:6" x14ac:dyDescent="0.2">
      <c r="A119" s="28">
        <v>2003.02</v>
      </c>
      <c r="B119" s="61">
        <v>191.81049707367481</v>
      </c>
      <c r="C119" s="62">
        <v>171.80316354828034</v>
      </c>
      <c r="E119" s="34"/>
      <c r="F119" s="33"/>
    </row>
    <row r="120" spans="1:6" x14ac:dyDescent="0.2">
      <c r="A120" s="28">
        <v>2003.03</v>
      </c>
      <c r="B120" s="61">
        <v>198.79975628211287</v>
      </c>
      <c r="C120" s="62">
        <v>177.63067977880837</v>
      </c>
      <c r="E120" s="34"/>
      <c r="F120" s="33"/>
    </row>
    <row r="121" spans="1:6" x14ac:dyDescent="0.2">
      <c r="A121" s="28">
        <v>2003.04</v>
      </c>
      <c r="B121" s="61">
        <v>126.64747888974146</v>
      </c>
      <c r="C121" s="62">
        <v>180.75650916244206</v>
      </c>
      <c r="E121" s="34"/>
      <c r="F121" s="33"/>
    </row>
    <row r="122" spans="1:6" x14ac:dyDescent="0.2">
      <c r="A122" s="28">
        <v>2003.05</v>
      </c>
      <c r="B122" s="61">
        <v>147.72035815728765</v>
      </c>
      <c r="C122" s="62">
        <v>183.00279730060385</v>
      </c>
      <c r="E122" s="34"/>
      <c r="F122" s="33"/>
    </row>
    <row r="123" spans="1:6" x14ac:dyDescent="0.2">
      <c r="A123" s="28">
        <v>2003.06</v>
      </c>
      <c r="B123" s="61">
        <v>145.54825755115655</v>
      </c>
      <c r="C123" s="62">
        <v>187.82172262616729</v>
      </c>
      <c r="E123" s="34"/>
      <c r="F123" s="33"/>
    </row>
    <row r="124" spans="1:6" x14ac:dyDescent="0.2">
      <c r="A124" s="28">
        <v>2003.07</v>
      </c>
      <c r="B124" s="61">
        <v>263.3146476722813</v>
      </c>
      <c r="C124" s="62">
        <v>192.75232192616761</v>
      </c>
      <c r="E124" s="34"/>
      <c r="F124" s="33"/>
    </row>
    <row r="125" spans="1:6" x14ac:dyDescent="0.2">
      <c r="A125" s="28">
        <v>2003.08</v>
      </c>
      <c r="B125" s="61">
        <v>237.52971144466036</v>
      </c>
      <c r="C125" s="62">
        <v>200.63587382794873</v>
      </c>
      <c r="E125" s="34"/>
      <c r="F125" s="33"/>
    </row>
    <row r="126" spans="1:6" x14ac:dyDescent="0.2">
      <c r="A126" s="28">
        <v>2003.09</v>
      </c>
      <c r="B126" s="61">
        <v>211.72725827666733</v>
      </c>
      <c r="C126" s="62">
        <v>206.33957251338185</v>
      </c>
      <c r="E126" s="34"/>
      <c r="F126" s="33"/>
    </row>
    <row r="127" spans="1:6" x14ac:dyDescent="0.2">
      <c r="A127" s="28">
        <v>2003.1</v>
      </c>
      <c r="B127" s="61">
        <v>198.6946546398807</v>
      </c>
      <c r="C127" s="62">
        <v>212.05324928907177</v>
      </c>
      <c r="E127" s="34"/>
      <c r="F127" s="33"/>
    </row>
    <row r="128" spans="1:6" x14ac:dyDescent="0.2">
      <c r="A128" s="28">
        <v>2003.11</v>
      </c>
      <c r="B128" s="61">
        <v>231.99435828710043</v>
      </c>
      <c r="C128" s="62">
        <v>211.62454183764547</v>
      </c>
      <c r="E128" s="34"/>
      <c r="F128" s="33"/>
    </row>
    <row r="129" spans="1:6" x14ac:dyDescent="0.2">
      <c r="A129" s="28">
        <v>2003.12</v>
      </c>
      <c r="B129" s="61">
        <v>194.28038566613037</v>
      </c>
      <c r="C129" s="62">
        <v>208.83207874020044</v>
      </c>
      <c r="E129" s="34"/>
      <c r="F129" s="33"/>
    </row>
    <row r="130" spans="1:6" x14ac:dyDescent="0.2">
      <c r="A130" s="28">
        <v>2004.01</v>
      </c>
      <c r="B130" s="61">
        <v>242.32935310659519</v>
      </c>
      <c r="C130" s="62">
        <v>199.20782762065662</v>
      </c>
      <c r="E130" s="34"/>
      <c r="F130" s="33"/>
    </row>
    <row r="131" spans="1:6" x14ac:dyDescent="0.2">
      <c r="A131" s="28">
        <v>2004.02</v>
      </c>
      <c r="B131" s="61">
        <v>179.60118963437333</v>
      </c>
      <c r="C131" s="62">
        <v>187.78700378344476</v>
      </c>
      <c r="E131" s="34"/>
      <c r="F131" s="33"/>
    </row>
    <row r="132" spans="1:6" x14ac:dyDescent="0.2">
      <c r="A132" s="28">
        <v>2004.03</v>
      </c>
      <c r="B132" s="61">
        <v>175.2219545413671</v>
      </c>
      <c r="C132" s="62">
        <v>174.70727034317252</v>
      </c>
      <c r="E132" s="34"/>
      <c r="F132" s="33"/>
    </row>
    <row r="133" spans="1:6" x14ac:dyDescent="0.2">
      <c r="A133" s="28">
        <v>2004.04</v>
      </c>
      <c r="B133" s="61">
        <v>102.21134707076645</v>
      </c>
      <c r="C133" s="62">
        <v>163.19853233499674</v>
      </c>
      <c r="E133" s="34"/>
      <c r="F133" s="33"/>
    </row>
    <row r="134" spans="1:6" x14ac:dyDescent="0.2">
      <c r="A134" s="28">
        <v>2004.05</v>
      </c>
      <c r="B134" s="61">
        <v>155.04243923279415</v>
      </c>
      <c r="C134" s="62">
        <v>158.88687983337414</v>
      </c>
      <c r="E134" s="34"/>
      <c r="F134" s="33"/>
    </row>
    <row r="135" spans="1:6" x14ac:dyDescent="0.2">
      <c r="A135" s="28">
        <v>2004.06</v>
      </c>
      <c r="B135" s="61">
        <v>155.93580319176741</v>
      </c>
      <c r="C135" s="62">
        <v>159.68102016577913</v>
      </c>
      <c r="E135" s="34"/>
      <c r="F135" s="33"/>
    </row>
    <row r="136" spans="1:6" x14ac:dyDescent="0.2">
      <c r="A136" s="28">
        <v>2004.07</v>
      </c>
      <c r="B136" s="61">
        <v>140.43331096252521</v>
      </c>
      <c r="C136" s="62">
        <v>165.80866746295933</v>
      </c>
      <c r="E136" s="34"/>
      <c r="F136" s="33"/>
    </row>
    <row r="137" spans="1:6" x14ac:dyDescent="0.2">
      <c r="A137" s="28">
        <v>2004.08</v>
      </c>
      <c r="B137" s="61">
        <v>232.95779000756181</v>
      </c>
      <c r="C137" s="62">
        <v>166.68507283412976</v>
      </c>
      <c r="E137" s="34"/>
      <c r="F137" s="33"/>
    </row>
    <row r="138" spans="1:6" x14ac:dyDescent="0.2">
      <c r="A138" s="28">
        <v>2004.09</v>
      </c>
      <c r="B138" s="61">
        <v>148.43855271254068</v>
      </c>
      <c r="C138" s="62">
        <v>167.44946013488476</v>
      </c>
      <c r="E138" s="34"/>
      <c r="F138" s="33"/>
    </row>
    <row r="139" spans="1:6" x14ac:dyDescent="0.2">
      <c r="A139" s="28">
        <v>2004.1</v>
      </c>
      <c r="B139" s="61">
        <v>205.77149855017885</v>
      </c>
      <c r="C139" s="62">
        <v>161.98823749434112</v>
      </c>
      <c r="E139" s="34"/>
      <c r="F139" s="33"/>
    </row>
    <row r="140" spans="1:6" x14ac:dyDescent="0.2">
      <c r="A140" s="28">
        <v>2004.11</v>
      </c>
      <c r="B140" s="61">
        <v>145.32053732632019</v>
      </c>
      <c r="C140" s="62">
        <v>159.10170004305718</v>
      </c>
      <c r="E140" s="34"/>
      <c r="F140" s="33"/>
    </row>
    <row r="141" spans="1:6" x14ac:dyDescent="0.2">
      <c r="A141" s="28">
        <v>2004.12</v>
      </c>
      <c r="B141" s="61">
        <v>134.53010205715273</v>
      </c>
      <c r="C141" s="62">
        <v>152.96214790105574</v>
      </c>
      <c r="E141" s="34"/>
      <c r="F141" s="33"/>
    </row>
    <row r="142" spans="1:6" x14ac:dyDescent="0.2">
      <c r="A142" s="28">
        <v>2005.01</v>
      </c>
      <c r="B142" s="61">
        <v>142.16748805935572</v>
      </c>
      <c r="C142" s="62">
        <v>152.53172925005128</v>
      </c>
      <c r="E142" s="34"/>
      <c r="F142" s="33"/>
    </row>
    <row r="143" spans="1:6" x14ac:dyDescent="0.2">
      <c r="A143" s="28">
        <v>2005.02</v>
      </c>
      <c r="B143" s="61">
        <v>265.27635694079351</v>
      </c>
      <c r="C143" s="62">
        <v>154.91087324077364</v>
      </c>
      <c r="E143" s="34"/>
      <c r="F143" s="33"/>
    </row>
    <row r="144" spans="1:6" x14ac:dyDescent="0.2">
      <c r="A144" s="28">
        <v>2005.03</v>
      </c>
      <c r="B144" s="61">
        <v>189.82241492688695</v>
      </c>
      <c r="C144" s="62">
        <v>160.87137824875938</v>
      </c>
      <c r="E144" s="34"/>
      <c r="F144" s="33"/>
    </row>
    <row r="145" spans="1:6" x14ac:dyDescent="0.2">
      <c r="A145" s="28">
        <v>2005.04</v>
      </c>
      <c r="B145" s="61">
        <v>139.87736716062511</v>
      </c>
      <c r="C145" s="62">
        <v>166.77517738330866</v>
      </c>
      <c r="E145" s="34"/>
      <c r="F145" s="33"/>
    </row>
    <row r="146" spans="1:6" x14ac:dyDescent="0.2">
      <c r="A146" s="28">
        <v>2005.05</v>
      </c>
      <c r="B146" s="61">
        <v>202.58020632640967</v>
      </c>
      <c r="C146" s="62">
        <v>174.81838296525044</v>
      </c>
      <c r="E146" s="34"/>
      <c r="F146" s="33"/>
    </row>
    <row r="147" spans="1:6" x14ac:dyDescent="0.2">
      <c r="A147" s="28">
        <v>2005.06</v>
      </c>
      <c r="B147" s="61">
        <v>140.06676037651445</v>
      </c>
      <c r="C147" s="62">
        <v>183.39108208686801</v>
      </c>
      <c r="E147" s="34"/>
      <c r="F147" s="33"/>
    </row>
    <row r="148" spans="1:6" x14ac:dyDescent="0.2">
      <c r="A148" s="28">
        <v>2005.07</v>
      </c>
      <c r="B148" s="61">
        <v>198.7284702839375</v>
      </c>
      <c r="C148" s="62">
        <v>190.25353799918028</v>
      </c>
      <c r="E148" s="34"/>
      <c r="F148" s="33"/>
    </row>
    <row r="149" spans="1:6" x14ac:dyDescent="0.2">
      <c r="A149" s="28">
        <v>2005.08</v>
      </c>
      <c r="B149" s="61">
        <v>267.79276866064106</v>
      </c>
      <c r="C149" s="62">
        <v>194.36186358312051</v>
      </c>
      <c r="E149" s="34"/>
      <c r="F149" s="33"/>
    </row>
    <row r="150" spans="1:6" x14ac:dyDescent="0.2">
      <c r="A150" s="28">
        <v>2005.09</v>
      </c>
      <c r="B150" s="61">
        <v>183.09963249164832</v>
      </c>
      <c r="C150" s="62">
        <v>195.00603651517278</v>
      </c>
      <c r="E150" s="34"/>
      <c r="F150" s="33"/>
    </row>
    <row r="151" spans="1:6" x14ac:dyDescent="0.2">
      <c r="A151" s="28">
        <v>2005.1</v>
      </c>
      <c r="B151" s="61">
        <v>177.47818362723524</v>
      </c>
      <c r="C151" s="62">
        <v>192.81293129656484</v>
      </c>
      <c r="E151" s="34"/>
      <c r="F151" s="33"/>
    </row>
    <row r="152" spans="1:6" x14ac:dyDescent="0.2">
      <c r="A152" s="28">
        <v>2005.11</v>
      </c>
      <c r="B152" s="61">
        <v>284.96289573921143</v>
      </c>
      <c r="C152" s="62">
        <v>187.79379313960069</v>
      </c>
      <c r="E152" s="34"/>
      <c r="F152" s="33"/>
    </row>
    <row r="153" spans="1:6" x14ac:dyDescent="0.2">
      <c r="A153" s="28">
        <v>2005.12</v>
      </c>
      <c r="B153" s="61">
        <v>138.48176304541494</v>
      </c>
      <c r="C153" s="62">
        <v>183.52262053448285</v>
      </c>
      <c r="E153" s="34"/>
      <c r="F153" s="33"/>
    </row>
    <row r="154" spans="1:6" x14ac:dyDescent="0.2">
      <c r="A154" s="28">
        <v>2006.01</v>
      </c>
      <c r="B154" s="61">
        <v>200.73011354905529</v>
      </c>
      <c r="C154" s="62">
        <v>183.24265376626911</v>
      </c>
      <c r="E154" s="34"/>
      <c r="F154" s="33"/>
    </row>
    <row r="155" spans="1:6" x14ac:dyDescent="0.2">
      <c r="A155" s="28">
        <v>2006.02</v>
      </c>
      <c r="B155" s="61">
        <v>163.49540860630177</v>
      </c>
      <c r="C155" s="62">
        <v>187.74463925211541</v>
      </c>
      <c r="E155" s="34"/>
      <c r="F155" s="33"/>
    </row>
    <row r="156" spans="1:6" x14ac:dyDescent="0.2">
      <c r="A156" s="28">
        <v>2006.03</v>
      </c>
      <c r="B156" s="61">
        <v>228.9974695774458</v>
      </c>
      <c r="C156" s="62">
        <v>191.34673198610386</v>
      </c>
      <c r="E156" s="34"/>
      <c r="F156" s="33"/>
    </row>
    <row r="157" spans="1:6" x14ac:dyDescent="0.2">
      <c r="A157" s="28">
        <v>2006.04</v>
      </c>
      <c r="B157" s="61">
        <v>206.96938565785831</v>
      </c>
      <c r="C157" s="62">
        <v>195.69344863159114</v>
      </c>
      <c r="E157" s="34"/>
      <c r="F157" s="33"/>
    </row>
    <row r="158" spans="1:6" x14ac:dyDescent="0.2">
      <c r="A158" s="28">
        <v>2006.05</v>
      </c>
      <c r="B158" s="61">
        <v>226.60257118832919</v>
      </c>
      <c r="C158" s="62">
        <v>193.04819316279591</v>
      </c>
      <c r="E158" s="34"/>
      <c r="F158" s="33"/>
    </row>
    <row r="159" spans="1:6" x14ac:dyDescent="0.2">
      <c r="A159" s="28">
        <v>2006.06</v>
      </c>
      <c r="B159" s="61">
        <v>146.713159022539</v>
      </c>
      <c r="C159" s="62">
        <v>190.07325954460248</v>
      </c>
      <c r="E159" s="34"/>
      <c r="F159" s="33"/>
    </row>
    <row r="160" spans="1:6" x14ac:dyDescent="0.2">
      <c r="A160" s="28">
        <v>2006.07</v>
      </c>
      <c r="B160" s="61">
        <v>226.33001157140731</v>
      </c>
      <c r="C160" s="62">
        <v>179.99687014932482</v>
      </c>
      <c r="E160" s="34"/>
      <c r="F160" s="33"/>
    </row>
    <row r="161" spans="1:6" x14ac:dyDescent="0.2">
      <c r="A161" s="28">
        <v>2006.08</v>
      </c>
      <c r="B161" s="61">
        <v>156.72552206833791</v>
      </c>
      <c r="C161" s="62">
        <v>174.48916764298295</v>
      </c>
      <c r="E161" s="34"/>
      <c r="F161" s="33"/>
    </row>
    <row r="162" spans="1:6" x14ac:dyDescent="0.2">
      <c r="A162" s="28">
        <v>2006.09</v>
      </c>
      <c r="B162" s="61">
        <v>171.32068367909457</v>
      </c>
      <c r="C162" s="62">
        <v>167.81982944739914</v>
      </c>
      <c r="E162" s="34"/>
      <c r="F162" s="33"/>
    </row>
    <row r="163" spans="1:6" x14ac:dyDescent="0.2">
      <c r="A163" s="28">
        <v>2006.1</v>
      </c>
      <c r="B163" s="61">
        <v>101.94593511620025</v>
      </c>
      <c r="C163" s="62">
        <v>169.90458529620776</v>
      </c>
      <c r="E163" s="34"/>
      <c r="F163" s="33"/>
    </row>
    <row r="164" spans="1:6" x14ac:dyDescent="0.2">
      <c r="A164" s="28">
        <v>2006.11</v>
      </c>
      <c r="B164" s="61">
        <v>185.45433492140722</v>
      </c>
      <c r="C164" s="62">
        <v>167.48671777580907</v>
      </c>
      <c r="E164" s="34"/>
      <c r="F164" s="33"/>
    </row>
    <row r="165" spans="1:6" x14ac:dyDescent="0.2">
      <c r="A165" s="28">
        <v>2006.12</v>
      </c>
      <c r="B165" s="61">
        <v>142.00079677712534</v>
      </c>
      <c r="C165" s="62">
        <v>169.73213438201464</v>
      </c>
      <c r="E165" s="34"/>
      <c r="F165" s="33"/>
    </row>
    <row r="166" spans="1:6" x14ac:dyDescent="0.2">
      <c r="A166" s="28">
        <v>2007.01</v>
      </c>
      <c r="B166" s="61">
        <v>206.52823824512586</v>
      </c>
      <c r="C166" s="62">
        <v>165.92181206991185</v>
      </c>
      <c r="E166" s="34"/>
      <c r="F166" s="33"/>
    </row>
    <row r="167" spans="1:6" x14ac:dyDescent="0.2">
      <c r="A167" s="28">
        <v>2007.02</v>
      </c>
      <c r="B167" s="61">
        <v>120.80723215785245</v>
      </c>
      <c r="C167" s="62">
        <v>162.0666726857547</v>
      </c>
      <c r="E167" s="34"/>
      <c r="F167" s="33"/>
    </row>
    <row r="168" spans="1:6" x14ac:dyDescent="0.2">
      <c r="A168" s="28">
        <v>2007.03</v>
      </c>
      <c r="B168" s="61">
        <v>202.41282638772296</v>
      </c>
      <c r="C168" s="62">
        <v>150.27342764960525</v>
      </c>
      <c r="E168" s="34"/>
      <c r="F168" s="33"/>
    </row>
    <row r="169" spans="1:6" x14ac:dyDescent="0.2">
      <c r="A169" s="28">
        <v>2007.04</v>
      </c>
      <c r="B169" s="61">
        <v>165.51251407993692</v>
      </c>
      <c r="C169" s="62">
        <v>138.26397304466246</v>
      </c>
      <c r="E169" s="34"/>
      <c r="F169" s="33"/>
    </row>
    <row r="170" spans="1:6" x14ac:dyDescent="0.2">
      <c r="A170" s="28">
        <v>2007.05</v>
      </c>
      <c r="B170" s="61">
        <v>67.274801670813588</v>
      </c>
      <c r="C170" s="62">
        <v>122.68417549413341</v>
      </c>
      <c r="E170" s="34"/>
      <c r="F170" s="33"/>
    </row>
    <row r="171" spans="1:6" x14ac:dyDescent="0.2">
      <c r="A171" s="28">
        <v>2007.06</v>
      </c>
      <c r="B171" s="61">
        <v>92.211004265209752</v>
      </c>
      <c r="C171" s="62">
        <v>107.04474519233226</v>
      </c>
      <c r="E171" s="34"/>
      <c r="F171" s="33"/>
    </row>
    <row r="172" spans="1:6" x14ac:dyDescent="0.2">
      <c r="A172" s="28">
        <v>2007.07</v>
      </c>
      <c r="B172" s="61">
        <v>95.51029270890696</v>
      </c>
      <c r="C172" s="62">
        <v>91.051862300219838</v>
      </c>
      <c r="E172" s="34"/>
      <c r="F172" s="33"/>
    </row>
    <row r="173" spans="1:6" x14ac:dyDescent="0.2">
      <c r="A173" s="28">
        <v>2007.08</v>
      </c>
      <c r="B173" s="61">
        <v>71.956879994076132</v>
      </c>
      <c r="C173" s="62">
        <v>79.605155975115878</v>
      </c>
      <c r="E173" s="34"/>
      <c r="F173" s="33"/>
    </row>
    <row r="174" spans="1:6" x14ac:dyDescent="0.2">
      <c r="A174" s="28">
        <v>2007.09</v>
      </c>
      <c r="B174" s="61">
        <v>57.987439947596705</v>
      </c>
      <c r="C174" s="62">
        <v>73.239598277331893</v>
      </c>
      <c r="E174" s="34"/>
      <c r="F174" s="33"/>
    </row>
    <row r="175" spans="1:6" x14ac:dyDescent="0.2">
      <c r="A175" s="28">
        <v>2007.1</v>
      </c>
      <c r="B175" s="61">
        <v>19.680363788694301</v>
      </c>
      <c r="C175" s="62">
        <v>71.891003205420489</v>
      </c>
      <c r="E175" s="34"/>
      <c r="F175" s="33"/>
    </row>
    <row r="176" spans="1:6" x14ac:dyDescent="0.2">
      <c r="A176" s="28">
        <v>2007.11</v>
      </c>
      <c r="B176" s="61">
        <v>67.855822228815484</v>
      </c>
      <c r="C176" s="62">
        <v>74.128951585699568</v>
      </c>
      <c r="E176" s="34"/>
      <c r="F176" s="33"/>
    </row>
    <row r="177" spans="1:6" x14ac:dyDescent="0.2">
      <c r="A177" s="28">
        <v>2007.12</v>
      </c>
      <c r="B177" s="61">
        <v>68.361732969000428</v>
      </c>
      <c r="C177" s="62">
        <v>78.924105155763129</v>
      </c>
      <c r="E177" s="35"/>
      <c r="F177" s="33"/>
    </row>
    <row r="178" spans="1:6" x14ac:dyDescent="0.2">
      <c r="A178" s="28">
        <f t="shared" ref="A178:A241" si="0">A166+1</f>
        <v>2008.01</v>
      </c>
      <c r="B178" s="61">
        <v>97.762690913288878</v>
      </c>
      <c r="C178" s="62">
        <v>84.234692915041833</v>
      </c>
      <c r="E178" s="34"/>
      <c r="F178" s="33"/>
    </row>
    <row r="179" spans="1:6" x14ac:dyDescent="0.2">
      <c r="A179" s="28">
        <f t="shared" si="0"/>
        <v>2008.02</v>
      </c>
      <c r="B179" s="61">
        <v>72.446971226271401</v>
      </c>
      <c r="C179" s="62">
        <v>88.588526935356271</v>
      </c>
      <c r="E179" s="34"/>
      <c r="F179" s="33"/>
    </row>
    <row r="180" spans="1:6" x14ac:dyDescent="0.2">
      <c r="A180" s="28">
        <f t="shared" si="0"/>
        <v>2008.03</v>
      </c>
      <c r="B180" s="61">
        <v>113.35184310703374</v>
      </c>
      <c r="C180" s="62">
        <v>90.402799503131959</v>
      </c>
      <c r="E180" s="34"/>
      <c r="F180" s="33"/>
    </row>
    <row r="181" spans="1:6" x14ac:dyDescent="0.2">
      <c r="A181" s="28">
        <f t="shared" si="0"/>
        <v>2008.04</v>
      </c>
      <c r="B181" s="61">
        <v>120.72726815161094</v>
      </c>
      <c r="C181" s="62">
        <v>90.536850857850069</v>
      </c>
      <c r="E181" s="34"/>
      <c r="F181" s="33"/>
    </row>
    <row r="182" spans="1:6" x14ac:dyDescent="0.2">
      <c r="A182" s="28">
        <f t="shared" si="0"/>
        <v>2008.05</v>
      </c>
      <c r="B182" s="61">
        <v>86.470707198215621</v>
      </c>
      <c r="C182" s="62">
        <v>88.358224186857655</v>
      </c>
      <c r="E182" s="34"/>
      <c r="F182" s="33"/>
    </row>
    <row r="183" spans="1:6" x14ac:dyDescent="0.2">
      <c r="A183" s="28">
        <f t="shared" si="0"/>
        <v>2008.06</v>
      </c>
      <c r="B183" s="61">
        <v>74.621012085723322</v>
      </c>
      <c r="C183" s="62">
        <v>84.473668948693501</v>
      </c>
      <c r="E183" s="34"/>
      <c r="F183" s="33"/>
    </row>
    <row r="184" spans="1:6" x14ac:dyDescent="0.2">
      <c r="A184" s="28">
        <f t="shared" si="0"/>
        <v>2008.07</v>
      </c>
      <c r="B184" s="61">
        <v>88.760261889259169</v>
      </c>
      <c r="C184" s="62">
        <v>79.123464794912977</v>
      </c>
      <c r="E184" s="34"/>
      <c r="F184" s="33"/>
    </row>
    <row r="185" spans="1:6" x14ac:dyDescent="0.2">
      <c r="A185" s="28">
        <f t="shared" si="0"/>
        <v>2008.08</v>
      </c>
      <c r="B185" s="61">
        <v>70.307404280635836</v>
      </c>
      <c r="C185" s="62">
        <v>73.687594055438211</v>
      </c>
      <c r="E185" s="34"/>
      <c r="F185" s="33"/>
    </row>
    <row r="186" spans="1:6" x14ac:dyDescent="0.2">
      <c r="A186" s="28">
        <f t="shared" si="0"/>
        <v>2008.09</v>
      </c>
      <c r="B186" s="61">
        <v>31.842468387234828</v>
      </c>
      <c r="C186" s="62">
        <v>69.047353944892222</v>
      </c>
      <c r="E186" s="34"/>
      <c r="F186" s="33"/>
    </row>
    <row r="187" spans="1:6" x14ac:dyDescent="0.2">
      <c r="A187" s="28">
        <f t="shared" si="0"/>
        <v>2008.1</v>
      </c>
      <c r="B187" s="61">
        <v>64.503113925535857</v>
      </c>
      <c r="C187" s="62">
        <v>64.787063443262412</v>
      </c>
      <c r="E187" s="34"/>
      <c r="F187" s="33"/>
    </row>
    <row r="188" spans="1:6" x14ac:dyDescent="0.2">
      <c r="A188" s="28">
        <f t="shared" si="0"/>
        <v>2008.11</v>
      </c>
      <c r="B188" s="61">
        <v>50.407004067163527</v>
      </c>
      <c r="C188" s="62">
        <v>62.106111803161973</v>
      </c>
      <c r="E188" s="34"/>
      <c r="F188" s="33"/>
    </row>
    <row r="189" spans="1:6" x14ac:dyDescent="0.2">
      <c r="A189" s="28">
        <f t="shared" si="0"/>
        <v>2008.12</v>
      </c>
      <c r="B189" s="61">
        <v>54.548816538729831</v>
      </c>
      <c r="C189" s="62">
        <v>59.815358064666086</v>
      </c>
      <c r="E189" s="35"/>
      <c r="F189" s="33"/>
    </row>
    <row r="190" spans="1:6" x14ac:dyDescent="0.2">
      <c r="A190" s="28">
        <f t="shared" si="0"/>
        <v>2009.01</v>
      </c>
      <c r="B190" s="61">
        <v>43.59751411610484</v>
      </c>
      <c r="C190" s="62">
        <v>58.962084725034813</v>
      </c>
      <c r="E190" s="34"/>
      <c r="F190" s="33"/>
    </row>
    <row r="191" spans="1:6" x14ac:dyDescent="0.2">
      <c r="A191" s="28">
        <f t="shared" si="0"/>
        <v>2009.02</v>
      </c>
      <c r="B191" s="61">
        <v>103.30464192554209</v>
      </c>
      <c r="C191" s="62">
        <v>58.297468229597669</v>
      </c>
      <c r="E191" s="34"/>
      <c r="F191" s="33"/>
    </row>
    <row r="192" spans="1:6" x14ac:dyDescent="0.2">
      <c r="A192" s="28">
        <f t="shared" si="0"/>
        <v>2009.03</v>
      </c>
      <c r="B192" s="61">
        <v>59.842677640790171</v>
      </c>
      <c r="C192" s="62">
        <v>59.507384702979316</v>
      </c>
      <c r="E192" s="34"/>
      <c r="F192" s="33"/>
    </row>
    <row r="193" spans="1:6" x14ac:dyDescent="0.2">
      <c r="A193" s="28">
        <f t="shared" si="0"/>
        <v>2009.04</v>
      </c>
      <c r="B193" s="61">
        <v>124.63465500975248</v>
      </c>
      <c r="C193" s="62">
        <v>60.985667159655129</v>
      </c>
      <c r="E193" s="34"/>
      <c r="F193" s="33"/>
    </row>
    <row r="194" spans="1:6" x14ac:dyDescent="0.2">
      <c r="A194" s="28">
        <f t="shared" si="0"/>
        <v>2009.05</v>
      </c>
      <c r="B194" s="61">
        <v>59.085641397549566</v>
      </c>
      <c r="C194" s="62">
        <v>64.84884732694043</v>
      </c>
      <c r="E194" s="34"/>
      <c r="F194" s="33"/>
    </row>
    <row r="195" spans="1:6" x14ac:dyDescent="0.2">
      <c r="A195" s="28">
        <f t="shared" si="0"/>
        <v>2009.06</v>
      </c>
      <c r="B195" s="61">
        <v>65.088708120402273</v>
      </c>
      <c r="C195" s="62">
        <v>69.481965216471934</v>
      </c>
      <c r="E195" s="34"/>
      <c r="F195" s="33"/>
    </row>
    <row r="196" spans="1:6" x14ac:dyDescent="0.2">
      <c r="A196" s="28">
        <f t="shared" si="0"/>
        <v>2009.07</v>
      </c>
      <c r="B196" s="61">
        <v>72.282593717115361</v>
      </c>
      <c r="C196" s="62">
        <v>75.280215636753681</v>
      </c>
      <c r="E196" s="34"/>
      <c r="F196" s="33"/>
    </row>
    <row r="197" spans="1:6" x14ac:dyDescent="0.2">
      <c r="A197" s="28">
        <f t="shared" si="0"/>
        <v>2009.08</v>
      </c>
      <c r="B197" s="61">
        <v>87.983997422553983</v>
      </c>
      <c r="C197" s="62">
        <v>79.43140321870888</v>
      </c>
      <c r="E197" s="34"/>
      <c r="F197" s="33"/>
    </row>
    <row r="198" spans="1:6" x14ac:dyDescent="0.2">
      <c r="A198" s="28">
        <f t="shared" si="0"/>
        <v>2009.09</v>
      </c>
      <c r="B198" s="61">
        <v>81.792385333060551</v>
      </c>
      <c r="C198" s="62">
        <v>82.395276826178289</v>
      </c>
      <c r="E198" s="34"/>
      <c r="F198" s="33"/>
    </row>
    <row r="199" spans="1:6" x14ac:dyDescent="0.2">
      <c r="A199" s="28">
        <f t="shared" si="0"/>
        <v>2009.1</v>
      </c>
      <c r="B199" s="61">
        <v>90.621640454919998</v>
      </c>
      <c r="C199" s="62">
        <v>82.370128311732358</v>
      </c>
      <c r="E199" s="34"/>
      <c r="F199" s="33"/>
    </row>
    <row r="200" spans="1:6" x14ac:dyDescent="0.2">
      <c r="A200" s="28">
        <f t="shared" si="0"/>
        <v>2009.11</v>
      </c>
      <c r="B200" s="61">
        <v>76.88529519913115</v>
      </c>
      <c r="C200" s="62">
        <v>81.217677834514163</v>
      </c>
      <c r="E200" s="34"/>
      <c r="F200" s="33"/>
    </row>
    <row r="201" spans="1:6" x14ac:dyDescent="0.2">
      <c r="A201" s="28">
        <f t="shared" si="0"/>
        <v>2009.12</v>
      </c>
      <c r="B201" s="61">
        <v>67.791143316866169</v>
      </c>
      <c r="C201" s="62">
        <v>77.457627842552753</v>
      </c>
      <c r="E201" s="35"/>
      <c r="F201" s="33"/>
    </row>
    <row r="202" spans="1:6" x14ac:dyDescent="0.2">
      <c r="A202" s="28">
        <f t="shared" si="0"/>
        <v>2010.01</v>
      </c>
      <c r="B202" s="61">
        <v>72.602129506943612</v>
      </c>
      <c r="C202" s="62">
        <v>74.887096671047857</v>
      </c>
      <c r="E202" s="34"/>
      <c r="F202" s="33"/>
    </row>
    <row r="203" spans="1:6" x14ac:dyDescent="0.2">
      <c r="A203" s="28">
        <f t="shared" si="0"/>
        <v>2010.02</v>
      </c>
      <c r="B203" s="61">
        <v>75.009793527250025</v>
      </c>
      <c r="C203" s="62">
        <v>74.419282787013529</v>
      </c>
      <c r="E203" s="34"/>
      <c r="F203" s="33"/>
    </row>
    <row r="204" spans="1:6" x14ac:dyDescent="0.2">
      <c r="A204" s="28">
        <f t="shared" si="0"/>
        <v>2010.03</v>
      </c>
      <c r="B204" s="61">
        <v>65.034453305259348</v>
      </c>
      <c r="C204" s="62">
        <v>77.956759343277284</v>
      </c>
      <c r="E204" s="34"/>
      <c r="F204" s="33"/>
    </row>
    <row r="205" spans="1:6" x14ac:dyDescent="0.2">
      <c r="A205" s="28">
        <f t="shared" si="0"/>
        <v>2010.04</v>
      </c>
      <c r="B205" s="61">
        <v>44.387343272117903</v>
      </c>
      <c r="C205" s="62">
        <v>82.596722599323755</v>
      </c>
      <c r="E205" s="34"/>
      <c r="F205" s="33"/>
    </row>
    <row r="206" spans="1:6" x14ac:dyDescent="0.2">
      <c r="A206" s="28">
        <f t="shared" si="0"/>
        <v>2010.05</v>
      </c>
      <c r="B206" s="61">
        <v>98.810123255262951</v>
      </c>
      <c r="C206" s="62">
        <v>91.317398653383236</v>
      </c>
      <c r="E206" s="34"/>
      <c r="F206" s="33"/>
    </row>
    <row r="207" spans="1:6" x14ac:dyDescent="0.2">
      <c r="A207" s="28">
        <f t="shared" si="0"/>
        <v>2010.06</v>
      </c>
      <c r="B207" s="61">
        <v>95.283326222703749</v>
      </c>
      <c r="C207" s="62">
        <v>101.64858306567021</v>
      </c>
      <c r="E207" s="34"/>
      <c r="F207" s="33"/>
    </row>
    <row r="208" spans="1:6" x14ac:dyDescent="0.2">
      <c r="A208" s="28">
        <f t="shared" si="0"/>
        <v>2010.07</v>
      </c>
      <c r="B208" s="61">
        <v>88.471860002342765</v>
      </c>
      <c r="C208" s="62">
        <v>111.23997579051134</v>
      </c>
      <c r="E208" s="34"/>
      <c r="F208" s="33"/>
    </row>
    <row r="209" spans="1:6" x14ac:dyDescent="0.2">
      <c r="A209" s="28">
        <f t="shared" si="0"/>
        <v>2010.08</v>
      </c>
      <c r="B209" s="61">
        <v>150.7471099104591</v>
      </c>
      <c r="C209" s="62">
        <v>117.6498148784467</v>
      </c>
      <c r="E209" s="34"/>
      <c r="F209" s="33"/>
    </row>
    <row r="210" spans="1:6" x14ac:dyDescent="0.2">
      <c r="A210" s="28">
        <f t="shared" si="0"/>
        <v>2010.09</v>
      </c>
      <c r="B210" s="61">
        <v>124.34222473679662</v>
      </c>
      <c r="C210" s="62">
        <v>124.18755765283886</v>
      </c>
      <c r="E210" s="34"/>
      <c r="F210" s="33"/>
    </row>
    <row r="211" spans="1:6" x14ac:dyDescent="0.2">
      <c r="A211" s="28">
        <f t="shared" si="0"/>
        <v>2010.1</v>
      </c>
      <c r="B211" s="61">
        <v>116.47072583393359</v>
      </c>
      <c r="C211" s="62">
        <v>129.25300622927011</v>
      </c>
      <c r="E211" s="34"/>
      <c r="F211" s="33"/>
    </row>
    <row r="212" spans="1:6" x14ac:dyDescent="0.2">
      <c r="A212" s="28">
        <f t="shared" si="0"/>
        <v>2010.11</v>
      </c>
      <c r="B212" s="61">
        <v>145.27167744805752</v>
      </c>
      <c r="C212" s="62">
        <v>131.57135872890572</v>
      </c>
      <c r="E212" s="34"/>
      <c r="F212" s="33"/>
    </row>
    <row r="213" spans="1:6" x14ac:dyDescent="0.2">
      <c r="A213" s="28">
        <f t="shared" si="0"/>
        <v>2010.12</v>
      </c>
      <c r="B213" s="61">
        <v>123.56923297887212</v>
      </c>
      <c r="C213" s="62">
        <v>132.1308104275586</v>
      </c>
      <c r="E213" s="35"/>
      <c r="F213" s="33"/>
    </row>
    <row r="214" spans="1:6" x14ac:dyDescent="0.2">
      <c r="A214" s="28">
        <f t="shared" si="0"/>
        <v>2011.01</v>
      </c>
      <c r="B214" s="61">
        <v>129.17359276833534</v>
      </c>
      <c r="C214" s="62">
        <v>134.65638325430385</v>
      </c>
      <c r="E214" s="34"/>
      <c r="F214" s="33"/>
    </row>
    <row r="215" spans="1:6" x14ac:dyDescent="0.2">
      <c r="A215" s="28">
        <f t="shared" si="0"/>
        <v>2011.02</v>
      </c>
      <c r="B215" s="61">
        <v>130.77241001428311</v>
      </c>
      <c r="C215" s="62">
        <v>137.16581657646486</v>
      </c>
      <c r="E215" s="34"/>
      <c r="F215" s="33"/>
    </row>
    <row r="216" spans="1:6" x14ac:dyDescent="0.2">
      <c r="A216" s="28">
        <f t="shared" si="0"/>
        <v>2011.03</v>
      </c>
      <c r="B216" s="61">
        <v>150.75876798612768</v>
      </c>
      <c r="C216" s="62">
        <v>138.86702962678217</v>
      </c>
      <c r="E216" s="34"/>
      <c r="F216" s="33"/>
    </row>
    <row r="217" spans="1:6" x14ac:dyDescent="0.2">
      <c r="A217" s="28">
        <f t="shared" si="0"/>
        <v>2011.04</v>
      </c>
      <c r="B217" s="61">
        <v>156.01860062666833</v>
      </c>
      <c r="C217" s="62">
        <v>140.09614843603225</v>
      </c>
      <c r="E217" s="34"/>
      <c r="F217" s="33"/>
    </row>
    <row r="218" spans="1:6" x14ac:dyDescent="0.2">
      <c r="A218" s="28">
        <f t="shared" si="0"/>
        <v>2011.05</v>
      </c>
      <c r="B218" s="61">
        <v>139.92117929941065</v>
      </c>
      <c r="C218" s="62">
        <v>140.59739776675525</v>
      </c>
      <c r="E218" s="34"/>
      <c r="F218" s="33"/>
    </row>
    <row r="219" spans="1:6" x14ac:dyDescent="0.2">
      <c r="A219" s="28">
        <f t="shared" si="0"/>
        <v>2011.06</v>
      </c>
      <c r="B219" s="61">
        <v>141.98864758913979</v>
      </c>
      <c r="C219" s="62">
        <v>141.57325337096933</v>
      </c>
      <c r="E219" s="34"/>
      <c r="F219" s="33"/>
    </row>
    <row r="220" spans="1:6" x14ac:dyDescent="0.2">
      <c r="A220" s="28">
        <f t="shared" si="0"/>
        <v>2011.07</v>
      </c>
      <c r="B220" s="61">
        <v>120.45120965802668</v>
      </c>
      <c r="C220" s="62">
        <v>140.17560539982284</v>
      </c>
      <c r="E220" s="34"/>
      <c r="F220" s="33"/>
    </row>
    <row r="221" spans="1:6" x14ac:dyDescent="0.2">
      <c r="A221" s="28">
        <f t="shared" si="0"/>
        <v>2011.08</v>
      </c>
      <c r="B221" s="61">
        <v>125.28830934180785</v>
      </c>
      <c r="C221" s="62">
        <v>139.99486136563962</v>
      </c>
      <c r="E221" s="34"/>
      <c r="F221" s="33"/>
    </row>
    <row r="222" spans="1:6" x14ac:dyDescent="0.2">
      <c r="A222" s="28">
        <f t="shared" si="0"/>
        <v>2011.09</v>
      </c>
      <c r="B222" s="61">
        <v>159.5944886525273</v>
      </c>
      <c r="C222" s="62">
        <v>136.52296850998295</v>
      </c>
      <c r="E222" s="34"/>
      <c r="F222" s="33"/>
    </row>
    <row r="223" spans="1:6" x14ac:dyDescent="0.2">
      <c r="A223" s="28">
        <f t="shared" si="0"/>
        <v>2011.1</v>
      </c>
      <c r="B223" s="61">
        <v>128.85193579720672</v>
      </c>
      <c r="C223" s="62">
        <v>135.54866971982489</v>
      </c>
      <c r="E223" s="34"/>
      <c r="F223" s="33"/>
    </row>
    <row r="224" spans="1:6" x14ac:dyDescent="0.2">
      <c r="A224" s="28">
        <f t="shared" si="0"/>
        <v>2011.11</v>
      </c>
      <c r="B224" s="61">
        <v>167.96372226802603</v>
      </c>
      <c r="C224" s="62">
        <v>134.2858882482611</v>
      </c>
      <c r="E224" s="34"/>
      <c r="F224" s="33"/>
    </row>
    <row r="225" spans="1:6" x14ac:dyDescent="0.2">
      <c r="A225" s="28">
        <f t="shared" si="0"/>
        <v>2011.12</v>
      </c>
      <c r="B225" s="61">
        <v>89.989352016571274</v>
      </c>
      <c r="C225" s="62">
        <v>138.37488179109636</v>
      </c>
      <c r="E225" s="35"/>
      <c r="F225" s="33"/>
    </row>
    <row r="226" spans="1:6" x14ac:dyDescent="0.2">
      <c r="A226" s="28">
        <f t="shared" si="0"/>
        <v>2012.01</v>
      </c>
      <c r="B226" s="61">
        <v>132.59562432548574</v>
      </c>
      <c r="C226" s="62">
        <v>140.78198838462413</v>
      </c>
      <c r="E226" s="34"/>
      <c r="F226" s="33"/>
    </row>
    <row r="227" spans="1:6" x14ac:dyDescent="0.2">
      <c r="A227" s="28">
        <f t="shared" si="0"/>
        <v>2012.02</v>
      </c>
      <c r="B227" s="61">
        <v>179.00817198179712</v>
      </c>
      <c r="C227" s="62">
        <v>144.65704935029012</v>
      </c>
      <c r="E227" s="34"/>
      <c r="F227" s="33"/>
    </row>
    <row r="228" spans="1:6" x14ac:dyDescent="0.2">
      <c r="A228" s="28">
        <f t="shared" si="0"/>
        <v>2012.03</v>
      </c>
      <c r="B228" s="61">
        <v>186.74576930463897</v>
      </c>
      <c r="C228" s="62">
        <v>144.96202517656954</v>
      </c>
      <c r="E228" s="34"/>
      <c r="F228" s="33"/>
    </row>
    <row r="229" spans="1:6" x14ac:dyDescent="0.2">
      <c r="A229" s="28">
        <f t="shared" si="0"/>
        <v>2012.04</v>
      </c>
      <c r="B229" s="61">
        <v>126.0267751161856</v>
      </c>
      <c r="C229" s="62">
        <v>142.48916428475323</v>
      </c>
      <c r="E229" s="34"/>
      <c r="F229" s="33"/>
    </row>
    <row r="230" spans="1:6" x14ac:dyDescent="0.2">
      <c r="A230" s="28">
        <f t="shared" si="0"/>
        <v>2012.05</v>
      </c>
      <c r="B230" s="61">
        <v>123.13138680940591</v>
      </c>
      <c r="C230" s="62">
        <v>135.78764486733948</v>
      </c>
      <c r="E230" s="34"/>
      <c r="F230" s="33"/>
    </row>
    <row r="231" spans="1:6" x14ac:dyDescent="0.2">
      <c r="A231" s="28">
        <f t="shared" si="0"/>
        <v>2012.06</v>
      </c>
      <c r="B231" s="61">
        <v>133.64820488932057</v>
      </c>
      <c r="C231" s="62">
        <v>126.88595605505171</v>
      </c>
      <c r="E231" s="34"/>
      <c r="F231" s="33"/>
    </row>
    <row r="232" spans="1:6" x14ac:dyDescent="0.2">
      <c r="A232" s="28">
        <f t="shared" si="0"/>
        <v>2012.07</v>
      </c>
      <c r="B232" s="61">
        <v>101.92148799607966</v>
      </c>
      <c r="C232" s="62">
        <v>120.83601724117791</v>
      </c>
      <c r="E232" s="34"/>
      <c r="F232" s="33"/>
    </row>
    <row r="233" spans="1:6" x14ac:dyDescent="0.2">
      <c r="A233" s="28">
        <f t="shared" si="0"/>
        <v>2012.08</v>
      </c>
      <c r="B233" s="61">
        <v>124.55226624523664</v>
      </c>
      <c r="C233" s="62">
        <v>115.77082075894164</v>
      </c>
      <c r="E233" s="34"/>
      <c r="F233" s="33"/>
    </row>
    <row r="234" spans="1:6" x14ac:dyDescent="0.2">
      <c r="A234" s="28">
        <f t="shared" si="0"/>
        <v>2012.09</v>
      </c>
      <c r="B234" s="61">
        <v>66.644040349669197</v>
      </c>
      <c r="C234" s="62">
        <v>112.46959741320515</v>
      </c>
      <c r="E234" s="34"/>
      <c r="F234" s="33"/>
    </row>
    <row r="235" spans="1:6" x14ac:dyDescent="0.2">
      <c r="A235" s="28">
        <f t="shared" si="0"/>
        <v>2012.1</v>
      </c>
      <c r="B235" s="61">
        <v>128.91019908217748</v>
      </c>
      <c r="C235" s="62">
        <v>108.23070059253955</v>
      </c>
      <c r="E235" s="34"/>
      <c r="F235" s="33"/>
    </row>
    <row r="236" spans="1:6" x14ac:dyDescent="0.2">
      <c r="A236" s="28">
        <f t="shared" si="0"/>
        <v>2012.11</v>
      </c>
      <c r="B236" s="61">
        <v>122.96739654768982</v>
      </c>
      <c r="C236" s="62">
        <v>107.77062532235747</v>
      </c>
      <c r="E236" s="34"/>
      <c r="F236" s="33"/>
    </row>
    <row r="237" spans="1:6" x14ac:dyDescent="0.2">
      <c r="A237" s="28">
        <f t="shared" si="0"/>
        <v>2012.12</v>
      </c>
      <c r="B237" s="61">
        <v>139.20236679505899</v>
      </c>
      <c r="C237" s="62">
        <v>106.89404155849759</v>
      </c>
      <c r="E237" s="35"/>
      <c r="F237" s="33"/>
    </row>
    <row r="238" spans="1:6" x14ac:dyDescent="0.2">
      <c r="A238" s="28">
        <f t="shared" si="0"/>
        <v>2013.01</v>
      </c>
      <c r="B238" s="61">
        <v>100.82217932876279</v>
      </c>
      <c r="C238" s="62">
        <v>107.43637867212419</v>
      </c>
      <c r="E238" s="34"/>
      <c r="F238" s="33"/>
    </row>
    <row r="239" spans="1:6" x14ac:dyDescent="0.2">
      <c r="A239" s="28">
        <f t="shared" si="0"/>
        <v>2013.02</v>
      </c>
      <c r="B239" s="61">
        <v>141.76897106977876</v>
      </c>
      <c r="C239" s="62">
        <v>105.50119643183535</v>
      </c>
      <c r="E239" s="34"/>
      <c r="F239" s="33"/>
    </row>
    <row r="240" spans="1:6" x14ac:dyDescent="0.2">
      <c r="A240" s="28">
        <f t="shared" si="0"/>
        <v>2013.03</v>
      </c>
      <c r="B240" s="61">
        <v>54.593562975120442</v>
      </c>
      <c r="C240" s="62">
        <v>103.97824587767114</v>
      </c>
      <c r="E240" s="34"/>
      <c r="F240" s="33"/>
    </row>
    <row r="241" spans="1:6" x14ac:dyDescent="0.2">
      <c r="A241" s="28">
        <f t="shared" si="0"/>
        <v>2013.04</v>
      </c>
      <c r="B241" s="61">
        <v>122.74512440336676</v>
      </c>
      <c r="C241" s="62">
        <v>101.63825124185148</v>
      </c>
      <c r="E241" s="34"/>
      <c r="F241" s="33"/>
    </row>
    <row r="242" spans="1:6" x14ac:dyDescent="0.2">
      <c r="A242" s="28">
        <f t="shared" ref="A242:A305" si="1">A230+1</f>
        <v>2013.05</v>
      </c>
      <c r="B242" s="61">
        <v>43.887251945422591</v>
      </c>
      <c r="C242" s="62">
        <v>98.804737044679285</v>
      </c>
      <c r="E242" s="34"/>
      <c r="F242" s="33"/>
    </row>
    <row r="243" spans="1:6" x14ac:dyDescent="0.2">
      <c r="A243" s="28">
        <f t="shared" si="1"/>
        <v>2013.06</v>
      </c>
      <c r="B243" s="61">
        <v>94.863071986751834</v>
      </c>
      <c r="C243" s="62">
        <v>98.180698896777372</v>
      </c>
      <c r="E243" s="34"/>
      <c r="F243" s="33"/>
    </row>
    <row r="244" spans="1:6" x14ac:dyDescent="0.2">
      <c r="A244" s="28">
        <f t="shared" si="1"/>
        <v>2013.07</v>
      </c>
      <c r="B244" s="61">
        <v>97.952040513369383</v>
      </c>
      <c r="C244" s="62">
        <v>100.44296199911878</v>
      </c>
      <c r="E244" s="34"/>
      <c r="F244" s="33"/>
    </row>
    <row r="245" spans="1:6" x14ac:dyDescent="0.2">
      <c r="A245" s="28">
        <f t="shared" si="1"/>
        <v>2013.08</v>
      </c>
      <c r="B245" s="61">
        <v>79.55384242713447</v>
      </c>
      <c r="C245" s="62">
        <v>107.85862607788786</v>
      </c>
      <c r="E245" s="34"/>
      <c r="F245" s="33"/>
    </row>
    <row r="246" spans="1:6" x14ac:dyDescent="0.2">
      <c r="A246" s="28">
        <f t="shared" si="1"/>
        <v>2013.09</v>
      </c>
      <c r="B246" s="61">
        <v>103.67179166176439</v>
      </c>
      <c r="C246" s="62">
        <v>114.53073078139975</v>
      </c>
      <c r="E246" s="34"/>
      <c r="F246" s="33"/>
    </row>
    <row r="247" spans="1:6" x14ac:dyDescent="0.2">
      <c r="A247" s="28">
        <f t="shared" si="1"/>
        <v>2013.1</v>
      </c>
      <c r="B247" s="61">
        <v>141.88022999361561</v>
      </c>
      <c r="C247" s="62">
        <v>122.70234460203817</v>
      </c>
      <c r="E247" s="34"/>
      <c r="F247" s="33"/>
    </row>
    <row r="248" spans="1:6" x14ac:dyDescent="0.2">
      <c r="A248" s="28">
        <f t="shared" si="1"/>
        <v>2013.11</v>
      </c>
      <c r="B248" s="61">
        <v>196.10403369350439</v>
      </c>
      <c r="C248" s="62">
        <v>125.02896365544332</v>
      </c>
      <c r="E248" s="34"/>
      <c r="F248" s="33"/>
    </row>
    <row r="249" spans="1:6" x14ac:dyDescent="0.2">
      <c r="A249" s="28">
        <f t="shared" si="1"/>
        <v>2013.12</v>
      </c>
      <c r="B249" s="61">
        <v>108.22608364885232</v>
      </c>
      <c r="C249" s="62">
        <v>124.97493798662285</v>
      </c>
      <c r="E249" s="35"/>
      <c r="F249" s="33"/>
    </row>
    <row r="250" spans="1:6" x14ac:dyDescent="0.2">
      <c r="A250" s="28">
        <f t="shared" si="1"/>
        <v>2014.01</v>
      </c>
      <c r="B250" s="61">
        <v>134.28924757160607</v>
      </c>
      <c r="C250" s="62">
        <v>118.38828623060139</v>
      </c>
      <c r="E250" s="34"/>
      <c r="F250" s="33"/>
    </row>
    <row r="251" spans="1:6" x14ac:dyDescent="0.2">
      <c r="A251" s="28">
        <f t="shared" si="1"/>
        <v>2014.02</v>
      </c>
      <c r="B251" s="61">
        <v>100.55826481363405</v>
      </c>
      <c r="C251" s="62">
        <v>115.24354919186739</v>
      </c>
      <c r="E251" s="34"/>
      <c r="F251" s="33"/>
    </row>
    <row r="252" spans="1:6" x14ac:dyDescent="0.2">
      <c r="A252" s="28">
        <f t="shared" si="1"/>
        <v>2014.03</v>
      </c>
      <c r="B252" s="61">
        <v>114.23436163698611</v>
      </c>
      <c r="C252" s="62">
        <v>112.32547203513563</v>
      </c>
      <c r="E252" s="34"/>
      <c r="F252" s="33"/>
    </row>
    <row r="253" spans="1:6" x14ac:dyDescent="0.2">
      <c r="A253" s="28">
        <f t="shared" si="1"/>
        <v>2014.04</v>
      </c>
      <c r="B253" s="61">
        <v>89.354665175744572</v>
      </c>
      <c r="C253" s="62">
        <v>116.14361683558717</v>
      </c>
      <c r="E253" s="34"/>
      <c r="F253" s="33"/>
    </row>
    <row r="254" spans="1:6" x14ac:dyDescent="0.2">
      <c r="A254" s="28">
        <f t="shared" si="1"/>
        <v>2014.05</v>
      </c>
      <c r="B254" s="61">
        <v>136.42254342761316</v>
      </c>
      <c r="C254" s="62">
        <v>121.62862441477564</v>
      </c>
      <c r="E254" s="34"/>
      <c r="F254" s="33"/>
    </row>
    <row r="255" spans="1:6" x14ac:dyDescent="0.2">
      <c r="A255" s="28">
        <f t="shared" si="1"/>
        <v>2014.06</v>
      </c>
      <c r="B255" s="61">
        <v>117.6266865419216</v>
      </c>
      <c r="C255" s="62">
        <v>130.63552182256041</v>
      </c>
      <c r="E255" s="34"/>
      <c r="F255" s="33"/>
    </row>
    <row r="256" spans="1:6" x14ac:dyDescent="0.2">
      <c r="A256" s="28">
        <f t="shared" si="1"/>
        <v>2014.07</v>
      </c>
      <c r="B256" s="61">
        <v>137.66802770712383</v>
      </c>
      <c r="C256" s="62">
        <v>140.4153223432798</v>
      </c>
      <c r="E256" s="34"/>
      <c r="F256" s="33"/>
    </row>
    <row r="257" spans="1:6" x14ac:dyDescent="0.2">
      <c r="A257" s="28">
        <f t="shared" si="1"/>
        <v>2014.08</v>
      </c>
      <c r="B257" s="61">
        <v>138.4197411679433</v>
      </c>
      <c r="C257" s="62">
        <v>151.5821268299951</v>
      </c>
      <c r="E257" s="34"/>
      <c r="F257" s="33"/>
    </row>
    <row r="258" spans="1:6" x14ac:dyDescent="0.2">
      <c r="A258" s="28">
        <f t="shared" si="1"/>
        <v>2014.09</v>
      </c>
      <c r="B258" s="61">
        <v>98.003998143074881</v>
      </c>
      <c r="C258" s="62">
        <v>164.02911773645928</v>
      </c>
      <c r="E258" s="34"/>
      <c r="F258" s="33"/>
    </row>
    <row r="259" spans="1:6" x14ac:dyDescent="0.2">
      <c r="A259" s="28">
        <f t="shared" si="1"/>
        <v>2014.1</v>
      </c>
      <c r="B259" s="61">
        <v>246.16191931890847</v>
      </c>
      <c r="C259" s="62">
        <v>174.58689816340075</v>
      </c>
      <c r="E259" s="34"/>
      <c r="F259" s="33"/>
    </row>
    <row r="260" spans="1:6" x14ac:dyDescent="0.2">
      <c r="A260" s="28">
        <f t="shared" si="1"/>
        <v>2014.11</v>
      </c>
      <c r="B260" s="61">
        <v>207.2052177744597</v>
      </c>
      <c r="C260" s="62">
        <v>184.87520872795216</v>
      </c>
      <c r="E260" s="34"/>
      <c r="F260" s="33"/>
    </row>
    <row r="261" spans="1:6" x14ac:dyDescent="0.2">
      <c r="A261" s="28">
        <f t="shared" si="1"/>
        <v>2014.12</v>
      </c>
      <c r="B261" s="61">
        <v>187.63011017186926</v>
      </c>
      <c r="C261" s="62">
        <v>191.01925560593369</v>
      </c>
      <c r="E261" s="35"/>
      <c r="F261" s="33"/>
    </row>
    <row r="262" spans="1:6" x14ac:dyDescent="0.2">
      <c r="A262" s="28">
        <f t="shared" si="1"/>
        <v>2015.01</v>
      </c>
      <c r="B262" s="61">
        <v>187.94899010624914</v>
      </c>
      <c r="C262" s="62">
        <v>197.07313418218877</v>
      </c>
      <c r="E262" s="34"/>
      <c r="F262" s="33"/>
    </row>
    <row r="263" spans="1:6" x14ac:dyDescent="0.2">
      <c r="A263" s="28">
        <f t="shared" si="1"/>
        <v>2015.02</v>
      </c>
      <c r="B263" s="61">
        <v>126.81186298292982</v>
      </c>
      <c r="C263" s="62">
        <v>200.13256080461241</v>
      </c>
      <c r="E263" s="34"/>
      <c r="F263" s="33"/>
    </row>
    <row r="264" spans="1:6" x14ac:dyDescent="0.2">
      <c r="A264" s="28">
        <f t="shared" si="1"/>
        <v>2015.03</v>
      </c>
      <c r="B264" s="61">
        <v>224.57680571109387</v>
      </c>
      <c r="C264" s="62">
        <v>206.80153396758794</v>
      </c>
      <c r="E264" s="34"/>
      <c r="F264" s="33"/>
    </row>
    <row r="265" spans="1:6" x14ac:dyDescent="0.2">
      <c r="A265" s="28">
        <f t="shared" si="1"/>
        <v>2015.04</v>
      </c>
      <c r="B265" s="61">
        <v>188.32501629559863</v>
      </c>
      <c r="C265" s="62">
        <v>210.48655396498614</v>
      </c>
      <c r="E265" s="34"/>
      <c r="F265" s="33"/>
    </row>
    <row r="266" spans="1:6" x14ac:dyDescent="0.2">
      <c r="A266" s="28">
        <f t="shared" si="1"/>
        <v>2015.05</v>
      </c>
      <c r="B266" s="61">
        <v>199.72365347672252</v>
      </c>
      <c r="C266" s="62">
        <v>212.76154438755839</v>
      </c>
      <c r="E266" s="34"/>
      <c r="F266" s="33"/>
    </row>
    <row r="267" spans="1:6" x14ac:dyDescent="0.2">
      <c r="A267" s="28">
        <f t="shared" si="1"/>
        <v>2015.06</v>
      </c>
      <c r="B267" s="61">
        <v>232.78087552918595</v>
      </c>
      <c r="C267" s="62">
        <v>207.56805144729191</v>
      </c>
      <c r="E267" s="34"/>
      <c r="F267" s="33"/>
    </row>
    <row r="268" spans="1:6" x14ac:dyDescent="0.2">
      <c r="A268" s="28">
        <f t="shared" si="1"/>
        <v>2015.07</v>
      </c>
      <c r="B268" s="61">
        <v>183.33883512451195</v>
      </c>
      <c r="C268" s="62">
        <v>196.47909637006379</v>
      </c>
      <c r="E268" s="34"/>
      <c r="F268" s="33"/>
    </row>
    <row r="269" spans="1:6" x14ac:dyDescent="0.2">
      <c r="A269" s="28">
        <f t="shared" si="1"/>
        <v>2015.08</v>
      </c>
      <c r="B269" s="61">
        <v>180.17982597140374</v>
      </c>
      <c r="C269" s="62">
        <v>178.37872560773681</v>
      </c>
      <c r="E269" s="34"/>
      <c r="F269" s="33"/>
    </row>
    <row r="270" spans="1:6" x14ac:dyDescent="0.2">
      <c r="A270" s="28">
        <f t="shared" si="1"/>
        <v>2015.09</v>
      </c>
      <c r="B270" s="61">
        <v>137.87898633476394</v>
      </c>
      <c r="C270" s="62">
        <v>159.29599853251449</v>
      </c>
      <c r="E270" s="34"/>
      <c r="F270" s="33"/>
    </row>
    <row r="271" spans="1:6" x14ac:dyDescent="0.2">
      <c r="A271" s="28">
        <f t="shared" si="1"/>
        <v>2015.1</v>
      </c>
      <c r="B271" s="61">
        <v>146.52505725195272</v>
      </c>
      <c r="C271" s="62">
        <v>143.24799546767309</v>
      </c>
      <c r="E271" s="34"/>
      <c r="F271" s="33"/>
    </row>
    <row r="272" spans="1:6" x14ac:dyDescent="0.2">
      <c r="A272" s="28">
        <f t="shared" si="1"/>
        <v>2015.11</v>
      </c>
      <c r="B272" s="61">
        <v>131.10660548186593</v>
      </c>
      <c r="C272" s="62">
        <v>133.0048793209474</v>
      </c>
      <c r="E272" s="34"/>
      <c r="F272" s="33"/>
    </row>
    <row r="273" spans="1:6" x14ac:dyDescent="0.2">
      <c r="A273" s="28">
        <f t="shared" si="1"/>
        <v>2015.12</v>
      </c>
      <c r="B273" s="61">
        <v>112.86314585047282</v>
      </c>
      <c r="C273" s="62">
        <v>130.51793466005037</v>
      </c>
      <c r="E273" s="34"/>
      <c r="F273" s="33"/>
    </row>
    <row r="274" spans="1:6" x14ac:dyDescent="0.2">
      <c r="A274" s="28">
        <f t="shared" si="1"/>
        <v>2016.01</v>
      </c>
      <c r="B274" s="61">
        <v>144.8882521914349</v>
      </c>
      <c r="C274" s="62">
        <v>134.47553185819837</v>
      </c>
      <c r="E274" s="34"/>
      <c r="F274" s="33"/>
    </row>
    <row r="275" spans="1:6" x14ac:dyDescent="0.2">
      <c r="A275" s="28">
        <f t="shared" si="1"/>
        <v>2016.02</v>
      </c>
      <c r="B275" s="61">
        <v>142.20700694136792</v>
      </c>
      <c r="C275" s="62">
        <v>141.31693373027295</v>
      </c>
      <c r="E275" s="34"/>
      <c r="F275" s="33"/>
    </row>
    <row r="276" spans="1:6" x14ac:dyDescent="0.2">
      <c r="A276" s="28">
        <f t="shared" si="1"/>
        <v>2016.03</v>
      </c>
      <c r="B276" s="61">
        <v>209.118239460815</v>
      </c>
      <c r="C276" s="62">
        <v>147.24222213478239</v>
      </c>
      <c r="E276" s="34"/>
      <c r="F276" s="33"/>
    </row>
    <row r="277" spans="1:6" x14ac:dyDescent="0.2">
      <c r="A277" s="28">
        <f t="shared" si="1"/>
        <v>2016.04</v>
      </c>
      <c r="B277" s="61">
        <v>148.40670767625318</v>
      </c>
      <c r="C277" s="62">
        <v>151.3273195191228</v>
      </c>
      <c r="E277" s="34"/>
      <c r="F277" s="33"/>
    </row>
    <row r="278" spans="1:6" x14ac:dyDescent="0.2">
      <c r="A278" s="28">
        <f t="shared" si="1"/>
        <v>2016.05</v>
      </c>
      <c r="B278" s="61">
        <v>116.48648005164851</v>
      </c>
      <c r="C278" s="62">
        <v>155.50478669379791</v>
      </c>
      <c r="E278" s="35"/>
      <c r="F278" s="33"/>
    </row>
    <row r="279" spans="1:6" x14ac:dyDescent="0.2">
      <c r="A279" s="28">
        <f t="shared" si="1"/>
        <v>2016.06</v>
      </c>
      <c r="B279" s="61">
        <v>167.12036217244309</v>
      </c>
      <c r="C279" s="62">
        <v>158.21915227253109</v>
      </c>
      <c r="E279" s="34"/>
      <c r="F279" s="33"/>
    </row>
    <row r="280" spans="1:6" x14ac:dyDescent="0.2">
      <c r="A280" s="28">
        <f t="shared" si="1"/>
        <v>2016.07</v>
      </c>
      <c r="B280" s="61">
        <v>142.4130658398856</v>
      </c>
      <c r="C280" s="62">
        <v>162.06983733004799</v>
      </c>
      <c r="E280" s="35"/>
      <c r="F280" s="33"/>
    </row>
    <row r="281" spans="1:6" x14ac:dyDescent="0.2">
      <c r="A281" s="28">
        <f t="shared" si="1"/>
        <v>2016.08</v>
      </c>
      <c r="B281" s="61">
        <v>157.59115238371845</v>
      </c>
      <c r="C281" s="62">
        <v>163.13052793960199</v>
      </c>
      <c r="E281" s="34"/>
      <c r="F281" s="33"/>
    </row>
    <row r="282" spans="1:6" x14ac:dyDescent="0.2">
      <c r="A282" s="28">
        <f t="shared" si="1"/>
        <v>2016.09</v>
      </c>
      <c r="B282" s="61">
        <v>164.188263996969</v>
      </c>
      <c r="C282" s="62">
        <v>166.66675600021827</v>
      </c>
      <c r="E282" s="34"/>
      <c r="F282" s="33"/>
    </row>
    <row r="283" spans="1:6" x14ac:dyDescent="0.2">
      <c r="A283" s="28">
        <f t="shared" si="1"/>
        <v>2016.1</v>
      </c>
      <c r="B283" s="61">
        <v>126.85435539641912</v>
      </c>
      <c r="C283" s="62">
        <v>169.32366709690814</v>
      </c>
      <c r="E283" s="34"/>
      <c r="F283" s="33"/>
    </row>
    <row r="284" spans="1:6" x14ac:dyDescent="0.2">
      <c r="A284" s="28">
        <f t="shared" si="1"/>
        <v>2016.11</v>
      </c>
      <c r="B284" s="61">
        <v>149.84883624429207</v>
      </c>
      <c r="C284" s="62">
        <v>176.07801468779735</v>
      </c>
      <c r="E284" s="34"/>
      <c r="F284" s="33"/>
    </row>
    <row r="285" spans="1:6" x14ac:dyDescent="0.2">
      <c r="A285" s="28">
        <f t="shared" si="1"/>
        <v>2016.12</v>
      </c>
      <c r="B285" s="61">
        <v>202.43190587414091</v>
      </c>
      <c r="C285" s="62">
        <v>180.81257682654126</v>
      </c>
      <c r="E285" s="34"/>
      <c r="F285" s="33"/>
    </row>
    <row r="286" spans="1:6" x14ac:dyDescent="0.2">
      <c r="A286" s="28">
        <f t="shared" si="1"/>
        <v>2017.01</v>
      </c>
      <c r="B286" s="61">
        <v>195.74112483370465</v>
      </c>
      <c r="C286" s="62">
        <v>185.7666198973028</v>
      </c>
      <c r="E286" s="34"/>
      <c r="F286" s="33"/>
    </row>
    <row r="287" spans="1:6" x14ac:dyDescent="0.2">
      <c r="A287" s="28">
        <f t="shared" si="1"/>
        <v>2017.02</v>
      </c>
      <c r="B287" s="61">
        <v>237.99188857014508</v>
      </c>
      <c r="C287" s="62">
        <v>190.25049953671913</v>
      </c>
      <c r="E287" s="34"/>
      <c r="F287" s="33"/>
    </row>
    <row r="288" spans="1:6" x14ac:dyDescent="0.2">
      <c r="A288" s="28">
        <f t="shared" si="1"/>
        <v>2017.03</v>
      </c>
      <c r="B288" s="61">
        <v>189.87246174487643</v>
      </c>
      <c r="C288" s="62">
        <v>194.93387175873494</v>
      </c>
      <c r="E288" s="34"/>
      <c r="F288" s="33"/>
    </row>
    <row r="289" spans="1:6" x14ac:dyDescent="0.2">
      <c r="A289" s="28">
        <f t="shared" si="1"/>
        <v>2017.04</v>
      </c>
      <c r="B289" s="61">
        <v>158.08333039748857</v>
      </c>
      <c r="C289" s="62">
        <v>198.55087854989472</v>
      </c>
      <c r="E289" s="34"/>
      <c r="F289" s="33"/>
    </row>
    <row r="290" spans="1:6" x14ac:dyDescent="0.2">
      <c r="A290" s="28">
        <f t="shared" si="1"/>
        <v>2017.05</v>
      </c>
      <c r="B290" s="61">
        <v>180.49963783908873</v>
      </c>
      <c r="C290" s="62">
        <v>201.89086180963213</v>
      </c>
      <c r="E290" s="34"/>
      <c r="F290" s="33"/>
    </row>
    <row r="291" spans="1:6" x14ac:dyDescent="0.2">
      <c r="A291" s="28">
        <f t="shared" si="1"/>
        <v>2017.06</v>
      </c>
      <c r="B291" s="61">
        <v>203.64605255477491</v>
      </c>
      <c r="C291" s="62">
        <v>211.11777057027803</v>
      </c>
      <c r="E291" s="34"/>
      <c r="F291" s="33"/>
    </row>
    <row r="292" spans="1:6" x14ac:dyDescent="0.2">
      <c r="A292" s="28">
        <f t="shared" si="1"/>
        <v>2017.07</v>
      </c>
      <c r="B292" s="61">
        <v>212.2409928491715</v>
      </c>
      <c r="C292" s="62">
        <v>222.26536077623763</v>
      </c>
      <c r="E292" s="34"/>
      <c r="F292" s="33"/>
    </row>
    <row r="293" spans="1:6" x14ac:dyDescent="0.2">
      <c r="A293" s="28">
        <f t="shared" si="1"/>
        <v>2017.08</v>
      </c>
      <c r="B293" s="61">
        <v>172.85654352884762</v>
      </c>
      <c r="C293" s="62">
        <v>233.36059366100261</v>
      </c>
      <c r="E293" s="34"/>
      <c r="F293" s="33"/>
    </row>
    <row r="294" spans="1:6" x14ac:dyDescent="0.2">
      <c r="A294" s="28">
        <f t="shared" si="1"/>
        <v>2017.09</v>
      </c>
      <c r="B294" s="61">
        <v>283.29214639133124</v>
      </c>
      <c r="C294" s="62">
        <v>234.85205494021665</v>
      </c>
      <c r="E294" s="34"/>
      <c r="F294" s="33"/>
    </row>
    <row r="295" spans="1:6" x14ac:dyDescent="0.2">
      <c r="A295" s="28">
        <f t="shared" si="1"/>
        <v>2017.1</v>
      </c>
      <c r="B295" s="61">
        <v>309.72063652340626</v>
      </c>
      <c r="C295" s="62">
        <v>230.40791162623199</v>
      </c>
      <c r="E295" s="34"/>
      <c r="F295" s="33"/>
    </row>
    <row r="296" spans="1:6" x14ac:dyDescent="0.2">
      <c r="A296" s="28">
        <f t="shared" si="1"/>
        <v>2017.11</v>
      </c>
      <c r="B296" s="61">
        <v>228.48471096682346</v>
      </c>
      <c r="C296" s="62">
        <v>217.01665943693311</v>
      </c>
      <c r="E296" s="34"/>
      <c r="F296" s="33"/>
    </row>
    <row r="297" spans="1:6" x14ac:dyDescent="0.2">
      <c r="A297" s="28">
        <f t="shared" si="1"/>
        <v>2017.12</v>
      </c>
      <c r="B297" s="61">
        <v>205.49092051578197</v>
      </c>
      <c r="C297" s="62">
        <v>200.79992064197862</v>
      </c>
      <c r="E297" s="34"/>
      <c r="F297" s="33"/>
    </row>
    <row r="298" spans="1:6" x14ac:dyDescent="0.2">
      <c r="A298" s="28">
        <f t="shared" si="1"/>
        <v>2018.01</v>
      </c>
      <c r="B298" s="61">
        <v>145.41610823002478</v>
      </c>
      <c r="C298" s="62">
        <v>182.39682750323084</v>
      </c>
      <c r="E298" s="34"/>
      <c r="F298" s="33"/>
    </row>
    <row r="299" spans="1:6" x14ac:dyDescent="0.2">
      <c r="A299" s="28">
        <f t="shared" si="1"/>
        <v>2018.02</v>
      </c>
      <c r="B299" s="61">
        <v>382.57124402161946</v>
      </c>
      <c r="C299" s="62">
        <v>168.26721531121035</v>
      </c>
      <c r="E299" s="34"/>
      <c r="F299" s="33"/>
    </row>
    <row r="300" spans="1:6" x14ac:dyDescent="0.2">
      <c r="A300" s="28">
        <f t="shared" si="1"/>
        <v>2018.03</v>
      </c>
      <c r="B300" s="61">
        <v>178.98467650656522</v>
      </c>
      <c r="C300" s="62">
        <v>156.24898569575512</v>
      </c>
      <c r="E300" s="34"/>
      <c r="F300" s="33"/>
    </row>
    <row r="301" spans="1:6" x14ac:dyDescent="0.2">
      <c r="A301" s="28">
        <f t="shared" si="1"/>
        <v>2018.04</v>
      </c>
      <c r="B301" s="61">
        <v>147.77985913272761</v>
      </c>
      <c r="C301" s="62">
        <v>147.24254749246492</v>
      </c>
      <c r="E301" s="34"/>
      <c r="F301" s="33"/>
    </row>
    <row r="302" spans="1:6" x14ac:dyDescent="0.2">
      <c r="A302" s="28">
        <f t="shared" si="1"/>
        <v>2018.05</v>
      </c>
      <c r="B302" s="61">
        <v>103.24034008934326</v>
      </c>
      <c r="C302" s="62">
        <v>135.91553633575683</v>
      </c>
      <c r="E302" s="34"/>
      <c r="F302" s="33"/>
    </row>
    <row r="303" spans="1:6" x14ac:dyDescent="0.2">
      <c r="A303" s="28">
        <f t="shared" si="1"/>
        <v>2018.06</v>
      </c>
      <c r="B303" s="61">
        <v>84.315350590484854</v>
      </c>
      <c r="C303" s="62">
        <v>126.57680445925588</v>
      </c>
      <c r="E303" s="34"/>
      <c r="F303" s="33"/>
    </row>
    <row r="304" spans="1:6" x14ac:dyDescent="0.2">
      <c r="A304" s="28">
        <f t="shared" si="1"/>
        <v>2018.07</v>
      </c>
      <c r="B304" s="61">
        <v>124.88231792966383</v>
      </c>
      <c r="C304" s="62">
        <v>119.45124941481627</v>
      </c>
      <c r="E304" s="34"/>
      <c r="F304" s="33"/>
    </row>
    <row r="305" spans="1:7" x14ac:dyDescent="0.2">
      <c r="A305" s="28">
        <f t="shared" si="1"/>
        <v>2018.08</v>
      </c>
      <c r="B305" s="61">
        <v>78.95000404901667</v>
      </c>
      <c r="C305" s="62">
        <v>119.16265959309858</v>
      </c>
      <c r="E305" s="34"/>
      <c r="F305" s="33"/>
    </row>
    <row r="306" spans="1:7" x14ac:dyDescent="0.2">
      <c r="A306" s="28">
        <f t="shared" ref="A306:A369" si="2">A294+1</f>
        <v>2018.09</v>
      </c>
      <c r="B306" s="61">
        <v>141.56714398484121</v>
      </c>
      <c r="C306" s="62">
        <v>121.53333394150205</v>
      </c>
      <c r="E306" s="34"/>
      <c r="F306" s="33"/>
    </row>
    <row r="307" spans="1:7" x14ac:dyDescent="0.2">
      <c r="A307" s="28">
        <f t="shared" si="2"/>
        <v>2018.1</v>
      </c>
      <c r="B307" s="61">
        <v>154.64105905221618</v>
      </c>
      <c r="C307" s="62">
        <v>125.8297965009603</v>
      </c>
      <c r="E307" s="34"/>
      <c r="F307" s="33"/>
    </row>
    <row r="308" spans="1:7" x14ac:dyDescent="0.2">
      <c r="A308" s="28">
        <f t="shared" si="2"/>
        <v>2018.11</v>
      </c>
      <c r="B308" s="61">
        <v>116.23344449392462</v>
      </c>
      <c r="C308" s="62">
        <v>126.70292726275095</v>
      </c>
      <c r="E308" s="34"/>
      <c r="F308" s="33"/>
    </row>
    <row r="309" spans="1:7" x14ac:dyDescent="0.2">
      <c r="A309" s="28">
        <f t="shared" si="2"/>
        <v>2018.12</v>
      </c>
      <c r="B309" s="61">
        <v>175.95212735253247</v>
      </c>
      <c r="C309" s="62">
        <v>126.26456612288078</v>
      </c>
      <c r="E309" s="35"/>
      <c r="F309" s="33"/>
      <c r="G309" s="30"/>
    </row>
    <row r="310" spans="1:7" ht="14.25" x14ac:dyDescent="0.2">
      <c r="A310" s="28">
        <f t="shared" si="2"/>
        <v>2019.01</v>
      </c>
      <c r="B310" s="61">
        <v>110.77631437758818</v>
      </c>
      <c r="C310" s="62">
        <v>124.68721357132608</v>
      </c>
      <c r="E310" s="37"/>
      <c r="F310" s="38"/>
    </row>
    <row r="311" spans="1:7" ht="14.25" x14ac:dyDescent="0.2">
      <c r="A311" s="28">
        <f t="shared" si="2"/>
        <v>2019.02</v>
      </c>
      <c r="B311" s="61">
        <v>131.50369174815208</v>
      </c>
      <c r="C311" s="62">
        <v>123.27236148681637</v>
      </c>
      <c r="E311" s="37"/>
      <c r="F311" s="38"/>
    </row>
    <row r="312" spans="1:7" ht="14.25" x14ac:dyDescent="0.2">
      <c r="A312" s="28">
        <f t="shared" si="2"/>
        <v>2019.03</v>
      </c>
      <c r="B312" s="61">
        <v>124.00155309247279</v>
      </c>
      <c r="C312" s="62">
        <v>124.58766833070413</v>
      </c>
      <c r="E312" s="37"/>
      <c r="F312" s="38"/>
    </row>
    <row r="313" spans="1:7" ht="14.25" x14ac:dyDescent="0.2">
      <c r="A313" s="28">
        <f t="shared" si="2"/>
        <v>2019.04</v>
      </c>
      <c r="B313" s="61">
        <v>124.70994086893838</v>
      </c>
      <c r="C313" s="62">
        <v>126.07971863751524</v>
      </c>
      <c r="E313" s="37"/>
      <c r="F313" s="38"/>
    </row>
    <row r="314" spans="1:7" ht="14.25" x14ac:dyDescent="0.2">
      <c r="A314" s="28">
        <f t="shared" si="2"/>
        <v>2019.05</v>
      </c>
      <c r="B314" s="61">
        <v>93.979589854776492</v>
      </c>
      <c r="C314" s="62">
        <v>128.05158090773506</v>
      </c>
      <c r="E314" s="37"/>
      <c r="F314" s="38"/>
    </row>
    <row r="315" spans="1:7" ht="14.25" x14ac:dyDescent="0.2">
      <c r="A315" s="28">
        <f t="shared" si="2"/>
        <v>2019.06</v>
      </c>
      <c r="B315" s="61">
        <v>137.08364663140247</v>
      </c>
      <c r="C315" s="62">
        <v>125.06674261912441</v>
      </c>
      <c r="E315" s="37"/>
      <c r="F315" s="38"/>
    </row>
    <row r="316" spans="1:7" ht="14.25" x14ac:dyDescent="0.2">
      <c r="A316" s="28">
        <f t="shared" si="2"/>
        <v>2019.07</v>
      </c>
      <c r="B316" s="61">
        <v>114.60619063969418</v>
      </c>
      <c r="C316" s="62">
        <v>119.87619063352933</v>
      </c>
      <c r="E316" s="37"/>
      <c r="F316" s="38"/>
    </row>
    <row r="317" spans="1:7" ht="14.25" x14ac:dyDescent="0.2">
      <c r="A317" s="28">
        <f t="shared" si="2"/>
        <v>2019.08</v>
      </c>
      <c r="B317" s="61">
        <v>92.422157182483815</v>
      </c>
      <c r="C317" s="62">
        <v>112.23531195603275</v>
      </c>
      <c r="E317" s="37"/>
      <c r="F317" s="38"/>
    </row>
    <row r="318" spans="1:7" ht="14.25" x14ac:dyDescent="0.2">
      <c r="A318" s="28">
        <f t="shared" si="2"/>
        <v>2019.09</v>
      </c>
      <c r="B318" s="61">
        <v>98.174015265740877</v>
      </c>
      <c r="C318" s="62">
        <v>107.91851131094511</v>
      </c>
      <c r="E318" s="37"/>
      <c r="F318" s="38"/>
    </row>
    <row r="319" spans="1:7" ht="14.25" x14ac:dyDescent="0.2">
      <c r="A319" s="28">
        <f t="shared" si="2"/>
        <v>2019.1</v>
      </c>
      <c r="B319" s="61">
        <v>119.88797203893168</v>
      </c>
      <c r="C319" s="62">
        <v>105.15691245759967</v>
      </c>
      <c r="E319" s="37"/>
      <c r="F319" s="38"/>
    </row>
    <row r="320" spans="1:7" ht="14.25" x14ac:dyDescent="0.2">
      <c r="A320" s="28">
        <f t="shared" si="2"/>
        <v>2019.11</v>
      </c>
      <c r="B320" s="61">
        <v>92.665279030292112</v>
      </c>
      <c r="C320" s="62">
        <v>107.2927038690908</v>
      </c>
      <c r="E320" s="37"/>
      <c r="F320" s="38"/>
    </row>
    <row r="321" spans="1:7" ht="14.25" x14ac:dyDescent="0.2">
      <c r="A321" s="28">
        <f t="shared" si="2"/>
        <v>2019.12</v>
      </c>
      <c r="B321" s="61">
        <v>165.49688590596406</v>
      </c>
      <c r="C321" s="62">
        <v>108.01311598757144</v>
      </c>
      <c r="E321" s="40"/>
      <c r="F321" s="38"/>
      <c r="G321" s="36"/>
    </row>
    <row r="322" spans="1:7" x14ac:dyDescent="0.2">
      <c r="A322" s="28">
        <f t="shared" si="2"/>
        <v>2020.01</v>
      </c>
      <c r="B322" s="61">
        <v>145.82889915269396</v>
      </c>
      <c r="C322" s="62">
        <v>106.96613954060355</v>
      </c>
      <c r="E322" s="39"/>
      <c r="F322" s="39"/>
    </row>
    <row r="323" spans="1:7" x14ac:dyDescent="0.2">
      <c r="A323" s="28">
        <f t="shared" si="2"/>
        <v>2020.02</v>
      </c>
      <c r="B323" s="61">
        <v>135.62101743037763</v>
      </c>
      <c r="C323" s="62">
        <v>99.980318638913502</v>
      </c>
    </row>
    <row r="324" spans="1:7" x14ac:dyDescent="0.2">
      <c r="A324" s="28">
        <f t="shared" si="2"/>
        <v>2020.03</v>
      </c>
      <c r="B324" s="61">
        <v>17.824596608468493</v>
      </c>
      <c r="C324" s="62">
        <v>90.398915018291149</v>
      </c>
    </row>
    <row r="325" spans="1:7" x14ac:dyDescent="0.2">
      <c r="A325" s="28">
        <f t="shared" si="2"/>
        <v>2020.04</v>
      </c>
      <c r="B325" s="61">
        <v>17.131709253478817</v>
      </c>
      <c r="C325" s="62">
        <v>79.751499306854058</v>
      </c>
    </row>
    <row r="326" spans="1:7" x14ac:dyDescent="0.2">
      <c r="A326" s="28">
        <f t="shared" si="2"/>
        <v>2020.05</v>
      </c>
      <c r="B326" s="61">
        <v>49.785080599401915</v>
      </c>
      <c r="C326" s="62">
        <v>72.318986857416306</v>
      </c>
    </row>
    <row r="327" spans="1:7" x14ac:dyDescent="0.2">
      <c r="A327" s="28">
        <f t="shared" si="2"/>
        <v>2020.06</v>
      </c>
      <c r="B327" s="61">
        <v>50.861653727530708</v>
      </c>
      <c r="C327" s="62">
        <v>70.782120526380226</v>
      </c>
    </row>
    <row r="328" spans="1:7" x14ac:dyDescent="0.2">
      <c r="A328" s="28">
        <f t="shared" si="2"/>
        <v>2020.07</v>
      </c>
      <c r="B328" s="61">
        <v>126.91006646469882</v>
      </c>
      <c r="C328" s="62">
        <v>74.123837323829861</v>
      </c>
    </row>
    <row r="329" spans="1:7" x14ac:dyDescent="0.2">
      <c r="A329" s="28">
        <f t="shared" si="2"/>
        <v>2020.08</v>
      </c>
      <c r="B329" s="61">
        <v>64.274332735054116</v>
      </c>
      <c r="C329" s="62">
        <v>81.628912725728824</v>
      </c>
    </row>
    <row r="330" spans="1:7" x14ac:dyDescent="0.2">
      <c r="A330" s="28">
        <f t="shared" si="2"/>
        <v>2020.09</v>
      </c>
      <c r="B330" s="61">
        <v>114.15818237621704</v>
      </c>
      <c r="C330" s="62">
        <v>88.165521812379865</v>
      </c>
    </row>
    <row r="331" spans="1:7" x14ac:dyDescent="0.2">
      <c r="A331" s="28">
        <f t="shared" si="2"/>
        <v>2020.1</v>
      </c>
      <c r="B331" s="61">
        <v>110.6039698971621</v>
      </c>
      <c r="C331" s="62">
        <v>95.33456740073072</v>
      </c>
    </row>
    <row r="332" spans="1:7" x14ac:dyDescent="0.2">
      <c r="A332" s="28">
        <f t="shared" si="2"/>
        <v>2020.11</v>
      </c>
      <c r="B332" s="61">
        <v>145.68454509208232</v>
      </c>
      <c r="C332" s="62">
        <v>101.42639506628502</v>
      </c>
    </row>
    <row r="333" spans="1:7" x14ac:dyDescent="0.2">
      <c r="A333" s="28">
        <f t="shared" si="2"/>
        <v>2020.12</v>
      </c>
      <c r="B333" s="61">
        <v>115.89176085158581</v>
      </c>
      <c r="C333" s="62">
        <v>108.99898477692977</v>
      </c>
    </row>
    <row r="334" spans="1:7" x14ac:dyDescent="0.2">
      <c r="A334" s="28">
        <f t="shared" si="2"/>
        <v>2021.01</v>
      </c>
      <c r="B334" s="61">
        <v>104.85699306610366</v>
      </c>
      <c r="C334" s="62">
        <v>117.85190920277441</v>
      </c>
      <c r="E334" s="30"/>
    </row>
    <row r="335" spans="1:7" x14ac:dyDescent="0.2">
      <c r="A335" s="28">
        <f t="shared" si="2"/>
        <v>2021.02</v>
      </c>
      <c r="B335" s="61">
        <v>157.45112733381612</v>
      </c>
      <c r="C335" s="62">
        <v>126.27096185075737</v>
      </c>
      <c r="E335" s="30"/>
      <c r="F335" s="30"/>
    </row>
    <row r="336" spans="1:7" x14ac:dyDescent="0.2">
      <c r="A336" s="28">
        <f t="shared" si="2"/>
        <v>2021.03</v>
      </c>
      <c r="B336" s="61">
        <v>133.63081553731396</v>
      </c>
      <c r="C336" s="62">
        <v>135.66884383765421</v>
      </c>
      <c r="E336" s="30"/>
      <c r="F336" s="30"/>
    </row>
    <row r="337" spans="1:6" x14ac:dyDescent="0.2">
      <c r="A337" s="28">
        <f t="shared" si="2"/>
        <v>2021.04</v>
      </c>
      <c r="B337" s="61">
        <v>156.64304715104748</v>
      </c>
      <c r="C337" s="62">
        <v>140.71585749216015</v>
      </c>
      <c r="E337" s="30"/>
      <c r="F337" s="30"/>
    </row>
    <row r="338" spans="1:6" x14ac:dyDescent="0.2">
      <c r="A338" s="28">
        <f t="shared" si="2"/>
        <v>2021.05</v>
      </c>
      <c r="B338" s="61">
        <v>85.479640210871665</v>
      </c>
      <c r="C338" s="62">
        <v>147.03217749294501</v>
      </c>
    </row>
    <row r="339" spans="1:6" x14ac:dyDescent="0.2">
      <c r="A339" s="28">
        <f t="shared" si="2"/>
        <v>2021.06</v>
      </c>
      <c r="B339" s="61">
        <v>150.98859056601225</v>
      </c>
      <c r="C339" s="62">
        <v>148.0354355188133</v>
      </c>
    </row>
    <row r="340" spans="1:6" x14ac:dyDescent="0.2">
      <c r="A340" s="28">
        <f t="shared" si="2"/>
        <v>2021.07</v>
      </c>
      <c r="B340" s="61">
        <v>135.63870168434286</v>
      </c>
      <c r="C340" s="62">
        <v>153.98236575796233</v>
      </c>
    </row>
    <row r="341" spans="1:6" x14ac:dyDescent="0.2">
      <c r="A341" s="28">
        <f t="shared" si="2"/>
        <v>2021.08</v>
      </c>
      <c r="B341" s="61">
        <v>178.03016737074319</v>
      </c>
      <c r="C341" s="62">
        <v>156.65616389833914</v>
      </c>
    </row>
    <row r="342" spans="1:6" x14ac:dyDescent="0.2">
      <c r="A342" s="28">
        <f t="shared" si="2"/>
        <v>2021.09</v>
      </c>
      <c r="B342" s="61">
        <v>133.16162331984972</v>
      </c>
      <c r="C342" s="62">
        <v>161.99014662577719</v>
      </c>
    </row>
    <row r="343" spans="1:6" x14ac:dyDescent="0.2">
      <c r="A343" s="28">
        <f t="shared" si="2"/>
        <v>2021.1</v>
      </c>
      <c r="B343" s="61">
        <v>216.22729736774133</v>
      </c>
      <c r="C343" s="62">
        <v>163.55145929348055</v>
      </c>
    </row>
    <row r="344" spans="1:6" x14ac:dyDescent="0.2">
      <c r="A344" s="28">
        <f t="shared" si="2"/>
        <v>2021.11</v>
      </c>
      <c r="B344" s="61">
        <v>144.2225622997083</v>
      </c>
      <c r="C344" s="62">
        <v>167.12512817184299</v>
      </c>
    </row>
    <row r="345" spans="1:6" x14ac:dyDescent="0.2">
      <c r="A345" s="28">
        <f t="shared" si="2"/>
        <v>2021.12</v>
      </c>
      <c r="B345" s="61">
        <v>181.45098166496405</v>
      </c>
      <c r="C345" s="62">
        <v>168.80683441174611</v>
      </c>
    </row>
    <row r="346" spans="1:6" x14ac:dyDescent="0.2">
      <c r="A346" s="28">
        <f t="shared" si="2"/>
        <v>2022.01</v>
      </c>
      <c r="B346" s="61">
        <v>191.50606544525382</v>
      </c>
      <c r="C346" s="62">
        <v>169.37602195791416</v>
      </c>
    </row>
    <row r="347" spans="1:6" x14ac:dyDescent="0.2">
      <c r="A347" s="28">
        <f t="shared" si="2"/>
        <v>2022.02</v>
      </c>
      <c r="B347" s="61">
        <v>169.13047975666069</v>
      </c>
      <c r="C347" s="62">
        <v>173.06381609167377</v>
      </c>
    </row>
    <row r="348" spans="1:6" x14ac:dyDescent="0.2">
      <c r="A348" s="28">
        <f t="shared" si="2"/>
        <v>2022.03</v>
      </c>
      <c r="B348" s="61">
        <v>169.30357893042816</v>
      </c>
      <c r="C348" s="62">
        <v>175.97801288145493</v>
      </c>
    </row>
    <row r="349" spans="1:6" x14ac:dyDescent="0.2">
      <c r="A349" s="28">
        <f t="shared" si="2"/>
        <v>2022.04</v>
      </c>
      <c r="B349" s="61">
        <v>155.94994944983259</v>
      </c>
      <c r="C349" s="62">
        <v>181.84482807176488</v>
      </c>
    </row>
    <row r="350" spans="1:6" x14ac:dyDescent="0.2">
      <c r="A350" s="28">
        <f t="shared" si="2"/>
        <v>2022.05</v>
      </c>
      <c r="B350" s="61">
        <v>216.40246922017471</v>
      </c>
      <c r="C350" s="62">
        <v>185.2082416726054</v>
      </c>
    </row>
    <row r="351" spans="1:6" x14ac:dyDescent="0.2">
      <c r="A351" s="28">
        <f t="shared" si="2"/>
        <v>2022.06</v>
      </c>
      <c r="B351" s="61">
        <v>155.46884288767359</v>
      </c>
      <c r="C351" s="62">
        <v>189.67464095193321</v>
      </c>
    </row>
    <row r="352" spans="1:6" x14ac:dyDescent="0.2">
      <c r="A352" s="28">
        <f t="shared" si="2"/>
        <v>2022.07</v>
      </c>
      <c r="B352" s="61">
        <v>204.79976721798482</v>
      </c>
      <c r="C352" s="62">
        <v>188.46124121748164</v>
      </c>
    </row>
    <row r="353" spans="1:3" x14ac:dyDescent="0.2">
      <c r="A353" s="28">
        <f t="shared" si="2"/>
        <v>2022.08</v>
      </c>
      <c r="B353" s="61">
        <v>218.68294707194897</v>
      </c>
      <c r="C353" s="62">
        <v>182.87023183035001</v>
      </c>
    </row>
    <row r="354" spans="1:3" x14ac:dyDescent="0.2">
      <c r="A354" s="28">
        <f t="shared" si="2"/>
        <v>2022.09</v>
      </c>
      <c r="B354" s="61">
        <v>136.93118840143063</v>
      </c>
      <c r="C354" s="62">
        <v>172.01544953920788</v>
      </c>
    </row>
    <row r="355" spans="1:3" x14ac:dyDescent="0.2">
      <c r="A355" s="28">
        <f t="shared" si="2"/>
        <v>2022.1</v>
      </c>
      <c r="B355" s="61">
        <v>197.29252937667405</v>
      </c>
      <c r="C355" s="62">
        <v>160.67572405752426</v>
      </c>
    </row>
    <row r="356" spans="1:3" x14ac:dyDescent="0.2">
      <c r="A356" s="28">
        <f t="shared" si="2"/>
        <v>2022.11</v>
      </c>
      <c r="B356" s="61">
        <v>126.94018635224124</v>
      </c>
      <c r="C356" s="62">
        <v>150.28631013821888</v>
      </c>
    </row>
    <row r="357" spans="1:3" x14ac:dyDescent="0.2">
      <c r="A357" s="28">
        <f t="shared" si="2"/>
        <v>2022.12</v>
      </c>
      <c r="B357" s="61">
        <v>137.04333894011887</v>
      </c>
      <c r="C357" s="62">
        <v>147.00441042763097</v>
      </c>
    </row>
    <row r="358" spans="1:3" x14ac:dyDescent="0.2">
      <c r="A358" s="28">
        <f t="shared" si="2"/>
        <v>2023.01</v>
      </c>
      <c r="B358" s="61">
        <v>161.4195602144033</v>
      </c>
      <c r="C358" s="62">
        <v>149.09078203760407</v>
      </c>
    </row>
    <row r="359" spans="1:3" x14ac:dyDescent="0.2">
      <c r="A359" s="28">
        <f t="shared" si="2"/>
        <v>2023.02</v>
      </c>
      <c r="B359" s="61">
        <v>128.66623619009911</v>
      </c>
      <c r="C359" s="62">
        <v>154.00693941663536</v>
      </c>
    </row>
    <row r="360" spans="1:3" x14ac:dyDescent="0.2">
      <c r="A360" s="28">
        <f t="shared" si="2"/>
        <v>2023.03</v>
      </c>
      <c r="B360" s="61">
        <v>189.39525169717132</v>
      </c>
      <c r="C360" s="62">
        <v>155.89544000509716</v>
      </c>
    </row>
    <row r="361" spans="1:3" x14ac:dyDescent="0.2">
      <c r="A361" s="28">
        <f t="shared" si="2"/>
        <v>2023.04</v>
      </c>
      <c r="B361" s="61">
        <v>164.73765770057744</v>
      </c>
      <c r="C361" s="62">
        <v>156.09536294743793</v>
      </c>
    </row>
    <row r="362" spans="1:3" x14ac:dyDescent="0.2">
      <c r="A362" s="28">
        <f t="shared" si="2"/>
        <v>2023.05</v>
      </c>
      <c r="B362" s="61">
        <v>137.85450048914447</v>
      </c>
      <c r="C362" s="62">
        <v>149.43528289289182</v>
      </c>
    </row>
    <row r="363" spans="1:3" x14ac:dyDescent="0.2">
      <c r="A363" s="28">
        <f t="shared" si="2"/>
        <v>2023.06</v>
      </c>
      <c r="B363" s="61">
        <v>122.27810162514356</v>
      </c>
      <c r="C363" s="62">
        <v>139.27828946291578</v>
      </c>
    </row>
    <row r="364" spans="1:3" x14ac:dyDescent="0.2">
      <c r="A364" s="28">
        <f t="shared" si="2"/>
        <v>2023.07</v>
      </c>
      <c r="B364" s="61">
        <v>136.66436217934108</v>
      </c>
      <c r="C364" s="62">
        <v>124.5702761375929</v>
      </c>
    </row>
    <row r="365" spans="1:3" x14ac:dyDescent="0.2">
      <c r="A365" s="28">
        <f t="shared" si="2"/>
        <v>2023.08</v>
      </c>
      <c r="B365" s="61">
        <v>129.45208055617232</v>
      </c>
      <c r="C365" s="62">
        <v>111.04964123814555</v>
      </c>
    </row>
    <row r="366" spans="1:3" x14ac:dyDescent="0.2">
      <c r="A366" s="28">
        <f t="shared" si="2"/>
        <v>2023.09</v>
      </c>
      <c r="B366" s="61">
        <v>79.931919034442075</v>
      </c>
      <c r="C366" s="62">
        <v>99.238010948687503</v>
      </c>
    </row>
    <row r="367" spans="1:3" x14ac:dyDescent="0.2">
      <c r="A367" s="28">
        <f t="shared" si="2"/>
        <v>2023.1</v>
      </c>
      <c r="B367" s="61">
        <v>78.958704687115244</v>
      </c>
      <c r="C367" s="62">
        <v>88.861951746731691</v>
      </c>
    </row>
    <row r="368" spans="1:3" x14ac:dyDescent="0.2">
      <c r="A368" s="28">
        <f t="shared" si="2"/>
        <v>2023.11</v>
      </c>
      <c r="B368" s="61">
        <v>71.251678064612761</v>
      </c>
      <c r="C368" s="62">
        <v>81.485887620940488</v>
      </c>
    </row>
    <row r="369" spans="1:3" x14ac:dyDescent="0.2">
      <c r="A369" s="28">
        <f t="shared" si="2"/>
        <v>2023.12</v>
      </c>
      <c r="B369" s="61">
        <v>97.688336105921195</v>
      </c>
      <c r="C369" s="62">
        <v>78.611838687356652</v>
      </c>
    </row>
    <row r="370" spans="1:3" x14ac:dyDescent="0.2">
      <c r="A370" s="28">
        <f t="shared" ref="A370:A405" si="3">A358+1</f>
        <v>2024.01</v>
      </c>
      <c r="B370" s="61">
        <v>53.699629462353073</v>
      </c>
      <c r="C370" s="62">
        <v>80.107933252126159</v>
      </c>
    </row>
    <row r="371" spans="1:3" x14ac:dyDescent="0.2">
      <c r="A371" s="28">
        <f t="shared" si="3"/>
        <v>2024.02</v>
      </c>
      <c r="B371" s="61">
        <v>66.742186077157697</v>
      </c>
      <c r="C371" s="62">
        <v>84.119059993560754</v>
      </c>
    </row>
    <row r="372" spans="1:3" x14ac:dyDescent="0.2">
      <c r="A372" s="28">
        <f t="shared" si="3"/>
        <v>2024.03</v>
      </c>
      <c r="B372" s="61">
        <v>117.55870996264738</v>
      </c>
      <c r="C372" s="62">
        <v>89.4615035195513</v>
      </c>
    </row>
    <row r="373" spans="1:3" x14ac:dyDescent="0.2">
      <c r="A373" s="28">
        <f t="shared" si="3"/>
        <v>2024.04</v>
      </c>
      <c r="B373" s="61">
        <v>93.251360636566616</v>
      </c>
      <c r="C373" s="62">
        <v>95.208312284083235</v>
      </c>
    </row>
    <row r="374" spans="1:3" x14ac:dyDescent="0.2">
      <c r="A374" s="28">
        <f t="shared" si="3"/>
        <v>2024.05</v>
      </c>
      <c r="B374" s="61">
        <v>103.46270316109806</v>
      </c>
      <c r="C374" s="62">
        <v>99.115137318427372</v>
      </c>
    </row>
    <row r="375" spans="1:3" x14ac:dyDescent="0.2">
      <c r="A375" s="28">
        <f t="shared" si="3"/>
        <v>2024.06</v>
      </c>
      <c r="B375" s="61">
        <v>106.3024858195795</v>
      </c>
      <c r="C375" s="62">
        <v>100.76383534599692</v>
      </c>
    </row>
    <row r="376" spans="1:3" x14ac:dyDescent="0.2">
      <c r="A376" s="28">
        <f t="shared" si="3"/>
        <v>2024.07</v>
      </c>
      <c r="B376" s="61">
        <v>100.47756202060614</v>
      </c>
      <c r="C376" s="62">
        <v>100.79755130789545</v>
      </c>
    </row>
    <row r="377" spans="1:3" x14ac:dyDescent="0.2">
      <c r="A377" s="28">
        <f t="shared" si="3"/>
        <v>2024.08</v>
      </c>
      <c r="B377" s="61">
        <v>91.86390915964472</v>
      </c>
      <c r="C377" s="62">
        <v>102.71308934893575</v>
      </c>
    </row>
    <row r="378" spans="1:3" x14ac:dyDescent="0.2">
      <c r="A378" s="28">
        <f t="shared" si="3"/>
        <v>2024.09</v>
      </c>
      <c r="B378" s="61">
        <v>88.80113014413925</v>
      </c>
      <c r="C378" s="62">
        <v>105.51284565483299</v>
      </c>
    </row>
    <row r="379" spans="1:3" x14ac:dyDescent="0.2">
      <c r="A379" s="28">
        <f>A367+1</f>
        <v>2024.1</v>
      </c>
      <c r="B379" s="61">
        <v>108.70296880405557</v>
      </c>
      <c r="C379" s="62">
        <v>112.42148816015096</v>
      </c>
    </row>
    <row r="380" spans="1:3" x14ac:dyDescent="0.2">
      <c r="A380" s="28">
        <f t="shared" si="3"/>
        <v>2024.11</v>
      </c>
      <c r="B380" s="61">
        <v>173.07931063820243</v>
      </c>
      <c r="C380" s="62">
        <v>119.8792320067673</v>
      </c>
    </row>
    <row r="381" spans="1:3" x14ac:dyDescent="0.2">
      <c r="A381" s="28">
        <f t="shared" si="3"/>
        <v>2024.12</v>
      </c>
      <c r="B381" s="61">
        <v>138.46717136662429</v>
      </c>
      <c r="C381" s="62">
        <v>125.52092216674373</v>
      </c>
    </row>
    <row r="382" spans="1:3" x14ac:dyDescent="0.2">
      <c r="A382" s="28">
        <f t="shared" si="3"/>
        <v>2025.01</v>
      </c>
      <c r="B382" s="61">
        <v>161.96148290248107</v>
      </c>
      <c r="C382" s="62">
        <v>124.93945053262961</v>
      </c>
    </row>
    <row r="383" spans="1:3" x14ac:dyDescent="0.2">
      <c r="A383" s="28">
        <f t="shared" si="3"/>
        <v>2025.02</v>
      </c>
      <c r="B383" s="61">
        <v>116.49006505774616</v>
      </c>
      <c r="C383" s="62">
        <v>119.92552783875541</v>
      </c>
    </row>
    <row r="384" spans="1:3" x14ac:dyDescent="0.2">
      <c r="A384" s="28">
        <f t="shared" si="3"/>
        <v>2025.03</v>
      </c>
      <c r="B384" s="61">
        <v>83.342669643444111</v>
      </c>
      <c r="C384" s="62">
        <v>111.83575529922051</v>
      </c>
    </row>
    <row r="385" spans="1:3" x14ac:dyDescent="0.2">
      <c r="A385" s="28">
        <f t="shared" si="3"/>
        <v>2025.04</v>
      </c>
      <c r="B385" s="61">
        <v>107.27700819126724</v>
      </c>
      <c r="C385" s="62">
        <v>104.818441895568</v>
      </c>
    </row>
    <row r="386" spans="1:3" x14ac:dyDescent="0.2">
      <c r="A386" s="28">
        <f t="shared" si="3"/>
        <v>2025.05</v>
      </c>
      <c r="B386" s="61">
        <v>77.293635241580915</v>
      </c>
      <c r="C386" s="62">
        <v>100.85070430360835</v>
      </c>
    </row>
    <row r="387" spans="1:3" x14ac:dyDescent="0.2">
      <c r="A387" s="28">
        <f t="shared" si="3"/>
        <v>2025.06</v>
      </c>
      <c r="B387" s="61">
        <v>87.375800957311839</v>
      </c>
      <c r="C387" s="62">
        <v>101.15334741521048</v>
      </c>
    </row>
    <row r="388" spans="1:3" x14ac:dyDescent="0.2">
      <c r="A388" s="28">
        <f t="shared" si="3"/>
        <v>2025.07</v>
      </c>
      <c r="B388" s="61">
        <v>116.25485128456037</v>
      </c>
      <c r="C388" s="62">
        <v>103.99255516255718</v>
      </c>
    </row>
    <row r="389" spans="1:3" x14ac:dyDescent="0.2">
      <c r="A389" s="28">
        <f t="shared" si="3"/>
        <v>2025.08</v>
      </c>
      <c r="B389" s="61">
        <v>65.309382475828841</v>
      </c>
      <c r="C389" s="62">
        <v>107.10182079731136</v>
      </c>
    </row>
    <row r="390" spans="1:3" x14ac:dyDescent="0.2">
      <c r="A390" s="28">
        <f t="shared" si="3"/>
        <v>2025.09</v>
      </c>
      <c r="B390" s="61">
        <v>110.87080002942088</v>
      </c>
      <c r="C390" s="62">
        <v>109.60801449362498</v>
      </c>
    </row>
    <row r="391" spans="1:3" x14ac:dyDescent="0.2">
      <c r="A391" s="28">
        <f t="shared" si="3"/>
        <v>2025.1</v>
      </c>
      <c r="B391" s="61">
        <v>102.10344078604382</v>
      </c>
      <c r="C391" s="62">
        <v>109.50664312431333</v>
      </c>
    </row>
    <row r="392" spans="1:3" x14ac:dyDescent="0.2">
      <c r="A392" s="28">
        <f t="shared" si="3"/>
        <v>2025.11</v>
      </c>
      <c r="B392" s="61">
        <v>173.06008356521173</v>
      </c>
      <c r="C392" s="62">
        <v>107.41520032061057</v>
      </c>
    </row>
    <row r="393" spans="1:3" x14ac:dyDescent="0.2">
      <c r="A393" s="28">
        <f t="shared" si="3"/>
        <v>2025.12</v>
      </c>
      <c r="B393" s="61">
        <v>137.41362724761188</v>
      </c>
      <c r="C393" s="62">
        <v>104.39297529220569</v>
      </c>
    </row>
    <row r="394" spans="1:3" x14ac:dyDescent="0.2">
      <c r="A394" s="28">
        <f t="shared" si="3"/>
        <v>2026.01</v>
      </c>
      <c r="B394" s="61">
        <v>100.18857960472309</v>
      </c>
      <c r="C394" s="62">
        <v>100.70328676186594</v>
      </c>
    </row>
    <row r="395" spans="1:3" x14ac:dyDescent="0.2">
      <c r="A395" s="28">
        <f t="shared" si="3"/>
        <v>2026.02</v>
      </c>
      <c r="B395" s="61">
        <v>93.46203286261634</v>
      </c>
      <c r="C395" s="62">
        <v>96.469780948445703</v>
      </c>
    </row>
    <row r="396" spans="1:3" x14ac:dyDescent="0.2">
      <c r="A396" s="28">
        <f t="shared" si="3"/>
        <v>2026.03</v>
      </c>
      <c r="B396" s="61">
        <v>80.917957138283512</v>
      </c>
      <c r="C396" s="62">
        <v>92.476371280976409</v>
      </c>
    </row>
    <row r="397" spans="1:3" x14ac:dyDescent="0.2">
      <c r="A397" s="28">
        <f t="shared" si="3"/>
        <v>2026.04</v>
      </c>
      <c r="B397" s="61">
        <v>83.05636208641485</v>
      </c>
      <c r="C397" s="62">
        <v>88.402460571185756</v>
      </c>
    </row>
    <row r="398" spans="1:3" x14ac:dyDescent="0.2">
      <c r="A398" s="28">
        <f t="shared" si="3"/>
        <v>2026.05</v>
      </c>
      <c r="B398" s="61">
        <v>82.590395129666447</v>
      </c>
      <c r="C398" s="62">
        <v>86.447130703248931</v>
      </c>
    </row>
    <row r="399" spans="1:3" x14ac:dyDescent="0.2">
      <c r="A399" s="28">
        <f t="shared" si="3"/>
        <v>2026.06</v>
      </c>
      <c r="B399" s="61">
        <v>75.172268404169031</v>
      </c>
      <c r="C399" s="62">
        <v>85.626099700051682</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102</v>
      </c>
      <c r="C2" s="25"/>
    </row>
    <row r="3" spans="1:6" s="3" customFormat="1" ht="45" x14ac:dyDescent="0.2">
      <c r="A3" s="76" t="s">
        <v>16</v>
      </c>
      <c r="B3" s="16" t="s">
        <v>103</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40</v>
      </c>
      <c r="C8" s="91" t="s">
        <v>41</v>
      </c>
    </row>
    <row r="9" spans="1:6" s="4" customFormat="1" ht="13.5" thickBot="1" x14ac:dyDescent="0.25">
      <c r="A9" s="82"/>
      <c r="B9" s="27"/>
      <c r="C9" s="49"/>
    </row>
    <row r="10" spans="1:6" s="4" customFormat="1" x14ac:dyDescent="0.2">
      <c r="A10" s="28">
        <v>1994.01</v>
      </c>
      <c r="B10" s="59">
        <v>199.9428775937042</v>
      </c>
      <c r="C10" s="60">
        <v>199.9428775937042</v>
      </c>
      <c r="E10" s="33"/>
      <c r="F10" s="33"/>
    </row>
    <row r="11" spans="1:6" s="4" customFormat="1" x14ac:dyDescent="0.2">
      <c r="A11" s="28">
        <v>1994.02</v>
      </c>
      <c r="B11" s="61">
        <v>198.78451812802069</v>
      </c>
      <c r="C11" s="62">
        <v>198.78451812802069</v>
      </c>
      <c r="E11" s="33"/>
      <c r="F11" s="33"/>
    </row>
    <row r="12" spans="1:6" s="4" customFormat="1" x14ac:dyDescent="0.2">
      <c r="A12" s="28">
        <v>1994.03</v>
      </c>
      <c r="B12" s="61">
        <v>197.10267719367999</v>
      </c>
      <c r="C12" s="62">
        <v>197.10267719367999</v>
      </c>
      <c r="E12" s="33"/>
      <c r="F12" s="33"/>
    </row>
    <row r="13" spans="1:6" s="4" customFormat="1" x14ac:dyDescent="0.2">
      <c r="A13" s="28">
        <v>1994.04</v>
      </c>
      <c r="B13" s="61">
        <v>197.98708714677366</v>
      </c>
      <c r="C13" s="62">
        <v>197.98708714677366</v>
      </c>
      <c r="E13" s="33"/>
      <c r="F13" s="33"/>
    </row>
    <row r="14" spans="1:6" s="4" customFormat="1" x14ac:dyDescent="0.2">
      <c r="A14" s="28">
        <v>1994.05</v>
      </c>
      <c r="B14" s="61">
        <v>197.91392340654068</v>
      </c>
      <c r="C14" s="62">
        <v>197.91392340654068</v>
      </c>
      <c r="E14" s="33"/>
      <c r="F14" s="33"/>
    </row>
    <row r="15" spans="1:6" s="4" customFormat="1" x14ac:dyDescent="0.2">
      <c r="A15" s="28">
        <v>1994.06</v>
      </c>
      <c r="B15" s="61">
        <v>197.12531294164495</v>
      </c>
      <c r="C15" s="62">
        <v>197.12531294164495</v>
      </c>
      <c r="E15" s="33"/>
      <c r="F15" s="33"/>
    </row>
    <row r="16" spans="1:6" s="4" customFormat="1" x14ac:dyDescent="0.2">
      <c r="A16" s="28">
        <v>1994.07</v>
      </c>
      <c r="B16" s="61">
        <v>201.04325262535883</v>
      </c>
      <c r="C16" s="62">
        <v>201.04325262535883</v>
      </c>
      <c r="E16" s="33"/>
      <c r="F16" s="33"/>
    </row>
    <row r="17" spans="1:6" s="4" customFormat="1" x14ac:dyDescent="0.2">
      <c r="A17" s="28">
        <v>1994.08</v>
      </c>
      <c r="B17" s="61">
        <v>199.78741059382403</v>
      </c>
      <c r="C17" s="62">
        <v>199.78741059382403</v>
      </c>
      <c r="E17" s="33"/>
      <c r="F17" s="33"/>
    </row>
    <row r="18" spans="1:6" s="4" customFormat="1" x14ac:dyDescent="0.2">
      <c r="A18" s="28">
        <v>1994.09</v>
      </c>
      <c r="B18" s="61">
        <v>205.92672246118579</v>
      </c>
      <c r="C18" s="62">
        <v>205.92672246118579</v>
      </c>
      <c r="E18" s="33"/>
      <c r="F18" s="33"/>
    </row>
    <row r="19" spans="1:6" s="4" customFormat="1" x14ac:dyDescent="0.2">
      <c r="A19" s="28">
        <v>1994.1</v>
      </c>
      <c r="B19" s="61">
        <v>207.73249563466047</v>
      </c>
      <c r="C19" s="62">
        <v>207.73249563466047</v>
      </c>
      <c r="E19" s="33"/>
      <c r="F19" s="33"/>
    </row>
    <row r="20" spans="1:6" s="4" customFormat="1" x14ac:dyDescent="0.2">
      <c r="A20" s="28">
        <v>1994.11</v>
      </c>
      <c r="B20" s="61">
        <v>210.18023046575968</v>
      </c>
      <c r="C20" s="62">
        <v>210.18023046575968</v>
      </c>
      <c r="E20" s="33"/>
      <c r="F20" s="33"/>
    </row>
    <row r="21" spans="1:6" s="4" customFormat="1" x14ac:dyDescent="0.2">
      <c r="A21" s="28">
        <v>1994.12</v>
      </c>
      <c r="B21" s="61">
        <v>207.01392363691932</v>
      </c>
      <c r="C21" s="62">
        <v>207.01392363691932</v>
      </c>
      <c r="E21" s="33"/>
      <c r="F21" s="33"/>
    </row>
    <row r="22" spans="1:6" x14ac:dyDescent="0.2">
      <c r="A22" s="28">
        <v>1995.01</v>
      </c>
      <c r="B22" s="61">
        <v>205.0619203939012</v>
      </c>
      <c r="C22" s="62">
        <v>205.0619203939012</v>
      </c>
      <c r="E22" s="34"/>
      <c r="F22" s="33"/>
    </row>
    <row r="23" spans="1:6" x14ac:dyDescent="0.2">
      <c r="A23" s="28">
        <v>1995.02</v>
      </c>
      <c r="B23" s="61">
        <v>199.43724755403102</v>
      </c>
      <c r="C23" s="62">
        <v>199.43724755403102</v>
      </c>
      <c r="E23" s="34"/>
      <c r="F23" s="33"/>
    </row>
    <row r="24" spans="1:6" x14ac:dyDescent="0.2">
      <c r="A24" s="28">
        <v>1995.03</v>
      </c>
      <c r="B24" s="61">
        <v>195.90404144599151</v>
      </c>
      <c r="C24" s="62">
        <v>195.90404144599151</v>
      </c>
      <c r="E24" s="34"/>
      <c r="F24" s="33"/>
    </row>
    <row r="25" spans="1:6" x14ac:dyDescent="0.2">
      <c r="A25" s="28">
        <v>1995.04</v>
      </c>
      <c r="B25" s="61">
        <v>187.93428271373304</v>
      </c>
      <c r="C25" s="62">
        <v>187.93428271373304</v>
      </c>
      <c r="E25" s="34"/>
      <c r="F25" s="33"/>
    </row>
    <row r="26" spans="1:6" x14ac:dyDescent="0.2">
      <c r="A26" s="28">
        <v>1995.05</v>
      </c>
      <c r="B26" s="61">
        <v>184.64541653415586</v>
      </c>
      <c r="C26" s="62">
        <v>184.64541653415586</v>
      </c>
      <c r="E26" s="34"/>
      <c r="F26" s="33"/>
    </row>
    <row r="27" spans="1:6" x14ac:dyDescent="0.2">
      <c r="A27" s="28">
        <v>1995.06</v>
      </c>
      <c r="B27" s="61">
        <v>186.3571260616298</v>
      </c>
      <c r="C27" s="62">
        <v>186.3571260616298</v>
      </c>
      <c r="E27" s="34"/>
      <c r="F27" s="33"/>
    </row>
    <row r="28" spans="1:6" x14ac:dyDescent="0.2">
      <c r="A28" s="28">
        <v>1995.07</v>
      </c>
      <c r="B28" s="61">
        <v>182.11722481864612</v>
      </c>
      <c r="C28" s="62">
        <v>182.11722481864612</v>
      </c>
      <c r="E28" s="34"/>
      <c r="F28" s="33"/>
    </row>
    <row r="29" spans="1:6" x14ac:dyDescent="0.2">
      <c r="A29" s="28">
        <v>1995.08</v>
      </c>
      <c r="B29" s="61">
        <v>182.52839886948485</v>
      </c>
      <c r="C29" s="62">
        <v>182.52839886948485</v>
      </c>
      <c r="E29" s="34"/>
      <c r="F29" s="33"/>
    </row>
    <row r="30" spans="1:6" x14ac:dyDescent="0.2">
      <c r="A30" s="28">
        <v>1995.09</v>
      </c>
      <c r="B30" s="61">
        <v>180.82040183890666</v>
      </c>
      <c r="C30" s="62">
        <v>180.82040183890666</v>
      </c>
      <c r="E30" s="34"/>
      <c r="F30" s="33"/>
    </row>
    <row r="31" spans="1:6" x14ac:dyDescent="0.2">
      <c r="A31" s="28">
        <v>1995.1</v>
      </c>
      <c r="B31" s="61">
        <v>174.83358096322178</v>
      </c>
      <c r="C31" s="62">
        <v>174.83358096322178</v>
      </c>
      <c r="E31" s="34"/>
      <c r="F31" s="33"/>
    </row>
    <row r="32" spans="1:6" x14ac:dyDescent="0.2">
      <c r="A32" s="28">
        <v>1995.11</v>
      </c>
      <c r="B32" s="61">
        <v>173.11793021401778</v>
      </c>
      <c r="C32" s="62">
        <v>173.11793021401778</v>
      </c>
      <c r="E32" s="34"/>
      <c r="F32" s="33"/>
    </row>
    <row r="33" spans="1:6" x14ac:dyDescent="0.2">
      <c r="A33" s="28">
        <v>1995.12</v>
      </c>
      <c r="B33" s="61">
        <v>174.77079717134936</v>
      </c>
      <c r="C33" s="62">
        <v>174.77079717134936</v>
      </c>
      <c r="E33" s="34"/>
      <c r="F33" s="33"/>
    </row>
    <row r="34" spans="1:6" x14ac:dyDescent="0.2">
      <c r="A34" s="28">
        <v>1996.01</v>
      </c>
      <c r="B34" s="61">
        <v>174.75120685115334</v>
      </c>
      <c r="C34" s="62">
        <v>174.75120685115334</v>
      </c>
      <c r="E34" s="34"/>
      <c r="F34" s="33"/>
    </row>
    <row r="35" spans="1:6" x14ac:dyDescent="0.2">
      <c r="A35" s="28">
        <v>1996.02</v>
      </c>
      <c r="B35" s="61">
        <v>178.87795650690518</v>
      </c>
      <c r="C35" s="62">
        <v>178.87795650690518</v>
      </c>
      <c r="E35" s="34"/>
      <c r="F35" s="33"/>
    </row>
    <row r="36" spans="1:6" x14ac:dyDescent="0.2">
      <c r="A36" s="28">
        <v>1996.03</v>
      </c>
      <c r="B36" s="61">
        <v>177.43822145606802</v>
      </c>
      <c r="C36" s="62">
        <v>177.43822145606802</v>
      </c>
      <c r="E36" s="34"/>
      <c r="F36" s="33"/>
    </row>
    <row r="37" spans="1:6" x14ac:dyDescent="0.2">
      <c r="A37" s="28">
        <v>1996.04</v>
      </c>
      <c r="B37" s="61">
        <v>181.40902663545563</v>
      </c>
      <c r="C37" s="62">
        <v>181.40902663545563</v>
      </c>
      <c r="E37" s="34"/>
      <c r="F37" s="33"/>
    </row>
    <row r="38" spans="1:6" x14ac:dyDescent="0.2">
      <c r="A38" s="28">
        <v>1996.05</v>
      </c>
      <c r="B38" s="61">
        <v>181.2716245146672</v>
      </c>
      <c r="C38" s="62">
        <v>181.2716245146672</v>
      </c>
      <c r="E38" s="34"/>
      <c r="F38" s="33"/>
    </row>
    <row r="39" spans="1:6" x14ac:dyDescent="0.2">
      <c r="A39" s="28">
        <v>1996.06</v>
      </c>
      <c r="B39" s="61">
        <v>183.88218400102156</v>
      </c>
      <c r="C39" s="62">
        <v>183.88218400102156</v>
      </c>
      <c r="E39" s="34"/>
      <c r="F39" s="33"/>
    </row>
    <row r="40" spans="1:6" x14ac:dyDescent="0.2">
      <c r="A40" s="28">
        <v>1996.07</v>
      </c>
      <c r="B40" s="61">
        <v>184.36495173533427</v>
      </c>
      <c r="C40" s="62">
        <v>184.36495173533427</v>
      </c>
      <c r="E40" s="34"/>
      <c r="F40" s="33"/>
    </row>
    <row r="41" spans="1:6" x14ac:dyDescent="0.2">
      <c r="A41" s="28">
        <v>1996.08</v>
      </c>
      <c r="B41" s="61">
        <v>185.77665708068281</v>
      </c>
      <c r="C41" s="62">
        <v>185.77665708068281</v>
      </c>
      <c r="E41" s="34"/>
      <c r="F41" s="33"/>
    </row>
    <row r="42" spans="1:6" x14ac:dyDescent="0.2">
      <c r="A42" s="28">
        <v>1996.09</v>
      </c>
      <c r="B42" s="61">
        <v>184.16431159482266</v>
      </c>
      <c r="C42" s="62">
        <v>184.16431159482266</v>
      </c>
      <c r="E42" s="34"/>
      <c r="F42" s="33"/>
    </row>
    <row r="43" spans="1:6" x14ac:dyDescent="0.2">
      <c r="A43" s="28">
        <v>1996.1</v>
      </c>
      <c r="B43" s="61">
        <v>188.38232231255088</v>
      </c>
      <c r="C43" s="62">
        <v>188.38232231255088</v>
      </c>
      <c r="E43" s="34"/>
      <c r="F43" s="33"/>
    </row>
    <row r="44" spans="1:6" x14ac:dyDescent="0.2">
      <c r="A44" s="28">
        <v>1996.11</v>
      </c>
      <c r="B44" s="61">
        <v>190.79047474433546</v>
      </c>
      <c r="C44" s="62">
        <v>190.79047474433546</v>
      </c>
      <c r="E44" s="34"/>
      <c r="F44" s="33"/>
    </row>
    <row r="45" spans="1:6" x14ac:dyDescent="0.2">
      <c r="A45" s="28">
        <v>1996.12</v>
      </c>
      <c r="B45" s="61">
        <v>192.81156840453488</v>
      </c>
      <c r="C45" s="62">
        <v>192.81156840453488</v>
      </c>
      <c r="E45" s="34"/>
      <c r="F45" s="33"/>
    </row>
    <row r="46" spans="1:6" x14ac:dyDescent="0.2">
      <c r="A46" s="28">
        <v>1997.01</v>
      </c>
      <c r="B46" s="61">
        <v>192.56550710064636</v>
      </c>
      <c r="C46" s="62">
        <v>192.56550710064636</v>
      </c>
      <c r="E46" s="34"/>
      <c r="F46" s="33"/>
    </row>
    <row r="47" spans="1:6" x14ac:dyDescent="0.2">
      <c r="A47" s="28">
        <v>1997.02</v>
      </c>
      <c r="B47" s="61">
        <v>193.04292212042222</v>
      </c>
      <c r="C47" s="62">
        <v>193.04292212042222</v>
      </c>
      <c r="E47" s="34"/>
      <c r="F47" s="33"/>
    </row>
    <row r="48" spans="1:6" x14ac:dyDescent="0.2">
      <c r="A48" s="28">
        <v>1997.03</v>
      </c>
      <c r="B48" s="61">
        <v>196.97960475754186</v>
      </c>
      <c r="C48" s="62">
        <v>196.97960475754186</v>
      </c>
      <c r="E48" s="34"/>
      <c r="F48" s="33"/>
    </row>
    <row r="49" spans="1:6" x14ac:dyDescent="0.2">
      <c r="A49" s="28">
        <v>1997.04</v>
      </c>
      <c r="B49" s="61">
        <v>198.7532344196525</v>
      </c>
      <c r="C49" s="62">
        <v>198.7532344196525</v>
      </c>
      <c r="E49" s="34"/>
      <c r="F49" s="33"/>
    </row>
    <row r="50" spans="1:6" x14ac:dyDescent="0.2">
      <c r="A50" s="28">
        <v>1997.05</v>
      </c>
      <c r="B50" s="61">
        <v>199.87976784634949</v>
      </c>
      <c r="C50" s="62">
        <v>199.87976784634949</v>
      </c>
      <c r="E50" s="34"/>
      <c r="F50" s="33"/>
    </row>
    <row r="51" spans="1:6" x14ac:dyDescent="0.2">
      <c r="A51" s="28">
        <v>1997.06</v>
      </c>
      <c r="B51" s="61">
        <v>201.27430956557654</v>
      </c>
      <c r="C51" s="62">
        <v>201.27430956557654</v>
      </c>
      <c r="E51" s="34"/>
      <c r="F51" s="33"/>
    </row>
    <row r="52" spans="1:6" x14ac:dyDescent="0.2">
      <c r="A52" s="28">
        <v>1997.07</v>
      </c>
      <c r="B52" s="61">
        <v>203.49324781827843</v>
      </c>
      <c r="C52" s="62">
        <v>203.49324781827843</v>
      </c>
      <c r="E52" s="34"/>
      <c r="F52" s="33"/>
    </row>
    <row r="53" spans="1:6" x14ac:dyDescent="0.2">
      <c r="A53" s="28">
        <v>1997.08</v>
      </c>
      <c r="B53" s="61">
        <v>205.70809098859877</v>
      </c>
      <c r="C53" s="62">
        <v>205.70809098859877</v>
      </c>
      <c r="E53" s="34"/>
      <c r="F53" s="33"/>
    </row>
    <row r="54" spans="1:6" x14ac:dyDescent="0.2">
      <c r="A54" s="28">
        <v>1997.09</v>
      </c>
      <c r="B54" s="61">
        <v>205.55585260511319</v>
      </c>
      <c r="C54" s="62">
        <v>205.55585260511319</v>
      </c>
      <c r="E54" s="34"/>
      <c r="F54" s="33"/>
    </row>
    <row r="55" spans="1:6" x14ac:dyDescent="0.2">
      <c r="A55" s="28">
        <v>1997.1</v>
      </c>
      <c r="B55" s="61">
        <v>210.52531028386667</v>
      </c>
      <c r="C55" s="62">
        <v>210.52531028386667</v>
      </c>
      <c r="E55" s="34"/>
      <c r="F55" s="33"/>
    </row>
    <row r="56" spans="1:6" x14ac:dyDescent="0.2">
      <c r="A56" s="28">
        <v>1997.11</v>
      </c>
      <c r="B56" s="61">
        <v>210.26716325886221</v>
      </c>
      <c r="C56" s="62">
        <v>210.26716325886221</v>
      </c>
      <c r="E56" s="34"/>
      <c r="F56" s="33"/>
    </row>
    <row r="57" spans="1:6" x14ac:dyDescent="0.2">
      <c r="A57" s="28">
        <v>1997.12</v>
      </c>
      <c r="B57" s="61">
        <v>211.70294949182275</v>
      </c>
      <c r="C57" s="62">
        <v>211.70294949182275</v>
      </c>
      <c r="E57" s="34"/>
      <c r="F57" s="33"/>
    </row>
    <row r="58" spans="1:6" x14ac:dyDescent="0.2">
      <c r="A58" s="28">
        <v>1998.01</v>
      </c>
      <c r="B58" s="61">
        <v>212.21989217632239</v>
      </c>
      <c r="C58" s="62">
        <v>212.21989217632239</v>
      </c>
      <c r="E58" s="34"/>
      <c r="F58" s="33"/>
    </row>
    <row r="59" spans="1:6" x14ac:dyDescent="0.2">
      <c r="A59" s="28">
        <v>1998.02</v>
      </c>
      <c r="B59" s="61">
        <v>208.97867666318103</v>
      </c>
      <c r="C59" s="62">
        <v>208.97867666318103</v>
      </c>
      <c r="E59" s="34"/>
      <c r="F59" s="33"/>
    </row>
    <row r="60" spans="1:6" x14ac:dyDescent="0.2">
      <c r="A60" s="28">
        <v>1998.03</v>
      </c>
      <c r="B60" s="61">
        <v>210.715191941867</v>
      </c>
      <c r="C60" s="62">
        <v>210.715191941867</v>
      </c>
      <c r="E60" s="34"/>
      <c r="F60" s="33"/>
    </row>
    <row r="61" spans="1:6" x14ac:dyDescent="0.2">
      <c r="A61" s="28">
        <v>1998.04</v>
      </c>
      <c r="B61" s="61">
        <v>210.4829089610069</v>
      </c>
      <c r="C61" s="62">
        <v>210.4829089610069</v>
      </c>
      <c r="E61" s="34"/>
      <c r="F61" s="33"/>
    </row>
    <row r="62" spans="1:6" x14ac:dyDescent="0.2">
      <c r="A62" s="28">
        <v>1998.05</v>
      </c>
      <c r="B62" s="61">
        <v>215.92746846307523</v>
      </c>
      <c r="C62" s="62">
        <v>215.92746846307523</v>
      </c>
      <c r="E62" s="34"/>
      <c r="F62" s="33"/>
    </row>
    <row r="63" spans="1:6" x14ac:dyDescent="0.2">
      <c r="A63" s="28">
        <v>1998.06</v>
      </c>
      <c r="B63" s="61">
        <v>212.99083838387401</v>
      </c>
      <c r="C63" s="62">
        <v>212.99083838387401</v>
      </c>
      <c r="E63" s="34"/>
      <c r="F63" s="33"/>
    </row>
    <row r="64" spans="1:6" x14ac:dyDescent="0.2">
      <c r="A64" s="28">
        <v>1998.07</v>
      </c>
      <c r="B64" s="61">
        <v>215.47551693611911</v>
      </c>
      <c r="C64" s="62">
        <v>215.47551693611911</v>
      </c>
      <c r="E64" s="34"/>
      <c r="F64" s="33"/>
    </row>
    <row r="65" spans="1:6" x14ac:dyDescent="0.2">
      <c r="A65" s="28">
        <v>1998.08</v>
      </c>
      <c r="B65" s="61">
        <v>214.47540635573318</v>
      </c>
      <c r="C65" s="62">
        <v>214.47540635573318</v>
      </c>
      <c r="E65" s="34"/>
      <c r="F65" s="33"/>
    </row>
    <row r="66" spans="1:6" x14ac:dyDescent="0.2">
      <c r="A66" s="28">
        <v>1998.09</v>
      </c>
      <c r="B66" s="61">
        <v>220.00722141933221</v>
      </c>
      <c r="C66" s="62">
        <v>220.00722141933221</v>
      </c>
      <c r="E66" s="34"/>
      <c r="F66" s="33"/>
    </row>
    <row r="67" spans="1:6" x14ac:dyDescent="0.2">
      <c r="A67" s="28">
        <v>1998.1</v>
      </c>
      <c r="B67" s="61">
        <v>218.661121722594</v>
      </c>
      <c r="C67" s="62">
        <v>218.661121722594</v>
      </c>
      <c r="E67" s="34"/>
      <c r="F67" s="33"/>
    </row>
    <row r="68" spans="1:6" x14ac:dyDescent="0.2">
      <c r="A68" s="28">
        <v>1998.11</v>
      </c>
      <c r="B68" s="61">
        <v>220.9087184046048</v>
      </c>
      <c r="C68" s="62">
        <v>220.9087184046048</v>
      </c>
      <c r="E68" s="34"/>
      <c r="F68" s="33"/>
    </row>
    <row r="69" spans="1:6" x14ac:dyDescent="0.2">
      <c r="A69" s="28">
        <v>1998.12</v>
      </c>
      <c r="B69" s="61">
        <v>222.76744430583284</v>
      </c>
      <c r="C69" s="62">
        <v>222.76744430583284</v>
      </c>
      <c r="E69" s="34"/>
      <c r="F69" s="33"/>
    </row>
    <row r="70" spans="1:6" x14ac:dyDescent="0.2">
      <c r="A70" s="28">
        <v>1999.01</v>
      </c>
      <c r="B70" s="61">
        <v>230.19884018497811</v>
      </c>
      <c r="C70" s="62">
        <v>230.19884018497811</v>
      </c>
      <c r="E70" s="34"/>
      <c r="F70" s="33"/>
    </row>
    <row r="71" spans="1:6" x14ac:dyDescent="0.2">
      <c r="A71" s="28">
        <v>1999.02</v>
      </c>
      <c r="B71" s="61">
        <v>236.49404569898792</v>
      </c>
      <c r="C71" s="62">
        <v>236.49404569898792</v>
      </c>
      <c r="E71" s="34"/>
      <c r="F71" s="33"/>
    </row>
    <row r="72" spans="1:6" x14ac:dyDescent="0.2">
      <c r="A72" s="28">
        <v>1999.03</v>
      </c>
      <c r="B72" s="61">
        <v>245.85276729923305</v>
      </c>
      <c r="C72" s="62">
        <v>245.85276729923305</v>
      </c>
      <c r="E72" s="34"/>
      <c r="F72" s="33"/>
    </row>
    <row r="73" spans="1:6" x14ac:dyDescent="0.2">
      <c r="A73" s="28">
        <v>1999.04</v>
      </c>
      <c r="B73" s="61">
        <v>253.17705861633019</v>
      </c>
      <c r="C73" s="62">
        <v>253.17705861633019</v>
      </c>
      <c r="E73" s="34"/>
      <c r="F73" s="33"/>
    </row>
    <row r="74" spans="1:6" x14ac:dyDescent="0.2">
      <c r="A74" s="28">
        <v>1999.05</v>
      </c>
      <c r="B74" s="61">
        <v>253.2745039092886</v>
      </c>
      <c r="C74" s="62">
        <v>253.2745039092886</v>
      </c>
      <c r="E74" s="34"/>
      <c r="F74" s="33"/>
    </row>
    <row r="75" spans="1:6" x14ac:dyDescent="0.2">
      <c r="A75" s="28">
        <v>1999.06</v>
      </c>
      <c r="B75" s="61">
        <v>254.95429612370606</v>
      </c>
      <c r="C75" s="62">
        <v>254.95429612370606</v>
      </c>
      <c r="E75" s="34"/>
      <c r="F75" s="33"/>
    </row>
    <row r="76" spans="1:6" x14ac:dyDescent="0.2">
      <c r="A76" s="28">
        <v>1999.07</v>
      </c>
      <c r="B76" s="61">
        <v>260.45269844057668</v>
      </c>
      <c r="C76" s="62">
        <v>260.45269844057668</v>
      </c>
      <c r="E76" s="34"/>
      <c r="F76" s="33"/>
    </row>
    <row r="77" spans="1:6" x14ac:dyDescent="0.2">
      <c r="A77" s="28">
        <v>1999.08</v>
      </c>
      <c r="B77" s="61">
        <v>258.88892129171973</v>
      </c>
      <c r="C77" s="62">
        <v>258.88892129171973</v>
      </c>
      <c r="E77" s="34"/>
      <c r="F77" s="33"/>
    </row>
    <row r="78" spans="1:6" x14ac:dyDescent="0.2">
      <c r="A78" s="28">
        <v>1999.09</v>
      </c>
      <c r="B78" s="61">
        <v>259.05989174162312</v>
      </c>
      <c r="C78" s="62">
        <v>259.05989174162312</v>
      </c>
      <c r="E78" s="34"/>
      <c r="F78" s="33"/>
    </row>
    <row r="79" spans="1:6" x14ac:dyDescent="0.2">
      <c r="A79" s="28">
        <v>1999.1</v>
      </c>
      <c r="B79" s="61">
        <v>260.66477554374706</v>
      </c>
      <c r="C79" s="62">
        <v>260.66477554374706</v>
      </c>
      <c r="E79" s="34"/>
      <c r="F79" s="33"/>
    </row>
    <row r="80" spans="1:6" x14ac:dyDescent="0.2">
      <c r="A80" s="28">
        <v>1999.11</v>
      </c>
      <c r="B80" s="61">
        <v>259.91073287370745</v>
      </c>
      <c r="C80" s="62">
        <v>259.91073287370745</v>
      </c>
      <c r="E80" s="34"/>
      <c r="F80" s="33"/>
    </row>
    <row r="81" spans="1:6" x14ac:dyDescent="0.2">
      <c r="A81" s="28">
        <v>1999.12</v>
      </c>
      <c r="B81" s="61">
        <v>256.61678978610854</v>
      </c>
      <c r="C81" s="62">
        <v>256.61678978610854</v>
      </c>
      <c r="E81" s="34"/>
      <c r="F81" s="33"/>
    </row>
    <row r="82" spans="1:6" x14ac:dyDescent="0.2">
      <c r="A82" s="28">
        <v>2000.01</v>
      </c>
      <c r="B82" s="61">
        <v>257.63506029092923</v>
      </c>
      <c r="C82" s="62">
        <v>257.63506029092923</v>
      </c>
      <c r="E82" s="34"/>
      <c r="F82" s="33"/>
    </row>
    <row r="83" spans="1:6" x14ac:dyDescent="0.2">
      <c r="A83" s="28">
        <v>2000.02</v>
      </c>
      <c r="B83" s="61">
        <v>258.15205106119646</v>
      </c>
      <c r="C83" s="62">
        <v>258.15205106119646</v>
      </c>
      <c r="E83" s="34"/>
      <c r="F83" s="33"/>
    </row>
    <row r="84" spans="1:6" x14ac:dyDescent="0.2">
      <c r="A84" s="28">
        <v>2000.03</v>
      </c>
      <c r="B84" s="61">
        <v>262.80393978174322</v>
      </c>
      <c r="C84" s="62">
        <v>262.80393978174322</v>
      </c>
      <c r="E84" s="34"/>
      <c r="F84" s="33"/>
    </row>
    <row r="85" spans="1:6" x14ac:dyDescent="0.2">
      <c r="A85" s="28">
        <v>2000.04</v>
      </c>
      <c r="B85" s="61">
        <v>268.40563705595395</v>
      </c>
      <c r="C85" s="62">
        <v>268.40563705595395</v>
      </c>
      <c r="E85" s="34"/>
      <c r="F85" s="33"/>
    </row>
    <row r="86" spans="1:6" x14ac:dyDescent="0.2">
      <c r="A86" s="28">
        <v>2000.05</v>
      </c>
      <c r="B86" s="61">
        <v>272.94536689711663</v>
      </c>
      <c r="C86" s="62">
        <v>272.94536689711663</v>
      </c>
      <c r="E86" s="34"/>
      <c r="F86" s="33"/>
    </row>
    <row r="87" spans="1:6" x14ac:dyDescent="0.2">
      <c r="A87" s="28">
        <v>2000.06</v>
      </c>
      <c r="B87" s="61">
        <v>271.1678262501257</v>
      </c>
      <c r="C87" s="62">
        <v>271.1678262501257</v>
      </c>
      <c r="E87" s="34"/>
      <c r="F87" s="33"/>
    </row>
    <row r="88" spans="1:6" x14ac:dyDescent="0.2">
      <c r="A88" s="28">
        <v>2000.07</v>
      </c>
      <c r="B88" s="61">
        <v>273.09291495280689</v>
      </c>
      <c r="C88" s="62">
        <v>273.09291495280689</v>
      </c>
      <c r="E88" s="34"/>
      <c r="F88" s="33"/>
    </row>
    <row r="89" spans="1:6" x14ac:dyDescent="0.2">
      <c r="A89" s="28">
        <v>2000.08</v>
      </c>
      <c r="B89" s="61">
        <v>273.77808984417055</v>
      </c>
      <c r="C89" s="62">
        <v>273.77808984417055</v>
      </c>
      <c r="E89" s="34"/>
      <c r="F89" s="33"/>
    </row>
    <row r="90" spans="1:6" x14ac:dyDescent="0.2">
      <c r="A90" s="28">
        <v>2000.09</v>
      </c>
      <c r="B90" s="61">
        <v>276.23775464593899</v>
      </c>
      <c r="C90" s="62">
        <v>276.23775464593899</v>
      </c>
      <c r="E90" s="34"/>
      <c r="F90" s="33"/>
    </row>
    <row r="91" spans="1:6" x14ac:dyDescent="0.2">
      <c r="A91" s="28">
        <v>2000.1</v>
      </c>
      <c r="B91" s="61">
        <v>274.97672879408367</v>
      </c>
      <c r="C91" s="62">
        <v>274.97672879408367</v>
      </c>
      <c r="E91" s="34"/>
      <c r="F91" s="33"/>
    </row>
    <row r="92" spans="1:6" x14ac:dyDescent="0.2">
      <c r="A92" s="28">
        <v>2000.11</v>
      </c>
      <c r="B92" s="61">
        <v>272.26518992513695</v>
      </c>
      <c r="C92" s="62">
        <v>272.26518992513695</v>
      </c>
      <c r="E92" s="34"/>
      <c r="F92" s="33"/>
    </row>
    <row r="93" spans="1:6" x14ac:dyDescent="0.2">
      <c r="A93" s="28">
        <v>2000.12</v>
      </c>
      <c r="B93" s="61">
        <v>275.64627305902604</v>
      </c>
      <c r="C93" s="62">
        <v>275.64627305902604</v>
      </c>
      <c r="E93" s="34"/>
      <c r="F93" s="33"/>
    </row>
    <row r="94" spans="1:6" x14ac:dyDescent="0.2">
      <c r="A94" s="28">
        <v>2001.01</v>
      </c>
      <c r="B94" s="61">
        <v>279.49704615309849</v>
      </c>
      <c r="C94" s="62">
        <v>279.49704615309849</v>
      </c>
      <c r="E94" s="34"/>
      <c r="F94" s="33"/>
    </row>
    <row r="95" spans="1:6" x14ac:dyDescent="0.2">
      <c r="A95" s="28">
        <v>2001.02</v>
      </c>
      <c r="B95" s="61">
        <v>283.51495279072805</v>
      </c>
      <c r="C95" s="62">
        <v>283.51495279072805</v>
      </c>
      <c r="E95" s="34"/>
      <c r="F95" s="33"/>
    </row>
    <row r="96" spans="1:6" x14ac:dyDescent="0.2">
      <c r="A96" s="28">
        <v>2001.03</v>
      </c>
      <c r="B96" s="61">
        <v>281.52070167685036</v>
      </c>
      <c r="C96" s="62">
        <v>281.52070167685036</v>
      </c>
      <c r="E96" s="34"/>
      <c r="F96" s="33"/>
    </row>
    <row r="97" spans="1:6" x14ac:dyDescent="0.2">
      <c r="A97" s="28">
        <v>2001.04</v>
      </c>
      <c r="B97" s="61">
        <v>278.54616227317342</v>
      </c>
      <c r="C97" s="62">
        <v>278.54616227317342</v>
      </c>
      <c r="E97" s="34"/>
      <c r="F97" s="33"/>
    </row>
    <row r="98" spans="1:6" x14ac:dyDescent="0.2">
      <c r="A98" s="28">
        <v>2001.05</v>
      </c>
      <c r="B98" s="61">
        <v>281.98795986387091</v>
      </c>
      <c r="C98" s="62">
        <v>281.98795986387091</v>
      </c>
      <c r="E98" s="34"/>
      <c r="F98" s="33"/>
    </row>
    <row r="99" spans="1:6" x14ac:dyDescent="0.2">
      <c r="A99" s="28">
        <v>2001.06</v>
      </c>
      <c r="B99" s="61">
        <v>288.16197694734751</v>
      </c>
      <c r="C99" s="62">
        <v>288.16197694734751</v>
      </c>
      <c r="E99" s="34"/>
      <c r="F99" s="33"/>
    </row>
    <row r="100" spans="1:6" x14ac:dyDescent="0.2">
      <c r="A100" s="28">
        <v>2001.07</v>
      </c>
      <c r="B100" s="61">
        <v>283.213492594961</v>
      </c>
      <c r="C100" s="62">
        <v>283.213492594961</v>
      </c>
      <c r="E100" s="34"/>
      <c r="F100" s="33"/>
    </row>
    <row r="101" spans="1:6" x14ac:dyDescent="0.2">
      <c r="A101" s="28">
        <v>2001.08</v>
      </c>
      <c r="B101" s="61">
        <v>282.2154278496418</v>
      </c>
      <c r="C101" s="62">
        <v>282.2154278496418</v>
      </c>
      <c r="E101" s="34"/>
      <c r="F101" s="33"/>
    </row>
    <row r="102" spans="1:6" x14ac:dyDescent="0.2">
      <c r="A102" s="28">
        <v>2001.09</v>
      </c>
      <c r="B102" s="61">
        <v>279.25003019523922</v>
      </c>
      <c r="C102" s="62">
        <v>279.25003019523922</v>
      </c>
      <c r="E102" s="34"/>
      <c r="F102" s="33"/>
    </row>
    <row r="103" spans="1:6" x14ac:dyDescent="0.2">
      <c r="A103" s="28">
        <v>2001.1</v>
      </c>
      <c r="B103" s="61">
        <v>276.50299476590527</v>
      </c>
      <c r="C103" s="62">
        <v>276.50299476590527</v>
      </c>
      <c r="E103" s="34"/>
      <c r="F103" s="33"/>
    </row>
    <row r="104" spans="1:6" x14ac:dyDescent="0.2">
      <c r="A104" s="28">
        <v>2001.11</v>
      </c>
      <c r="B104" s="61">
        <v>268.82418408533414</v>
      </c>
      <c r="C104" s="62">
        <v>268.82418408533414</v>
      </c>
      <c r="E104" s="34"/>
      <c r="F104" s="33"/>
    </row>
    <row r="105" spans="1:6" x14ac:dyDescent="0.2">
      <c r="A105" s="28">
        <v>2001.12</v>
      </c>
      <c r="B105" s="61">
        <v>266.72717620920565</v>
      </c>
      <c r="C105" s="62">
        <v>266.72717620920565</v>
      </c>
      <c r="E105" s="34"/>
      <c r="F105" s="33"/>
    </row>
    <row r="106" spans="1:6" x14ac:dyDescent="0.2">
      <c r="A106" s="28">
        <v>2002.01</v>
      </c>
      <c r="B106" s="61">
        <v>254.13358344446038</v>
      </c>
      <c r="C106" s="62">
        <v>254.13358344446038</v>
      </c>
      <c r="E106" s="34"/>
      <c r="F106" s="33"/>
    </row>
    <row r="107" spans="1:6" x14ac:dyDescent="0.2">
      <c r="A107" s="28">
        <v>2002.02</v>
      </c>
      <c r="B107" s="61">
        <v>240.99083104794889</v>
      </c>
      <c r="C107" s="62">
        <v>240.99083104794889</v>
      </c>
      <c r="E107" s="34"/>
      <c r="F107" s="33"/>
    </row>
    <row r="108" spans="1:6" x14ac:dyDescent="0.2">
      <c r="A108" s="28">
        <v>2002.03</v>
      </c>
      <c r="B108" s="61">
        <v>223.69146951448678</v>
      </c>
      <c r="C108" s="62">
        <v>223.69146951448678</v>
      </c>
      <c r="E108" s="34"/>
      <c r="F108" s="33"/>
    </row>
    <row r="109" spans="1:6" x14ac:dyDescent="0.2">
      <c r="A109" s="28">
        <v>2002.04</v>
      </c>
      <c r="B109" s="61">
        <v>200.02730614039118</v>
      </c>
      <c r="C109" s="62">
        <v>200.02730614039118</v>
      </c>
      <c r="E109" s="34"/>
      <c r="F109" s="33"/>
    </row>
    <row r="110" spans="1:6" x14ac:dyDescent="0.2">
      <c r="A110" s="28">
        <v>2002.05</v>
      </c>
      <c r="B110" s="61">
        <v>186.80826480833997</v>
      </c>
      <c r="C110" s="62">
        <v>186.80826480833997</v>
      </c>
      <c r="E110" s="34"/>
      <c r="F110" s="33"/>
    </row>
    <row r="111" spans="1:6" x14ac:dyDescent="0.2">
      <c r="A111" s="28">
        <v>2002.06</v>
      </c>
      <c r="B111" s="61">
        <v>176.19206882727801</v>
      </c>
      <c r="C111" s="62">
        <v>176.19206882727801</v>
      </c>
      <c r="E111" s="34"/>
      <c r="F111" s="33"/>
    </row>
    <row r="112" spans="1:6" x14ac:dyDescent="0.2">
      <c r="A112" s="28">
        <v>2002.07</v>
      </c>
      <c r="B112" s="61">
        <v>169.35746325605237</v>
      </c>
      <c r="C112" s="62">
        <v>169.35746325605237</v>
      </c>
      <c r="E112" s="34"/>
      <c r="F112" s="33"/>
    </row>
    <row r="113" spans="1:6" x14ac:dyDescent="0.2">
      <c r="A113" s="28">
        <v>2002.08</v>
      </c>
      <c r="B113" s="61">
        <v>167.9508719110392</v>
      </c>
      <c r="C113" s="62">
        <v>167.9508719110392</v>
      </c>
      <c r="E113" s="34"/>
      <c r="F113" s="33"/>
    </row>
    <row r="114" spans="1:6" x14ac:dyDescent="0.2">
      <c r="A114" s="28">
        <v>2002.09</v>
      </c>
      <c r="B114" s="61">
        <v>164.55408894619623</v>
      </c>
      <c r="C114" s="62">
        <v>164.55408894619623</v>
      </c>
      <c r="E114" s="34"/>
      <c r="F114" s="33"/>
    </row>
    <row r="115" spans="1:6" x14ac:dyDescent="0.2">
      <c r="A115" s="28">
        <v>2002.1</v>
      </c>
      <c r="B115" s="61">
        <v>164.34331988468495</v>
      </c>
      <c r="C115" s="62">
        <v>164.34331988468495</v>
      </c>
      <c r="E115" s="34"/>
      <c r="F115" s="33"/>
    </row>
    <row r="116" spans="1:6" x14ac:dyDescent="0.2">
      <c r="A116" s="28">
        <v>2002.11</v>
      </c>
      <c r="B116" s="61">
        <v>167.20875648094744</v>
      </c>
      <c r="C116" s="62">
        <v>167.20875648094744</v>
      </c>
      <c r="E116" s="34"/>
      <c r="F116" s="33"/>
    </row>
    <row r="117" spans="1:6" x14ac:dyDescent="0.2">
      <c r="A117" s="28">
        <v>2002.12</v>
      </c>
      <c r="B117" s="61">
        <v>165.83384408342735</v>
      </c>
      <c r="C117" s="62">
        <v>165.83384408342735</v>
      </c>
      <c r="E117" s="34"/>
      <c r="F117" s="33"/>
    </row>
    <row r="118" spans="1:6" x14ac:dyDescent="0.2">
      <c r="A118" s="28">
        <v>2003.01</v>
      </c>
      <c r="B118" s="61">
        <v>166.23957610713683</v>
      </c>
      <c r="C118" s="62">
        <v>166.23957610713683</v>
      </c>
      <c r="E118" s="34"/>
      <c r="F118" s="33"/>
    </row>
    <row r="119" spans="1:6" x14ac:dyDescent="0.2">
      <c r="A119" s="28">
        <v>2003.02</v>
      </c>
      <c r="B119" s="61">
        <v>164.59671919812195</v>
      </c>
      <c r="C119" s="62">
        <v>164.59671919812195</v>
      </c>
      <c r="E119" s="34"/>
      <c r="F119" s="33"/>
    </row>
    <row r="120" spans="1:6" x14ac:dyDescent="0.2">
      <c r="A120" s="28">
        <v>2003.03</v>
      </c>
      <c r="B120" s="61">
        <v>169.1725757972475</v>
      </c>
      <c r="C120" s="62">
        <v>169.1725757972475</v>
      </c>
      <c r="E120" s="34"/>
      <c r="F120" s="33"/>
    </row>
    <row r="121" spans="1:6" x14ac:dyDescent="0.2">
      <c r="A121" s="28">
        <v>2003.04</v>
      </c>
      <c r="B121" s="61">
        <v>173.59042010854589</v>
      </c>
      <c r="C121" s="62">
        <v>173.59042010854589</v>
      </c>
      <c r="E121" s="34"/>
      <c r="F121" s="33"/>
    </row>
    <row r="122" spans="1:6" x14ac:dyDescent="0.2">
      <c r="A122" s="28">
        <v>2003.05</v>
      </c>
      <c r="B122" s="61">
        <v>176.9517713327503</v>
      </c>
      <c r="C122" s="62">
        <v>176.9517713327503</v>
      </c>
      <c r="E122" s="34"/>
      <c r="F122" s="33"/>
    </row>
    <row r="123" spans="1:6" x14ac:dyDescent="0.2">
      <c r="A123" s="28">
        <v>2003.06</v>
      </c>
      <c r="B123" s="61">
        <v>181.36683593065189</v>
      </c>
      <c r="C123" s="62">
        <v>181.36683593065189</v>
      </c>
      <c r="E123" s="34"/>
      <c r="F123" s="33"/>
    </row>
    <row r="124" spans="1:6" x14ac:dyDescent="0.2">
      <c r="A124" s="28">
        <v>2003.07</v>
      </c>
      <c r="B124" s="61">
        <v>185.73078798060118</v>
      </c>
      <c r="C124" s="62">
        <v>185.73078798060118</v>
      </c>
      <c r="E124" s="34"/>
      <c r="F124" s="33"/>
    </row>
    <row r="125" spans="1:6" x14ac:dyDescent="0.2">
      <c r="A125" s="28">
        <v>2003.08</v>
      </c>
      <c r="B125" s="61">
        <v>192.01674574640296</v>
      </c>
      <c r="C125" s="62">
        <v>192.01674574640296</v>
      </c>
      <c r="E125" s="34"/>
      <c r="F125" s="33"/>
    </row>
    <row r="126" spans="1:6" x14ac:dyDescent="0.2">
      <c r="A126" s="28">
        <v>2003.09</v>
      </c>
      <c r="B126" s="61">
        <v>193.59849125391349</v>
      </c>
      <c r="C126" s="62">
        <v>193.59849125391349</v>
      </c>
      <c r="E126" s="34"/>
      <c r="F126" s="33"/>
    </row>
    <row r="127" spans="1:6" x14ac:dyDescent="0.2">
      <c r="A127" s="28">
        <v>2003.1</v>
      </c>
      <c r="B127" s="61">
        <v>195.82626978458305</v>
      </c>
      <c r="C127" s="62">
        <v>195.82626978458305</v>
      </c>
      <c r="E127" s="34"/>
      <c r="F127" s="33"/>
    </row>
    <row r="128" spans="1:6" x14ac:dyDescent="0.2">
      <c r="A128" s="28">
        <v>2003.11</v>
      </c>
      <c r="B128" s="61">
        <v>199.82733570277381</v>
      </c>
      <c r="C128" s="62">
        <v>199.82733570277381</v>
      </c>
      <c r="E128" s="34"/>
      <c r="F128" s="33"/>
    </row>
    <row r="129" spans="1:6" x14ac:dyDescent="0.2">
      <c r="A129" s="28">
        <v>2003.12</v>
      </c>
      <c r="B129" s="61">
        <v>204.31015901580429</v>
      </c>
      <c r="C129" s="62">
        <v>204.31015901580429</v>
      </c>
      <c r="E129" s="34"/>
      <c r="F129" s="33"/>
    </row>
    <row r="130" spans="1:6" x14ac:dyDescent="0.2">
      <c r="A130" s="28">
        <v>2004.01</v>
      </c>
      <c r="B130" s="61">
        <v>206.17812778725053</v>
      </c>
      <c r="C130" s="62">
        <v>206.17812778725053</v>
      </c>
      <c r="E130" s="34"/>
      <c r="F130" s="33"/>
    </row>
    <row r="131" spans="1:6" x14ac:dyDescent="0.2">
      <c r="A131" s="28">
        <v>2004.02</v>
      </c>
      <c r="B131" s="61">
        <v>216.30656009011307</v>
      </c>
      <c r="C131" s="62">
        <v>216.30656009011307</v>
      </c>
      <c r="E131" s="34"/>
      <c r="F131" s="33"/>
    </row>
    <row r="132" spans="1:6" x14ac:dyDescent="0.2">
      <c r="A132" s="28">
        <v>2004.03</v>
      </c>
      <c r="B132" s="61">
        <v>223.44205947685529</v>
      </c>
      <c r="C132" s="62">
        <v>223.44205947685529</v>
      </c>
      <c r="E132" s="34"/>
      <c r="F132" s="33"/>
    </row>
    <row r="133" spans="1:6" x14ac:dyDescent="0.2">
      <c r="A133" s="28">
        <v>2004.04</v>
      </c>
      <c r="B133" s="61">
        <v>231.93406397256328</v>
      </c>
      <c r="C133" s="62">
        <v>231.93406397256328</v>
      </c>
      <c r="E133" s="34"/>
      <c r="F133" s="33"/>
    </row>
    <row r="134" spans="1:6" x14ac:dyDescent="0.2">
      <c r="A134" s="28">
        <v>2004.05</v>
      </c>
      <c r="B134" s="61">
        <v>235.12499981823453</v>
      </c>
      <c r="C134" s="62">
        <v>235.12499981823453</v>
      </c>
      <c r="E134" s="34"/>
      <c r="F134" s="33"/>
    </row>
    <row r="135" spans="1:6" x14ac:dyDescent="0.2">
      <c r="A135" s="28">
        <v>2004.06</v>
      </c>
      <c r="B135" s="61">
        <v>240.8165896550791</v>
      </c>
      <c r="C135" s="62">
        <v>240.8165896550791</v>
      </c>
      <c r="E135" s="34"/>
      <c r="F135" s="33"/>
    </row>
    <row r="136" spans="1:6" x14ac:dyDescent="0.2">
      <c r="A136" s="28">
        <v>2004.07</v>
      </c>
      <c r="B136" s="61">
        <v>239.15267319370687</v>
      </c>
      <c r="C136" s="62">
        <v>239.15267319370687</v>
      </c>
      <c r="E136" s="34"/>
      <c r="F136" s="33"/>
    </row>
    <row r="137" spans="1:6" x14ac:dyDescent="0.2">
      <c r="A137" s="28">
        <v>2004.08</v>
      </c>
      <c r="B137" s="61">
        <v>236.73947457826642</v>
      </c>
      <c r="C137" s="62">
        <v>236.73947457826642</v>
      </c>
      <c r="E137" s="34"/>
      <c r="F137" s="33"/>
    </row>
    <row r="138" spans="1:6" x14ac:dyDescent="0.2">
      <c r="A138" s="28">
        <v>2004.09</v>
      </c>
      <c r="B138" s="61">
        <v>237.60057349049811</v>
      </c>
      <c r="C138" s="62">
        <v>237.60057349049811</v>
      </c>
      <c r="E138" s="34"/>
      <c r="F138" s="33"/>
    </row>
    <row r="139" spans="1:6" x14ac:dyDescent="0.2">
      <c r="A139" s="28">
        <v>2004.1</v>
      </c>
      <c r="B139" s="61">
        <v>237.76202483037923</v>
      </c>
      <c r="C139" s="62">
        <v>237.76202483037923</v>
      </c>
      <c r="E139" s="34"/>
      <c r="F139" s="33"/>
    </row>
    <row r="140" spans="1:6" x14ac:dyDescent="0.2">
      <c r="A140" s="28">
        <v>2004.11</v>
      </c>
      <c r="B140" s="61">
        <v>244.47377409063662</v>
      </c>
      <c r="C140" s="62">
        <v>244.47377409063662</v>
      </c>
      <c r="E140" s="34"/>
      <c r="F140" s="33"/>
    </row>
    <row r="141" spans="1:6" x14ac:dyDescent="0.2">
      <c r="A141" s="28">
        <v>2004.12</v>
      </c>
      <c r="B141" s="61">
        <v>242.67092830125671</v>
      </c>
      <c r="C141" s="62">
        <v>242.67092830125671</v>
      </c>
      <c r="E141" s="34"/>
      <c r="F141" s="33"/>
    </row>
    <row r="142" spans="1:6" x14ac:dyDescent="0.2">
      <c r="A142" s="28">
        <v>2005.01</v>
      </c>
      <c r="B142" s="61">
        <v>249.95604923379958</v>
      </c>
      <c r="C142" s="62">
        <v>249.95604923379958</v>
      </c>
      <c r="E142" s="34"/>
      <c r="F142" s="33"/>
    </row>
    <row r="143" spans="1:6" x14ac:dyDescent="0.2">
      <c r="A143" s="28">
        <v>2005.02</v>
      </c>
      <c r="B143" s="61">
        <v>256.90761860154402</v>
      </c>
      <c r="C143" s="62">
        <v>256.90761860154402</v>
      </c>
      <c r="E143" s="34"/>
      <c r="F143" s="33"/>
    </row>
    <row r="144" spans="1:6" x14ac:dyDescent="0.2">
      <c r="A144" s="28">
        <v>2005.03</v>
      </c>
      <c r="B144" s="61">
        <v>255.41143268551397</v>
      </c>
      <c r="C144" s="62">
        <v>255.41143268551397</v>
      </c>
      <c r="E144" s="34"/>
      <c r="F144" s="33"/>
    </row>
    <row r="145" spans="1:6" x14ac:dyDescent="0.2">
      <c r="A145" s="28">
        <v>2005.04</v>
      </c>
      <c r="B145" s="61">
        <v>268.42430675185608</v>
      </c>
      <c r="C145" s="62">
        <v>268.42430675185608</v>
      </c>
      <c r="E145" s="34"/>
      <c r="F145" s="33"/>
    </row>
    <row r="146" spans="1:6" x14ac:dyDescent="0.2">
      <c r="A146" s="28">
        <v>2005.05</v>
      </c>
      <c r="B146" s="61">
        <v>269.91819328086433</v>
      </c>
      <c r="C146" s="62">
        <v>269.91819328086433</v>
      </c>
      <c r="E146" s="34"/>
      <c r="F146" s="33"/>
    </row>
    <row r="147" spans="1:6" x14ac:dyDescent="0.2">
      <c r="A147" s="28">
        <v>2005.06</v>
      </c>
      <c r="B147" s="61">
        <v>271.79058906361752</v>
      </c>
      <c r="C147" s="62">
        <v>271.79058906361752</v>
      </c>
      <c r="E147" s="34"/>
      <c r="F147" s="33"/>
    </row>
    <row r="148" spans="1:6" x14ac:dyDescent="0.2">
      <c r="A148" s="28">
        <v>2005.07</v>
      </c>
      <c r="B148" s="61">
        <v>278.92875879602877</v>
      </c>
      <c r="C148" s="62">
        <v>278.92875879602877</v>
      </c>
      <c r="E148" s="34"/>
      <c r="F148" s="33"/>
    </row>
    <row r="149" spans="1:6" x14ac:dyDescent="0.2">
      <c r="A149" s="28">
        <v>2005.08</v>
      </c>
      <c r="B149" s="61">
        <v>283.83118910262669</v>
      </c>
      <c r="C149" s="62">
        <v>283.83118910262669</v>
      </c>
      <c r="E149" s="34"/>
      <c r="F149" s="33"/>
    </row>
    <row r="150" spans="1:6" x14ac:dyDescent="0.2">
      <c r="A150" s="28">
        <v>2005.09</v>
      </c>
      <c r="B150" s="61">
        <v>288.1227638172208</v>
      </c>
      <c r="C150" s="62">
        <v>288.1227638172208</v>
      </c>
      <c r="E150" s="34"/>
      <c r="F150" s="33"/>
    </row>
    <row r="151" spans="1:6" x14ac:dyDescent="0.2">
      <c r="A151" s="28">
        <v>2005.1</v>
      </c>
      <c r="B151" s="61">
        <v>298.49787426038108</v>
      </c>
      <c r="C151" s="62">
        <v>298.49787426038108</v>
      </c>
      <c r="E151" s="34"/>
      <c r="F151" s="33"/>
    </row>
    <row r="152" spans="1:6" x14ac:dyDescent="0.2">
      <c r="A152" s="28">
        <v>2005.11</v>
      </c>
      <c r="B152" s="61">
        <v>299.98445025667945</v>
      </c>
      <c r="C152" s="62">
        <v>299.98445025667945</v>
      </c>
      <c r="E152" s="34"/>
      <c r="F152" s="33"/>
    </row>
    <row r="153" spans="1:6" x14ac:dyDescent="0.2">
      <c r="A153" s="28">
        <v>2005.12</v>
      </c>
      <c r="B153" s="61">
        <v>306.99394326467075</v>
      </c>
      <c r="C153" s="62">
        <v>306.99394326467075</v>
      </c>
      <c r="E153" s="34"/>
      <c r="F153" s="33"/>
    </row>
    <row r="154" spans="1:6" x14ac:dyDescent="0.2">
      <c r="A154" s="28">
        <v>2006.01</v>
      </c>
      <c r="B154" s="61">
        <v>310.58773864078751</v>
      </c>
      <c r="C154" s="62">
        <v>310.58773864078751</v>
      </c>
      <c r="E154" s="34"/>
      <c r="F154" s="33"/>
    </row>
    <row r="155" spans="1:6" x14ac:dyDescent="0.2">
      <c r="A155" s="28">
        <v>2006.02</v>
      </c>
      <c r="B155" s="61">
        <v>317.92264726892864</v>
      </c>
      <c r="C155" s="62">
        <v>317.92264726892864</v>
      </c>
      <c r="E155" s="34"/>
      <c r="F155" s="33"/>
    </row>
    <row r="156" spans="1:6" x14ac:dyDescent="0.2">
      <c r="A156" s="28">
        <v>2006.03</v>
      </c>
      <c r="B156" s="61">
        <v>322.15588167416792</v>
      </c>
      <c r="C156" s="62">
        <v>322.15588167416792</v>
      </c>
      <c r="E156" s="34"/>
      <c r="F156" s="33"/>
    </row>
    <row r="157" spans="1:6" x14ac:dyDescent="0.2">
      <c r="A157" s="28">
        <v>2006.04</v>
      </c>
      <c r="B157" s="61">
        <v>327.67426560886759</v>
      </c>
      <c r="C157" s="62">
        <v>327.67426560886759</v>
      </c>
      <c r="E157" s="34"/>
      <c r="F157" s="33"/>
    </row>
    <row r="158" spans="1:6" x14ac:dyDescent="0.2">
      <c r="A158" s="28">
        <v>2006.05</v>
      </c>
      <c r="B158" s="61">
        <v>334.76992420628432</v>
      </c>
      <c r="C158" s="62">
        <v>334.76992420628432</v>
      </c>
      <c r="E158" s="34"/>
      <c r="F158" s="33"/>
    </row>
    <row r="159" spans="1:6" x14ac:dyDescent="0.2">
      <c r="A159" s="28">
        <v>2006.06</v>
      </c>
      <c r="B159" s="61">
        <v>337.38138115639259</v>
      </c>
      <c r="C159" s="62">
        <v>337.38138115639259</v>
      </c>
      <c r="E159" s="34"/>
      <c r="F159" s="33"/>
    </row>
    <row r="160" spans="1:6" x14ac:dyDescent="0.2">
      <c r="A160" s="28">
        <v>2006.07</v>
      </c>
      <c r="B160" s="61">
        <v>341.70303318634529</v>
      </c>
      <c r="C160" s="62">
        <v>341.70303318634529</v>
      </c>
      <c r="E160" s="34"/>
      <c r="F160" s="33"/>
    </row>
    <row r="161" spans="1:6" x14ac:dyDescent="0.2">
      <c r="A161" s="28">
        <v>2006.08</v>
      </c>
      <c r="B161" s="61">
        <v>352.2389192461481</v>
      </c>
      <c r="C161" s="62">
        <v>352.2389192461481</v>
      </c>
      <c r="E161" s="34"/>
      <c r="F161" s="33"/>
    </row>
    <row r="162" spans="1:6" x14ac:dyDescent="0.2">
      <c r="A162" s="28">
        <v>2006.09</v>
      </c>
      <c r="B162" s="61">
        <v>359.46792719918</v>
      </c>
      <c r="C162" s="62">
        <v>359.46792719918</v>
      </c>
      <c r="E162" s="34"/>
      <c r="F162" s="33"/>
    </row>
    <row r="163" spans="1:6" x14ac:dyDescent="0.2">
      <c r="A163" s="28">
        <v>2006.1</v>
      </c>
      <c r="B163" s="61">
        <v>355.61431110121106</v>
      </c>
      <c r="C163" s="62">
        <v>355.61431110121106</v>
      </c>
      <c r="E163" s="34"/>
      <c r="F163" s="33"/>
    </row>
    <row r="164" spans="1:6" x14ac:dyDescent="0.2">
      <c r="A164" s="28">
        <v>2006.11</v>
      </c>
      <c r="B164" s="61">
        <v>354.59438201770917</v>
      </c>
      <c r="C164" s="62">
        <v>354.59438201770917</v>
      </c>
      <c r="E164" s="34"/>
      <c r="F164" s="33"/>
    </row>
    <row r="165" spans="1:6" x14ac:dyDescent="0.2">
      <c r="A165" s="28">
        <v>2006.12</v>
      </c>
      <c r="B165" s="61">
        <v>361.65070848814486</v>
      </c>
      <c r="C165" s="62">
        <v>361.65070848814486</v>
      </c>
      <c r="E165" s="34"/>
      <c r="F165" s="33"/>
    </row>
    <row r="166" spans="1:6" x14ac:dyDescent="0.2">
      <c r="A166" s="28">
        <v>2007.01</v>
      </c>
      <c r="B166" s="61">
        <v>367.59604738857917</v>
      </c>
      <c r="C166" s="62">
        <v>367.59604738857917</v>
      </c>
      <c r="E166" s="34"/>
      <c r="F166" s="33"/>
    </row>
    <row r="167" spans="1:6" x14ac:dyDescent="0.2">
      <c r="A167" s="28">
        <v>2007.02</v>
      </c>
      <c r="B167" s="61">
        <v>374.35704099653168</v>
      </c>
      <c r="C167" s="62">
        <v>374.35704099653168</v>
      </c>
      <c r="E167" s="34"/>
      <c r="F167" s="33"/>
    </row>
    <row r="168" spans="1:6" x14ac:dyDescent="0.2">
      <c r="A168" s="28">
        <v>2007.03</v>
      </c>
      <c r="B168" s="61">
        <v>375.59781707807031</v>
      </c>
      <c r="C168" s="62">
        <v>375.59781707807031</v>
      </c>
      <c r="E168" s="34"/>
      <c r="F168" s="33"/>
    </row>
    <row r="169" spans="1:6" x14ac:dyDescent="0.2">
      <c r="A169" s="28">
        <v>2007.04</v>
      </c>
      <c r="B169" s="61">
        <v>382.01996701752637</v>
      </c>
      <c r="C169" s="62">
        <v>382.01996701752637</v>
      </c>
      <c r="E169" s="34"/>
      <c r="F169" s="33"/>
    </row>
    <row r="170" spans="1:6" x14ac:dyDescent="0.2">
      <c r="A170" s="28">
        <v>2007.05</v>
      </c>
      <c r="B170" s="61">
        <v>389.70026498402689</v>
      </c>
      <c r="C170" s="62">
        <v>389.70026498402689</v>
      </c>
      <c r="E170" s="34"/>
      <c r="F170" s="33"/>
    </row>
    <row r="171" spans="1:6" x14ac:dyDescent="0.2">
      <c r="A171" s="28">
        <v>2007.06</v>
      </c>
      <c r="B171" s="61">
        <v>398.64331231295722</v>
      </c>
      <c r="C171" s="62">
        <v>398.64331231295722</v>
      </c>
      <c r="E171" s="34"/>
      <c r="F171" s="33"/>
    </row>
    <row r="172" spans="1:6" x14ac:dyDescent="0.2">
      <c r="A172" s="28">
        <v>2007.07</v>
      </c>
      <c r="B172" s="61">
        <v>402.41156021421551</v>
      </c>
      <c r="C172" s="62">
        <v>402.41156021421551</v>
      </c>
      <c r="E172" s="34"/>
      <c r="F172" s="33"/>
    </row>
    <row r="173" spans="1:6" x14ac:dyDescent="0.2">
      <c r="A173" s="28">
        <v>2007.08</v>
      </c>
      <c r="B173" s="61">
        <v>400.96925720706042</v>
      </c>
      <c r="C173" s="62">
        <v>400.96925720706042</v>
      </c>
      <c r="E173" s="34"/>
      <c r="F173" s="33"/>
    </row>
    <row r="174" spans="1:6" x14ac:dyDescent="0.2">
      <c r="A174" s="28">
        <v>2007.09</v>
      </c>
      <c r="B174" s="61">
        <v>408.7032121549866</v>
      </c>
      <c r="C174" s="62">
        <v>408.7032121549866</v>
      </c>
      <c r="E174" s="34"/>
      <c r="F174" s="33"/>
    </row>
    <row r="175" spans="1:6" x14ac:dyDescent="0.2">
      <c r="A175" s="28">
        <v>2007.1</v>
      </c>
      <c r="B175" s="61">
        <v>414.15357292550988</v>
      </c>
      <c r="C175" s="62">
        <v>414.15357292550988</v>
      </c>
      <c r="E175" s="34"/>
      <c r="F175" s="33"/>
    </row>
    <row r="176" spans="1:6" x14ac:dyDescent="0.2">
      <c r="A176" s="28">
        <v>2007.11</v>
      </c>
      <c r="B176" s="61">
        <v>428.60999732712747</v>
      </c>
      <c r="C176" s="62">
        <v>428.60999732712747</v>
      </c>
      <c r="E176" s="34"/>
      <c r="F176" s="33"/>
    </row>
    <row r="177" spans="1:6" x14ac:dyDescent="0.2">
      <c r="A177" s="28">
        <v>2007.12</v>
      </c>
      <c r="B177" s="61">
        <v>432.62431403118757</v>
      </c>
      <c r="C177" s="62">
        <v>432.62431403118757</v>
      </c>
      <c r="E177" s="35"/>
      <c r="F177" s="33"/>
    </row>
    <row r="178" spans="1:6" x14ac:dyDescent="0.2">
      <c r="A178" s="28">
        <f t="shared" ref="A178:A241" si="0">A166+1</f>
        <v>2008.01</v>
      </c>
      <c r="B178" s="61">
        <v>438.04816572958873</v>
      </c>
      <c r="C178" s="62">
        <v>438.04816572958873</v>
      </c>
      <c r="E178" s="34"/>
      <c r="F178" s="33"/>
    </row>
    <row r="179" spans="1:6" x14ac:dyDescent="0.2">
      <c r="A179" s="28">
        <f t="shared" si="0"/>
        <v>2008.02</v>
      </c>
      <c r="B179" s="61">
        <v>434.31546351446025</v>
      </c>
      <c r="C179" s="62">
        <v>434.31546351446025</v>
      </c>
      <c r="E179" s="34"/>
      <c r="F179" s="33"/>
    </row>
    <row r="180" spans="1:6" x14ac:dyDescent="0.2">
      <c r="A180" s="28">
        <f t="shared" si="0"/>
        <v>2008.03</v>
      </c>
      <c r="B180" s="61">
        <v>442.25181632880026</v>
      </c>
      <c r="C180" s="62">
        <v>442.25181632880026</v>
      </c>
      <c r="E180" s="34"/>
      <c r="F180" s="33"/>
    </row>
    <row r="181" spans="1:6" x14ac:dyDescent="0.2">
      <c r="A181" s="28">
        <f t="shared" si="0"/>
        <v>2008.04</v>
      </c>
      <c r="B181" s="61">
        <v>440.56898172358808</v>
      </c>
      <c r="C181" s="62">
        <v>440.56898172358808</v>
      </c>
      <c r="E181" s="34"/>
      <c r="F181" s="33"/>
    </row>
    <row r="182" spans="1:6" x14ac:dyDescent="0.2">
      <c r="A182" s="28">
        <f t="shared" si="0"/>
        <v>2008.05</v>
      </c>
      <c r="B182" s="61">
        <v>449.02045897206511</v>
      </c>
      <c r="C182" s="62">
        <v>449.02045897206511</v>
      </c>
      <c r="E182" s="34"/>
      <c r="F182" s="33"/>
    </row>
    <row r="183" spans="1:6" x14ac:dyDescent="0.2">
      <c r="A183" s="28">
        <f t="shared" si="0"/>
        <v>2008.06</v>
      </c>
      <c r="B183" s="61">
        <v>452.94930430232534</v>
      </c>
      <c r="C183" s="62">
        <v>452.94930430232534</v>
      </c>
      <c r="E183" s="34"/>
      <c r="F183" s="33"/>
    </row>
    <row r="184" spans="1:6" x14ac:dyDescent="0.2">
      <c r="A184" s="28">
        <f t="shared" si="0"/>
        <v>2008.07</v>
      </c>
      <c r="B184" s="61">
        <v>458.80051670723469</v>
      </c>
      <c r="C184" s="62">
        <v>458.80051670723469</v>
      </c>
      <c r="E184" s="34"/>
      <c r="F184" s="33"/>
    </row>
    <row r="185" spans="1:6" x14ac:dyDescent="0.2">
      <c r="A185" s="28">
        <f t="shared" si="0"/>
        <v>2008.08</v>
      </c>
      <c r="B185" s="61">
        <v>462.90000410701589</v>
      </c>
      <c r="C185" s="62">
        <v>462.90000410701589</v>
      </c>
      <c r="E185" s="34"/>
      <c r="F185" s="33"/>
    </row>
    <row r="186" spans="1:6" x14ac:dyDescent="0.2">
      <c r="A186" s="28">
        <f t="shared" si="0"/>
        <v>2008.09</v>
      </c>
      <c r="B186" s="61">
        <v>468.97571561897036</v>
      </c>
      <c r="C186" s="62">
        <v>468.97571561897036</v>
      </c>
      <c r="E186" s="34"/>
      <c r="F186" s="33"/>
    </row>
    <row r="187" spans="1:6" x14ac:dyDescent="0.2">
      <c r="A187" s="28">
        <f t="shared" si="0"/>
        <v>2008.1</v>
      </c>
      <c r="B187" s="61">
        <v>474.61764937824057</v>
      </c>
      <c r="C187" s="62">
        <v>474.61764937824057</v>
      </c>
      <c r="E187" s="34"/>
      <c r="F187" s="33"/>
    </row>
    <row r="188" spans="1:6" x14ac:dyDescent="0.2">
      <c r="A188" s="28">
        <f t="shared" si="0"/>
        <v>2008.11</v>
      </c>
      <c r="B188" s="61">
        <v>475.2731633281773</v>
      </c>
      <c r="C188" s="62">
        <v>475.2731633281773</v>
      </c>
      <c r="E188" s="34"/>
      <c r="F188" s="33"/>
    </row>
    <row r="189" spans="1:6" x14ac:dyDescent="0.2">
      <c r="A189" s="28">
        <f t="shared" si="0"/>
        <v>2008.12</v>
      </c>
      <c r="B189" s="61">
        <v>476.42996117166416</v>
      </c>
      <c r="C189" s="62">
        <v>476.42996117166416</v>
      </c>
      <c r="E189" s="35"/>
      <c r="F189" s="33"/>
    </row>
    <row r="190" spans="1:6" x14ac:dyDescent="0.2">
      <c r="A190" s="28">
        <f t="shared" si="0"/>
        <v>2009.01</v>
      </c>
      <c r="B190" s="61">
        <v>477.50689124623221</v>
      </c>
      <c r="C190" s="62">
        <v>477.50689124623221</v>
      </c>
      <c r="E190" s="34"/>
      <c r="F190" s="33"/>
    </row>
    <row r="191" spans="1:6" x14ac:dyDescent="0.2">
      <c r="A191" s="28">
        <f t="shared" si="0"/>
        <v>2009.02</v>
      </c>
      <c r="B191" s="61">
        <v>477.88244379945041</v>
      </c>
      <c r="C191" s="62">
        <v>477.88244379945041</v>
      </c>
      <c r="E191" s="34"/>
      <c r="F191" s="33"/>
    </row>
    <row r="192" spans="1:6" x14ac:dyDescent="0.2">
      <c r="A192" s="28">
        <f t="shared" si="0"/>
        <v>2009.03</v>
      </c>
      <c r="B192" s="61">
        <v>482.42525126722472</v>
      </c>
      <c r="C192" s="62">
        <v>482.42525126722472</v>
      </c>
      <c r="E192" s="34"/>
      <c r="F192" s="33"/>
    </row>
    <row r="193" spans="1:6" x14ac:dyDescent="0.2">
      <c r="A193" s="28">
        <f t="shared" si="0"/>
        <v>2009.04</v>
      </c>
      <c r="B193" s="61">
        <v>478.73758439143455</v>
      </c>
      <c r="C193" s="62">
        <v>478.73758439143455</v>
      </c>
      <c r="E193" s="34"/>
      <c r="F193" s="33"/>
    </row>
    <row r="194" spans="1:6" x14ac:dyDescent="0.2">
      <c r="A194" s="28">
        <f t="shared" si="0"/>
        <v>2009.05</v>
      </c>
      <c r="B194" s="61">
        <v>474.92510988466699</v>
      </c>
      <c r="C194" s="62">
        <v>474.92510988466699</v>
      </c>
      <c r="E194" s="34"/>
      <c r="F194" s="33"/>
    </row>
    <row r="195" spans="1:6" x14ac:dyDescent="0.2">
      <c r="A195" s="28">
        <f t="shared" si="0"/>
        <v>2009.06</v>
      </c>
      <c r="B195" s="61">
        <v>476.89941067447683</v>
      </c>
      <c r="C195" s="62">
        <v>476.89941067447683</v>
      </c>
      <c r="E195" s="34"/>
      <c r="F195" s="33"/>
    </row>
    <row r="196" spans="1:6" x14ac:dyDescent="0.2">
      <c r="A196" s="28">
        <f t="shared" si="0"/>
        <v>2009.07</v>
      </c>
      <c r="B196" s="61">
        <v>480.39422995052803</v>
      </c>
      <c r="C196" s="62">
        <v>480.39422995052803</v>
      </c>
      <c r="E196" s="34"/>
      <c r="F196" s="33"/>
    </row>
    <row r="197" spans="1:6" x14ac:dyDescent="0.2">
      <c r="A197" s="28">
        <f t="shared" si="0"/>
        <v>2009.08</v>
      </c>
      <c r="B197" s="61">
        <v>480.35775025673956</v>
      </c>
      <c r="C197" s="62">
        <v>480.35775025673956</v>
      </c>
      <c r="E197" s="34"/>
      <c r="F197" s="33"/>
    </row>
    <row r="198" spans="1:6" x14ac:dyDescent="0.2">
      <c r="A198" s="28">
        <f t="shared" si="0"/>
        <v>2009.09</v>
      </c>
      <c r="B198" s="61">
        <v>481.3181574040446</v>
      </c>
      <c r="C198" s="62">
        <v>481.3181574040446</v>
      </c>
      <c r="E198" s="34"/>
      <c r="F198" s="33"/>
    </row>
    <row r="199" spans="1:6" x14ac:dyDescent="0.2">
      <c r="A199" s="28">
        <f t="shared" si="0"/>
        <v>2009.1</v>
      </c>
      <c r="B199" s="61">
        <v>488.18984850988835</v>
      </c>
      <c r="C199" s="62">
        <v>488.18984850988835</v>
      </c>
      <c r="E199" s="34"/>
      <c r="F199" s="33"/>
    </row>
    <row r="200" spans="1:6" x14ac:dyDescent="0.2">
      <c r="A200" s="28">
        <f t="shared" si="0"/>
        <v>2009.11</v>
      </c>
      <c r="B200" s="61">
        <v>482.47222424347967</v>
      </c>
      <c r="C200" s="62">
        <v>482.47222424347967</v>
      </c>
      <c r="E200" s="34"/>
      <c r="F200" s="33"/>
    </row>
    <row r="201" spans="1:6" x14ac:dyDescent="0.2">
      <c r="A201" s="28">
        <f t="shared" si="0"/>
        <v>2009.12</v>
      </c>
      <c r="B201" s="61">
        <v>480.11154119905433</v>
      </c>
      <c r="C201" s="62">
        <v>480.11154119905433</v>
      </c>
      <c r="E201" s="35"/>
      <c r="F201" s="33"/>
    </row>
    <row r="202" spans="1:6" x14ac:dyDescent="0.2">
      <c r="A202" s="28">
        <f t="shared" si="0"/>
        <v>2010.01</v>
      </c>
      <c r="B202" s="61">
        <v>479.9053299975057</v>
      </c>
      <c r="C202" s="62">
        <v>479.9053299975057</v>
      </c>
      <c r="E202" s="34"/>
      <c r="F202" s="33"/>
    </row>
    <row r="203" spans="1:6" x14ac:dyDescent="0.2">
      <c r="A203" s="28">
        <f t="shared" si="0"/>
        <v>2010.02</v>
      </c>
      <c r="B203" s="61">
        <v>479.14366698587952</v>
      </c>
      <c r="C203" s="62">
        <v>479.14366698587952</v>
      </c>
      <c r="E203" s="34"/>
      <c r="F203" s="33"/>
    </row>
    <row r="204" spans="1:6" x14ac:dyDescent="0.2">
      <c r="A204" s="28">
        <f t="shared" si="0"/>
        <v>2010.03</v>
      </c>
      <c r="B204" s="61">
        <v>482.85209192861663</v>
      </c>
      <c r="C204" s="62">
        <v>482.85209192861663</v>
      </c>
      <c r="E204" s="34"/>
      <c r="F204" s="33"/>
    </row>
    <row r="205" spans="1:6" x14ac:dyDescent="0.2">
      <c r="A205" s="28">
        <f t="shared" si="0"/>
        <v>2010.04</v>
      </c>
      <c r="B205" s="61">
        <v>490.17735377130538</v>
      </c>
      <c r="C205" s="62">
        <v>490.17735377130538</v>
      </c>
      <c r="E205" s="34"/>
      <c r="F205" s="33"/>
    </row>
    <row r="206" spans="1:6" x14ac:dyDescent="0.2">
      <c r="A206" s="28">
        <f t="shared" si="0"/>
        <v>2010.05</v>
      </c>
      <c r="B206" s="61">
        <v>494.21449305247052</v>
      </c>
      <c r="C206" s="62">
        <v>494.21449305247052</v>
      </c>
      <c r="E206" s="34"/>
      <c r="F206" s="33"/>
    </row>
    <row r="207" spans="1:6" x14ac:dyDescent="0.2">
      <c r="A207" s="28">
        <f t="shared" si="0"/>
        <v>2010.06</v>
      </c>
      <c r="B207" s="61">
        <v>494.37550903203083</v>
      </c>
      <c r="C207" s="62">
        <v>494.37550903203083</v>
      </c>
      <c r="E207" s="34"/>
      <c r="F207" s="33"/>
    </row>
    <row r="208" spans="1:6" x14ac:dyDescent="0.2">
      <c r="A208" s="28">
        <f t="shared" si="0"/>
        <v>2010.07</v>
      </c>
      <c r="B208" s="61">
        <v>502.51761443117505</v>
      </c>
      <c r="C208" s="62">
        <v>502.51761443117505</v>
      </c>
      <c r="E208" s="34"/>
      <c r="F208" s="33"/>
    </row>
    <row r="209" spans="1:6" x14ac:dyDescent="0.2">
      <c r="A209" s="28">
        <f t="shared" si="0"/>
        <v>2010.08</v>
      </c>
      <c r="B209" s="61">
        <v>508.29881296242979</v>
      </c>
      <c r="C209" s="62">
        <v>508.29881296242979</v>
      </c>
      <c r="E209" s="34"/>
      <c r="F209" s="33"/>
    </row>
    <row r="210" spans="1:6" x14ac:dyDescent="0.2">
      <c r="A210" s="28">
        <f t="shared" si="0"/>
        <v>2010.09</v>
      </c>
      <c r="B210" s="61">
        <v>512.90292595455378</v>
      </c>
      <c r="C210" s="62">
        <v>512.90292595455378</v>
      </c>
      <c r="E210" s="34"/>
      <c r="F210" s="33"/>
    </row>
    <row r="211" spans="1:6" x14ac:dyDescent="0.2">
      <c r="A211" s="28">
        <f t="shared" si="0"/>
        <v>2010.1</v>
      </c>
      <c r="B211" s="61">
        <v>511.95242491722115</v>
      </c>
      <c r="C211" s="62">
        <v>511.95242491722115</v>
      </c>
      <c r="E211" s="34"/>
      <c r="F211" s="33"/>
    </row>
    <row r="212" spans="1:6" x14ac:dyDescent="0.2">
      <c r="A212" s="28">
        <f t="shared" si="0"/>
        <v>2010.11</v>
      </c>
      <c r="B212" s="61">
        <v>519.46233832280336</v>
      </c>
      <c r="C212" s="62">
        <v>519.46233832280336</v>
      </c>
      <c r="E212" s="34"/>
      <c r="F212" s="33"/>
    </row>
    <row r="213" spans="1:6" x14ac:dyDescent="0.2">
      <c r="A213" s="28">
        <f t="shared" si="0"/>
        <v>2010.12</v>
      </c>
      <c r="B213" s="61">
        <v>522.97783532260189</v>
      </c>
      <c r="C213" s="62">
        <v>522.97783532260189</v>
      </c>
      <c r="E213" s="35"/>
      <c r="F213" s="33"/>
    </row>
    <row r="214" spans="1:6" x14ac:dyDescent="0.2">
      <c r="A214" s="28">
        <f t="shared" si="0"/>
        <v>2011.01</v>
      </c>
      <c r="B214" s="61">
        <v>534.60999613582032</v>
      </c>
      <c r="C214" s="62">
        <v>534.60999613582032</v>
      </c>
      <c r="E214" s="34"/>
      <c r="F214" s="33"/>
    </row>
    <row r="215" spans="1:6" x14ac:dyDescent="0.2">
      <c r="A215" s="28">
        <f t="shared" si="0"/>
        <v>2011.02</v>
      </c>
      <c r="B215" s="61">
        <v>547.78337232899878</v>
      </c>
      <c r="C215" s="62">
        <v>547.78337232899878</v>
      </c>
      <c r="E215" s="34"/>
      <c r="F215" s="33"/>
    </row>
    <row r="216" spans="1:6" x14ac:dyDescent="0.2">
      <c r="A216" s="28">
        <f t="shared" si="0"/>
        <v>2011.03</v>
      </c>
      <c r="B216" s="61">
        <v>555.67393094058468</v>
      </c>
      <c r="C216" s="62">
        <v>555.67393094058468</v>
      </c>
      <c r="E216" s="34"/>
      <c r="F216" s="33"/>
    </row>
    <row r="217" spans="1:6" x14ac:dyDescent="0.2">
      <c r="A217" s="28">
        <f t="shared" si="0"/>
        <v>2011.04</v>
      </c>
      <c r="B217" s="61">
        <v>565.13103730068713</v>
      </c>
      <c r="C217" s="62">
        <v>565.13103730068713</v>
      </c>
      <c r="E217" s="34"/>
      <c r="F217" s="33"/>
    </row>
    <row r="218" spans="1:6" x14ac:dyDescent="0.2">
      <c r="A218" s="28">
        <f t="shared" si="0"/>
        <v>2011.05</v>
      </c>
      <c r="B218" s="61">
        <v>561.07868041080144</v>
      </c>
      <c r="C218" s="62">
        <v>561.07868041080144</v>
      </c>
      <c r="E218" s="34"/>
      <c r="F218" s="33"/>
    </row>
    <row r="219" spans="1:6" x14ac:dyDescent="0.2">
      <c r="A219" s="28">
        <f t="shared" si="0"/>
        <v>2011.06</v>
      </c>
      <c r="B219" s="61">
        <v>568.14469533675481</v>
      </c>
      <c r="C219" s="62">
        <v>568.14469533675481</v>
      </c>
      <c r="E219" s="34"/>
      <c r="F219" s="33"/>
    </row>
    <row r="220" spans="1:6" x14ac:dyDescent="0.2">
      <c r="A220" s="28">
        <f t="shared" si="0"/>
        <v>2011.07</v>
      </c>
      <c r="B220" s="61">
        <v>571.90921783062379</v>
      </c>
      <c r="C220" s="62">
        <v>571.90921783062379</v>
      </c>
      <c r="E220" s="34"/>
      <c r="F220" s="33"/>
    </row>
    <row r="221" spans="1:6" x14ac:dyDescent="0.2">
      <c r="A221" s="28">
        <f t="shared" si="0"/>
        <v>2011.08</v>
      </c>
      <c r="B221" s="61">
        <v>576.92985736082426</v>
      </c>
      <c r="C221" s="62">
        <v>576.92985736082426</v>
      </c>
      <c r="E221" s="34"/>
      <c r="F221" s="33"/>
    </row>
    <row r="222" spans="1:6" x14ac:dyDescent="0.2">
      <c r="A222" s="28">
        <f t="shared" si="0"/>
        <v>2011.09</v>
      </c>
      <c r="B222" s="61">
        <v>581.54845773422335</v>
      </c>
      <c r="C222" s="62">
        <v>581.54845773422335</v>
      </c>
      <c r="E222" s="34"/>
      <c r="F222" s="33"/>
    </row>
    <row r="223" spans="1:6" x14ac:dyDescent="0.2">
      <c r="A223" s="28">
        <f t="shared" si="0"/>
        <v>2011.1</v>
      </c>
      <c r="B223" s="61">
        <v>591.84443001616512</v>
      </c>
      <c r="C223" s="62">
        <v>591.84443001616512</v>
      </c>
      <c r="E223" s="34"/>
      <c r="F223" s="33"/>
    </row>
    <row r="224" spans="1:6" x14ac:dyDescent="0.2">
      <c r="A224" s="28">
        <f t="shared" si="0"/>
        <v>2011.11</v>
      </c>
      <c r="B224" s="61">
        <v>594.09989340912409</v>
      </c>
      <c r="C224" s="62">
        <v>594.09989340912409</v>
      </c>
      <c r="E224" s="34"/>
      <c r="F224" s="33"/>
    </row>
    <row r="225" spans="1:6" x14ac:dyDescent="0.2">
      <c r="A225" s="28">
        <f t="shared" si="0"/>
        <v>2011.12</v>
      </c>
      <c r="B225" s="61">
        <v>595.31252285774769</v>
      </c>
      <c r="C225" s="62">
        <v>595.31252285774769</v>
      </c>
      <c r="E225" s="35"/>
      <c r="F225" s="33"/>
    </row>
    <row r="226" spans="1:6" x14ac:dyDescent="0.2">
      <c r="A226" s="28">
        <f t="shared" si="0"/>
        <v>2012.01</v>
      </c>
      <c r="B226" s="61">
        <v>605.37270058847685</v>
      </c>
      <c r="C226" s="62">
        <v>605.37270058847685</v>
      </c>
      <c r="E226" s="34"/>
      <c r="F226" s="33"/>
    </row>
    <row r="227" spans="1:6" x14ac:dyDescent="0.2">
      <c r="A227" s="28">
        <f t="shared" si="0"/>
        <v>2012.02</v>
      </c>
      <c r="B227" s="61">
        <v>597.30137999139458</v>
      </c>
      <c r="C227" s="62">
        <v>597.30137999139458</v>
      </c>
      <c r="E227" s="34"/>
      <c r="F227" s="33"/>
    </row>
    <row r="228" spans="1:6" x14ac:dyDescent="0.2">
      <c r="A228" s="28">
        <f t="shared" si="0"/>
        <v>2012.03</v>
      </c>
      <c r="B228" s="61">
        <v>608.36423926203236</v>
      </c>
      <c r="C228" s="62">
        <v>608.36423926203236</v>
      </c>
      <c r="E228" s="34"/>
      <c r="F228" s="33"/>
    </row>
    <row r="229" spans="1:6" x14ac:dyDescent="0.2">
      <c r="A229" s="28">
        <f t="shared" si="0"/>
        <v>2012.04</v>
      </c>
      <c r="B229" s="61">
        <v>600.9937325203108</v>
      </c>
      <c r="C229" s="62">
        <v>600.9937325203108</v>
      </c>
      <c r="E229" s="34"/>
      <c r="F229" s="33"/>
    </row>
    <row r="230" spans="1:6" x14ac:dyDescent="0.2">
      <c r="A230" s="28">
        <f t="shared" si="0"/>
        <v>2012.05</v>
      </c>
      <c r="B230" s="61">
        <v>614.3224156720529</v>
      </c>
      <c r="C230" s="62">
        <v>614.3224156720529</v>
      </c>
      <c r="E230" s="34"/>
      <c r="F230" s="33"/>
    </row>
    <row r="231" spans="1:6" x14ac:dyDescent="0.2">
      <c r="A231" s="28">
        <f t="shared" si="0"/>
        <v>2012.06</v>
      </c>
      <c r="B231" s="61">
        <v>614.38280033177625</v>
      </c>
      <c r="C231" s="62">
        <v>614.38280033177625</v>
      </c>
      <c r="E231" s="34"/>
      <c r="F231" s="33"/>
    </row>
    <row r="232" spans="1:6" x14ac:dyDescent="0.2">
      <c r="A232" s="28">
        <f t="shared" si="0"/>
        <v>2012.07</v>
      </c>
      <c r="B232" s="61">
        <v>612.75198550648906</v>
      </c>
      <c r="C232" s="62">
        <v>612.75198550648906</v>
      </c>
      <c r="E232" s="34"/>
      <c r="F232" s="33"/>
    </row>
    <row r="233" spans="1:6" x14ac:dyDescent="0.2">
      <c r="A233" s="28">
        <f t="shared" si="0"/>
        <v>2012.08</v>
      </c>
      <c r="B233" s="61">
        <v>607.86702777049652</v>
      </c>
      <c r="C233" s="62">
        <v>607.86702777049652</v>
      </c>
      <c r="E233" s="34"/>
      <c r="F233" s="33"/>
    </row>
    <row r="234" spans="1:6" x14ac:dyDescent="0.2">
      <c r="A234" s="28">
        <f t="shared" si="0"/>
        <v>2012.09</v>
      </c>
      <c r="B234" s="61">
        <v>609.61233763893676</v>
      </c>
      <c r="C234" s="62">
        <v>609.61233763893676</v>
      </c>
      <c r="E234" s="34"/>
      <c r="F234" s="33"/>
    </row>
    <row r="235" spans="1:6" x14ac:dyDescent="0.2">
      <c r="A235" s="28">
        <f t="shared" si="0"/>
        <v>2012.1</v>
      </c>
      <c r="B235" s="61">
        <v>607.00657295783435</v>
      </c>
      <c r="C235" s="62">
        <v>607.00657295783435</v>
      </c>
      <c r="E235" s="34"/>
      <c r="F235" s="33"/>
    </row>
    <row r="236" spans="1:6" x14ac:dyDescent="0.2">
      <c r="A236" s="28">
        <f t="shared" si="0"/>
        <v>2012.11</v>
      </c>
      <c r="B236" s="61">
        <v>603.33722009598637</v>
      </c>
      <c r="C236" s="62">
        <v>603.33722009598637</v>
      </c>
      <c r="E236" s="34"/>
      <c r="F236" s="33"/>
    </row>
    <row r="237" spans="1:6" x14ac:dyDescent="0.2">
      <c r="A237" s="28">
        <f t="shared" si="0"/>
        <v>2012.12</v>
      </c>
      <c r="B237" s="61">
        <v>611.72490433728296</v>
      </c>
      <c r="C237" s="62">
        <v>611.72490433728296</v>
      </c>
      <c r="E237" s="35"/>
      <c r="F237" s="33"/>
    </row>
    <row r="238" spans="1:6" x14ac:dyDescent="0.2">
      <c r="A238" s="28">
        <f t="shared" si="0"/>
        <v>2013.01</v>
      </c>
      <c r="B238" s="61">
        <v>612.81211016524128</v>
      </c>
      <c r="C238" s="62">
        <v>612.81211016524128</v>
      </c>
      <c r="E238" s="34"/>
      <c r="F238" s="33"/>
    </row>
    <row r="239" spans="1:6" x14ac:dyDescent="0.2">
      <c r="A239" s="28">
        <f t="shared" si="0"/>
        <v>2013.02</v>
      </c>
      <c r="B239" s="61">
        <v>626.49907481683954</v>
      </c>
      <c r="C239" s="62">
        <v>626.49907481683954</v>
      </c>
      <c r="E239" s="34"/>
      <c r="F239" s="33"/>
    </row>
    <row r="240" spans="1:6" x14ac:dyDescent="0.2">
      <c r="A240" s="28">
        <f t="shared" si="0"/>
        <v>2013.03</v>
      </c>
      <c r="B240" s="61">
        <v>627.78313344562821</v>
      </c>
      <c r="C240" s="62">
        <v>627.78313344562821</v>
      </c>
      <c r="E240" s="34"/>
      <c r="F240" s="33"/>
    </row>
    <row r="241" spans="1:6" x14ac:dyDescent="0.2">
      <c r="A241" s="28">
        <f t="shared" si="0"/>
        <v>2013.04</v>
      </c>
      <c r="B241" s="61">
        <v>635.01406314658266</v>
      </c>
      <c r="C241" s="62">
        <v>635.01406314658266</v>
      </c>
      <c r="E241" s="34"/>
      <c r="F241" s="33"/>
    </row>
    <row r="242" spans="1:6" x14ac:dyDescent="0.2">
      <c r="A242" s="28">
        <f t="shared" ref="A242:A305" si="1">A230+1</f>
        <v>2013.05</v>
      </c>
      <c r="B242" s="61">
        <v>637.24011460511952</v>
      </c>
      <c r="C242" s="62">
        <v>637.24011460511952</v>
      </c>
      <c r="E242" s="34"/>
      <c r="F242" s="33"/>
    </row>
    <row r="243" spans="1:6" x14ac:dyDescent="0.2">
      <c r="A243" s="28">
        <f t="shared" si="1"/>
        <v>2013.06</v>
      </c>
      <c r="B243" s="61">
        <v>638.63322655054742</v>
      </c>
      <c r="C243" s="62">
        <v>638.63322655054742</v>
      </c>
      <c r="E243" s="34"/>
      <c r="F243" s="33"/>
    </row>
    <row r="244" spans="1:6" x14ac:dyDescent="0.2">
      <c r="A244" s="28">
        <f t="shared" si="1"/>
        <v>2013.07</v>
      </c>
      <c r="B244" s="61">
        <v>637.68427981728792</v>
      </c>
      <c r="C244" s="62">
        <v>637.68427981728792</v>
      </c>
      <c r="E244" s="34"/>
      <c r="F244" s="33"/>
    </row>
    <row r="245" spans="1:6" x14ac:dyDescent="0.2">
      <c r="A245" s="28">
        <f t="shared" si="1"/>
        <v>2013.08</v>
      </c>
      <c r="B245" s="61">
        <v>631.9666417728165</v>
      </c>
      <c r="C245" s="62">
        <v>631.9666417728165</v>
      </c>
      <c r="E245" s="34"/>
      <c r="F245" s="33"/>
    </row>
    <row r="246" spans="1:6" x14ac:dyDescent="0.2">
      <c r="A246" s="28">
        <f t="shared" si="1"/>
        <v>2013.09</v>
      </c>
      <c r="B246" s="61">
        <v>633.07767065121504</v>
      </c>
      <c r="C246" s="62">
        <v>633.07767065121504</v>
      </c>
      <c r="E246" s="34"/>
      <c r="F246" s="33"/>
    </row>
    <row r="247" spans="1:6" x14ac:dyDescent="0.2">
      <c r="A247" s="28">
        <f t="shared" si="1"/>
        <v>2013.1</v>
      </c>
      <c r="B247" s="61">
        <v>627.52849040897172</v>
      </c>
      <c r="C247" s="62">
        <v>627.52849040897172</v>
      </c>
      <c r="E247" s="34"/>
      <c r="F247" s="33"/>
    </row>
    <row r="248" spans="1:6" x14ac:dyDescent="0.2">
      <c r="A248" s="28">
        <f t="shared" si="1"/>
        <v>2013.11</v>
      </c>
      <c r="B248" s="61">
        <v>630.52131003239401</v>
      </c>
      <c r="C248" s="62">
        <v>630.52131003239401</v>
      </c>
      <c r="E248" s="34"/>
      <c r="F248" s="33"/>
    </row>
    <row r="249" spans="1:6" x14ac:dyDescent="0.2">
      <c r="A249" s="28">
        <f t="shared" si="1"/>
        <v>2013.12</v>
      </c>
      <c r="B249" s="61">
        <v>627.6559348452646</v>
      </c>
      <c r="C249" s="62">
        <v>627.6559348452646</v>
      </c>
      <c r="E249" s="35"/>
      <c r="F249" s="33"/>
    </row>
    <row r="250" spans="1:6" x14ac:dyDescent="0.2">
      <c r="A250" s="28">
        <f t="shared" si="1"/>
        <v>2014.01</v>
      </c>
      <c r="B250" s="61">
        <v>613.7040542562205</v>
      </c>
      <c r="C250" s="62">
        <v>613.7040542562205</v>
      </c>
      <c r="E250" s="34"/>
      <c r="F250" s="33"/>
    </row>
    <row r="251" spans="1:6" x14ac:dyDescent="0.2">
      <c r="A251" s="28">
        <f t="shared" si="1"/>
        <v>2014.02</v>
      </c>
      <c r="B251" s="61">
        <v>605.92822215358728</v>
      </c>
      <c r="C251" s="62">
        <v>605.92822215358728</v>
      </c>
      <c r="E251" s="34"/>
      <c r="F251" s="33"/>
    </row>
    <row r="252" spans="1:6" x14ac:dyDescent="0.2">
      <c r="A252" s="28">
        <f t="shared" si="1"/>
        <v>2014.03</v>
      </c>
      <c r="B252" s="61">
        <v>599.18275439858894</v>
      </c>
      <c r="C252" s="62">
        <v>599.18275439858894</v>
      </c>
      <c r="E252" s="34"/>
      <c r="F252" s="33"/>
    </row>
    <row r="253" spans="1:6" x14ac:dyDescent="0.2">
      <c r="A253" s="28">
        <f t="shared" si="1"/>
        <v>2014.04</v>
      </c>
      <c r="B253" s="61">
        <v>601.96585772214041</v>
      </c>
      <c r="C253" s="62">
        <v>601.96585772214041</v>
      </c>
      <c r="E253" s="34"/>
      <c r="F253" s="33"/>
    </row>
    <row r="254" spans="1:6" x14ac:dyDescent="0.2">
      <c r="A254" s="28">
        <f t="shared" si="1"/>
        <v>2014.05</v>
      </c>
      <c r="B254" s="61">
        <v>601.24821781028402</v>
      </c>
      <c r="C254" s="62">
        <v>601.24821781028402</v>
      </c>
      <c r="E254" s="34"/>
      <c r="F254" s="33"/>
    </row>
    <row r="255" spans="1:6" x14ac:dyDescent="0.2">
      <c r="A255" s="28">
        <f t="shared" si="1"/>
        <v>2014.06</v>
      </c>
      <c r="B255" s="61">
        <v>604.73822432188081</v>
      </c>
      <c r="C255" s="62">
        <v>604.73822432188081</v>
      </c>
      <c r="E255" s="34"/>
      <c r="F255" s="33"/>
    </row>
    <row r="256" spans="1:6" x14ac:dyDescent="0.2">
      <c r="A256" s="28">
        <f t="shared" si="1"/>
        <v>2014.07</v>
      </c>
      <c r="B256" s="61">
        <v>600.65044634208709</v>
      </c>
      <c r="C256" s="62">
        <v>600.65044634208709</v>
      </c>
      <c r="E256" s="34"/>
      <c r="F256" s="33"/>
    </row>
    <row r="257" spans="1:6" x14ac:dyDescent="0.2">
      <c r="A257" s="28">
        <f t="shared" si="1"/>
        <v>2014.08</v>
      </c>
      <c r="B257" s="61">
        <v>608.49454824650581</v>
      </c>
      <c r="C257" s="62">
        <v>608.49454824650581</v>
      </c>
      <c r="E257" s="34"/>
      <c r="F257" s="33"/>
    </row>
    <row r="258" spans="1:6" x14ac:dyDescent="0.2">
      <c r="A258" s="28">
        <f t="shared" si="1"/>
        <v>2014.09</v>
      </c>
      <c r="B258" s="61">
        <v>597.58164701054932</v>
      </c>
      <c r="C258" s="62">
        <v>597.58164701054932</v>
      </c>
      <c r="E258" s="34"/>
      <c r="F258" s="33"/>
    </row>
    <row r="259" spans="1:6" x14ac:dyDescent="0.2">
      <c r="A259" s="28">
        <f t="shared" si="1"/>
        <v>2014.1</v>
      </c>
      <c r="B259" s="61">
        <v>600.28445557120097</v>
      </c>
      <c r="C259" s="62">
        <v>600.28445557120097</v>
      </c>
      <c r="E259" s="34"/>
      <c r="F259" s="33"/>
    </row>
    <row r="260" spans="1:6" x14ac:dyDescent="0.2">
      <c r="A260" s="28">
        <f t="shared" si="1"/>
        <v>2014.11</v>
      </c>
      <c r="B260" s="61">
        <v>600.93985014019256</v>
      </c>
      <c r="C260" s="62">
        <v>600.93985014019256</v>
      </c>
      <c r="E260" s="34"/>
      <c r="F260" s="33"/>
    </row>
    <row r="261" spans="1:6" x14ac:dyDescent="0.2">
      <c r="A261" s="28">
        <f t="shared" si="1"/>
        <v>2014.12</v>
      </c>
      <c r="B261" s="61">
        <v>608.24897742693111</v>
      </c>
      <c r="C261" s="62">
        <v>608.24897742693111</v>
      </c>
      <c r="E261" s="35"/>
      <c r="F261" s="33"/>
    </row>
    <row r="262" spans="1:6" x14ac:dyDescent="0.2">
      <c r="A262" s="28">
        <f t="shared" si="1"/>
        <v>2015.01</v>
      </c>
      <c r="B262" s="61">
        <v>608.38540292725804</v>
      </c>
      <c r="C262" s="62">
        <v>608.38540292725804</v>
      </c>
      <c r="E262" s="34"/>
      <c r="F262" s="33"/>
    </row>
    <row r="263" spans="1:6" x14ac:dyDescent="0.2">
      <c r="A263" s="28">
        <f t="shared" si="1"/>
        <v>2015.02</v>
      </c>
      <c r="B263" s="61">
        <v>616.38243562678724</v>
      </c>
      <c r="C263" s="62">
        <v>616.38243562678724</v>
      </c>
      <c r="E263" s="34"/>
      <c r="F263" s="33"/>
    </row>
    <row r="264" spans="1:6" x14ac:dyDescent="0.2">
      <c r="A264" s="28">
        <f t="shared" si="1"/>
        <v>2015.03</v>
      </c>
      <c r="B264" s="61">
        <v>612.51451558829467</v>
      </c>
      <c r="C264" s="62">
        <v>612.51451558829467</v>
      </c>
      <c r="E264" s="34"/>
      <c r="F264" s="33"/>
    </row>
    <row r="265" spans="1:6" x14ac:dyDescent="0.2">
      <c r="A265" s="28">
        <f t="shared" si="1"/>
        <v>2015.04</v>
      </c>
      <c r="B265" s="61">
        <v>613.9259843003797</v>
      </c>
      <c r="C265" s="62">
        <v>613.9259843003797</v>
      </c>
      <c r="E265" s="34"/>
      <c r="F265" s="33"/>
    </row>
    <row r="266" spans="1:6" x14ac:dyDescent="0.2">
      <c r="A266" s="28">
        <f t="shared" si="1"/>
        <v>2015.05</v>
      </c>
      <c r="B266" s="61">
        <v>616.61883434468064</v>
      </c>
      <c r="C266" s="62">
        <v>616.61883434468064</v>
      </c>
      <c r="E266" s="34"/>
      <c r="F266" s="33"/>
    </row>
    <row r="267" spans="1:6" x14ac:dyDescent="0.2">
      <c r="A267" s="28">
        <f t="shared" si="1"/>
        <v>2015.06</v>
      </c>
      <c r="B267" s="61">
        <v>624.86330794263824</v>
      </c>
      <c r="C267" s="62">
        <v>624.86330794263824</v>
      </c>
      <c r="E267" s="34"/>
      <c r="F267" s="33"/>
    </row>
    <row r="268" spans="1:6" x14ac:dyDescent="0.2">
      <c r="A268" s="28">
        <f t="shared" si="1"/>
        <v>2015.07</v>
      </c>
      <c r="B268" s="61">
        <v>646.66493836270183</v>
      </c>
      <c r="C268" s="62">
        <v>646.66493836270183</v>
      </c>
      <c r="E268" s="34"/>
      <c r="F268" s="33"/>
    </row>
    <row r="269" spans="1:6" x14ac:dyDescent="0.2">
      <c r="A269" s="28">
        <f t="shared" si="1"/>
        <v>2015.08</v>
      </c>
      <c r="B269" s="61">
        <v>653.26817569737455</v>
      </c>
      <c r="C269" s="62">
        <v>653.26817569737455</v>
      </c>
      <c r="E269" s="34"/>
      <c r="F269" s="33"/>
    </row>
    <row r="270" spans="1:6" x14ac:dyDescent="0.2">
      <c r="A270" s="28">
        <f t="shared" si="1"/>
        <v>2015.09</v>
      </c>
      <c r="B270" s="61">
        <v>646.98647558930134</v>
      </c>
      <c r="C270" s="62">
        <v>646.98647558930134</v>
      </c>
      <c r="E270" s="34"/>
      <c r="F270" s="33"/>
    </row>
    <row r="271" spans="1:6" x14ac:dyDescent="0.2">
      <c r="A271" s="28">
        <f t="shared" si="1"/>
        <v>2015.1</v>
      </c>
      <c r="B271" s="61">
        <v>649.62678866049362</v>
      </c>
      <c r="C271" s="62">
        <v>649.62678866049362</v>
      </c>
      <c r="E271" s="34"/>
      <c r="F271" s="33"/>
    </row>
    <row r="272" spans="1:6" x14ac:dyDescent="0.2">
      <c r="A272" s="28">
        <f t="shared" si="1"/>
        <v>2015.11</v>
      </c>
      <c r="B272" s="61">
        <v>633.93161071709403</v>
      </c>
      <c r="C272" s="62">
        <v>633.93161071709403</v>
      </c>
      <c r="E272" s="34"/>
      <c r="F272" s="33"/>
    </row>
    <row r="273" spans="1:6" x14ac:dyDescent="0.2">
      <c r="A273" s="28">
        <f t="shared" si="1"/>
        <v>2015.12</v>
      </c>
      <c r="B273" s="61">
        <v>630.31445152803383</v>
      </c>
      <c r="C273" s="62">
        <v>630.31445152803383</v>
      </c>
      <c r="E273" s="34"/>
      <c r="F273" s="33"/>
    </row>
    <row r="274" spans="1:6" x14ac:dyDescent="0.2">
      <c r="A274" s="28">
        <f t="shared" si="1"/>
        <v>2016.01</v>
      </c>
      <c r="B274" s="61">
        <v>622.97214435072397</v>
      </c>
      <c r="C274" s="62">
        <v>622.97214435072397</v>
      </c>
      <c r="E274" s="34"/>
      <c r="F274" s="33"/>
    </row>
    <row r="275" spans="1:6" x14ac:dyDescent="0.2">
      <c r="A275" s="28">
        <f t="shared" si="1"/>
        <v>2016.02</v>
      </c>
      <c r="B275" s="61">
        <v>614.34732508747982</v>
      </c>
      <c r="C275" s="62">
        <v>614.34732508747982</v>
      </c>
      <c r="E275" s="34"/>
      <c r="F275" s="33"/>
    </row>
    <row r="276" spans="1:6" x14ac:dyDescent="0.2">
      <c r="A276" s="28">
        <f t="shared" si="1"/>
        <v>2016.03</v>
      </c>
      <c r="B276" s="61">
        <v>612.75529111179583</v>
      </c>
      <c r="C276" s="62">
        <v>612.75529111179583</v>
      </c>
      <c r="E276" s="34"/>
      <c r="F276" s="33"/>
    </row>
    <row r="277" spans="1:6" x14ac:dyDescent="0.2">
      <c r="A277" s="28">
        <f t="shared" si="1"/>
        <v>2016.04</v>
      </c>
      <c r="B277" s="61">
        <v>599.25430657221352</v>
      </c>
      <c r="C277" s="62">
        <v>599.25430657221352</v>
      </c>
      <c r="E277" s="34"/>
      <c r="F277" s="33"/>
    </row>
    <row r="278" spans="1:6" x14ac:dyDescent="0.2">
      <c r="A278" s="28">
        <f t="shared" si="1"/>
        <v>2016.05</v>
      </c>
      <c r="B278" s="61">
        <v>594.76208666654804</v>
      </c>
      <c r="C278" s="62">
        <v>594.76208666654804</v>
      </c>
      <c r="E278" s="35"/>
      <c r="F278" s="33"/>
    </row>
    <row r="279" spans="1:6" x14ac:dyDescent="0.2">
      <c r="A279" s="28">
        <f t="shared" si="1"/>
        <v>2016.06</v>
      </c>
      <c r="B279" s="61">
        <v>579.54602563972753</v>
      </c>
      <c r="C279" s="62">
        <v>579.54602563972753</v>
      </c>
      <c r="E279" s="34"/>
      <c r="F279" s="33"/>
    </row>
    <row r="280" spans="1:6" x14ac:dyDescent="0.2">
      <c r="A280" s="28">
        <f t="shared" si="1"/>
        <v>2016.07</v>
      </c>
      <c r="B280" s="61">
        <v>578.7395183793393</v>
      </c>
      <c r="C280" s="62">
        <v>578.7395183793393</v>
      </c>
      <c r="E280" s="35"/>
      <c r="F280" s="33"/>
    </row>
    <row r="281" spans="1:6" x14ac:dyDescent="0.2">
      <c r="A281" s="28">
        <f t="shared" si="1"/>
        <v>2016.08</v>
      </c>
      <c r="B281" s="61">
        <v>586.6770031646206</v>
      </c>
      <c r="C281" s="62">
        <v>586.6770031646206</v>
      </c>
      <c r="E281" s="34"/>
      <c r="F281" s="33"/>
    </row>
    <row r="282" spans="1:6" x14ac:dyDescent="0.2">
      <c r="A282" s="28">
        <f t="shared" si="1"/>
        <v>2016.09</v>
      </c>
      <c r="B282" s="61">
        <v>588.59937922649374</v>
      </c>
      <c r="C282" s="62">
        <v>588.59937922649374</v>
      </c>
      <c r="E282" s="34"/>
      <c r="F282" s="33"/>
    </row>
    <row r="283" spans="1:6" x14ac:dyDescent="0.2">
      <c r="A283" s="28">
        <f t="shared" si="1"/>
        <v>2016.1</v>
      </c>
      <c r="B283" s="61">
        <v>592.9560034591392</v>
      </c>
      <c r="C283" s="62">
        <v>592.9560034591392</v>
      </c>
      <c r="E283" s="34"/>
      <c r="F283" s="33"/>
    </row>
    <row r="284" spans="1:6" x14ac:dyDescent="0.2">
      <c r="A284" s="28">
        <f t="shared" si="1"/>
        <v>2016.11</v>
      </c>
      <c r="B284" s="61">
        <v>602.62589622666985</v>
      </c>
      <c r="C284" s="62">
        <v>602.62589622666985</v>
      </c>
      <c r="E284" s="34"/>
      <c r="F284" s="33"/>
    </row>
    <row r="285" spans="1:6" x14ac:dyDescent="0.2">
      <c r="A285" s="28">
        <f t="shared" si="1"/>
        <v>2016.12</v>
      </c>
      <c r="B285" s="61">
        <v>606.26617744464647</v>
      </c>
      <c r="C285" s="62">
        <v>606.26617744464647</v>
      </c>
      <c r="E285" s="34"/>
      <c r="F285" s="33"/>
    </row>
    <row r="286" spans="1:6" x14ac:dyDescent="0.2">
      <c r="A286" s="28">
        <f t="shared" si="1"/>
        <v>2017.01</v>
      </c>
      <c r="B286" s="61">
        <v>622.11378382053113</v>
      </c>
      <c r="C286" s="62">
        <v>622.11378382053113</v>
      </c>
      <c r="E286" s="34"/>
      <c r="F286" s="33"/>
    </row>
    <row r="287" spans="1:6" x14ac:dyDescent="0.2">
      <c r="A287" s="28">
        <f t="shared" si="1"/>
        <v>2017.02</v>
      </c>
      <c r="B287" s="61">
        <v>621.47093483790638</v>
      </c>
      <c r="C287" s="62">
        <v>621.47093483790638</v>
      </c>
      <c r="E287" s="34"/>
      <c r="F287" s="33"/>
    </row>
    <row r="288" spans="1:6" x14ac:dyDescent="0.2">
      <c r="A288" s="28">
        <f t="shared" si="1"/>
        <v>2017.03</v>
      </c>
      <c r="B288" s="61">
        <v>625.05735886933917</v>
      </c>
      <c r="C288" s="62">
        <v>625.05735886933917</v>
      </c>
      <c r="E288" s="34"/>
      <c r="F288" s="33"/>
    </row>
    <row r="289" spans="1:6" x14ac:dyDescent="0.2">
      <c r="A289" s="28">
        <f t="shared" si="1"/>
        <v>2017.04</v>
      </c>
      <c r="B289" s="61">
        <v>622.34018492286248</v>
      </c>
      <c r="C289" s="62">
        <v>622.34018492286248</v>
      </c>
      <c r="E289" s="34"/>
      <c r="F289" s="33"/>
    </row>
    <row r="290" spans="1:6" x14ac:dyDescent="0.2">
      <c r="A290" s="28">
        <f t="shared" si="1"/>
        <v>2017.05</v>
      </c>
      <c r="B290" s="61">
        <v>622.2012381410857</v>
      </c>
      <c r="C290" s="62">
        <v>622.2012381410857</v>
      </c>
      <c r="E290" s="34"/>
      <c r="F290" s="33"/>
    </row>
    <row r="291" spans="1:6" x14ac:dyDescent="0.2">
      <c r="A291" s="28">
        <f t="shared" si="1"/>
        <v>2017.06</v>
      </c>
      <c r="B291" s="61">
        <v>633.50941087133413</v>
      </c>
      <c r="C291" s="62">
        <v>633.50941087133413</v>
      </c>
      <c r="E291" s="34"/>
      <c r="F291" s="33"/>
    </row>
    <row r="292" spans="1:6" x14ac:dyDescent="0.2">
      <c r="A292" s="28">
        <f t="shared" si="1"/>
        <v>2017.07</v>
      </c>
      <c r="B292" s="61">
        <v>624.41357140188939</v>
      </c>
      <c r="C292" s="62">
        <v>624.41357140188939</v>
      </c>
      <c r="E292" s="34"/>
      <c r="F292" s="33"/>
    </row>
    <row r="293" spans="1:6" x14ac:dyDescent="0.2">
      <c r="A293" s="28">
        <f t="shared" si="1"/>
        <v>2017.08</v>
      </c>
      <c r="B293" s="61">
        <v>631.69471284225494</v>
      </c>
      <c r="C293" s="62">
        <v>631.69471284225494</v>
      </c>
      <c r="E293" s="34"/>
      <c r="F293" s="33"/>
    </row>
    <row r="294" spans="1:6" x14ac:dyDescent="0.2">
      <c r="A294" s="28">
        <f t="shared" si="1"/>
        <v>2017.09</v>
      </c>
      <c r="B294" s="61">
        <v>641.24835511427602</v>
      </c>
      <c r="C294" s="62">
        <v>641.24835511427602</v>
      </c>
      <c r="E294" s="34"/>
      <c r="F294" s="33"/>
    </row>
    <row r="295" spans="1:6" x14ac:dyDescent="0.2">
      <c r="A295" s="28">
        <f t="shared" si="1"/>
        <v>2017.1</v>
      </c>
      <c r="B295" s="61">
        <v>639.74369029333457</v>
      </c>
      <c r="C295" s="62">
        <v>639.74369029333457</v>
      </c>
      <c r="E295" s="34"/>
      <c r="F295" s="33"/>
    </row>
    <row r="296" spans="1:6" x14ac:dyDescent="0.2">
      <c r="A296" s="28">
        <f t="shared" si="1"/>
        <v>2017.11</v>
      </c>
      <c r="B296" s="61">
        <v>642.27984743134414</v>
      </c>
      <c r="C296" s="62">
        <v>642.27984743134414</v>
      </c>
      <c r="E296" s="34"/>
      <c r="F296" s="33"/>
    </row>
    <row r="297" spans="1:6" x14ac:dyDescent="0.2">
      <c r="A297" s="28">
        <f t="shared" si="1"/>
        <v>2017.12</v>
      </c>
      <c r="B297" s="61">
        <v>633.99544502361346</v>
      </c>
      <c r="C297" s="62">
        <v>633.99544502361346</v>
      </c>
      <c r="E297" s="34"/>
      <c r="F297" s="33"/>
    </row>
    <row r="298" spans="1:6" x14ac:dyDescent="0.2">
      <c r="A298" s="28">
        <f t="shared" si="1"/>
        <v>2018.01</v>
      </c>
      <c r="B298" s="61">
        <v>632.25830777609417</v>
      </c>
      <c r="C298" s="62">
        <v>632.25830777609417</v>
      </c>
      <c r="E298" s="34"/>
      <c r="F298" s="33"/>
    </row>
    <row r="299" spans="1:6" x14ac:dyDescent="0.2">
      <c r="A299" s="28">
        <f t="shared" si="1"/>
        <v>2018.02</v>
      </c>
      <c r="B299" s="61">
        <v>622.85164761153067</v>
      </c>
      <c r="C299" s="62">
        <v>622.85164761153067</v>
      </c>
      <c r="E299" s="34"/>
      <c r="F299" s="33"/>
    </row>
    <row r="300" spans="1:6" x14ac:dyDescent="0.2">
      <c r="A300" s="28">
        <f t="shared" si="1"/>
        <v>2018.03</v>
      </c>
      <c r="B300" s="61">
        <v>608.41564052509989</v>
      </c>
      <c r="C300" s="62">
        <v>608.41564052509989</v>
      </c>
      <c r="E300" s="34"/>
      <c r="F300" s="33"/>
    </row>
    <row r="301" spans="1:6" x14ac:dyDescent="0.2">
      <c r="A301" s="28">
        <f t="shared" si="1"/>
        <v>2018.04</v>
      </c>
      <c r="B301" s="61">
        <v>613.28252537082767</v>
      </c>
      <c r="C301" s="62">
        <v>613.28252537082767</v>
      </c>
      <c r="E301" s="34"/>
      <c r="F301" s="33"/>
    </row>
    <row r="302" spans="1:6" x14ac:dyDescent="0.2">
      <c r="A302" s="28">
        <f t="shared" si="1"/>
        <v>2018.05</v>
      </c>
      <c r="B302" s="61">
        <v>608.6787091428256</v>
      </c>
      <c r="C302" s="62">
        <v>608.6787091428256</v>
      </c>
      <c r="E302" s="34"/>
      <c r="F302" s="33"/>
    </row>
    <row r="303" spans="1:6" x14ac:dyDescent="0.2">
      <c r="A303" s="28">
        <f t="shared" si="1"/>
        <v>2018.06</v>
      </c>
      <c r="B303" s="61">
        <v>603.54864499129587</v>
      </c>
      <c r="C303" s="62">
        <v>603.54864499129587</v>
      </c>
      <c r="E303" s="34"/>
      <c r="F303" s="33"/>
    </row>
    <row r="304" spans="1:6" x14ac:dyDescent="0.2">
      <c r="A304" s="28">
        <f t="shared" si="1"/>
        <v>2018.07</v>
      </c>
      <c r="B304" s="61">
        <v>590.97578218356341</v>
      </c>
      <c r="C304" s="62">
        <v>590.97578218356341</v>
      </c>
      <c r="E304" s="34"/>
      <c r="F304" s="33"/>
    </row>
    <row r="305" spans="1:7" x14ac:dyDescent="0.2">
      <c r="A305" s="28">
        <f t="shared" si="1"/>
        <v>2018.08</v>
      </c>
      <c r="B305" s="61">
        <v>568.79234344585814</v>
      </c>
      <c r="C305" s="62">
        <v>568.79234344585814</v>
      </c>
      <c r="E305" s="34"/>
      <c r="F305" s="33"/>
    </row>
    <row r="306" spans="1:7" x14ac:dyDescent="0.2">
      <c r="A306" s="28">
        <f t="shared" ref="A306:A369" si="2">A294+1</f>
        <v>2018.09</v>
      </c>
      <c r="B306" s="61">
        <v>557.65476470486431</v>
      </c>
      <c r="C306" s="62">
        <v>557.65476470486431</v>
      </c>
      <c r="E306" s="34"/>
      <c r="F306" s="33"/>
    </row>
    <row r="307" spans="1:7" x14ac:dyDescent="0.2">
      <c r="A307" s="28">
        <f t="shared" si="2"/>
        <v>2018.1</v>
      </c>
      <c r="B307" s="61">
        <v>551.25163708307593</v>
      </c>
      <c r="C307" s="62">
        <v>551.25163708307593</v>
      </c>
      <c r="E307" s="34"/>
      <c r="F307" s="33"/>
    </row>
    <row r="308" spans="1:7" x14ac:dyDescent="0.2">
      <c r="A308" s="28">
        <f t="shared" si="2"/>
        <v>2018.11</v>
      </c>
      <c r="B308" s="61">
        <v>549.78113240231073</v>
      </c>
      <c r="C308" s="62">
        <v>549.78113240231073</v>
      </c>
      <c r="E308" s="34"/>
      <c r="F308" s="33"/>
    </row>
    <row r="309" spans="1:7" x14ac:dyDescent="0.2">
      <c r="A309" s="28">
        <f t="shared" si="2"/>
        <v>2018.12</v>
      </c>
      <c r="B309" s="61">
        <v>561.07500023000478</v>
      </c>
      <c r="C309" s="62">
        <v>561.07500023000478</v>
      </c>
      <c r="E309" s="35"/>
      <c r="F309" s="33"/>
      <c r="G309" s="30"/>
    </row>
    <row r="310" spans="1:7" ht="14.25" x14ac:dyDescent="0.2">
      <c r="A310" s="28">
        <f t="shared" si="2"/>
        <v>2019.01</v>
      </c>
      <c r="B310" s="61">
        <v>557.28781357934849</v>
      </c>
      <c r="C310" s="62">
        <v>557.28781357934849</v>
      </c>
      <c r="E310" s="37"/>
      <c r="F310" s="38"/>
    </row>
    <row r="311" spans="1:7" ht="14.25" x14ac:dyDescent="0.2">
      <c r="A311" s="28">
        <f t="shared" si="2"/>
        <v>2019.02</v>
      </c>
      <c r="B311" s="61">
        <v>557.99519016695092</v>
      </c>
      <c r="C311" s="62">
        <v>557.99519016695092</v>
      </c>
      <c r="E311" s="37"/>
      <c r="F311" s="38"/>
    </row>
    <row r="312" spans="1:7" ht="14.25" x14ac:dyDescent="0.2">
      <c r="A312" s="28">
        <f t="shared" si="2"/>
        <v>2019.03</v>
      </c>
      <c r="B312" s="61">
        <v>551.39220054892201</v>
      </c>
      <c r="C312" s="62">
        <v>551.39220054892201</v>
      </c>
      <c r="E312" s="37"/>
      <c r="F312" s="38"/>
    </row>
    <row r="313" spans="1:7" ht="14.25" x14ac:dyDescent="0.2">
      <c r="A313" s="28">
        <f t="shared" si="2"/>
        <v>2019.04</v>
      </c>
      <c r="B313" s="61">
        <v>546.74533543649807</v>
      </c>
      <c r="C313" s="62">
        <v>546.74533543649807</v>
      </c>
      <c r="E313" s="37"/>
      <c r="F313" s="38"/>
    </row>
    <row r="314" spans="1:7" ht="14.25" x14ac:dyDescent="0.2">
      <c r="A314" s="28">
        <f t="shared" si="2"/>
        <v>2019.05</v>
      </c>
      <c r="B314" s="61">
        <v>547.29394025656359</v>
      </c>
      <c r="C314" s="62">
        <v>547.29394025656359</v>
      </c>
      <c r="E314" s="37"/>
      <c r="F314" s="38"/>
    </row>
    <row r="315" spans="1:7" ht="14.25" x14ac:dyDescent="0.2">
      <c r="A315" s="28">
        <f t="shared" si="2"/>
        <v>2019.06</v>
      </c>
      <c r="B315" s="61">
        <v>545.54307005655801</v>
      </c>
      <c r="C315" s="62">
        <v>545.54307005655801</v>
      </c>
      <c r="E315" s="37"/>
      <c r="F315" s="38"/>
    </row>
    <row r="316" spans="1:7" ht="14.25" x14ac:dyDescent="0.2">
      <c r="A316" s="28">
        <f t="shared" si="2"/>
        <v>2019.07</v>
      </c>
      <c r="B316" s="61">
        <v>546.35037773083104</v>
      </c>
      <c r="C316" s="62">
        <v>546.35037773083104</v>
      </c>
      <c r="E316" s="37"/>
      <c r="F316" s="38"/>
    </row>
    <row r="317" spans="1:7" ht="14.25" x14ac:dyDescent="0.2">
      <c r="A317" s="28">
        <f t="shared" si="2"/>
        <v>2019.08</v>
      </c>
      <c r="B317" s="61">
        <v>538.34719871762684</v>
      </c>
      <c r="C317" s="62">
        <v>538.34719871762684</v>
      </c>
      <c r="E317" s="37"/>
      <c r="F317" s="38"/>
    </row>
    <row r="318" spans="1:7" ht="14.25" x14ac:dyDescent="0.2">
      <c r="A318" s="28">
        <f t="shared" si="2"/>
        <v>2019.09</v>
      </c>
      <c r="B318" s="61">
        <v>537.07755716477959</v>
      </c>
      <c r="C318" s="62">
        <v>537.07755716477959</v>
      </c>
      <c r="E318" s="37"/>
      <c r="F318" s="38"/>
    </row>
    <row r="319" spans="1:7" ht="14.25" x14ac:dyDescent="0.2">
      <c r="A319" s="28">
        <f t="shared" si="2"/>
        <v>2019.1</v>
      </c>
      <c r="B319" s="61">
        <v>532.8205419638922</v>
      </c>
      <c r="C319" s="62">
        <v>532.8205419638922</v>
      </c>
      <c r="E319" s="37"/>
      <c r="F319" s="38"/>
    </row>
    <row r="320" spans="1:7" ht="14.25" x14ac:dyDescent="0.2">
      <c r="A320" s="28">
        <f t="shared" si="2"/>
        <v>2019.11</v>
      </c>
      <c r="B320" s="61">
        <v>536.38912459761093</v>
      </c>
      <c r="C320" s="62">
        <v>536.38912459761093</v>
      </c>
      <c r="E320" s="37"/>
      <c r="F320" s="38"/>
    </row>
    <row r="321" spans="1:7" ht="14.25" x14ac:dyDescent="0.2">
      <c r="A321" s="28">
        <f t="shared" si="2"/>
        <v>2019.12</v>
      </c>
      <c r="B321" s="61">
        <v>526.64493091806378</v>
      </c>
      <c r="C321" s="62">
        <v>526.64493091806378</v>
      </c>
      <c r="E321" s="40"/>
      <c r="F321" s="38"/>
      <c r="G321" s="36"/>
    </row>
    <row r="322" spans="1:7" x14ac:dyDescent="0.2">
      <c r="A322" s="28">
        <f t="shared" si="2"/>
        <v>2020.01</v>
      </c>
      <c r="B322" s="61">
        <v>522.76579027225239</v>
      </c>
      <c r="C322" s="62">
        <v>522.76579027225239</v>
      </c>
      <c r="E322" s="39"/>
      <c r="F322" s="39"/>
    </row>
    <row r="323" spans="1:7" x14ac:dyDescent="0.2">
      <c r="A323" s="28">
        <f t="shared" si="2"/>
        <v>2020.02</v>
      </c>
      <c r="B323" s="61">
        <v>524.41141235109865</v>
      </c>
      <c r="C323" s="62">
        <v>524.41141235109865</v>
      </c>
    </row>
    <row r="324" spans="1:7" x14ac:dyDescent="0.2">
      <c r="A324" s="28">
        <f t="shared" si="2"/>
        <v>2020.03</v>
      </c>
      <c r="B324" s="61">
        <v>522.76093712554882</v>
      </c>
      <c r="C324" s="62">
        <v>522.76093712554882</v>
      </c>
    </row>
    <row r="325" spans="1:7" x14ac:dyDescent="0.2">
      <c r="A325" s="28">
        <f t="shared" si="2"/>
        <v>2020.04</v>
      </c>
      <c r="B325" s="61">
        <v>526.06611217390832</v>
      </c>
      <c r="C325" s="62">
        <v>526.06611217390832</v>
      </c>
    </row>
    <row r="326" spans="1:7" x14ac:dyDescent="0.2">
      <c r="A326" s="28">
        <f t="shared" si="2"/>
        <v>2020.05</v>
      </c>
      <c r="B326" s="61">
        <v>515.99140754087352</v>
      </c>
      <c r="C326" s="62">
        <v>515.99140754087352</v>
      </c>
    </row>
    <row r="327" spans="1:7" x14ac:dyDescent="0.2">
      <c r="A327" s="28">
        <f t="shared" si="2"/>
        <v>2020.06</v>
      </c>
      <c r="B327" s="61">
        <v>507.92064037412547</v>
      </c>
      <c r="C327" s="62">
        <v>507.92064037412547</v>
      </c>
    </row>
    <row r="328" spans="1:7" x14ac:dyDescent="0.2">
      <c r="A328" s="28">
        <f t="shared" si="2"/>
        <v>2020.07</v>
      </c>
      <c r="B328" s="61">
        <v>517.34312847050558</v>
      </c>
      <c r="C328" s="62">
        <v>517.34312847050558</v>
      </c>
    </row>
    <row r="329" spans="1:7" x14ac:dyDescent="0.2">
      <c r="A329" s="28">
        <f t="shared" si="2"/>
        <v>2020.08</v>
      </c>
      <c r="B329" s="61">
        <v>510.74061239121625</v>
      </c>
      <c r="C329" s="62">
        <v>510.74061239121625</v>
      </c>
    </row>
    <row r="330" spans="1:7" x14ac:dyDescent="0.2">
      <c r="A330" s="28">
        <f t="shared" si="2"/>
        <v>2020.09</v>
      </c>
      <c r="B330" s="61">
        <v>514.40654171515666</v>
      </c>
      <c r="C330" s="62">
        <v>514.40654171515666</v>
      </c>
    </row>
    <row r="331" spans="1:7" x14ac:dyDescent="0.2">
      <c r="A331" s="28">
        <f t="shared" si="2"/>
        <v>2020.1</v>
      </c>
      <c r="B331" s="61">
        <v>511.32132425028578</v>
      </c>
      <c r="C331" s="62">
        <v>511.32132425028578</v>
      </c>
    </row>
    <row r="332" spans="1:7" x14ac:dyDescent="0.2">
      <c r="A332" s="28">
        <f t="shared" si="2"/>
        <v>2020.11</v>
      </c>
      <c r="B332" s="61">
        <v>512.42934163465145</v>
      </c>
      <c r="C332" s="62">
        <v>512.42934163465145</v>
      </c>
    </row>
    <row r="333" spans="1:7" x14ac:dyDescent="0.2">
      <c r="A333" s="28">
        <f t="shared" si="2"/>
        <v>2020.12</v>
      </c>
      <c r="B333" s="61">
        <v>505.86674235038311</v>
      </c>
      <c r="C333" s="62">
        <v>505.86674235038311</v>
      </c>
    </row>
    <row r="334" spans="1:7" x14ac:dyDescent="0.2">
      <c r="A334" s="28">
        <f t="shared" si="2"/>
        <v>2021.01</v>
      </c>
      <c r="B334" s="61">
        <v>502.91042853904804</v>
      </c>
      <c r="C334" s="62">
        <v>502.91042853904804</v>
      </c>
      <c r="E334" s="30"/>
    </row>
    <row r="335" spans="1:7" x14ac:dyDescent="0.2">
      <c r="A335" s="28">
        <f t="shared" si="2"/>
        <v>2021.02</v>
      </c>
      <c r="B335" s="61">
        <v>515.10173846884402</v>
      </c>
      <c r="C335" s="62">
        <v>515.10173846884402</v>
      </c>
      <c r="E335" s="30"/>
      <c r="F335" s="30"/>
    </row>
    <row r="336" spans="1:7" x14ac:dyDescent="0.2">
      <c r="A336" s="28">
        <f t="shared" si="2"/>
        <v>2021.03</v>
      </c>
      <c r="B336" s="61">
        <v>522.13067783378006</v>
      </c>
      <c r="C336" s="62">
        <v>522.13067783378006</v>
      </c>
      <c r="E336" s="30"/>
      <c r="F336" s="30"/>
    </row>
    <row r="337" spans="1:6" x14ac:dyDescent="0.2">
      <c r="A337" s="28">
        <f t="shared" si="2"/>
        <v>2021.04</v>
      </c>
      <c r="B337" s="61">
        <v>516.52916569758577</v>
      </c>
      <c r="C337" s="62">
        <v>516.52916569758577</v>
      </c>
      <c r="E337" s="30"/>
      <c r="F337" s="30"/>
    </row>
    <row r="338" spans="1:6" x14ac:dyDescent="0.2">
      <c r="A338" s="28">
        <f t="shared" si="2"/>
        <v>2021.05</v>
      </c>
      <c r="B338" s="61">
        <v>522.56942891523738</v>
      </c>
      <c r="C338" s="62">
        <v>522.56942891523738</v>
      </c>
    </row>
    <row r="339" spans="1:6" x14ac:dyDescent="0.2">
      <c r="A339" s="28">
        <f t="shared" si="2"/>
        <v>2021.06</v>
      </c>
      <c r="B339" s="61">
        <v>522.14718196118883</v>
      </c>
      <c r="C339" s="62">
        <v>522.14718196118883</v>
      </c>
    </row>
    <row r="340" spans="1:6" x14ac:dyDescent="0.2">
      <c r="A340" s="28">
        <f t="shared" si="2"/>
        <v>2021.07</v>
      </c>
      <c r="B340" s="61">
        <v>517.78416263216718</v>
      </c>
      <c r="C340" s="62">
        <v>517.78416263216718</v>
      </c>
    </row>
    <row r="341" spans="1:6" x14ac:dyDescent="0.2">
      <c r="A341" s="28">
        <f t="shared" si="2"/>
        <v>2021.08</v>
      </c>
      <c r="B341" s="61">
        <v>529.23133318066186</v>
      </c>
      <c r="C341" s="62">
        <v>529.23133318066186</v>
      </c>
    </row>
    <row r="342" spans="1:6" x14ac:dyDescent="0.2">
      <c r="A342" s="28">
        <f t="shared" si="2"/>
        <v>2021.09</v>
      </c>
      <c r="B342" s="61">
        <v>526.71122202943809</v>
      </c>
      <c r="C342" s="62">
        <v>526.71122202943809</v>
      </c>
    </row>
    <row r="343" spans="1:6" x14ac:dyDescent="0.2">
      <c r="A343" s="28">
        <f t="shared" si="2"/>
        <v>2021.1</v>
      </c>
      <c r="B343" s="61">
        <v>537.40059179044329</v>
      </c>
      <c r="C343" s="62">
        <v>537.40059179044329</v>
      </c>
    </row>
    <row r="344" spans="1:6" x14ac:dyDescent="0.2">
      <c r="A344" s="28">
        <f t="shared" si="2"/>
        <v>2021.11</v>
      </c>
      <c r="B344" s="61">
        <v>538.31555715758634</v>
      </c>
      <c r="C344" s="62">
        <v>538.31555715758634</v>
      </c>
    </row>
    <row r="345" spans="1:6" x14ac:dyDescent="0.2">
      <c r="A345" s="28">
        <f t="shared" si="2"/>
        <v>2021.12</v>
      </c>
      <c r="B345" s="61">
        <v>540.65576190030424</v>
      </c>
      <c r="C345" s="62">
        <v>540.65576190030424</v>
      </c>
    </row>
    <row r="346" spans="1:6" x14ac:dyDescent="0.2">
      <c r="A346" s="28">
        <f t="shared" si="2"/>
        <v>2022.01</v>
      </c>
      <c r="B346" s="61">
        <v>540.91011998084662</v>
      </c>
      <c r="C346" s="62">
        <v>540.91011998084662</v>
      </c>
    </row>
    <row r="347" spans="1:6" x14ac:dyDescent="0.2">
      <c r="A347" s="28">
        <f t="shared" si="2"/>
        <v>2022.02</v>
      </c>
      <c r="B347" s="61">
        <v>533.15540879523996</v>
      </c>
      <c r="C347" s="62">
        <v>533.15540879523996</v>
      </c>
    </row>
    <row r="348" spans="1:6" x14ac:dyDescent="0.2">
      <c r="A348" s="28">
        <f t="shared" si="2"/>
        <v>2022.03</v>
      </c>
      <c r="B348" s="61">
        <v>533.00980170611774</v>
      </c>
      <c r="C348" s="62">
        <v>533.00980170611774</v>
      </c>
    </row>
    <row r="349" spans="1:6" x14ac:dyDescent="0.2">
      <c r="A349" s="28">
        <f t="shared" si="2"/>
        <v>2022.04</v>
      </c>
      <c r="B349" s="61">
        <v>536.66950035514128</v>
      </c>
      <c r="C349" s="62">
        <v>536.66950035514128</v>
      </c>
    </row>
    <row r="350" spans="1:6" x14ac:dyDescent="0.2">
      <c r="A350" s="28">
        <f t="shared" si="2"/>
        <v>2022.05</v>
      </c>
      <c r="B350" s="61">
        <v>530.7968014677673</v>
      </c>
      <c r="C350" s="62">
        <v>530.7968014677673</v>
      </c>
    </row>
    <row r="351" spans="1:6" x14ac:dyDescent="0.2">
      <c r="A351" s="28">
        <f t="shared" si="2"/>
        <v>2022.06</v>
      </c>
      <c r="B351" s="61">
        <v>530.08846492983605</v>
      </c>
      <c r="C351" s="62">
        <v>530.08846492983605</v>
      </c>
    </row>
    <row r="352" spans="1:6" x14ac:dyDescent="0.2">
      <c r="A352" s="28">
        <f t="shared" si="2"/>
        <v>2022.07</v>
      </c>
      <c r="B352" s="61">
        <v>514.03212384259552</v>
      </c>
      <c r="C352" s="62">
        <v>514.03212384259552</v>
      </c>
    </row>
    <row r="353" spans="1:3" x14ac:dyDescent="0.2">
      <c r="A353" s="28">
        <f t="shared" si="2"/>
        <v>2022.08</v>
      </c>
      <c r="B353" s="61">
        <v>518.78816653320439</v>
      </c>
      <c r="C353" s="62">
        <v>518.78816653320439</v>
      </c>
    </row>
    <row r="354" spans="1:3" x14ac:dyDescent="0.2">
      <c r="A354" s="28">
        <f t="shared" si="2"/>
        <v>2022.09</v>
      </c>
      <c r="B354" s="61">
        <v>515.96161023373918</v>
      </c>
      <c r="C354" s="62">
        <v>515.96161023373918</v>
      </c>
    </row>
    <row r="355" spans="1:3" x14ac:dyDescent="0.2">
      <c r="A355" s="28">
        <f t="shared" si="2"/>
        <v>2022.1</v>
      </c>
      <c r="B355" s="61">
        <v>523.53508728017209</v>
      </c>
      <c r="C355" s="62">
        <v>523.53508728017209</v>
      </c>
    </row>
    <row r="356" spans="1:3" x14ac:dyDescent="0.2">
      <c r="A356" s="28">
        <f t="shared" si="2"/>
        <v>2022.11</v>
      </c>
      <c r="B356" s="61">
        <v>525.41315809634796</v>
      </c>
      <c r="C356" s="62">
        <v>525.41315809634796</v>
      </c>
    </row>
    <row r="357" spans="1:3" x14ac:dyDescent="0.2">
      <c r="A357" s="28">
        <f t="shared" si="2"/>
        <v>2022.12</v>
      </c>
      <c r="B357" s="61">
        <v>540.00961390898635</v>
      </c>
      <c r="C357" s="62">
        <v>540.00961390898635</v>
      </c>
    </row>
    <row r="358" spans="1:3" x14ac:dyDescent="0.2">
      <c r="A358" s="28">
        <f t="shared" si="2"/>
        <v>2023.01</v>
      </c>
      <c r="B358" s="61">
        <v>538.83859427707421</v>
      </c>
      <c r="C358" s="62">
        <v>538.83859427707421</v>
      </c>
    </row>
    <row r="359" spans="1:3" x14ac:dyDescent="0.2">
      <c r="A359" s="28">
        <f t="shared" si="2"/>
        <v>2023.02</v>
      </c>
      <c r="B359" s="61">
        <v>543.93871174864421</v>
      </c>
      <c r="C359" s="62">
        <v>543.93871174864421</v>
      </c>
    </row>
    <row r="360" spans="1:3" x14ac:dyDescent="0.2">
      <c r="A360" s="28">
        <f t="shared" si="2"/>
        <v>2023.03</v>
      </c>
      <c r="B360" s="61">
        <v>540.249908319253</v>
      </c>
      <c r="C360" s="62">
        <v>540.249908319253</v>
      </c>
    </row>
    <row r="361" spans="1:3" x14ac:dyDescent="0.2">
      <c r="A361" s="28">
        <f t="shared" si="2"/>
        <v>2023.04</v>
      </c>
      <c r="B361" s="61">
        <v>538.75543433843211</v>
      </c>
      <c r="C361" s="62">
        <v>538.75543433843211</v>
      </c>
    </row>
    <row r="362" spans="1:3" x14ac:dyDescent="0.2">
      <c r="A362" s="28">
        <f t="shared" si="2"/>
        <v>2023.05</v>
      </c>
      <c r="B362" s="61">
        <v>536.39957778486325</v>
      </c>
      <c r="C362" s="62">
        <v>536.39957778486325</v>
      </c>
    </row>
    <row r="363" spans="1:3" x14ac:dyDescent="0.2">
      <c r="A363" s="28">
        <f t="shared" si="2"/>
        <v>2023.06</v>
      </c>
      <c r="B363" s="61">
        <v>534.0752399162443</v>
      </c>
      <c r="C363" s="62">
        <v>534.0752399162443</v>
      </c>
    </row>
    <row r="364" spans="1:3" x14ac:dyDescent="0.2">
      <c r="A364" s="28">
        <f t="shared" si="2"/>
        <v>2023.07</v>
      </c>
      <c r="B364" s="61">
        <v>533.45005379618874</v>
      </c>
      <c r="C364" s="62">
        <v>533.45005379618874</v>
      </c>
    </row>
    <row r="365" spans="1:3" x14ac:dyDescent="0.2">
      <c r="A365" s="28">
        <f t="shared" si="2"/>
        <v>2023.08</v>
      </c>
      <c r="B365" s="61">
        <v>519.12805058404217</v>
      </c>
      <c r="C365" s="62">
        <v>519.12805058404217</v>
      </c>
    </row>
    <row r="366" spans="1:3" x14ac:dyDescent="0.2">
      <c r="A366" s="28">
        <f t="shared" si="2"/>
        <v>2023.09</v>
      </c>
      <c r="B366" s="61">
        <v>521.88055415559074</v>
      </c>
      <c r="C366" s="62">
        <v>521.88055415559074</v>
      </c>
    </row>
    <row r="367" spans="1:3" x14ac:dyDescent="0.2">
      <c r="A367" s="28">
        <f t="shared" si="2"/>
        <v>2023.1</v>
      </c>
      <c r="B367" s="61">
        <v>498.59109785173138</v>
      </c>
      <c r="C367" s="62">
        <v>498.59109785173138</v>
      </c>
    </row>
    <row r="368" spans="1:3" x14ac:dyDescent="0.2">
      <c r="A368" s="28">
        <f t="shared" si="2"/>
        <v>2023.11</v>
      </c>
      <c r="B368" s="61">
        <v>483.51420009083301</v>
      </c>
      <c r="C368" s="62">
        <v>483.51420009083301</v>
      </c>
    </row>
    <row r="369" spans="1:3" x14ac:dyDescent="0.2">
      <c r="A369" s="28">
        <f t="shared" si="2"/>
        <v>2023.12</v>
      </c>
      <c r="B369" s="61">
        <v>465.61964061358145</v>
      </c>
      <c r="C369" s="62">
        <v>465.61964061358145</v>
      </c>
    </row>
    <row r="370" spans="1:3" x14ac:dyDescent="0.2">
      <c r="A370" s="28">
        <f t="shared" ref="A370:A405" si="3">A358+1</f>
        <v>2024.01</v>
      </c>
      <c r="B370" s="61">
        <v>460.81766171339802</v>
      </c>
      <c r="C370" s="62">
        <v>460.81766171339802</v>
      </c>
    </row>
    <row r="371" spans="1:3" x14ac:dyDescent="0.2">
      <c r="A371" s="28">
        <f t="shared" si="3"/>
        <v>2024.02</v>
      </c>
      <c r="B371" s="61">
        <v>457.9626462727033</v>
      </c>
      <c r="C371" s="62">
        <v>457.9626462727033</v>
      </c>
    </row>
    <row r="372" spans="1:3" x14ac:dyDescent="0.2">
      <c r="A372" s="28">
        <f t="shared" si="3"/>
        <v>2024.03</v>
      </c>
      <c r="B372" s="61">
        <v>461.19356397058522</v>
      </c>
      <c r="C372" s="62">
        <v>461.19356397058522</v>
      </c>
    </row>
    <row r="373" spans="1:3" x14ac:dyDescent="0.2">
      <c r="A373" s="28">
        <f t="shared" si="3"/>
        <v>2024.04</v>
      </c>
      <c r="B373" s="61">
        <v>470.38851110949639</v>
      </c>
      <c r="C373" s="62">
        <v>470.38851110949639</v>
      </c>
    </row>
    <row r="374" spans="1:3" x14ac:dyDescent="0.2">
      <c r="A374" s="28">
        <f t="shared" si="3"/>
        <v>2024.05</v>
      </c>
      <c r="B374" s="61">
        <v>483.93300940214999</v>
      </c>
      <c r="C374" s="62">
        <v>483.93300940214999</v>
      </c>
    </row>
    <row r="375" spans="1:3" x14ac:dyDescent="0.2">
      <c r="A375" s="28">
        <f t="shared" si="3"/>
        <v>2024.06</v>
      </c>
      <c r="B375" s="61">
        <v>500.38306479154261</v>
      </c>
      <c r="C375" s="62">
        <v>500.38306479154261</v>
      </c>
    </row>
    <row r="376" spans="1:3" x14ac:dyDescent="0.2">
      <c r="A376" s="28">
        <f t="shared" si="3"/>
        <v>2024.07</v>
      </c>
      <c r="B376" s="61">
        <v>508.65155595819147</v>
      </c>
      <c r="C376" s="62">
        <v>508.65155595819147</v>
      </c>
    </row>
    <row r="377" spans="1:3" x14ac:dyDescent="0.2">
      <c r="A377" s="28">
        <f t="shared" si="3"/>
        <v>2024.08</v>
      </c>
      <c r="B377" s="61">
        <v>516.49454696583598</v>
      </c>
      <c r="C377" s="62">
        <v>516.49454696583598</v>
      </c>
    </row>
    <row r="378" spans="1:3" x14ac:dyDescent="0.2">
      <c r="A378" s="28">
        <f t="shared" si="3"/>
        <v>2024.09</v>
      </c>
      <c r="B378" s="61">
        <v>519.47181069039584</v>
      </c>
      <c r="C378" s="62">
        <v>519.47181069039584</v>
      </c>
    </row>
    <row r="379" spans="1:3" x14ac:dyDescent="0.2">
      <c r="A379" s="28">
        <f>A367+1</f>
        <v>2024.1</v>
      </c>
      <c r="B379" s="61">
        <v>527.56814177342164</v>
      </c>
      <c r="C379" s="62">
        <v>527.56814177342164</v>
      </c>
    </row>
    <row r="380" spans="1:3" x14ac:dyDescent="0.2">
      <c r="A380" s="28">
        <f t="shared" si="3"/>
        <v>2024.11</v>
      </c>
      <c r="B380" s="61">
        <v>542.15185654950199</v>
      </c>
      <c r="C380" s="62">
        <v>542.15185654950199</v>
      </c>
    </row>
    <row r="381" spans="1:3" x14ac:dyDescent="0.2">
      <c r="A381" s="28">
        <f t="shared" si="3"/>
        <v>2024.12</v>
      </c>
      <c r="B381" s="61">
        <v>547.5206465297382</v>
      </c>
      <c r="C381" s="62">
        <v>547.5206465297382</v>
      </c>
    </row>
    <row r="382" spans="1:3" x14ac:dyDescent="0.2">
      <c r="A382" s="28">
        <f t="shared" si="3"/>
        <v>2025.01</v>
      </c>
      <c r="B382" s="61">
        <v>558.10281603007286</v>
      </c>
      <c r="C382" s="62">
        <v>558.10281603007286</v>
      </c>
    </row>
    <row r="383" spans="1:3" x14ac:dyDescent="0.2">
      <c r="A383" s="28">
        <f t="shared" si="3"/>
        <v>2025.02</v>
      </c>
      <c r="B383" s="61">
        <v>560.92053023102517</v>
      </c>
      <c r="C383" s="62">
        <v>560.92053023102517</v>
      </c>
    </row>
    <row r="384" spans="1:3" x14ac:dyDescent="0.2">
      <c r="A384" s="28">
        <f t="shared" si="3"/>
        <v>2025.03</v>
      </c>
      <c r="B384" s="61">
        <v>564.42756888045153</v>
      </c>
      <c r="C384" s="62">
        <v>564.42756888045153</v>
      </c>
    </row>
    <row r="385" spans="1:3" x14ac:dyDescent="0.2">
      <c r="A385" s="28">
        <f t="shared" si="3"/>
        <v>2025.04</v>
      </c>
      <c r="B385" s="61">
        <v>552.30087081387023</v>
      </c>
      <c r="C385" s="62">
        <v>552.30087081387023</v>
      </c>
    </row>
    <row r="386" spans="1:3" x14ac:dyDescent="0.2">
      <c r="A386" s="28">
        <f t="shared" si="3"/>
        <v>2025.05</v>
      </c>
      <c r="B386" s="61">
        <v>545.85230191841151</v>
      </c>
      <c r="C386" s="62">
        <v>545.85230191841151</v>
      </c>
    </row>
    <row r="387" spans="1:3" x14ac:dyDescent="0.2">
      <c r="A387" s="28">
        <f t="shared" si="3"/>
        <v>2025.06</v>
      </c>
      <c r="B387" s="61">
        <v>543.397618115873</v>
      </c>
      <c r="C387" s="62">
        <v>543.397618115873</v>
      </c>
    </row>
    <row r="388" spans="1:3" x14ac:dyDescent="0.2">
      <c r="A388" s="28">
        <f t="shared" si="3"/>
        <v>2025.07</v>
      </c>
      <c r="B388" s="61">
        <v>549.46123528729822</v>
      </c>
      <c r="C388" s="62">
        <v>549.46123528729822</v>
      </c>
    </row>
    <row r="389" spans="1:3" x14ac:dyDescent="0.2">
      <c r="A389" s="28">
        <f t="shared" si="3"/>
        <v>2025.08</v>
      </c>
      <c r="B389" s="61">
        <v>548.53718673571302</v>
      </c>
      <c r="C389" s="62">
        <v>548.53718673571302</v>
      </c>
    </row>
    <row r="390" spans="1:3" x14ac:dyDescent="0.2">
      <c r="A390" s="28">
        <f t="shared" si="3"/>
        <v>2025.09</v>
      </c>
      <c r="B390" s="61">
        <v>550.26790544365508</v>
      </c>
      <c r="C390" s="62">
        <v>550.26790544365508</v>
      </c>
    </row>
    <row r="391" spans="1:3" x14ac:dyDescent="0.2">
      <c r="A391" s="28">
        <f t="shared" si="3"/>
        <v>2025.1</v>
      </c>
      <c r="B391" s="61">
        <v>545.19350308653884</v>
      </c>
      <c r="C391" s="62">
        <v>545.19350308653884</v>
      </c>
    </row>
    <row r="392" spans="1:3" x14ac:dyDescent="0.2">
      <c r="A392" s="28">
        <f t="shared" si="3"/>
        <v>2025.11</v>
      </c>
      <c r="B392" s="61">
        <v>539.88922954284817</v>
      </c>
      <c r="C392" s="62">
        <v>539.88922954284817</v>
      </c>
    </row>
    <row r="393" spans="1:3" x14ac:dyDescent="0.2">
      <c r="A393" s="28">
        <f t="shared" si="3"/>
        <v>2025.12</v>
      </c>
      <c r="B393" s="61">
        <v>551.43744176679274</v>
      </c>
      <c r="C393" s="62">
        <v>551.43744176679274</v>
      </c>
    </row>
    <row r="394" spans="1:3" x14ac:dyDescent="0.2">
      <c r="A394" s="28">
        <f t="shared" si="3"/>
        <v>2026.01</v>
      </c>
      <c r="B394" s="61">
        <v>546.66289983325885</v>
      </c>
      <c r="C394" s="62">
        <v>546.66289983325885</v>
      </c>
    </row>
    <row r="395" spans="1:3" x14ac:dyDescent="0.2">
      <c r="A395" s="28">
        <f t="shared" si="3"/>
        <v>2026.02</v>
      </c>
      <c r="B395" s="61">
        <v>546.2870545163762</v>
      </c>
      <c r="C395" s="62">
        <v>546.2870545163762</v>
      </c>
    </row>
    <row r="396" spans="1:3" x14ac:dyDescent="0.2">
      <c r="A396" s="28">
        <f t="shared" si="3"/>
        <v>2026.03</v>
      </c>
      <c r="B396" s="61">
        <v>542.39777691180439</v>
      </c>
      <c r="C396" s="62">
        <v>542.39777691180439</v>
      </c>
    </row>
    <row r="397" spans="1:3" x14ac:dyDescent="0.2">
      <c r="A397" s="28">
        <f t="shared" si="3"/>
        <v>2026.04</v>
      </c>
      <c r="B397" s="61">
        <v>553.26010715710606</v>
      </c>
      <c r="C397" s="62">
        <v>553.26010715710606</v>
      </c>
    </row>
    <row r="398" spans="1:3" x14ac:dyDescent="0.2">
      <c r="A398" s="28">
        <f t="shared" si="3"/>
        <v>2026.05</v>
      </c>
      <c r="B398" s="61">
        <v>546.71190812885106</v>
      </c>
      <c r="C398" s="62">
        <v>546.71190812885106</v>
      </c>
    </row>
    <row r="399" spans="1:3" x14ac:dyDescent="0.2">
      <c r="A399" s="28">
        <f t="shared" si="3"/>
        <v>2026.06</v>
      </c>
      <c r="B399" s="61">
        <v>536.45891997686124</v>
      </c>
      <c r="C399" s="62">
        <v>536.45891997686124</v>
      </c>
    </row>
    <row r="400" spans="1:3" x14ac:dyDescent="0.2">
      <c r="A400" s="28">
        <f t="shared" si="3"/>
        <v>2026.07</v>
      </c>
      <c r="B400" s="61">
        <v>538.28207279494666</v>
      </c>
      <c r="C400" s="62">
        <v>538.28207279494666</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65" t="s">
        <v>105</v>
      </c>
      <c r="C2" s="25"/>
    </row>
    <row r="3" spans="1:6" s="3" customFormat="1" x14ac:dyDescent="0.2">
      <c r="A3" s="76" t="s">
        <v>16</v>
      </c>
      <c r="B3" s="16" t="s">
        <v>83</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109</v>
      </c>
      <c r="C7" s="47" t="s">
        <v>109</v>
      </c>
    </row>
    <row r="8" spans="1:6" s="3" customFormat="1" x14ac:dyDescent="0.2">
      <c r="A8" s="81" t="s">
        <v>23</v>
      </c>
      <c r="B8" s="89" t="s">
        <v>43</v>
      </c>
      <c r="C8" s="91" t="s">
        <v>44</v>
      </c>
    </row>
    <row r="9" spans="1:6" s="4" customFormat="1" ht="13.5" thickBot="1" x14ac:dyDescent="0.25">
      <c r="A9" s="82"/>
      <c r="B9" s="27"/>
      <c r="C9" s="49"/>
    </row>
    <row r="10" spans="1:6" s="4" customFormat="1" x14ac:dyDescent="0.2">
      <c r="A10" s="28">
        <v>1994.01</v>
      </c>
      <c r="B10" s="66">
        <v>71.997099054835004</v>
      </c>
      <c r="C10" s="67">
        <v>71.48908829458469</v>
      </c>
      <c r="E10" s="33"/>
      <c r="F10" s="33"/>
    </row>
    <row r="11" spans="1:6" s="4" customFormat="1" x14ac:dyDescent="0.2">
      <c r="A11" s="28">
        <v>1994.02</v>
      </c>
      <c r="B11" s="61">
        <v>71.963671653911604</v>
      </c>
      <c r="C11" s="62">
        <v>71.711895951840091</v>
      </c>
      <c r="E11" s="33"/>
      <c r="F11" s="33"/>
    </row>
    <row r="12" spans="1:6" s="4" customFormat="1" x14ac:dyDescent="0.2">
      <c r="A12" s="28">
        <v>1994.03</v>
      </c>
      <c r="B12" s="61">
        <v>71.991257840168601</v>
      </c>
      <c r="C12" s="62">
        <v>71.986214001517553</v>
      </c>
      <c r="E12" s="33"/>
      <c r="F12" s="33"/>
    </row>
    <row r="13" spans="1:6" s="4" customFormat="1" x14ac:dyDescent="0.2">
      <c r="A13" s="28">
        <v>1994.04</v>
      </c>
      <c r="B13" s="61">
        <v>72.567504642047197</v>
      </c>
      <c r="C13" s="62">
        <v>72.727631747943207</v>
      </c>
      <c r="E13" s="33"/>
      <c r="F13" s="33"/>
    </row>
    <row r="14" spans="1:6" s="4" customFormat="1" x14ac:dyDescent="0.2">
      <c r="A14" s="28">
        <v>1994.05</v>
      </c>
      <c r="B14" s="61">
        <v>73.517744810386304</v>
      </c>
      <c r="C14" s="62">
        <v>73.608796928379988</v>
      </c>
      <c r="E14" s="33"/>
      <c r="F14" s="33"/>
    </row>
    <row r="15" spans="1:6" s="4" customFormat="1" x14ac:dyDescent="0.2">
      <c r="A15" s="28">
        <v>1994.06</v>
      </c>
      <c r="B15" s="61">
        <v>74.369686121871098</v>
      </c>
      <c r="C15" s="62">
        <v>74.299758154575144</v>
      </c>
      <c r="E15" s="33"/>
      <c r="F15" s="33"/>
    </row>
    <row r="16" spans="1:6" s="4" customFormat="1" x14ac:dyDescent="0.2">
      <c r="A16" s="28">
        <v>1994.07</v>
      </c>
      <c r="B16" s="61">
        <v>74.6116685170267</v>
      </c>
      <c r="C16" s="62">
        <v>74.678407709463684</v>
      </c>
      <c r="E16" s="33"/>
      <c r="F16" s="33"/>
    </row>
    <row r="17" spans="1:6" s="4" customFormat="1" x14ac:dyDescent="0.2">
      <c r="A17" s="28">
        <v>1994.08</v>
      </c>
      <c r="B17" s="61">
        <v>74.514950904356795</v>
      </c>
      <c r="C17" s="62">
        <v>75.164364048216569</v>
      </c>
      <c r="E17" s="33"/>
      <c r="F17" s="33"/>
    </row>
    <row r="18" spans="1:6" s="4" customFormat="1" x14ac:dyDescent="0.2">
      <c r="A18" s="28">
        <v>1994.09</v>
      </c>
      <c r="B18" s="61">
        <v>74.794623227535197</v>
      </c>
      <c r="C18" s="62">
        <v>75.832961390074146</v>
      </c>
      <c r="E18" s="33"/>
      <c r="F18" s="33"/>
    </row>
    <row r="19" spans="1:6" s="4" customFormat="1" x14ac:dyDescent="0.2">
      <c r="A19" s="28">
        <v>1994.1</v>
      </c>
      <c r="B19" s="61">
        <v>75.670259903758506</v>
      </c>
      <c r="C19" s="62">
        <v>76.454862644272851</v>
      </c>
      <c r="E19" s="33"/>
      <c r="F19" s="33"/>
    </row>
    <row r="20" spans="1:6" s="4" customFormat="1" x14ac:dyDescent="0.2">
      <c r="A20" s="28">
        <v>1994.11</v>
      </c>
      <c r="B20" s="61">
        <v>76.802601813904303</v>
      </c>
      <c r="C20" s="62">
        <v>77.364919604489288</v>
      </c>
      <c r="E20" s="33"/>
      <c r="F20" s="33"/>
    </row>
    <row r="21" spans="1:6" s="4" customFormat="1" x14ac:dyDescent="0.2">
      <c r="A21" s="28">
        <v>1994.12</v>
      </c>
      <c r="B21" s="61">
        <v>77.737095389556302</v>
      </c>
      <c r="C21" s="62">
        <v>77.910189754390828</v>
      </c>
      <c r="E21" s="33"/>
      <c r="F21" s="33"/>
    </row>
    <row r="22" spans="1:6" x14ac:dyDescent="0.2">
      <c r="A22" s="28">
        <v>1995.01</v>
      </c>
      <c r="B22" s="61">
        <v>78.260401086691502</v>
      </c>
      <c r="C22" s="62">
        <v>78.091735663298763</v>
      </c>
      <c r="E22" s="34"/>
      <c r="F22" s="33"/>
    </row>
    <row r="23" spans="1:6" x14ac:dyDescent="0.2">
      <c r="A23" s="28">
        <v>1995.02</v>
      </c>
      <c r="B23" s="61">
        <v>78.586510209464194</v>
      </c>
      <c r="C23" s="62">
        <v>78.479740396371028</v>
      </c>
      <c r="E23" s="34"/>
      <c r="F23" s="33"/>
    </row>
    <row r="24" spans="1:6" x14ac:dyDescent="0.2">
      <c r="A24" s="28">
        <v>1995.03</v>
      </c>
      <c r="B24" s="61">
        <v>78.985741802063799</v>
      </c>
      <c r="C24" s="62">
        <v>78.917995795816509</v>
      </c>
      <c r="E24" s="34"/>
      <c r="F24" s="33"/>
    </row>
    <row r="25" spans="1:6" x14ac:dyDescent="0.2">
      <c r="A25" s="28">
        <v>1995.04</v>
      </c>
      <c r="B25" s="61">
        <v>79.458337498195505</v>
      </c>
      <c r="C25" s="62">
        <v>79.380644397958747</v>
      </c>
      <c r="E25" s="34"/>
      <c r="F25" s="33"/>
    </row>
    <row r="26" spans="1:6" x14ac:dyDescent="0.2">
      <c r="A26" s="28">
        <v>1995.05</v>
      </c>
      <c r="B26" s="61">
        <v>79.793535783494903</v>
      </c>
      <c r="C26" s="62">
        <v>79.647053854540204</v>
      </c>
      <c r="E26" s="34"/>
      <c r="F26" s="33"/>
    </row>
    <row r="27" spans="1:6" x14ac:dyDescent="0.2">
      <c r="A27" s="28">
        <v>1995.06</v>
      </c>
      <c r="B27" s="61">
        <v>79.8578144049185</v>
      </c>
      <c r="C27" s="62">
        <v>79.549134668337459</v>
      </c>
      <c r="E27" s="34"/>
      <c r="F27" s="33"/>
    </row>
    <row r="28" spans="1:6" x14ac:dyDescent="0.2">
      <c r="A28" s="28">
        <v>1995.07</v>
      </c>
      <c r="B28" s="61">
        <v>79.282929485488395</v>
      </c>
      <c r="C28" s="62">
        <v>79.072142847125377</v>
      </c>
      <c r="E28" s="34"/>
      <c r="F28" s="33"/>
    </row>
    <row r="29" spans="1:6" x14ac:dyDescent="0.2">
      <c r="A29" s="28">
        <v>1995.08</v>
      </c>
      <c r="B29" s="61">
        <v>78.581721549414596</v>
      </c>
      <c r="C29" s="62">
        <v>78.778977438750346</v>
      </c>
      <c r="E29" s="34"/>
      <c r="F29" s="33"/>
    </row>
    <row r="30" spans="1:6" x14ac:dyDescent="0.2">
      <c r="A30" s="28">
        <v>1995.09</v>
      </c>
      <c r="B30" s="61">
        <v>78.681298683231702</v>
      </c>
      <c r="C30" s="62">
        <v>79.02442036436463</v>
      </c>
      <c r="E30" s="34"/>
      <c r="F30" s="33"/>
    </row>
    <row r="31" spans="1:6" x14ac:dyDescent="0.2">
      <c r="A31" s="28">
        <v>1995.1</v>
      </c>
      <c r="B31" s="61">
        <v>79.000172463539499</v>
      </c>
      <c r="C31" s="62">
        <v>79.620505395453975</v>
      </c>
      <c r="E31" s="34"/>
      <c r="F31" s="33"/>
    </row>
    <row r="32" spans="1:6" x14ac:dyDescent="0.2">
      <c r="A32" s="28">
        <v>1995.11</v>
      </c>
      <c r="B32" s="61">
        <v>79.772146511523104</v>
      </c>
      <c r="C32" s="62">
        <v>80.466106141314683</v>
      </c>
      <c r="E32" s="34"/>
      <c r="F32" s="33"/>
    </row>
    <row r="33" spans="1:6" x14ac:dyDescent="0.2">
      <c r="A33" s="28">
        <v>1995.12</v>
      </c>
      <c r="B33" s="61">
        <v>81.0552619299676</v>
      </c>
      <c r="C33" s="62">
        <v>81.488833486291028</v>
      </c>
      <c r="E33" s="34"/>
      <c r="F33" s="33"/>
    </row>
    <row r="34" spans="1:6" x14ac:dyDescent="0.2">
      <c r="A34" s="28">
        <v>1996.01</v>
      </c>
      <c r="B34" s="61">
        <v>82.183917827638993</v>
      </c>
      <c r="C34" s="62">
        <v>82.230886811043902</v>
      </c>
      <c r="E34" s="34"/>
      <c r="F34" s="33"/>
    </row>
    <row r="35" spans="1:6" x14ac:dyDescent="0.2">
      <c r="A35" s="28">
        <v>1996.02</v>
      </c>
      <c r="B35" s="61">
        <v>82.959427199133899</v>
      </c>
      <c r="C35" s="62">
        <v>82.691009363354468</v>
      </c>
      <c r="E35" s="34"/>
      <c r="F35" s="33"/>
    </row>
    <row r="36" spans="1:6" x14ac:dyDescent="0.2">
      <c r="A36" s="28">
        <v>1996.03</v>
      </c>
      <c r="B36" s="61">
        <v>82.925694855078206</v>
      </c>
      <c r="C36" s="62">
        <v>82.681270709763751</v>
      </c>
      <c r="E36" s="34"/>
      <c r="F36" s="33"/>
    </row>
    <row r="37" spans="1:6" x14ac:dyDescent="0.2">
      <c r="A37" s="28">
        <v>1996.04</v>
      </c>
      <c r="B37" s="61">
        <v>82.946711669945898</v>
      </c>
      <c r="C37" s="62">
        <v>82.963540377808286</v>
      </c>
      <c r="E37" s="34"/>
      <c r="F37" s="33"/>
    </row>
    <row r="38" spans="1:6" x14ac:dyDescent="0.2">
      <c r="A38" s="28">
        <v>1996.05</v>
      </c>
      <c r="B38" s="61">
        <v>83.580099003347499</v>
      </c>
      <c r="C38" s="62">
        <v>83.615740577294005</v>
      </c>
      <c r="E38" s="34"/>
      <c r="F38" s="33"/>
    </row>
    <row r="39" spans="1:6" x14ac:dyDescent="0.2">
      <c r="A39" s="28">
        <v>1996.06</v>
      </c>
      <c r="B39" s="61">
        <v>84.109407417390699</v>
      </c>
      <c r="C39" s="62">
        <v>84.217210352906974</v>
      </c>
      <c r="E39" s="34"/>
      <c r="F39" s="33"/>
    </row>
    <row r="40" spans="1:6" x14ac:dyDescent="0.2">
      <c r="A40" s="28">
        <v>1996.07</v>
      </c>
      <c r="B40" s="61">
        <v>84.661991927311902</v>
      </c>
      <c r="C40" s="62">
        <v>84.794533052945553</v>
      </c>
      <c r="E40" s="34"/>
      <c r="F40" s="33"/>
    </row>
    <row r="41" spans="1:6" x14ac:dyDescent="0.2">
      <c r="A41" s="28">
        <v>1996.08</v>
      </c>
      <c r="B41" s="61">
        <v>85.075462677269499</v>
      </c>
      <c r="C41" s="62">
        <v>85.12623609553826</v>
      </c>
      <c r="E41" s="34"/>
      <c r="F41" s="33"/>
    </row>
    <row r="42" spans="1:6" x14ac:dyDescent="0.2">
      <c r="A42" s="28">
        <v>1996.09</v>
      </c>
      <c r="B42" s="61">
        <v>85.063695681457006</v>
      </c>
      <c r="C42" s="62">
        <v>85.236357924069637</v>
      </c>
      <c r="E42" s="34"/>
      <c r="F42" s="33"/>
    </row>
    <row r="43" spans="1:6" x14ac:dyDescent="0.2">
      <c r="A43" s="28">
        <v>1996.1</v>
      </c>
      <c r="B43" s="61">
        <v>85.276190221963205</v>
      </c>
      <c r="C43" s="62">
        <v>85.653691441176477</v>
      </c>
      <c r="E43" s="34"/>
      <c r="F43" s="33"/>
    </row>
    <row r="44" spans="1:6" x14ac:dyDescent="0.2">
      <c r="A44" s="28">
        <v>1996.11</v>
      </c>
      <c r="B44" s="61">
        <v>85.6045461349443</v>
      </c>
      <c r="C44" s="62">
        <v>85.745701033086803</v>
      </c>
      <c r="E44" s="34"/>
      <c r="F44" s="33"/>
    </row>
    <row r="45" spans="1:6" x14ac:dyDescent="0.2">
      <c r="A45" s="28">
        <v>1996.12</v>
      </c>
      <c r="B45" s="61">
        <v>85.108642792688997</v>
      </c>
      <c r="C45" s="62">
        <v>85.329323661332609</v>
      </c>
      <c r="E45" s="34"/>
      <c r="F45" s="33"/>
    </row>
    <row r="46" spans="1:6" x14ac:dyDescent="0.2">
      <c r="A46" s="28">
        <v>1997.01</v>
      </c>
      <c r="B46" s="61">
        <v>84.344523264212796</v>
      </c>
      <c r="C46" s="62">
        <v>85.034321096653855</v>
      </c>
      <c r="E46" s="34"/>
      <c r="F46" s="33"/>
    </row>
    <row r="47" spans="1:6" x14ac:dyDescent="0.2">
      <c r="A47" s="28">
        <v>1997.02</v>
      </c>
      <c r="B47" s="61">
        <v>84.627349732631501</v>
      </c>
      <c r="C47" s="62">
        <v>84.807693212910593</v>
      </c>
      <c r="E47" s="34"/>
      <c r="F47" s="33"/>
    </row>
    <row r="48" spans="1:6" x14ac:dyDescent="0.2">
      <c r="A48" s="28">
        <v>1997.03</v>
      </c>
      <c r="B48" s="61">
        <v>85.411266699209406</v>
      </c>
      <c r="C48" s="62">
        <v>85.061989390760857</v>
      </c>
      <c r="E48" s="34"/>
      <c r="F48" s="33"/>
    </row>
    <row r="49" spans="1:6" x14ac:dyDescent="0.2">
      <c r="A49" s="28">
        <v>1997.04</v>
      </c>
      <c r="B49" s="61">
        <v>85.154467199049904</v>
      </c>
      <c r="C49" s="62">
        <v>84.66222717480737</v>
      </c>
      <c r="E49" s="34"/>
      <c r="F49" s="33"/>
    </row>
    <row r="50" spans="1:6" x14ac:dyDescent="0.2">
      <c r="A50" s="28">
        <v>1997.05</v>
      </c>
      <c r="B50" s="61">
        <v>84.168278769549104</v>
      </c>
      <c r="C50" s="62">
        <v>84.077856434042971</v>
      </c>
      <c r="E50" s="34"/>
      <c r="F50" s="33"/>
    </row>
    <row r="51" spans="1:6" x14ac:dyDescent="0.2">
      <c r="A51" s="28">
        <v>1997.06</v>
      </c>
      <c r="B51" s="61">
        <v>84.050589698963407</v>
      </c>
      <c r="C51" s="62">
        <v>84.19411641652421</v>
      </c>
      <c r="E51" s="34"/>
      <c r="F51" s="33"/>
    </row>
    <row r="52" spans="1:6" x14ac:dyDescent="0.2">
      <c r="A52" s="28">
        <v>1997.07</v>
      </c>
      <c r="B52" s="61">
        <v>84.564424874138496</v>
      </c>
      <c r="C52" s="62">
        <v>84.543586220580636</v>
      </c>
      <c r="E52" s="34"/>
      <c r="F52" s="33"/>
    </row>
    <row r="53" spans="1:6" x14ac:dyDescent="0.2">
      <c r="A53" s="28">
        <v>1997.08</v>
      </c>
      <c r="B53" s="61">
        <v>84.626212582980003</v>
      </c>
      <c r="C53" s="62">
        <v>84.3763103759605</v>
      </c>
      <c r="E53" s="34"/>
      <c r="F53" s="33"/>
    </row>
    <row r="54" spans="1:6" x14ac:dyDescent="0.2">
      <c r="A54" s="28">
        <v>1997.09</v>
      </c>
      <c r="B54" s="61">
        <v>84.183621893535999</v>
      </c>
      <c r="C54" s="62">
        <v>83.870426812608329</v>
      </c>
      <c r="E54" s="34"/>
      <c r="F54" s="33"/>
    </row>
    <row r="55" spans="1:6" x14ac:dyDescent="0.2">
      <c r="A55" s="28">
        <v>1997.1</v>
      </c>
      <c r="B55" s="61">
        <v>83.329983109012005</v>
      </c>
      <c r="C55" s="62">
        <v>83.057991005963132</v>
      </c>
      <c r="E55" s="34"/>
      <c r="F55" s="33"/>
    </row>
    <row r="56" spans="1:6" x14ac:dyDescent="0.2">
      <c r="A56" s="28">
        <v>1997.11</v>
      </c>
      <c r="B56" s="61">
        <v>82.114981473301199</v>
      </c>
      <c r="C56" s="62">
        <v>82.241296210002076</v>
      </c>
      <c r="E56" s="34"/>
      <c r="F56" s="33"/>
    </row>
    <row r="57" spans="1:6" x14ac:dyDescent="0.2">
      <c r="A57" s="28">
        <v>1997.12</v>
      </c>
      <c r="B57" s="61">
        <v>81.575511301959295</v>
      </c>
      <c r="C57" s="62">
        <v>82.093583094498285</v>
      </c>
      <c r="E57" s="34"/>
      <c r="F57" s="33"/>
    </row>
    <row r="58" spans="1:6" x14ac:dyDescent="0.2">
      <c r="A58" s="28">
        <v>1998.01</v>
      </c>
      <c r="B58" s="61">
        <v>82.208002610643007</v>
      </c>
      <c r="C58" s="62">
        <v>82.708526778758497</v>
      </c>
      <c r="E58" s="34"/>
      <c r="F58" s="33"/>
    </row>
    <row r="59" spans="1:6" x14ac:dyDescent="0.2">
      <c r="A59" s="28">
        <v>1998.02</v>
      </c>
      <c r="B59" s="61">
        <v>83.395603759653397</v>
      </c>
      <c r="C59" s="62">
        <v>83.915802654167564</v>
      </c>
      <c r="E59" s="34"/>
      <c r="F59" s="33"/>
    </row>
    <row r="60" spans="1:6" x14ac:dyDescent="0.2">
      <c r="A60" s="28">
        <v>1998.03</v>
      </c>
      <c r="B60" s="61">
        <v>84.833056646201797</v>
      </c>
      <c r="C60" s="62">
        <v>84.99676719916404</v>
      </c>
      <c r="E60" s="34"/>
      <c r="F60" s="33"/>
    </row>
    <row r="61" spans="1:6" x14ac:dyDescent="0.2">
      <c r="A61" s="28">
        <v>1998.04</v>
      </c>
      <c r="B61" s="61">
        <v>86.037046661737406</v>
      </c>
      <c r="C61" s="62">
        <v>85.984705471235429</v>
      </c>
      <c r="E61" s="34"/>
      <c r="F61" s="33"/>
    </row>
    <row r="62" spans="1:6" x14ac:dyDescent="0.2">
      <c r="A62" s="28">
        <v>1998.05</v>
      </c>
      <c r="B62" s="61">
        <v>86.515093534713699</v>
      </c>
      <c r="C62" s="62">
        <v>86.430579882864265</v>
      </c>
      <c r="E62" s="34"/>
      <c r="F62" s="33"/>
    </row>
    <row r="63" spans="1:6" x14ac:dyDescent="0.2">
      <c r="A63" s="28">
        <v>1998.06</v>
      </c>
      <c r="B63" s="61">
        <v>86.642675101267798</v>
      </c>
      <c r="C63" s="62">
        <v>86.93209362449511</v>
      </c>
      <c r="E63" s="34"/>
      <c r="F63" s="33"/>
    </row>
    <row r="64" spans="1:6" x14ac:dyDescent="0.2">
      <c r="A64" s="28">
        <v>1998.07</v>
      </c>
      <c r="B64" s="61">
        <v>87.601971415786295</v>
      </c>
      <c r="C64" s="62">
        <v>88.063421014847691</v>
      </c>
      <c r="E64" s="34"/>
      <c r="F64" s="33"/>
    </row>
    <row r="65" spans="1:6" x14ac:dyDescent="0.2">
      <c r="A65" s="28">
        <v>1998.08</v>
      </c>
      <c r="B65" s="61">
        <v>89.101621063603304</v>
      </c>
      <c r="C65" s="62">
        <v>89.308839288046329</v>
      </c>
      <c r="E65" s="34"/>
      <c r="F65" s="33"/>
    </row>
    <row r="66" spans="1:6" x14ac:dyDescent="0.2">
      <c r="A66" s="28">
        <v>1998.09</v>
      </c>
      <c r="B66" s="61">
        <v>90.083886319432494</v>
      </c>
      <c r="C66" s="62">
        <v>90.050047414437685</v>
      </c>
      <c r="E66" s="34"/>
      <c r="F66" s="33"/>
    </row>
    <row r="67" spans="1:6" x14ac:dyDescent="0.2">
      <c r="A67" s="28">
        <v>1998.1</v>
      </c>
      <c r="B67" s="61">
        <v>90.366284543149305</v>
      </c>
      <c r="C67" s="62">
        <v>90.380093693318997</v>
      </c>
      <c r="E67" s="34"/>
      <c r="F67" s="33"/>
    </row>
    <row r="68" spans="1:6" x14ac:dyDescent="0.2">
      <c r="A68" s="28">
        <v>1998.11</v>
      </c>
      <c r="B68" s="61">
        <v>90.326231144930404</v>
      </c>
      <c r="C68" s="62">
        <v>90.700438276375337</v>
      </c>
      <c r="E68" s="34"/>
      <c r="F68" s="33"/>
    </row>
    <row r="69" spans="1:6" x14ac:dyDescent="0.2">
      <c r="A69" s="28">
        <v>1998.12</v>
      </c>
      <c r="B69" s="61">
        <v>90.641359645914406</v>
      </c>
      <c r="C69" s="62">
        <v>90.991791640566206</v>
      </c>
      <c r="E69" s="34"/>
      <c r="F69" s="33"/>
    </row>
    <row r="70" spans="1:6" x14ac:dyDescent="0.2">
      <c r="A70" s="28">
        <v>1999.01</v>
      </c>
      <c r="B70" s="61">
        <v>90.678438052936698</v>
      </c>
      <c r="C70" s="62">
        <v>90.550440476922219</v>
      </c>
      <c r="E70" s="34"/>
      <c r="F70" s="33"/>
    </row>
    <row r="71" spans="1:6" x14ac:dyDescent="0.2">
      <c r="A71" s="28">
        <v>1999.02</v>
      </c>
      <c r="B71" s="61">
        <v>89.633691515026101</v>
      </c>
      <c r="C71" s="62">
        <v>89.947764660526374</v>
      </c>
      <c r="E71" s="34"/>
      <c r="F71" s="33"/>
    </row>
    <row r="72" spans="1:6" x14ac:dyDescent="0.2">
      <c r="A72" s="28">
        <v>1999.03</v>
      </c>
      <c r="B72" s="61">
        <v>88.932841303315996</v>
      </c>
      <c r="C72" s="62">
        <v>89.881060400620882</v>
      </c>
      <c r="E72" s="34"/>
      <c r="F72" s="33"/>
    </row>
    <row r="73" spans="1:6" x14ac:dyDescent="0.2">
      <c r="A73" s="28">
        <v>1999.04</v>
      </c>
      <c r="B73" s="61">
        <v>89.891509694180598</v>
      </c>
      <c r="C73" s="62">
        <v>89.994052235204194</v>
      </c>
      <c r="E73" s="34"/>
      <c r="F73" s="33"/>
    </row>
    <row r="74" spans="1:6" x14ac:dyDescent="0.2">
      <c r="A74" s="28">
        <v>1999.05</v>
      </c>
      <c r="B74" s="61">
        <v>91.246903253271896</v>
      </c>
      <c r="C74" s="62">
        <v>90.761864059414222</v>
      </c>
      <c r="E74" s="34"/>
      <c r="F74" s="33"/>
    </row>
    <row r="75" spans="1:6" x14ac:dyDescent="0.2">
      <c r="A75" s="28">
        <v>1999.06</v>
      </c>
      <c r="B75" s="61">
        <v>91.115239174789707</v>
      </c>
      <c r="C75" s="62">
        <v>90.809548075922109</v>
      </c>
      <c r="E75" s="34"/>
      <c r="F75" s="33"/>
    </row>
    <row r="76" spans="1:6" x14ac:dyDescent="0.2">
      <c r="A76" s="28">
        <v>1999.07</v>
      </c>
      <c r="B76" s="61">
        <v>90.443963504207304</v>
      </c>
      <c r="C76" s="62">
        <v>90.413633389627421</v>
      </c>
      <c r="E76" s="34"/>
      <c r="F76" s="33"/>
    </row>
    <row r="77" spans="1:6" x14ac:dyDescent="0.2">
      <c r="A77" s="28">
        <v>1999.08</v>
      </c>
      <c r="B77" s="61">
        <v>90.546718841528403</v>
      </c>
      <c r="C77" s="62">
        <v>90.591712558870029</v>
      </c>
      <c r="E77" s="34"/>
      <c r="F77" s="33"/>
    </row>
    <row r="78" spans="1:6" x14ac:dyDescent="0.2">
      <c r="A78" s="28">
        <v>1999.09</v>
      </c>
      <c r="B78" s="61">
        <v>91.068115323614904</v>
      </c>
      <c r="C78" s="62">
        <v>91.037242848661421</v>
      </c>
      <c r="E78" s="34"/>
      <c r="F78" s="33"/>
    </row>
    <row r="79" spans="1:6" x14ac:dyDescent="0.2">
      <c r="A79" s="28">
        <v>1999.1</v>
      </c>
      <c r="B79" s="61">
        <v>91.415447139043096</v>
      </c>
      <c r="C79" s="62">
        <v>91.230429955702263</v>
      </c>
      <c r="E79" s="34"/>
      <c r="F79" s="33"/>
    </row>
    <row r="80" spans="1:6" x14ac:dyDescent="0.2">
      <c r="A80" s="28">
        <v>1999.11</v>
      </c>
      <c r="B80" s="61">
        <v>90.889414277684693</v>
      </c>
      <c r="C80" s="62">
        <v>90.960726423723415</v>
      </c>
      <c r="E80" s="34"/>
      <c r="F80" s="33"/>
    </row>
    <row r="81" spans="1:6" x14ac:dyDescent="0.2">
      <c r="A81" s="28">
        <v>1999.12</v>
      </c>
      <c r="B81" s="61">
        <v>90.497193193471801</v>
      </c>
      <c r="C81" s="62">
        <v>90.981564855865386</v>
      </c>
      <c r="E81" s="34"/>
      <c r="F81" s="33"/>
    </row>
    <row r="82" spans="1:6" x14ac:dyDescent="0.2">
      <c r="A82" s="28">
        <v>2000.01</v>
      </c>
      <c r="B82" s="61">
        <v>91.011951816307402</v>
      </c>
      <c r="C82" s="62">
        <v>91.347336643771953</v>
      </c>
      <c r="E82" s="34"/>
      <c r="F82" s="33"/>
    </row>
    <row r="83" spans="1:6" x14ac:dyDescent="0.2">
      <c r="A83" s="28">
        <v>2000.02</v>
      </c>
      <c r="B83" s="61">
        <v>91.287712564804195</v>
      </c>
      <c r="C83" s="62">
        <v>91.479581755832172</v>
      </c>
      <c r="E83" s="34"/>
      <c r="F83" s="33"/>
    </row>
    <row r="84" spans="1:6" x14ac:dyDescent="0.2">
      <c r="A84" s="28">
        <v>2000.03</v>
      </c>
      <c r="B84" s="61">
        <v>91.165823483149296</v>
      </c>
      <c r="C84" s="62">
        <v>90.843377270295562</v>
      </c>
      <c r="E84" s="34"/>
      <c r="F84" s="33"/>
    </row>
    <row r="85" spans="1:6" x14ac:dyDescent="0.2">
      <c r="A85" s="28">
        <v>2000.04</v>
      </c>
      <c r="B85" s="61">
        <v>90.357905631559802</v>
      </c>
      <c r="C85" s="62">
        <v>89.78023088702804</v>
      </c>
      <c r="E85" s="34"/>
      <c r="F85" s="33"/>
    </row>
    <row r="86" spans="1:6" x14ac:dyDescent="0.2">
      <c r="A86" s="28">
        <v>2000.05</v>
      </c>
      <c r="B86" s="61">
        <v>89.112354624038005</v>
      </c>
      <c r="C86" s="62">
        <v>88.599233559490202</v>
      </c>
      <c r="E86" s="34"/>
      <c r="F86" s="33"/>
    </row>
    <row r="87" spans="1:6" x14ac:dyDescent="0.2">
      <c r="A87" s="28">
        <v>2000.06</v>
      </c>
      <c r="B87" s="61">
        <v>88.212736140127603</v>
      </c>
      <c r="C87" s="62">
        <v>87.765266356222909</v>
      </c>
      <c r="E87" s="34"/>
      <c r="F87" s="33"/>
    </row>
    <row r="88" spans="1:6" x14ac:dyDescent="0.2">
      <c r="A88" s="28">
        <v>2000.07</v>
      </c>
      <c r="B88" s="61">
        <v>87.437679927143293</v>
      </c>
      <c r="C88" s="62">
        <v>87.171933453940298</v>
      </c>
      <c r="E88" s="34"/>
      <c r="F88" s="33"/>
    </row>
    <row r="89" spans="1:6" x14ac:dyDescent="0.2">
      <c r="A89" s="28">
        <v>2000.08</v>
      </c>
      <c r="B89" s="61">
        <v>86.969372376845101</v>
      </c>
      <c r="C89" s="62">
        <v>86.796227483173183</v>
      </c>
      <c r="E89" s="34"/>
      <c r="F89" s="33"/>
    </row>
    <row r="90" spans="1:6" x14ac:dyDescent="0.2">
      <c r="A90" s="28">
        <v>2000.09</v>
      </c>
      <c r="B90" s="61">
        <v>86.671829797378294</v>
      </c>
      <c r="C90" s="62">
        <v>86.545306971347415</v>
      </c>
      <c r="E90" s="34"/>
      <c r="F90" s="33"/>
    </row>
    <row r="91" spans="1:6" x14ac:dyDescent="0.2">
      <c r="A91" s="28">
        <v>2000.1</v>
      </c>
      <c r="B91" s="61">
        <v>86.491328925731096</v>
      </c>
      <c r="C91" s="62">
        <v>86.788630395758332</v>
      </c>
      <c r="E91" s="34"/>
      <c r="F91" s="33"/>
    </row>
    <row r="92" spans="1:6" x14ac:dyDescent="0.2">
      <c r="A92" s="28">
        <v>2000.11</v>
      </c>
      <c r="B92" s="61">
        <v>87.232771724748403</v>
      </c>
      <c r="C92" s="62">
        <v>87.226065601012536</v>
      </c>
      <c r="E92" s="34"/>
      <c r="F92" s="33"/>
    </row>
    <row r="93" spans="1:6" x14ac:dyDescent="0.2">
      <c r="A93" s="28">
        <v>2000.12</v>
      </c>
      <c r="B93" s="61">
        <v>87.687305415079607</v>
      </c>
      <c r="C93" s="62">
        <v>87.092315394193648</v>
      </c>
      <c r="E93" s="34"/>
      <c r="F93" s="33"/>
    </row>
    <row r="94" spans="1:6" x14ac:dyDescent="0.2">
      <c r="A94" s="28">
        <v>2001.01</v>
      </c>
      <c r="B94" s="61">
        <v>86.915327820263897</v>
      </c>
      <c r="C94" s="62">
        <v>86.875423600147144</v>
      </c>
      <c r="E94" s="34"/>
      <c r="F94" s="33"/>
    </row>
    <row r="95" spans="1:6" x14ac:dyDescent="0.2">
      <c r="A95" s="28">
        <v>2001.02</v>
      </c>
      <c r="B95" s="61">
        <v>86.242851078360601</v>
      </c>
      <c r="C95" s="62">
        <v>86.416646826990473</v>
      </c>
      <c r="E95" s="34"/>
      <c r="F95" s="33"/>
    </row>
    <row r="96" spans="1:6" x14ac:dyDescent="0.2">
      <c r="A96" s="28">
        <v>2001.03</v>
      </c>
      <c r="B96" s="61">
        <v>86.1834188006993</v>
      </c>
      <c r="C96" s="62">
        <v>86.225042225133095</v>
      </c>
      <c r="E96" s="34"/>
      <c r="F96" s="33"/>
    </row>
    <row r="97" spans="1:6" x14ac:dyDescent="0.2">
      <c r="A97" s="28">
        <v>2001.04</v>
      </c>
      <c r="B97" s="61">
        <v>86.135543002711202</v>
      </c>
      <c r="C97" s="62">
        <v>85.929943636469105</v>
      </c>
      <c r="E97" s="34"/>
      <c r="F97" s="33"/>
    </row>
    <row r="98" spans="1:6" x14ac:dyDescent="0.2">
      <c r="A98" s="28">
        <v>2001.05</v>
      </c>
      <c r="B98" s="61">
        <v>85.681640803840196</v>
      </c>
      <c r="C98" s="62">
        <v>85.244737854245287</v>
      </c>
      <c r="E98" s="34"/>
      <c r="F98" s="33"/>
    </row>
    <row r="99" spans="1:6" x14ac:dyDescent="0.2">
      <c r="A99" s="28">
        <v>2001.06</v>
      </c>
      <c r="B99" s="61">
        <v>84.956072796520402</v>
      </c>
      <c r="C99" s="62">
        <v>84.376607254708745</v>
      </c>
      <c r="E99" s="34"/>
      <c r="F99" s="33"/>
    </row>
    <row r="100" spans="1:6" x14ac:dyDescent="0.2">
      <c r="A100" s="28">
        <v>2001.07</v>
      </c>
      <c r="B100" s="61">
        <v>83.972610546099503</v>
      </c>
      <c r="C100" s="62">
        <v>83.444684588040545</v>
      </c>
      <c r="E100" s="34"/>
      <c r="F100" s="33"/>
    </row>
    <row r="101" spans="1:6" x14ac:dyDescent="0.2">
      <c r="A101" s="28">
        <v>2001.08</v>
      </c>
      <c r="B101" s="61">
        <v>82.823071869262193</v>
      </c>
      <c r="C101" s="62">
        <v>82.472187940199731</v>
      </c>
      <c r="E101" s="34"/>
      <c r="F101" s="33"/>
    </row>
    <row r="102" spans="1:6" x14ac:dyDescent="0.2">
      <c r="A102" s="28">
        <v>2001.09</v>
      </c>
      <c r="B102" s="61">
        <v>81.814275001141496</v>
      </c>
      <c r="C102" s="62">
        <v>81.541886562175208</v>
      </c>
      <c r="E102" s="34"/>
      <c r="F102" s="33"/>
    </row>
    <row r="103" spans="1:6" x14ac:dyDescent="0.2">
      <c r="A103" s="28">
        <v>2001.1</v>
      </c>
      <c r="B103" s="61">
        <v>81.088815068000599</v>
      </c>
      <c r="C103" s="62">
        <v>80.953044184775365</v>
      </c>
      <c r="E103" s="34"/>
      <c r="F103" s="33"/>
    </row>
    <row r="104" spans="1:6" x14ac:dyDescent="0.2">
      <c r="A104" s="28">
        <v>2001.11</v>
      </c>
      <c r="B104" s="61">
        <v>80.665522777184094</v>
      </c>
      <c r="C104" s="62">
        <v>80.467236920277358</v>
      </c>
      <c r="E104" s="34"/>
      <c r="F104" s="33"/>
    </row>
    <row r="105" spans="1:6" x14ac:dyDescent="0.2">
      <c r="A105" s="28">
        <v>2001.12</v>
      </c>
      <c r="B105" s="61">
        <v>79.866405384618105</v>
      </c>
      <c r="C105" s="62">
        <v>79.952827190535672</v>
      </c>
      <c r="E105" s="34"/>
      <c r="F105" s="33"/>
    </row>
    <row r="106" spans="1:6" x14ac:dyDescent="0.2">
      <c r="A106" s="28">
        <v>2002.01</v>
      </c>
      <c r="B106" s="61">
        <v>79.130168277141095</v>
      </c>
      <c r="C106" s="62">
        <v>79.806571945518101</v>
      </c>
      <c r="E106" s="34"/>
      <c r="F106" s="33"/>
    </row>
    <row r="107" spans="1:6" x14ac:dyDescent="0.2">
      <c r="A107" s="28">
        <v>2002.02</v>
      </c>
      <c r="B107" s="61">
        <v>79.604983406401601</v>
      </c>
      <c r="C107" s="62">
        <v>80.279600519111739</v>
      </c>
      <c r="E107" s="34"/>
      <c r="F107" s="33"/>
    </row>
    <row r="108" spans="1:6" x14ac:dyDescent="0.2">
      <c r="A108" s="28">
        <v>2002.03</v>
      </c>
      <c r="B108" s="61">
        <v>80.834016374981005</v>
      </c>
      <c r="C108" s="62">
        <v>81.486686753110007</v>
      </c>
      <c r="E108" s="34"/>
      <c r="F108" s="33"/>
    </row>
    <row r="109" spans="1:6" x14ac:dyDescent="0.2">
      <c r="A109" s="28">
        <v>2002.04</v>
      </c>
      <c r="B109" s="61">
        <v>82.487826651024903</v>
      </c>
      <c r="C109" s="62">
        <v>83.142128951147001</v>
      </c>
      <c r="E109" s="34"/>
      <c r="F109" s="33"/>
    </row>
    <row r="110" spans="1:6" x14ac:dyDescent="0.2">
      <c r="A110" s="28">
        <v>2002.05</v>
      </c>
      <c r="B110" s="61">
        <v>84.182577197205504</v>
      </c>
      <c r="C110" s="62">
        <v>84.52439708399335</v>
      </c>
      <c r="E110" s="34"/>
      <c r="F110" s="33"/>
    </row>
    <row r="111" spans="1:6" x14ac:dyDescent="0.2">
      <c r="A111" s="28">
        <v>2002.06</v>
      </c>
      <c r="B111" s="61">
        <v>85.453259160714595</v>
      </c>
      <c r="C111" s="62">
        <v>85.56719255197531</v>
      </c>
      <c r="E111" s="34"/>
      <c r="F111" s="33"/>
    </row>
    <row r="112" spans="1:6" x14ac:dyDescent="0.2">
      <c r="A112" s="28">
        <v>2002.07</v>
      </c>
      <c r="B112" s="61">
        <v>86.552296252067705</v>
      </c>
      <c r="C112" s="62">
        <v>86.368084154906896</v>
      </c>
      <c r="E112" s="34"/>
      <c r="F112" s="33"/>
    </row>
    <row r="113" spans="1:6" x14ac:dyDescent="0.2">
      <c r="A113" s="28">
        <v>2002.08</v>
      </c>
      <c r="B113" s="61">
        <v>87.163788379645197</v>
      </c>
      <c r="C113" s="62">
        <v>86.620106418444621</v>
      </c>
      <c r="E113" s="34"/>
      <c r="F113" s="33"/>
    </row>
    <row r="114" spans="1:6" x14ac:dyDescent="0.2">
      <c r="A114" s="28">
        <v>2002.09</v>
      </c>
      <c r="B114" s="61">
        <v>86.839747240141193</v>
      </c>
      <c r="C114" s="62">
        <v>86.668656918085318</v>
      </c>
      <c r="E114" s="34"/>
      <c r="F114" s="33"/>
    </row>
    <row r="115" spans="1:6" x14ac:dyDescent="0.2">
      <c r="A115" s="28">
        <v>2002.1</v>
      </c>
      <c r="B115" s="61">
        <v>86.336426626890699</v>
      </c>
      <c r="C115" s="62">
        <v>86.25487826524477</v>
      </c>
      <c r="E115" s="34"/>
      <c r="F115" s="33"/>
    </row>
    <row r="116" spans="1:6" x14ac:dyDescent="0.2">
      <c r="A116" s="28">
        <v>2002.11</v>
      </c>
      <c r="B116" s="61">
        <v>86.102885214114096</v>
      </c>
      <c r="C116" s="62">
        <v>86.188722007860179</v>
      </c>
      <c r="E116" s="34"/>
      <c r="F116" s="33"/>
    </row>
    <row r="117" spans="1:6" x14ac:dyDescent="0.2">
      <c r="A117" s="28">
        <v>2002.12</v>
      </c>
      <c r="B117" s="61">
        <v>86.284333580257496</v>
      </c>
      <c r="C117" s="62">
        <v>86.480400140247184</v>
      </c>
      <c r="E117" s="34"/>
      <c r="F117" s="33"/>
    </row>
    <row r="118" spans="1:6" x14ac:dyDescent="0.2">
      <c r="A118" s="28">
        <v>2003.01</v>
      </c>
      <c r="B118" s="61">
        <v>86.651324078798197</v>
      </c>
      <c r="C118" s="62">
        <v>86.561865189069692</v>
      </c>
      <c r="E118" s="34"/>
      <c r="F118" s="33"/>
    </row>
    <row r="119" spans="1:6" x14ac:dyDescent="0.2">
      <c r="A119" s="28">
        <v>2003.02</v>
      </c>
      <c r="B119" s="61">
        <v>86.527311229625198</v>
      </c>
      <c r="C119" s="62">
        <v>86.354068834458019</v>
      </c>
      <c r="E119" s="34"/>
      <c r="F119" s="33"/>
    </row>
    <row r="120" spans="1:6" x14ac:dyDescent="0.2">
      <c r="A120" s="28">
        <v>2003.03</v>
      </c>
      <c r="B120" s="61">
        <v>85.997179284225695</v>
      </c>
      <c r="C120" s="62">
        <v>86.070332642118387</v>
      </c>
      <c r="E120" s="34"/>
      <c r="F120" s="33"/>
    </row>
    <row r="121" spans="1:6" x14ac:dyDescent="0.2">
      <c r="A121" s="28">
        <v>2003.04</v>
      </c>
      <c r="B121" s="61">
        <v>85.677787346955398</v>
      </c>
      <c r="C121" s="62">
        <v>86.319307923953048</v>
      </c>
      <c r="E121" s="34"/>
      <c r="F121" s="33"/>
    </row>
    <row r="122" spans="1:6" x14ac:dyDescent="0.2">
      <c r="A122" s="28">
        <v>2003.05</v>
      </c>
      <c r="B122" s="61">
        <v>86.705975476618804</v>
      </c>
      <c r="C122" s="62">
        <v>87.594236329433883</v>
      </c>
      <c r="E122" s="34"/>
      <c r="F122" s="33"/>
    </row>
    <row r="123" spans="1:6" x14ac:dyDescent="0.2">
      <c r="A123" s="28">
        <v>2003.06</v>
      </c>
      <c r="B123" s="61">
        <v>89.136419988585502</v>
      </c>
      <c r="C123" s="62">
        <v>89.74248287543314</v>
      </c>
      <c r="E123" s="34"/>
      <c r="F123" s="33"/>
    </row>
    <row r="124" spans="1:6" x14ac:dyDescent="0.2">
      <c r="A124" s="28">
        <v>2003.07</v>
      </c>
      <c r="B124" s="61">
        <v>91.431079733023907</v>
      </c>
      <c r="C124" s="62">
        <v>91.837581366784306</v>
      </c>
      <c r="E124" s="34"/>
      <c r="F124" s="33"/>
    </row>
    <row r="125" spans="1:6" x14ac:dyDescent="0.2">
      <c r="A125" s="28">
        <v>2003.08</v>
      </c>
      <c r="B125" s="61">
        <v>93.040510576641097</v>
      </c>
      <c r="C125" s="62">
        <v>93.648000992062421</v>
      </c>
      <c r="E125" s="34"/>
      <c r="F125" s="33"/>
    </row>
    <row r="126" spans="1:6" x14ac:dyDescent="0.2">
      <c r="A126" s="28">
        <v>2003.09</v>
      </c>
      <c r="B126" s="61">
        <v>94.798099700165807</v>
      </c>
      <c r="C126" s="62">
        <v>95.45861072846975</v>
      </c>
      <c r="E126" s="34"/>
      <c r="F126" s="33"/>
    </row>
    <row r="127" spans="1:6" x14ac:dyDescent="0.2">
      <c r="A127" s="28">
        <v>2003.1</v>
      </c>
      <c r="B127" s="61">
        <v>96.889808580643006</v>
      </c>
      <c r="C127" s="62">
        <v>97.354182183764294</v>
      </c>
      <c r="E127" s="34"/>
      <c r="F127" s="33"/>
    </row>
    <row r="128" spans="1:6" x14ac:dyDescent="0.2">
      <c r="A128" s="28">
        <v>2003.11</v>
      </c>
      <c r="B128" s="61">
        <v>98.437907121038805</v>
      </c>
      <c r="C128" s="62">
        <v>98.666794273662745</v>
      </c>
      <c r="E128" s="34"/>
      <c r="F128" s="33"/>
    </row>
    <row r="129" spans="1:6" x14ac:dyDescent="0.2">
      <c r="A129" s="28">
        <v>2003.12</v>
      </c>
      <c r="B129" s="61">
        <v>99.273417893409203</v>
      </c>
      <c r="C129" s="62">
        <v>99.533443718399283</v>
      </c>
      <c r="E129" s="34"/>
      <c r="F129" s="33"/>
    </row>
    <row r="130" spans="1:6" x14ac:dyDescent="0.2">
      <c r="A130" s="28">
        <v>2004.01</v>
      </c>
      <c r="B130" s="61">
        <v>100.174142546959</v>
      </c>
      <c r="C130" s="62">
        <v>100.35326328192083</v>
      </c>
      <c r="E130" s="34"/>
      <c r="F130" s="33"/>
    </row>
    <row r="131" spans="1:6" x14ac:dyDescent="0.2">
      <c r="A131" s="28">
        <v>2004.02</v>
      </c>
      <c r="B131" s="61">
        <v>101.39207774851801</v>
      </c>
      <c r="C131" s="62">
        <v>101.30110340606048</v>
      </c>
      <c r="E131" s="34"/>
      <c r="F131" s="33"/>
    </row>
    <row r="132" spans="1:6" x14ac:dyDescent="0.2">
      <c r="A132" s="28">
        <v>2004.03</v>
      </c>
      <c r="B132" s="61">
        <v>101.526080086691</v>
      </c>
      <c r="C132" s="62">
        <v>101.53922632175356</v>
      </c>
      <c r="E132" s="34"/>
      <c r="F132" s="33"/>
    </row>
    <row r="133" spans="1:6" x14ac:dyDescent="0.2">
      <c r="A133" s="28">
        <v>2004.04</v>
      </c>
      <c r="B133" s="61">
        <v>101.152569484873</v>
      </c>
      <c r="C133" s="62">
        <v>101.62346482551992</v>
      </c>
      <c r="E133" s="34"/>
      <c r="F133" s="33"/>
    </row>
    <row r="134" spans="1:6" x14ac:dyDescent="0.2">
      <c r="A134" s="28">
        <v>2004.05</v>
      </c>
      <c r="B134" s="61">
        <v>101.39761710926</v>
      </c>
      <c r="C134" s="62">
        <v>101.42314035927173</v>
      </c>
      <c r="E134" s="34"/>
      <c r="F134" s="33"/>
    </row>
    <row r="135" spans="1:6" x14ac:dyDescent="0.2">
      <c r="A135" s="28">
        <v>2004.06</v>
      </c>
      <c r="B135" s="61">
        <v>100.592729796828</v>
      </c>
      <c r="C135" s="62">
        <v>100.1767003907524</v>
      </c>
      <c r="E135" s="34"/>
      <c r="F135" s="33"/>
    </row>
    <row r="136" spans="1:6" x14ac:dyDescent="0.2">
      <c r="A136" s="28">
        <v>2004.07</v>
      </c>
      <c r="B136" s="61">
        <v>99.031500479196794</v>
      </c>
      <c r="C136" s="62">
        <v>99.035962604499773</v>
      </c>
      <c r="E136" s="34"/>
      <c r="F136" s="33"/>
    </row>
    <row r="137" spans="1:6" x14ac:dyDescent="0.2">
      <c r="A137" s="28">
        <v>2004.08</v>
      </c>
      <c r="B137" s="61">
        <v>98.419576796556498</v>
      </c>
      <c r="C137" s="62">
        <v>98.483545674737414</v>
      </c>
      <c r="E137" s="34"/>
      <c r="F137" s="33"/>
    </row>
    <row r="138" spans="1:6" x14ac:dyDescent="0.2">
      <c r="A138" s="28">
        <v>2004.09</v>
      </c>
      <c r="B138" s="61">
        <v>98.407668573405701</v>
      </c>
      <c r="C138" s="62">
        <v>98.377065150103689</v>
      </c>
      <c r="E138" s="34"/>
      <c r="F138" s="33"/>
    </row>
    <row r="139" spans="1:6" x14ac:dyDescent="0.2">
      <c r="A139" s="28">
        <v>2004.1</v>
      </c>
      <c r="B139" s="61">
        <v>98.559174941028601</v>
      </c>
      <c r="C139" s="62">
        <v>98.567300813501291</v>
      </c>
      <c r="E139" s="34"/>
      <c r="F139" s="33"/>
    </row>
    <row r="140" spans="1:6" x14ac:dyDescent="0.2">
      <c r="A140" s="28">
        <v>2004.11</v>
      </c>
      <c r="B140" s="61">
        <v>99.072547451151905</v>
      </c>
      <c r="C140" s="62">
        <v>99.32746520521431</v>
      </c>
      <c r="E140" s="34"/>
      <c r="F140" s="33"/>
    </row>
    <row r="141" spans="1:6" x14ac:dyDescent="0.2">
      <c r="A141" s="28">
        <v>2004.12</v>
      </c>
      <c r="B141" s="61">
        <v>100.27431498553101</v>
      </c>
      <c r="C141" s="62">
        <v>100.67643505591725</v>
      </c>
      <c r="E141" s="34"/>
      <c r="F141" s="33"/>
    </row>
    <row r="142" spans="1:6" x14ac:dyDescent="0.2">
      <c r="A142" s="28">
        <v>2005.01</v>
      </c>
      <c r="B142" s="61">
        <v>101.982706040897</v>
      </c>
      <c r="C142" s="62">
        <v>102.16036396971488</v>
      </c>
      <c r="E142" s="34"/>
      <c r="F142" s="33"/>
    </row>
    <row r="143" spans="1:6" x14ac:dyDescent="0.2">
      <c r="A143" s="28">
        <v>2005.02</v>
      </c>
      <c r="B143" s="61">
        <v>103.63221895968999</v>
      </c>
      <c r="C143" s="62">
        <v>103.72492002514844</v>
      </c>
      <c r="E143" s="34"/>
      <c r="F143" s="33"/>
    </row>
    <row r="144" spans="1:6" x14ac:dyDescent="0.2">
      <c r="A144" s="28">
        <v>2005.03</v>
      </c>
      <c r="B144" s="61">
        <v>104.704044179889</v>
      </c>
      <c r="C144" s="62">
        <v>104.78150082153782</v>
      </c>
      <c r="E144" s="34"/>
      <c r="F144" s="33"/>
    </row>
    <row r="145" spans="1:6" x14ac:dyDescent="0.2">
      <c r="A145" s="28">
        <v>2005.04</v>
      </c>
      <c r="B145" s="61">
        <v>104.717882045633</v>
      </c>
      <c r="C145" s="62">
        <v>105.04204720462052</v>
      </c>
      <c r="E145" s="34"/>
      <c r="F145" s="33"/>
    </row>
    <row r="146" spans="1:6" x14ac:dyDescent="0.2">
      <c r="A146" s="28">
        <v>2005.05</v>
      </c>
      <c r="B146" s="61">
        <v>104.23628294676099</v>
      </c>
      <c r="C146" s="62">
        <v>105.08326282643799</v>
      </c>
      <c r="E146" s="34"/>
      <c r="F146" s="33"/>
    </row>
    <row r="147" spans="1:6" x14ac:dyDescent="0.2">
      <c r="A147" s="28">
        <v>2005.06</v>
      </c>
      <c r="B147" s="61">
        <v>104.812586072763</v>
      </c>
      <c r="C147" s="62">
        <v>105.88172516912788</v>
      </c>
      <c r="E147" s="34"/>
      <c r="F147" s="33"/>
    </row>
    <row r="148" spans="1:6" x14ac:dyDescent="0.2">
      <c r="A148" s="28">
        <v>2005.07</v>
      </c>
      <c r="B148" s="61">
        <v>106.208505780126</v>
      </c>
      <c r="C148" s="62">
        <v>106.69840089775236</v>
      </c>
      <c r="E148" s="34"/>
      <c r="F148" s="33"/>
    </row>
    <row r="149" spans="1:6" x14ac:dyDescent="0.2">
      <c r="A149" s="28">
        <v>2005.08</v>
      </c>
      <c r="B149" s="61">
        <v>107.290690379078</v>
      </c>
      <c r="C149" s="62">
        <v>107.70113915924753</v>
      </c>
      <c r="E149" s="34"/>
      <c r="F149" s="33"/>
    </row>
    <row r="150" spans="1:6" x14ac:dyDescent="0.2">
      <c r="A150" s="28">
        <v>2005.09</v>
      </c>
      <c r="B150" s="61">
        <v>108.22975194740199</v>
      </c>
      <c r="C150" s="62">
        <v>108.3298140003733</v>
      </c>
      <c r="E150" s="34"/>
      <c r="F150" s="33"/>
    </row>
    <row r="151" spans="1:6" x14ac:dyDescent="0.2">
      <c r="A151" s="28">
        <v>2005.1</v>
      </c>
      <c r="B151" s="61">
        <v>108.89718672925299</v>
      </c>
      <c r="C151" s="62">
        <v>108.9411113979786</v>
      </c>
      <c r="E151" s="34"/>
      <c r="F151" s="33"/>
    </row>
    <row r="152" spans="1:6" x14ac:dyDescent="0.2">
      <c r="A152" s="28">
        <v>2005.11</v>
      </c>
      <c r="B152" s="61">
        <v>109.713779459935</v>
      </c>
      <c r="C152" s="62">
        <v>109.38013865319469</v>
      </c>
      <c r="E152" s="34"/>
      <c r="F152" s="33"/>
    </row>
    <row r="153" spans="1:6" x14ac:dyDescent="0.2">
      <c r="A153" s="28">
        <v>2005.12</v>
      </c>
      <c r="B153" s="61">
        <v>110.61608485501201</v>
      </c>
      <c r="C153" s="62">
        <v>109.18944864392445</v>
      </c>
      <c r="E153" s="34"/>
      <c r="F153" s="33"/>
    </row>
    <row r="154" spans="1:6" x14ac:dyDescent="0.2">
      <c r="A154" s="28">
        <v>2006.01</v>
      </c>
      <c r="B154" s="61">
        <v>109.75014321327301</v>
      </c>
      <c r="C154" s="62">
        <v>108.73010921583567</v>
      </c>
      <c r="E154" s="34"/>
      <c r="F154" s="33"/>
    </row>
    <row r="155" spans="1:6" x14ac:dyDescent="0.2">
      <c r="A155" s="28">
        <v>2006.02</v>
      </c>
      <c r="B155" s="61">
        <v>108.147556676284</v>
      </c>
      <c r="C155" s="62">
        <v>107.62622494080649</v>
      </c>
      <c r="E155" s="34"/>
      <c r="F155" s="33"/>
    </row>
    <row r="156" spans="1:6" x14ac:dyDescent="0.2">
      <c r="A156" s="28">
        <v>2006.03</v>
      </c>
      <c r="B156" s="61">
        <v>107.50638293128701</v>
      </c>
      <c r="C156" s="62">
        <v>107.36633105889923</v>
      </c>
      <c r="E156" s="34"/>
      <c r="F156" s="33"/>
    </row>
    <row r="157" spans="1:6" x14ac:dyDescent="0.2">
      <c r="A157" s="28">
        <v>2006.04</v>
      </c>
      <c r="B157" s="61">
        <v>106.900906931921</v>
      </c>
      <c r="C157" s="62">
        <v>107.42683508567939</v>
      </c>
      <c r="E157" s="34"/>
      <c r="F157" s="33"/>
    </row>
    <row r="158" spans="1:6" x14ac:dyDescent="0.2">
      <c r="A158" s="28">
        <v>2006.05</v>
      </c>
      <c r="B158" s="61">
        <v>106.907326491812</v>
      </c>
      <c r="C158" s="62">
        <v>108.14454564691499</v>
      </c>
      <c r="E158" s="34"/>
      <c r="F158" s="33"/>
    </row>
    <row r="159" spans="1:6" x14ac:dyDescent="0.2">
      <c r="A159" s="28">
        <v>2006.06</v>
      </c>
      <c r="B159" s="61">
        <v>108.570279322991</v>
      </c>
      <c r="C159" s="62">
        <v>109.4422183665955</v>
      </c>
      <c r="E159" s="34"/>
      <c r="F159" s="33"/>
    </row>
    <row r="160" spans="1:6" x14ac:dyDescent="0.2">
      <c r="A160" s="28">
        <v>2006.07</v>
      </c>
      <c r="B160" s="61">
        <v>110.305675217174</v>
      </c>
      <c r="C160" s="62">
        <v>110.79814124128052</v>
      </c>
      <c r="E160" s="34"/>
      <c r="F160" s="33"/>
    </row>
    <row r="161" spans="1:6" x14ac:dyDescent="0.2">
      <c r="A161" s="28">
        <v>2006.08</v>
      </c>
      <c r="B161" s="61">
        <v>111.082340893671</v>
      </c>
      <c r="C161" s="62">
        <v>111.30841086223711</v>
      </c>
      <c r="E161" s="34"/>
      <c r="F161" s="33"/>
    </row>
    <row r="162" spans="1:6" x14ac:dyDescent="0.2">
      <c r="A162" s="28">
        <v>2006.09</v>
      </c>
      <c r="B162" s="61">
        <v>111.326753804213</v>
      </c>
      <c r="C162" s="62">
        <v>111.06938616851802</v>
      </c>
      <c r="E162" s="34"/>
      <c r="F162" s="33"/>
    </row>
    <row r="163" spans="1:6" x14ac:dyDescent="0.2">
      <c r="A163" s="28">
        <v>2006.1</v>
      </c>
      <c r="B163" s="61">
        <v>110.863281089644</v>
      </c>
      <c r="C163" s="62">
        <v>110.26111228989339</v>
      </c>
      <c r="E163" s="34"/>
      <c r="F163" s="33"/>
    </row>
    <row r="164" spans="1:6" x14ac:dyDescent="0.2">
      <c r="A164" s="28">
        <v>2006.11</v>
      </c>
      <c r="B164" s="61">
        <v>109.675943298295</v>
      </c>
      <c r="C164" s="62">
        <v>109.18850876495827</v>
      </c>
      <c r="E164" s="34"/>
      <c r="F164" s="33"/>
    </row>
    <row r="165" spans="1:6" x14ac:dyDescent="0.2">
      <c r="A165" s="28">
        <v>2006.12</v>
      </c>
      <c r="B165" s="61">
        <v>108.841134901663</v>
      </c>
      <c r="C165" s="62">
        <v>108.61110399442494</v>
      </c>
      <c r="E165" s="34"/>
      <c r="F165" s="33"/>
    </row>
    <row r="166" spans="1:6" x14ac:dyDescent="0.2">
      <c r="A166" s="28">
        <v>2007.01</v>
      </c>
      <c r="B166" s="61">
        <v>108.991458428116</v>
      </c>
      <c r="C166" s="62">
        <v>108.73580138025461</v>
      </c>
      <c r="E166" s="34"/>
      <c r="F166" s="33"/>
    </row>
    <row r="167" spans="1:6" x14ac:dyDescent="0.2">
      <c r="A167" s="28">
        <v>2007.02</v>
      </c>
      <c r="B167" s="61">
        <v>109.56397088515099</v>
      </c>
      <c r="C167" s="62">
        <v>109.44724026631366</v>
      </c>
      <c r="E167" s="34"/>
      <c r="F167" s="33"/>
    </row>
    <row r="168" spans="1:6" x14ac:dyDescent="0.2">
      <c r="A168" s="28">
        <v>2007.03</v>
      </c>
      <c r="B168" s="61">
        <v>109.940457262979</v>
      </c>
      <c r="C168" s="62">
        <v>110.00988704943774</v>
      </c>
      <c r="E168" s="34"/>
      <c r="F168" s="33"/>
    </row>
    <row r="169" spans="1:6" x14ac:dyDescent="0.2">
      <c r="A169" s="28">
        <v>2007.04</v>
      </c>
      <c r="B169" s="61">
        <v>110.018516750251</v>
      </c>
      <c r="C169" s="62">
        <v>110.31755743732288</v>
      </c>
      <c r="E169" s="34"/>
      <c r="F169" s="33"/>
    </row>
    <row r="170" spans="1:6" x14ac:dyDescent="0.2">
      <c r="A170" s="28">
        <v>2007.05</v>
      </c>
      <c r="B170" s="61">
        <v>110.075053330735</v>
      </c>
      <c r="C170" s="62">
        <v>110.26834200558392</v>
      </c>
      <c r="E170" s="34"/>
      <c r="F170" s="33"/>
    </row>
    <row r="171" spans="1:6" x14ac:dyDescent="0.2">
      <c r="A171" s="28">
        <v>2007.06</v>
      </c>
      <c r="B171" s="61">
        <v>109.571301599027</v>
      </c>
      <c r="C171" s="62">
        <v>109.55158634039736</v>
      </c>
      <c r="E171" s="34"/>
      <c r="F171" s="33"/>
    </row>
    <row r="172" spans="1:6" x14ac:dyDescent="0.2">
      <c r="A172" s="28">
        <v>2007.07</v>
      </c>
      <c r="B172" s="61">
        <v>108.54194290257701</v>
      </c>
      <c r="C172" s="62">
        <v>108.92873394217007</v>
      </c>
      <c r="E172" s="34"/>
      <c r="F172" s="33"/>
    </row>
    <row r="173" spans="1:6" x14ac:dyDescent="0.2">
      <c r="A173" s="28">
        <v>2007.08</v>
      </c>
      <c r="B173" s="61">
        <v>108.780794583101</v>
      </c>
      <c r="C173" s="62">
        <v>109.51977720666055</v>
      </c>
      <c r="E173" s="34"/>
      <c r="F173" s="33"/>
    </row>
    <row r="174" spans="1:6" x14ac:dyDescent="0.2">
      <c r="A174" s="28">
        <v>2007.09</v>
      </c>
      <c r="B174" s="61">
        <v>110.520012364938</v>
      </c>
      <c r="C174" s="62">
        <v>111.32061756075721</v>
      </c>
      <c r="E174" s="34"/>
      <c r="F174" s="33"/>
    </row>
    <row r="175" spans="1:6" x14ac:dyDescent="0.2">
      <c r="A175" s="28">
        <v>2007.1</v>
      </c>
      <c r="B175" s="61">
        <v>113.14796757542901</v>
      </c>
      <c r="C175" s="62">
        <v>113.61752825670733</v>
      </c>
      <c r="E175" s="34"/>
      <c r="F175" s="33"/>
    </row>
    <row r="176" spans="1:6" x14ac:dyDescent="0.2">
      <c r="A176" s="28">
        <v>2007.11</v>
      </c>
      <c r="B176" s="61">
        <v>115.549511351524</v>
      </c>
      <c r="C176" s="62">
        <v>115.0867903771461</v>
      </c>
      <c r="E176" s="34"/>
      <c r="F176" s="33"/>
    </row>
    <row r="177" spans="1:6" x14ac:dyDescent="0.2">
      <c r="A177" s="28">
        <v>2007.12</v>
      </c>
      <c r="B177" s="61">
        <v>116.24348582086201</v>
      </c>
      <c r="C177" s="62">
        <v>115.83283846809269</v>
      </c>
      <c r="E177" s="35"/>
      <c r="F177" s="33"/>
    </row>
    <row r="178" spans="1:6" x14ac:dyDescent="0.2">
      <c r="A178" s="28">
        <f t="shared" ref="A178:A241" si="0">A166+1</f>
        <v>2008.01</v>
      </c>
      <c r="B178" s="61">
        <v>115.980237831406</v>
      </c>
      <c r="C178" s="62">
        <v>115.32248570849947</v>
      </c>
      <c r="E178" s="34"/>
      <c r="F178" s="33"/>
    </row>
    <row r="179" spans="1:6" x14ac:dyDescent="0.2">
      <c r="A179" s="28">
        <f t="shared" si="0"/>
        <v>2008.02</v>
      </c>
      <c r="B179" s="61">
        <v>115.06187670644699</v>
      </c>
      <c r="C179" s="62">
        <v>114.70635124220711</v>
      </c>
      <c r="E179" s="34"/>
      <c r="F179" s="33"/>
    </row>
    <row r="180" spans="1:6" x14ac:dyDescent="0.2">
      <c r="A180" s="28">
        <f t="shared" si="0"/>
        <v>2008.03</v>
      </c>
      <c r="B180" s="61">
        <v>113.73159017261</v>
      </c>
      <c r="C180" s="62">
        <v>113.70880236008848</v>
      </c>
      <c r="E180" s="34"/>
      <c r="F180" s="33"/>
    </row>
    <row r="181" spans="1:6" x14ac:dyDescent="0.2">
      <c r="A181" s="28">
        <f t="shared" si="0"/>
        <v>2008.04</v>
      </c>
      <c r="B181" s="61">
        <v>112.731928337067</v>
      </c>
      <c r="C181" s="62">
        <v>112.78584168524711</v>
      </c>
      <c r="E181" s="34"/>
      <c r="F181" s="33"/>
    </row>
    <row r="182" spans="1:6" x14ac:dyDescent="0.2">
      <c r="A182" s="28">
        <f t="shared" si="0"/>
        <v>2008.05</v>
      </c>
      <c r="B182" s="61">
        <v>111.96329892148199</v>
      </c>
      <c r="C182" s="62">
        <v>112.27422089139969</v>
      </c>
      <c r="E182" s="34"/>
      <c r="F182" s="33"/>
    </row>
    <row r="183" spans="1:6" x14ac:dyDescent="0.2">
      <c r="A183" s="28">
        <f t="shared" si="0"/>
        <v>2008.06</v>
      </c>
      <c r="B183" s="61">
        <v>112.076918782381</v>
      </c>
      <c r="C183" s="62">
        <v>112.4218134830933</v>
      </c>
      <c r="E183" s="34"/>
      <c r="F183" s="33"/>
    </row>
    <row r="184" spans="1:6" x14ac:dyDescent="0.2">
      <c r="A184" s="28">
        <f t="shared" si="0"/>
        <v>2008.07</v>
      </c>
      <c r="B184" s="61">
        <v>112.856102270427</v>
      </c>
      <c r="C184" s="62">
        <v>112.8710140571112</v>
      </c>
      <c r="E184" s="34"/>
      <c r="F184" s="33"/>
    </row>
    <row r="185" spans="1:6" x14ac:dyDescent="0.2">
      <c r="A185" s="28">
        <f t="shared" si="0"/>
        <v>2008.08</v>
      </c>
      <c r="B185" s="61">
        <v>113.16637257452599</v>
      </c>
      <c r="C185" s="62">
        <v>112.82483130635417</v>
      </c>
      <c r="E185" s="34"/>
      <c r="F185" s="33"/>
    </row>
    <row r="186" spans="1:6" x14ac:dyDescent="0.2">
      <c r="A186" s="28">
        <f t="shared" si="0"/>
        <v>2008.09</v>
      </c>
      <c r="B186" s="61">
        <v>112.130095167161</v>
      </c>
      <c r="C186" s="62">
        <v>111.9582208871918</v>
      </c>
      <c r="E186" s="34"/>
      <c r="F186" s="33"/>
    </row>
    <row r="187" spans="1:6" x14ac:dyDescent="0.2">
      <c r="A187" s="28">
        <f t="shared" si="0"/>
        <v>2008.1</v>
      </c>
      <c r="B187" s="61">
        <v>110.509179283322</v>
      </c>
      <c r="C187" s="62">
        <v>110.76326981671168</v>
      </c>
      <c r="E187" s="34"/>
      <c r="F187" s="33"/>
    </row>
    <row r="188" spans="1:6" x14ac:dyDescent="0.2">
      <c r="A188" s="28">
        <f t="shared" si="0"/>
        <v>2008.11</v>
      </c>
      <c r="B188" s="61">
        <v>109.626103958691</v>
      </c>
      <c r="C188" s="62">
        <v>109.82736876369218</v>
      </c>
      <c r="E188" s="34"/>
      <c r="F188" s="33"/>
    </row>
    <row r="189" spans="1:6" x14ac:dyDescent="0.2">
      <c r="A189" s="28">
        <f t="shared" si="0"/>
        <v>2008.12</v>
      </c>
      <c r="B189" s="61">
        <v>109.141074807038</v>
      </c>
      <c r="C189" s="62">
        <v>109.31318083803782</v>
      </c>
      <c r="E189" s="35"/>
      <c r="F189" s="33"/>
    </row>
    <row r="190" spans="1:6" x14ac:dyDescent="0.2">
      <c r="A190" s="28">
        <f t="shared" si="0"/>
        <v>2009.01</v>
      </c>
      <c r="B190" s="61">
        <v>109.36730409318</v>
      </c>
      <c r="C190" s="62">
        <v>109.14220364698167</v>
      </c>
      <c r="E190" s="34"/>
      <c r="F190" s="33"/>
    </row>
    <row r="191" spans="1:6" x14ac:dyDescent="0.2">
      <c r="A191" s="28">
        <f t="shared" si="0"/>
        <v>2009.02</v>
      </c>
      <c r="B191" s="61">
        <v>109.29472658546101</v>
      </c>
      <c r="C191" s="62">
        <v>108.87718064094747</v>
      </c>
      <c r="E191" s="34"/>
      <c r="F191" s="33"/>
    </row>
    <row r="192" spans="1:6" x14ac:dyDescent="0.2">
      <c r="A192" s="28">
        <f t="shared" si="0"/>
        <v>2009.03</v>
      </c>
      <c r="B192" s="61">
        <v>108.28469091113701</v>
      </c>
      <c r="C192" s="62">
        <v>108.29410711730998</v>
      </c>
      <c r="E192" s="34"/>
      <c r="F192" s="33"/>
    </row>
    <row r="193" spans="1:6" x14ac:dyDescent="0.2">
      <c r="A193" s="28">
        <f t="shared" si="0"/>
        <v>2009.04</v>
      </c>
      <c r="B193" s="61">
        <v>107.947558306307</v>
      </c>
      <c r="C193" s="62">
        <v>107.69157041370673</v>
      </c>
      <c r="E193" s="34"/>
      <c r="F193" s="33"/>
    </row>
    <row r="194" spans="1:6" x14ac:dyDescent="0.2">
      <c r="A194" s="28">
        <f t="shared" si="0"/>
        <v>2009.05</v>
      </c>
      <c r="B194" s="61">
        <v>107.339241749374</v>
      </c>
      <c r="C194" s="62">
        <v>107.03757374674166</v>
      </c>
      <c r="E194" s="34"/>
      <c r="F194" s="33"/>
    </row>
    <row r="195" spans="1:6" x14ac:dyDescent="0.2">
      <c r="A195" s="28">
        <f t="shared" si="0"/>
        <v>2009.06</v>
      </c>
      <c r="B195" s="61">
        <v>106.036075206704</v>
      </c>
      <c r="C195" s="62">
        <v>106.17071059193279</v>
      </c>
      <c r="E195" s="34"/>
      <c r="F195" s="33"/>
    </row>
    <row r="196" spans="1:6" x14ac:dyDescent="0.2">
      <c r="A196" s="28">
        <f t="shared" si="0"/>
        <v>2009.07</v>
      </c>
      <c r="B196" s="61">
        <v>105.059292760701</v>
      </c>
      <c r="C196" s="62">
        <v>105.05583076852633</v>
      </c>
      <c r="E196" s="34"/>
      <c r="F196" s="33"/>
    </row>
    <row r="197" spans="1:6" x14ac:dyDescent="0.2">
      <c r="A197" s="28">
        <f t="shared" si="0"/>
        <v>2009.08</v>
      </c>
      <c r="B197" s="61">
        <v>103.447900558976</v>
      </c>
      <c r="C197" s="62">
        <v>104.00540689593552</v>
      </c>
      <c r="E197" s="34"/>
      <c r="F197" s="33"/>
    </row>
    <row r="198" spans="1:6" x14ac:dyDescent="0.2">
      <c r="A198" s="28">
        <f t="shared" si="0"/>
        <v>2009.09</v>
      </c>
      <c r="B198" s="61">
        <v>102.228545780009</v>
      </c>
      <c r="C198" s="62">
        <v>103.51695808921521</v>
      </c>
      <c r="E198" s="34"/>
      <c r="F198" s="33"/>
    </row>
    <row r="199" spans="1:6" x14ac:dyDescent="0.2">
      <c r="A199" s="28">
        <f t="shared" si="0"/>
        <v>2009.1</v>
      </c>
      <c r="B199" s="61">
        <v>103.088978405362</v>
      </c>
      <c r="C199" s="62">
        <v>103.70591122847824</v>
      </c>
      <c r="E199" s="34"/>
      <c r="F199" s="33"/>
    </row>
    <row r="200" spans="1:6" x14ac:dyDescent="0.2">
      <c r="A200" s="28">
        <f t="shared" si="0"/>
        <v>2009.11</v>
      </c>
      <c r="B200" s="61">
        <v>104.282761944527</v>
      </c>
      <c r="C200" s="62">
        <v>104.48962275415252</v>
      </c>
      <c r="E200" s="34"/>
      <c r="F200" s="33"/>
    </row>
    <row r="201" spans="1:6" x14ac:dyDescent="0.2">
      <c r="A201" s="28">
        <f t="shared" si="0"/>
        <v>2009.12</v>
      </c>
      <c r="B201" s="61">
        <v>105.22272523932099</v>
      </c>
      <c r="C201" s="62">
        <v>105.34194289721202</v>
      </c>
      <c r="E201" s="35"/>
      <c r="F201" s="33"/>
    </row>
    <row r="202" spans="1:6" x14ac:dyDescent="0.2">
      <c r="A202" s="28">
        <f t="shared" si="0"/>
        <v>2010.01</v>
      </c>
      <c r="B202" s="61">
        <v>105.942411366992</v>
      </c>
      <c r="C202" s="62">
        <v>105.94307149031835</v>
      </c>
      <c r="E202" s="34"/>
      <c r="F202" s="33"/>
    </row>
    <row r="203" spans="1:6" x14ac:dyDescent="0.2">
      <c r="A203" s="28">
        <f t="shared" si="0"/>
        <v>2010.02</v>
      </c>
      <c r="B203" s="61">
        <v>106.660354107988</v>
      </c>
      <c r="C203" s="62">
        <v>106.81023615066736</v>
      </c>
      <c r="E203" s="34"/>
      <c r="F203" s="33"/>
    </row>
    <row r="204" spans="1:6" x14ac:dyDescent="0.2">
      <c r="A204" s="28">
        <f t="shared" si="0"/>
        <v>2010.03</v>
      </c>
      <c r="B204" s="61">
        <v>108.53497648406901</v>
      </c>
      <c r="C204" s="62">
        <v>108.48337192716606</v>
      </c>
      <c r="E204" s="34"/>
      <c r="F204" s="33"/>
    </row>
    <row r="205" spans="1:6" x14ac:dyDescent="0.2">
      <c r="A205" s="28">
        <f t="shared" si="0"/>
        <v>2010.04</v>
      </c>
      <c r="B205" s="61">
        <v>111.165402470853</v>
      </c>
      <c r="C205" s="62">
        <v>110.61742162419374</v>
      </c>
      <c r="E205" s="34"/>
      <c r="F205" s="33"/>
    </row>
    <row r="206" spans="1:6" x14ac:dyDescent="0.2">
      <c r="A206" s="28">
        <f t="shared" si="0"/>
        <v>2010.05</v>
      </c>
      <c r="B206" s="61">
        <v>113.05182065875</v>
      </c>
      <c r="C206" s="62">
        <v>112.38663135843935</v>
      </c>
      <c r="E206" s="34"/>
      <c r="F206" s="33"/>
    </row>
    <row r="207" spans="1:6" x14ac:dyDescent="0.2">
      <c r="A207" s="28">
        <f t="shared" si="0"/>
        <v>2010.06</v>
      </c>
      <c r="B207" s="61">
        <v>113.609877048656</v>
      </c>
      <c r="C207" s="62">
        <v>113.5676215476516</v>
      </c>
      <c r="E207" s="34"/>
      <c r="F207" s="33"/>
    </row>
    <row r="208" spans="1:6" x14ac:dyDescent="0.2">
      <c r="A208" s="28">
        <f t="shared" si="0"/>
        <v>2010.07</v>
      </c>
      <c r="B208" s="61">
        <v>114.276574721423</v>
      </c>
      <c r="C208" s="62">
        <v>114.44939460288819</v>
      </c>
      <c r="E208" s="34"/>
      <c r="F208" s="33"/>
    </row>
    <row r="209" spans="1:6" x14ac:dyDescent="0.2">
      <c r="A209" s="28">
        <f t="shared" si="0"/>
        <v>2010.08</v>
      </c>
      <c r="B209" s="61">
        <v>115.041275126729</v>
      </c>
      <c r="C209" s="62">
        <v>114.84605300469585</v>
      </c>
      <c r="E209" s="34"/>
      <c r="F209" s="33"/>
    </row>
    <row r="210" spans="1:6" x14ac:dyDescent="0.2">
      <c r="A210" s="28">
        <f t="shared" si="0"/>
        <v>2010.09</v>
      </c>
      <c r="B210" s="61">
        <v>114.56627024885501</v>
      </c>
      <c r="C210" s="62">
        <v>114.47086340294</v>
      </c>
      <c r="E210" s="34"/>
      <c r="F210" s="33"/>
    </row>
    <row r="211" spans="1:6" x14ac:dyDescent="0.2">
      <c r="A211" s="28">
        <f t="shared" si="0"/>
        <v>2010.1</v>
      </c>
      <c r="B211" s="61">
        <v>113.516813251651</v>
      </c>
      <c r="C211" s="62">
        <v>113.73210741820955</v>
      </c>
      <c r="E211" s="34"/>
      <c r="F211" s="33"/>
    </row>
    <row r="212" spans="1:6" x14ac:dyDescent="0.2">
      <c r="A212" s="28">
        <f t="shared" si="0"/>
        <v>2010.11</v>
      </c>
      <c r="B212" s="61">
        <v>112.479224605412</v>
      </c>
      <c r="C212" s="62">
        <v>113.08311905654051</v>
      </c>
      <c r="E212" s="34"/>
      <c r="F212" s="33"/>
    </row>
    <row r="213" spans="1:6" x14ac:dyDescent="0.2">
      <c r="A213" s="28">
        <f t="shared" si="0"/>
        <v>2010.12</v>
      </c>
      <c r="B213" s="61">
        <v>112.096560088931</v>
      </c>
      <c r="C213" s="62">
        <v>112.89325499341233</v>
      </c>
      <c r="E213" s="35"/>
      <c r="F213" s="33"/>
    </row>
    <row r="214" spans="1:6" x14ac:dyDescent="0.2">
      <c r="A214" s="28">
        <f t="shared" si="0"/>
        <v>2011.01</v>
      </c>
      <c r="B214" s="61">
        <v>113.07169130961501</v>
      </c>
      <c r="C214" s="62">
        <v>113.33391151857175</v>
      </c>
      <c r="E214" s="34"/>
      <c r="F214" s="33"/>
    </row>
    <row r="215" spans="1:6" x14ac:dyDescent="0.2">
      <c r="A215" s="28">
        <f t="shared" si="0"/>
        <v>2011.02</v>
      </c>
      <c r="B215" s="61">
        <v>114.241411814701</v>
      </c>
      <c r="C215" s="62">
        <v>114.16899605070334</v>
      </c>
      <c r="E215" s="34"/>
      <c r="F215" s="33"/>
    </row>
    <row r="216" spans="1:6" x14ac:dyDescent="0.2">
      <c r="A216" s="28">
        <f t="shared" si="0"/>
        <v>2011.03</v>
      </c>
      <c r="B216" s="61">
        <v>115.31248017711501</v>
      </c>
      <c r="C216" s="62">
        <v>115.04470690416271</v>
      </c>
      <c r="E216" s="34"/>
      <c r="F216" s="33"/>
    </row>
    <row r="217" spans="1:6" x14ac:dyDescent="0.2">
      <c r="A217" s="28">
        <f t="shared" si="0"/>
        <v>2011.04</v>
      </c>
      <c r="B217" s="61">
        <v>116.45982703492101</v>
      </c>
      <c r="C217" s="62">
        <v>115.59047726562922</v>
      </c>
      <c r="E217" s="34"/>
      <c r="F217" s="33"/>
    </row>
    <row r="218" spans="1:6" x14ac:dyDescent="0.2">
      <c r="A218" s="28">
        <f t="shared" si="0"/>
        <v>2011.05</v>
      </c>
      <c r="B218" s="61">
        <v>116.30810416915701</v>
      </c>
      <c r="C218" s="62">
        <v>115.57417594352924</v>
      </c>
      <c r="E218" s="34"/>
      <c r="F218" s="33"/>
    </row>
    <row r="219" spans="1:6" x14ac:dyDescent="0.2">
      <c r="A219" s="28">
        <f t="shared" si="0"/>
        <v>2011.06</v>
      </c>
      <c r="B219" s="61">
        <v>115.243099213204</v>
      </c>
      <c r="C219" s="62">
        <v>115.25232904049761</v>
      </c>
      <c r="E219" s="34"/>
      <c r="F219" s="33"/>
    </row>
    <row r="220" spans="1:6" x14ac:dyDescent="0.2">
      <c r="A220" s="28">
        <f t="shared" si="0"/>
        <v>2011.07</v>
      </c>
      <c r="B220" s="61">
        <v>114.79313421163501</v>
      </c>
      <c r="C220" s="62">
        <v>115.27287255513455</v>
      </c>
      <c r="E220" s="34"/>
      <c r="F220" s="33"/>
    </row>
    <row r="221" spans="1:6" x14ac:dyDescent="0.2">
      <c r="A221" s="28">
        <f t="shared" si="0"/>
        <v>2011.08</v>
      </c>
      <c r="B221" s="61">
        <v>115.718757933175</v>
      </c>
      <c r="C221" s="62">
        <v>115.97732512482867</v>
      </c>
      <c r="E221" s="34"/>
      <c r="F221" s="33"/>
    </row>
    <row r="222" spans="1:6" x14ac:dyDescent="0.2">
      <c r="A222" s="28">
        <f t="shared" si="0"/>
        <v>2011.09</v>
      </c>
      <c r="B222" s="61">
        <v>117.421630551563</v>
      </c>
      <c r="C222" s="62">
        <v>117.02190539106232</v>
      </c>
      <c r="E222" s="34"/>
      <c r="F222" s="33"/>
    </row>
    <row r="223" spans="1:6" x14ac:dyDescent="0.2">
      <c r="A223" s="28">
        <f t="shared" si="0"/>
        <v>2011.1</v>
      </c>
      <c r="B223" s="61">
        <v>117.664176060765</v>
      </c>
      <c r="C223" s="62">
        <v>117.70937919947119</v>
      </c>
      <c r="E223" s="34"/>
      <c r="F223" s="33"/>
    </row>
    <row r="224" spans="1:6" x14ac:dyDescent="0.2">
      <c r="A224" s="28">
        <f t="shared" si="0"/>
        <v>2011.11</v>
      </c>
      <c r="B224" s="61">
        <v>117.402795848328</v>
      </c>
      <c r="C224" s="62">
        <v>117.91635542232694</v>
      </c>
      <c r="E224" s="34"/>
      <c r="F224" s="33"/>
    </row>
    <row r="225" spans="1:6" x14ac:dyDescent="0.2">
      <c r="A225" s="28">
        <f t="shared" si="0"/>
        <v>2011.12</v>
      </c>
      <c r="B225" s="61">
        <v>117.590330871506</v>
      </c>
      <c r="C225" s="62">
        <v>117.89378161284178</v>
      </c>
      <c r="E225" s="35"/>
      <c r="F225" s="33"/>
    </row>
    <row r="226" spans="1:6" x14ac:dyDescent="0.2">
      <c r="A226" s="28">
        <f t="shared" si="0"/>
        <v>2012.01</v>
      </c>
      <c r="B226" s="61">
        <v>117.290208117257</v>
      </c>
      <c r="C226" s="62">
        <v>117.5571326981067</v>
      </c>
      <c r="E226" s="34"/>
      <c r="F226" s="33"/>
    </row>
    <row r="227" spans="1:6" x14ac:dyDescent="0.2">
      <c r="A227" s="28">
        <f t="shared" si="0"/>
        <v>2012.02</v>
      </c>
      <c r="B227" s="61">
        <v>116.87963798631201</v>
      </c>
      <c r="C227" s="62">
        <v>116.57357832878415</v>
      </c>
      <c r="E227" s="34"/>
      <c r="F227" s="33"/>
    </row>
    <row r="228" spans="1:6" x14ac:dyDescent="0.2">
      <c r="A228" s="28">
        <f t="shared" si="0"/>
        <v>2012.03</v>
      </c>
      <c r="B228" s="61">
        <v>115.032814923695</v>
      </c>
      <c r="C228" s="62">
        <v>114.44534022460705</v>
      </c>
      <c r="E228" s="34"/>
      <c r="F228" s="33"/>
    </row>
    <row r="229" spans="1:6" x14ac:dyDescent="0.2">
      <c r="A229" s="28">
        <f t="shared" si="0"/>
        <v>2012.04</v>
      </c>
      <c r="B229" s="61">
        <v>111.63549566859901</v>
      </c>
      <c r="C229" s="62">
        <v>111.46298498887329</v>
      </c>
      <c r="E229" s="34"/>
      <c r="F229" s="33"/>
    </row>
    <row r="230" spans="1:6" x14ac:dyDescent="0.2">
      <c r="A230" s="28">
        <f t="shared" si="0"/>
        <v>2012.05</v>
      </c>
      <c r="B230" s="61">
        <v>109.11991349093</v>
      </c>
      <c r="C230" s="62">
        <v>108.83615774753943</v>
      </c>
      <c r="E230" s="34"/>
      <c r="F230" s="33"/>
    </row>
    <row r="231" spans="1:6" x14ac:dyDescent="0.2">
      <c r="A231" s="28">
        <f t="shared" si="0"/>
        <v>2012.06</v>
      </c>
      <c r="B231" s="61">
        <v>107.317255705985</v>
      </c>
      <c r="C231" s="62">
        <v>107.15572976845434</v>
      </c>
      <c r="E231" s="34"/>
      <c r="F231" s="33"/>
    </row>
    <row r="232" spans="1:6" x14ac:dyDescent="0.2">
      <c r="A232" s="28">
        <f t="shared" si="0"/>
        <v>2012.07</v>
      </c>
      <c r="B232" s="61">
        <v>105.97222611692099</v>
      </c>
      <c r="C232" s="62">
        <v>106.31703657001881</v>
      </c>
      <c r="E232" s="34"/>
      <c r="F232" s="33"/>
    </row>
    <row r="233" spans="1:6" x14ac:dyDescent="0.2">
      <c r="A233" s="28">
        <f t="shared" si="0"/>
        <v>2012.08</v>
      </c>
      <c r="B233" s="61">
        <v>106.07424741036</v>
      </c>
      <c r="C233" s="62">
        <v>106.26693858690847</v>
      </c>
      <c r="E233" s="34"/>
      <c r="F233" s="33"/>
    </row>
    <row r="234" spans="1:6" x14ac:dyDescent="0.2">
      <c r="A234" s="28">
        <f t="shared" si="0"/>
        <v>2012.09</v>
      </c>
      <c r="B234" s="61">
        <v>106.98396825034899</v>
      </c>
      <c r="C234" s="62">
        <v>106.76675773719842</v>
      </c>
      <c r="E234" s="34"/>
      <c r="F234" s="33"/>
    </row>
    <row r="235" spans="1:6" x14ac:dyDescent="0.2">
      <c r="A235" s="28">
        <f t="shared" si="0"/>
        <v>2012.1</v>
      </c>
      <c r="B235" s="61">
        <v>107.340826032744</v>
      </c>
      <c r="C235" s="62">
        <v>107.34273772221799</v>
      </c>
      <c r="E235" s="34"/>
      <c r="F235" s="33"/>
    </row>
    <row r="236" spans="1:6" x14ac:dyDescent="0.2">
      <c r="A236" s="28">
        <f t="shared" si="0"/>
        <v>2012.11</v>
      </c>
      <c r="B236" s="61">
        <v>107.41349989962499</v>
      </c>
      <c r="C236" s="62">
        <v>107.81386771395846</v>
      </c>
      <c r="E236" s="34"/>
      <c r="F236" s="33"/>
    </row>
    <row r="237" spans="1:6" x14ac:dyDescent="0.2">
      <c r="A237" s="28">
        <f t="shared" si="0"/>
        <v>2012.12</v>
      </c>
      <c r="B237" s="61">
        <v>107.885042568305</v>
      </c>
      <c r="C237" s="62">
        <v>108.16509856470479</v>
      </c>
      <c r="E237" s="35"/>
      <c r="F237" s="33"/>
    </row>
    <row r="238" spans="1:6" x14ac:dyDescent="0.2">
      <c r="A238" s="28">
        <f t="shared" si="0"/>
        <v>2013.01</v>
      </c>
      <c r="B238" s="61">
        <v>107.95133543420199</v>
      </c>
      <c r="C238" s="62">
        <v>108.45342802222436</v>
      </c>
      <c r="E238" s="34"/>
      <c r="F238" s="33"/>
    </row>
    <row r="239" spans="1:6" x14ac:dyDescent="0.2">
      <c r="A239" s="28">
        <f t="shared" si="0"/>
        <v>2013.02</v>
      </c>
      <c r="B239" s="61">
        <v>108.105320320864</v>
      </c>
      <c r="C239" s="62">
        <v>108.99766976089845</v>
      </c>
      <c r="E239" s="34"/>
      <c r="F239" s="33"/>
    </row>
    <row r="240" spans="1:6" x14ac:dyDescent="0.2">
      <c r="A240" s="28">
        <f t="shared" si="0"/>
        <v>2013.03</v>
      </c>
      <c r="B240" s="61">
        <v>109.87322627111401</v>
      </c>
      <c r="C240" s="62">
        <v>110.1724799877635</v>
      </c>
      <c r="E240" s="34"/>
      <c r="F240" s="33"/>
    </row>
    <row r="241" spans="1:6" x14ac:dyDescent="0.2">
      <c r="A241" s="28">
        <f t="shared" si="0"/>
        <v>2013.04</v>
      </c>
      <c r="B241" s="61">
        <v>112.266751265755</v>
      </c>
      <c r="C241" s="62">
        <v>111.88843840426047</v>
      </c>
      <c r="E241" s="34"/>
      <c r="F241" s="33"/>
    </row>
    <row r="242" spans="1:6" x14ac:dyDescent="0.2">
      <c r="A242" s="28">
        <f t="shared" ref="A242:A305" si="1">A230+1</f>
        <v>2013.05</v>
      </c>
      <c r="B242" s="61">
        <v>113.95309445521799</v>
      </c>
      <c r="C242" s="62">
        <v>113.50191594233856</v>
      </c>
      <c r="E242" s="34"/>
      <c r="F242" s="33"/>
    </row>
    <row r="243" spans="1:6" x14ac:dyDescent="0.2">
      <c r="A243" s="28">
        <f t="shared" si="1"/>
        <v>2013.06</v>
      </c>
      <c r="B243" s="61">
        <v>115.263689193874</v>
      </c>
      <c r="C243" s="62">
        <v>114.52828760243257</v>
      </c>
      <c r="E243" s="34"/>
      <c r="F243" s="33"/>
    </row>
    <row r="244" spans="1:6" x14ac:dyDescent="0.2">
      <c r="A244" s="28">
        <f t="shared" si="1"/>
        <v>2013.07</v>
      </c>
      <c r="B244" s="61">
        <v>115.606591061391</v>
      </c>
      <c r="C244" s="62">
        <v>114.75669196991566</v>
      </c>
      <c r="E244" s="34"/>
      <c r="F244" s="33"/>
    </row>
    <row r="245" spans="1:6" x14ac:dyDescent="0.2">
      <c r="A245" s="28">
        <f t="shared" si="1"/>
        <v>2013.08</v>
      </c>
      <c r="B245" s="61">
        <v>114.46828479155501</v>
      </c>
      <c r="C245" s="62">
        <v>114.13683200403469</v>
      </c>
      <c r="E245" s="34"/>
      <c r="F245" s="33"/>
    </row>
    <row r="246" spans="1:6" x14ac:dyDescent="0.2">
      <c r="A246" s="28">
        <f t="shared" si="1"/>
        <v>2013.09</v>
      </c>
      <c r="B246" s="61">
        <v>113.071644066088</v>
      </c>
      <c r="C246" s="62">
        <v>113.02268570375421</v>
      </c>
      <c r="E246" s="34"/>
      <c r="F246" s="33"/>
    </row>
    <row r="247" spans="1:6" x14ac:dyDescent="0.2">
      <c r="A247" s="28">
        <f t="shared" si="1"/>
        <v>2013.1</v>
      </c>
      <c r="B247" s="61">
        <v>112.02546810352599</v>
      </c>
      <c r="C247" s="62">
        <v>112.03182797106653</v>
      </c>
      <c r="E247" s="34"/>
      <c r="F247" s="33"/>
    </row>
    <row r="248" spans="1:6" x14ac:dyDescent="0.2">
      <c r="A248" s="28">
        <f t="shared" si="1"/>
        <v>2013.11</v>
      </c>
      <c r="B248" s="61">
        <v>111.07603259341199</v>
      </c>
      <c r="C248" s="62">
        <v>111.17825094346541</v>
      </c>
      <c r="E248" s="34"/>
      <c r="F248" s="33"/>
    </row>
    <row r="249" spans="1:6" x14ac:dyDescent="0.2">
      <c r="A249" s="28">
        <f t="shared" si="1"/>
        <v>2013.12</v>
      </c>
      <c r="B249" s="61">
        <v>109.73428424158401</v>
      </c>
      <c r="C249" s="62">
        <v>110.26195803255416</v>
      </c>
      <c r="E249" s="35"/>
      <c r="F249" s="33"/>
    </row>
    <row r="250" spans="1:6" x14ac:dyDescent="0.2">
      <c r="A250" s="28">
        <f t="shared" si="1"/>
        <v>2014.01</v>
      </c>
      <c r="B250" s="61">
        <v>108.574246601984</v>
      </c>
      <c r="C250" s="62">
        <v>109.63089473119909</v>
      </c>
      <c r="E250" s="34"/>
      <c r="F250" s="33"/>
    </row>
    <row r="251" spans="1:6" x14ac:dyDescent="0.2">
      <c r="A251" s="28">
        <f t="shared" si="1"/>
        <v>2014.02</v>
      </c>
      <c r="B251" s="61">
        <v>108.808714539272</v>
      </c>
      <c r="C251" s="62">
        <v>109.58705949405818</v>
      </c>
      <c r="E251" s="34"/>
      <c r="F251" s="33"/>
    </row>
    <row r="252" spans="1:6" x14ac:dyDescent="0.2">
      <c r="A252" s="28">
        <f t="shared" si="1"/>
        <v>2014.03</v>
      </c>
      <c r="B252" s="61">
        <v>110.017344666982</v>
      </c>
      <c r="C252" s="62">
        <v>110.13862709697185</v>
      </c>
      <c r="E252" s="34"/>
      <c r="F252" s="33"/>
    </row>
    <row r="253" spans="1:6" x14ac:dyDescent="0.2">
      <c r="A253" s="28">
        <f t="shared" si="1"/>
        <v>2014.04</v>
      </c>
      <c r="B253" s="61">
        <v>111.05169893831</v>
      </c>
      <c r="C253" s="62">
        <v>110.93400778032182</v>
      </c>
      <c r="E253" s="34"/>
      <c r="F253" s="33"/>
    </row>
    <row r="254" spans="1:6" x14ac:dyDescent="0.2">
      <c r="A254" s="28">
        <f t="shared" si="1"/>
        <v>2014.05</v>
      </c>
      <c r="B254" s="61">
        <v>111.862907126116</v>
      </c>
      <c r="C254" s="62">
        <v>111.54216174613074</v>
      </c>
      <c r="E254" s="34"/>
      <c r="F254" s="33"/>
    </row>
    <row r="255" spans="1:6" x14ac:dyDescent="0.2">
      <c r="A255" s="28">
        <f t="shared" si="1"/>
        <v>2014.06</v>
      </c>
      <c r="B255" s="61">
        <v>112.34358667673401</v>
      </c>
      <c r="C255" s="62">
        <v>111.90169067273291</v>
      </c>
      <c r="E255" s="34"/>
      <c r="F255" s="33"/>
    </row>
    <row r="256" spans="1:6" x14ac:dyDescent="0.2">
      <c r="A256" s="28">
        <f t="shared" si="1"/>
        <v>2014.07</v>
      </c>
      <c r="B256" s="61">
        <v>112.02548763311501</v>
      </c>
      <c r="C256" s="62">
        <v>111.9918408878068</v>
      </c>
      <c r="E256" s="34"/>
      <c r="F256" s="33"/>
    </row>
    <row r="257" spans="1:6" x14ac:dyDescent="0.2">
      <c r="A257" s="28">
        <f t="shared" si="1"/>
        <v>2014.08</v>
      </c>
      <c r="B257" s="61">
        <v>111.837453327136</v>
      </c>
      <c r="C257" s="62">
        <v>111.85113153030801</v>
      </c>
      <c r="E257" s="34"/>
      <c r="F257" s="33"/>
    </row>
    <row r="258" spans="1:6" x14ac:dyDescent="0.2">
      <c r="A258" s="28">
        <f t="shared" si="1"/>
        <v>2014.09</v>
      </c>
      <c r="B258" s="61">
        <v>111.869998512856</v>
      </c>
      <c r="C258" s="62">
        <v>111.68223035922631</v>
      </c>
      <c r="E258" s="34"/>
      <c r="F258" s="33"/>
    </row>
    <row r="259" spans="1:6" x14ac:dyDescent="0.2">
      <c r="A259" s="28">
        <f t="shared" si="1"/>
        <v>2014.1</v>
      </c>
      <c r="B259" s="61">
        <v>111.55206263600201</v>
      </c>
      <c r="C259" s="62">
        <v>111.52514036600441</v>
      </c>
      <c r="E259" s="34"/>
      <c r="F259" s="33"/>
    </row>
    <row r="260" spans="1:6" x14ac:dyDescent="0.2">
      <c r="A260" s="28">
        <f t="shared" si="1"/>
        <v>2014.11</v>
      </c>
      <c r="B260" s="61">
        <v>111.31112838512399</v>
      </c>
      <c r="C260" s="62">
        <v>111.51380411669251</v>
      </c>
      <c r="E260" s="34"/>
      <c r="F260" s="33"/>
    </row>
    <row r="261" spans="1:6" x14ac:dyDescent="0.2">
      <c r="A261" s="28">
        <f t="shared" si="1"/>
        <v>2014.12</v>
      </c>
      <c r="B261" s="61">
        <v>111.493661469451</v>
      </c>
      <c r="C261" s="62">
        <v>111.78483791430101</v>
      </c>
      <c r="E261" s="35"/>
      <c r="F261" s="33"/>
    </row>
    <row r="262" spans="1:6" x14ac:dyDescent="0.2">
      <c r="A262" s="28">
        <f t="shared" si="1"/>
        <v>2015.01</v>
      </c>
      <c r="B262" s="61">
        <v>112.13522424375201</v>
      </c>
      <c r="C262" s="62">
        <v>112.02968776549304</v>
      </c>
      <c r="E262" s="34"/>
      <c r="F262" s="33"/>
    </row>
    <row r="263" spans="1:6" x14ac:dyDescent="0.2">
      <c r="A263" s="28">
        <f t="shared" si="1"/>
        <v>2015.02</v>
      </c>
      <c r="B263" s="61">
        <v>111.913492165843</v>
      </c>
      <c r="C263" s="62">
        <v>112.21137338704703</v>
      </c>
      <c r="E263" s="34"/>
      <c r="F263" s="33"/>
    </row>
    <row r="264" spans="1:6" x14ac:dyDescent="0.2">
      <c r="A264" s="28">
        <f t="shared" si="1"/>
        <v>2015.03</v>
      </c>
      <c r="B264" s="61">
        <v>111.781111808969</v>
      </c>
      <c r="C264" s="62">
        <v>112.71547589068327</v>
      </c>
      <c r="E264" s="34"/>
      <c r="F264" s="33"/>
    </row>
    <row r="265" spans="1:6" x14ac:dyDescent="0.2">
      <c r="A265" s="28">
        <f t="shared" si="1"/>
        <v>2015.04</v>
      </c>
      <c r="B265" s="61">
        <v>113.35649103649</v>
      </c>
      <c r="C265" s="62">
        <v>113.69246900953306</v>
      </c>
      <c r="E265" s="34"/>
      <c r="F265" s="33"/>
    </row>
    <row r="266" spans="1:6" x14ac:dyDescent="0.2">
      <c r="A266" s="28">
        <f t="shared" si="1"/>
        <v>2015.05</v>
      </c>
      <c r="B266" s="61">
        <v>115.197689822407</v>
      </c>
      <c r="C266" s="62">
        <v>114.96189001068498</v>
      </c>
      <c r="E266" s="34"/>
      <c r="F266" s="33"/>
    </row>
    <row r="267" spans="1:6" x14ac:dyDescent="0.2">
      <c r="A267" s="28">
        <f t="shared" si="1"/>
        <v>2015.06</v>
      </c>
      <c r="B267" s="61">
        <v>116.340622329971</v>
      </c>
      <c r="C267" s="62">
        <v>115.96772226396357</v>
      </c>
      <c r="E267" s="34"/>
      <c r="F267" s="33"/>
    </row>
    <row r="268" spans="1:6" x14ac:dyDescent="0.2">
      <c r="A268" s="28">
        <f t="shared" si="1"/>
        <v>2015.07</v>
      </c>
      <c r="B268" s="61">
        <v>116.320550567437</v>
      </c>
      <c r="C268" s="62">
        <v>116.25499633138728</v>
      </c>
      <c r="E268" s="34"/>
      <c r="F268" s="33"/>
    </row>
    <row r="269" spans="1:6" x14ac:dyDescent="0.2">
      <c r="A269" s="28">
        <f t="shared" si="1"/>
        <v>2015.08</v>
      </c>
      <c r="B269" s="61">
        <v>115.896386377471</v>
      </c>
      <c r="C269" s="62">
        <v>116.02204211337272</v>
      </c>
      <c r="E269" s="34"/>
      <c r="F269" s="33"/>
    </row>
    <row r="270" spans="1:6" x14ac:dyDescent="0.2">
      <c r="A270" s="28">
        <f t="shared" si="1"/>
        <v>2015.09</v>
      </c>
      <c r="B270" s="61">
        <v>115.824525521132</v>
      </c>
      <c r="C270" s="62">
        <v>115.70628908539628</v>
      </c>
      <c r="E270" s="34"/>
      <c r="F270" s="33"/>
    </row>
    <row r="271" spans="1:6" x14ac:dyDescent="0.2">
      <c r="A271" s="28">
        <f t="shared" si="1"/>
        <v>2015.1</v>
      </c>
      <c r="B271" s="61">
        <v>115.43084045174299</v>
      </c>
      <c r="C271" s="62">
        <v>115.24387504358381</v>
      </c>
      <c r="E271" s="34"/>
      <c r="F271" s="33"/>
    </row>
    <row r="272" spans="1:6" x14ac:dyDescent="0.2">
      <c r="A272" s="28">
        <f t="shared" si="1"/>
        <v>2015.11</v>
      </c>
      <c r="B272" s="61">
        <v>114.576460635305</v>
      </c>
      <c r="C272" s="62">
        <v>114.58574161052836</v>
      </c>
      <c r="E272" s="34"/>
      <c r="F272" s="33"/>
    </row>
    <row r="273" spans="1:6" x14ac:dyDescent="0.2">
      <c r="A273" s="28">
        <f t="shared" si="1"/>
        <v>2015.12</v>
      </c>
      <c r="B273" s="61">
        <v>113.852020598108</v>
      </c>
      <c r="C273" s="62">
        <v>113.91359313079639</v>
      </c>
      <c r="E273" s="34"/>
      <c r="F273" s="33"/>
    </row>
    <row r="274" spans="1:6" x14ac:dyDescent="0.2">
      <c r="A274" s="28">
        <f t="shared" si="1"/>
        <v>2016.01</v>
      </c>
      <c r="B274" s="61">
        <v>113.36717721291799</v>
      </c>
      <c r="C274" s="62">
        <v>113.25526217948016</v>
      </c>
      <c r="E274" s="34"/>
      <c r="F274" s="33"/>
    </row>
    <row r="275" spans="1:6" x14ac:dyDescent="0.2">
      <c r="A275" s="28">
        <f t="shared" si="1"/>
        <v>2016.02</v>
      </c>
      <c r="B275" s="61">
        <v>112.770435848509</v>
      </c>
      <c r="C275" s="62">
        <v>112.4038580904691</v>
      </c>
      <c r="E275" s="34"/>
      <c r="F275" s="33"/>
    </row>
    <row r="276" spans="1:6" x14ac:dyDescent="0.2">
      <c r="A276" s="28">
        <f t="shared" si="1"/>
        <v>2016.03</v>
      </c>
      <c r="B276" s="61">
        <v>111.136141443019</v>
      </c>
      <c r="C276" s="62">
        <v>110.8206615691748</v>
      </c>
      <c r="E276" s="34"/>
      <c r="F276" s="33"/>
    </row>
    <row r="277" spans="1:6" x14ac:dyDescent="0.2">
      <c r="A277" s="28">
        <f t="shared" si="1"/>
        <v>2016.04</v>
      </c>
      <c r="B277" s="61">
        <v>108.34378835139201</v>
      </c>
      <c r="C277" s="62">
        <v>108.70127469538207</v>
      </c>
      <c r="E277" s="34"/>
      <c r="F277" s="33"/>
    </row>
    <row r="278" spans="1:6" x14ac:dyDescent="0.2">
      <c r="A278" s="28">
        <f t="shared" si="1"/>
        <v>2016.05</v>
      </c>
      <c r="B278" s="61">
        <v>106.51468139131499</v>
      </c>
      <c r="C278" s="62">
        <v>107.13114192865697</v>
      </c>
      <c r="E278" s="35"/>
      <c r="F278" s="33"/>
    </row>
    <row r="279" spans="1:6" x14ac:dyDescent="0.2">
      <c r="A279" s="28">
        <f t="shared" si="1"/>
        <v>2016.06</v>
      </c>
      <c r="B279" s="61">
        <v>105.834652600016</v>
      </c>
      <c r="C279" s="62">
        <v>106.68252469951679</v>
      </c>
      <c r="E279" s="34"/>
      <c r="F279" s="33"/>
    </row>
    <row r="280" spans="1:6" x14ac:dyDescent="0.2">
      <c r="A280" s="28">
        <f t="shared" si="1"/>
        <v>2016.07</v>
      </c>
      <c r="B280" s="61">
        <v>106.712480655232</v>
      </c>
      <c r="C280" s="62">
        <v>107.29240072693608</v>
      </c>
      <c r="E280" s="35"/>
      <c r="F280" s="33"/>
    </row>
    <row r="281" spans="1:6" x14ac:dyDescent="0.2">
      <c r="A281" s="28">
        <f t="shared" si="1"/>
        <v>2016.08</v>
      </c>
      <c r="B281" s="61">
        <v>108.613008309881</v>
      </c>
      <c r="C281" s="62">
        <v>108.43872336980527</v>
      </c>
      <c r="E281" s="34"/>
      <c r="F281" s="33"/>
    </row>
    <row r="282" spans="1:6" x14ac:dyDescent="0.2">
      <c r="A282" s="28">
        <f t="shared" si="1"/>
        <v>2016.09</v>
      </c>
      <c r="B282" s="61">
        <v>109.278172917787</v>
      </c>
      <c r="C282" s="62">
        <v>109.30579920078091</v>
      </c>
      <c r="E282" s="34"/>
      <c r="F282" s="33"/>
    </row>
    <row r="283" spans="1:6" x14ac:dyDescent="0.2">
      <c r="A283" s="28">
        <f t="shared" si="1"/>
        <v>2016.1</v>
      </c>
      <c r="B283" s="61">
        <v>109.992222412023</v>
      </c>
      <c r="C283" s="62">
        <v>109.96269671588105</v>
      </c>
      <c r="E283" s="34"/>
      <c r="F283" s="33"/>
    </row>
    <row r="284" spans="1:6" x14ac:dyDescent="0.2">
      <c r="A284" s="28">
        <f t="shared" si="1"/>
        <v>2016.11</v>
      </c>
      <c r="B284" s="61">
        <v>111.79608986817701</v>
      </c>
      <c r="C284" s="62">
        <v>110.4563993943587</v>
      </c>
      <c r="E284" s="34"/>
      <c r="F284" s="33"/>
    </row>
    <row r="285" spans="1:6" x14ac:dyDescent="0.2">
      <c r="A285" s="28">
        <f t="shared" si="1"/>
        <v>2016.12</v>
      </c>
      <c r="B285" s="61">
        <v>112.17692118561099</v>
      </c>
      <c r="C285" s="62">
        <v>110.37695849491844</v>
      </c>
      <c r="E285" s="34"/>
      <c r="F285" s="33"/>
    </row>
    <row r="286" spans="1:6" x14ac:dyDescent="0.2">
      <c r="A286" s="28">
        <f t="shared" si="1"/>
        <v>2017.01</v>
      </c>
      <c r="B286" s="61">
        <v>110.50203606449</v>
      </c>
      <c r="C286" s="62">
        <v>109.93369438630837</v>
      </c>
      <c r="E286" s="34"/>
      <c r="F286" s="33"/>
    </row>
    <row r="287" spans="1:6" x14ac:dyDescent="0.2">
      <c r="A287" s="28">
        <f t="shared" si="1"/>
        <v>2017.02</v>
      </c>
      <c r="B287" s="61">
        <v>109.546780183485</v>
      </c>
      <c r="C287" s="62">
        <v>109.51528616759191</v>
      </c>
      <c r="E287" s="34"/>
      <c r="F287" s="33"/>
    </row>
    <row r="288" spans="1:6" x14ac:dyDescent="0.2">
      <c r="A288" s="28">
        <f t="shared" si="1"/>
        <v>2017.03</v>
      </c>
      <c r="B288" s="61">
        <v>109.59967266194001</v>
      </c>
      <c r="C288" s="62">
        <v>109.61632091935438</v>
      </c>
      <c r="E288" s="34"/>
      <c r="F288" s="33"/>
    </row>
    <row r="289" spans="1:6" x14ac:dyDescent="0.2">
      <c r="A289" s="28">
        <f t="shared" si="1"/>
        <v>2017.04</v>
      </c>
      <c r="B289" s="61">
        <v>110.13766059530199</v>
      </c>
      <c r="C289" s="62">
        <v>110.24646926030587</v>
      </c>
      <c r="E289" s="34"/>
      <c r="F289" s="33"/>
    </row>
    <row r="290" spans="1:6" x14ac:dyDescent="0.2">
      <c r="A290" s="28">
        <f t="shared" si="1"/>
        <v>2017.05</v>
      </c>
      <c r="B290" s="61">
        <v>110.485561733126</v>
      </c>
      <c r="C290" s="62">
        <v>110.46932937131633</v>
      </c>
      <c r="E290" s="34"/>
      <c r="F290" s="33"/>
    </row>
    <row r="291" spans="1:6" x14ac:dyDescent="0.2">
      <c r="A291" s="28">
        <f t="shared" si="1"/>
        <v>2017.06</v>
      </c>
      <c r="B291" s="61">
        <v>109.51000647350401</v>
      </c>
      <c r="C291" s="62">
        <v>109.85141409601303</v>
      </c>
      <c r="E291" s="34"/>
      <c r="F291" s="33"/>
    </row>
    <row r="292" spans="1:6" x14ac:dyDescent="0.2">
      <c r="A292" s="28">
        <f t="shared" si="1"/>
        <v>2017.07</v>
      </c>
      <c r="B292" s="61">
        <v>108.431274509723</v>
      </c>
      <c r="C292" s="62">
        <v>109.08942229963679</v>
      </c>
      <c r="E292" s="34"/>
      <c r="F292" s="33"/>
    </row>
    <row r="293" spans="1:6" x14ac:dyDescent="0.2">
      <c r="A293" s="28">
        <f t="shared" si="1"/>
        <v>2017.08</v>
      </c>
      <c r="B293" s="61">
        <v>108.120760803271</v>
      </c>
      <c r="C293" s="62">
        <v>108.77481561017727</v>
      </c>
      <c r="E293" s="34"/>
      <c r="F293" s="33"/>
    </row>
    <row r="294" spans="1:6" x14ac:dyDescent="0.2">
      <c r="A294" s="28">
        <f t="shared" si="1"/>
        <v>2017.09</v>
      </c>
      <c r="B294" s="61">
        <v>108.772373646134</v>
      </c>
      <c r="C294" s="62">
        <v>108.92214562629238</v>
      </c>
      <c r="E294" s="34"/>
      <c r="F294" s="33"/>
    </row>
    <row r="295" spans="1:6" x14ac:dyDescent="0.2">
      <c r="A295" s="28">
        <f t="shared" si="1"/>
        <v>2017.1</v>
      </c>
      <c r="B295" s="61">
        <v>109.610067365878</v>
      </c>
      <c r="C295" s="62">
        <v>109.31208457724807</v>
      </c>
      <c r="E295" s="34"/>
      <c r="F295" s="33"/>
    </row>
    <row r="296" spans="1:6" x14ac:dyDescent="0.2">
      <c r="A296" s="28">
        <f t="shared" si="1"/>
        <v>2017.11</v>
      </c>
      <c r="B296" s="61">
        <v>109.932749259613</v>
      </c>
      <c r="C296" s="62">
        <v>109.97494355749753</v>
      </c>
      <c r="E296" s="34"/>
      <c r="F296" s="33"/>
    </row>
    <row r="297" spans="1:6" x14ac:dyDescent="0.2">
      <c r="A297" s="28">
        <f t="shared" si="1"/>
        <v>2017.12</v>
      </c>
      <c r="B297" s="61">
        <v>111.28280864740501</v>
      </c>
      <c r="C297" s="62">
        <v>111.14848711641352</v>
      </c>
      <c r="E297" s="34"/>
      <c r="F297" s="33"/>
    </row>
    <row r="298" spans="1:6" x14ac:dyDescent="0.2">
      <c r="A298" s="28">
        <f t="shared" si="1"/>
        <v>2018.01</v>
      </c>
      <c r="B298" s="61">
        <v>113.04767180136901</v>
      </c>
      <c r="C298" s="62">
        <v>112.47577460432633</v>
      </c>
      <c r="E298" s="34"/>
      <c r="F298" s="33"/>
    </row>
    <row r="299" spans="1:6" x14ac:dyDescent="0.2">
      <c r="A299" s="28">
        <f t="shared" si="1"/>
        <v>2018.02</v>
      </c>
      <c r="B299" s="61">
        <v>114.002119853162</v>
      </c>
      <c r="C299" s="62">
        <v>113.45536196500436</v>
      </c>
      <c r="E299" s="34"/>
      <c r="F299" s="33"/>
    </row>
    <row r="300" spans="1:6" x14ac:dyDescent="0.2">
      <c r="A300" s="28">
        <f t="shared" si="1"/>
        <v>2018.03</v>
      </c>
      <c r="B300" s="61">
        <v>114.471709066906</v>
      </c>
      <c r="C300" s="62">
        <v>113.72584183731134</v>
      </c>
      <c r="E300" s="34"/>
      <c r="F300" s="33"/>
    </row>
    <row r="301" spans="1:6" x14ac:dyDescent="0.2">
      <c r="A301" s="28">
        <f t="shared" si="1"/>
        <v>2018.04</v>
      </c>
      <c r="B301" s="61">
        <v>112.932552791012</v>
      </c>
      <c r="C301" s="62">
        <v>112.84419240614385</v>
      </c>
      <c r="E301" s="34"/>
      <c r="F301" s="33"/>
    </row>
    <row r="302" spans="1:6" x14ac:dyDescent="0.2">
      <c r="A302" s="28">
        <f t="shared" si="1"/>
        <v>2018.05</v>
      </c>
      <c r="B302" s="61">
        <v>110.426776270752</v>
      </c>
      <c r="C302" s="62">
        <v>111.18860634052021</v>
      </c>
      <c r="E302" s="34"/>
      <c r="F302" s="33"/>
    </row>
    <row r="303" spans="1:6" x14ac:dyDescent="0.2">
      <c r="A303" s="28">
        <f t="shared" si="1"/>
        <v>2018.06</v>
      </c>
      <c r="B303" s="61">
        <v>109.269938588814</v>
      </c>
      <c r="C303" s="62">
        <v>109.68261525329608</v>
      </c>
      <c r="E303" s="34"/>
      <c r="F303" s="33"/>
    </row>
    <row r="304" spans="1:6" x14ac:dyDescent="0.2">
      <c r="A304" s="28">
        <f t="shared" si="1"/>
        <v>2018.07</v>
      </c>
      <c r="B304" s="61">
        <v>108.103816625679</v>
      </c>
      <c r="C304" s="62">
        <v>108.29791423859544</v>
      </c>
      <c r="E304" s="34"/>
      <c r="F304" s="33"/>
    </row>
    <row r="305" spans="1:7" x14ac:dyDescent="0.2">
      <c r="A305" s="28">
        <f t="shared" si="1"/>
        <v>2018.08</v>
      </c>
      <c r="B305" s="61">
        <v>106.561237216235</v>
      </c>
      <c r="C305" s="62">
        <v>106.9477373525437</v>
      </c>
      <c r="E305" s="34"/>
      <c r="F305" s="33"/>
    </row>
    <row r="306" spans="1:7" x14ac:dyDescent="0.2">
      <c r="A306" s="28">
        <f t="shared" ref="A306:A369" si="2">A294+1</f>
        <v>2018.09</v>
      </c>
      <c r="B306" s="61">
        <v>106.059561846744</v>
      </c>
      <c r="C306" s="62">
        <v>106.24562620457765</v>
      </c>
      <c r="E306" s="34"/>
      <c r="F306" s="33"/>
    </row>
    <row r="307" spans="1:7" x14ac:dyDescent="0.2">
      <c r="A307" s="28">
        <f t="shared" si="2"/>
        <v>2018.1</v>
      </c>
      <c r="B307" s="61">
        <v>106.481695174241</v>
      </c>
      <c r="C307" s="62">
        <v>106.18560064326918</v>
      </c>
      <c r="E307" s="34"/>
      <c r="F307" s="33"/>
    </row>
    <row r="308" spans="1:7" x14ac:dyDescent="0.2">
      <c r="A308" s="28">
        <f t="shared" si="2"/>
        <v>2018.11</v>
      </c>
      <c r="B308" s="61">
        <v>106.44379001730201</v>
      </c>
      <c r="C308" s="62">
        <v>106.18008251764441</v>
      </c>
      <c r="E308" s="34"/>
      <c r="F308" s="33"/>
    </row>
    <row r="309" spans="1:7" x14ac:dyDescent="0.2">
      <c r="A309" s="28">
        <f t="shared" si="2"/>
        <v>2018.12</v>
      </c>
      <c r="B309" s="61">
        <v>106.10775742071</v>
      </c>
      <c r="C309" s="62">
        <v>105.97973712802218</v>
      </c>
      <c r="E309" s="35"/>
      <c r="F309" s="33"/>
      <c r="G309" s="30"/>
    </row>
    <row r="310" spans="1:7" ht="14.25" x14ac:dyDescent="0.2">
      <c r="A310" s="28">
        <f t="shared" si="2"/>
        <v>2019.01</v>
      </c>
      <c r="B310" s="61">
        <v>106.019134765039</v>
      </c>
      <c r="C310" s="62">
        <v>105.66855721835519</v>
      </c>
      <c r="E310" s="37"/>
      <c r="F310" s="38"/>
    </row>
    <row r="311" spans="1:7" ht="14.25" x14ac:dyDescent="0.2">
      <c r="A311" s="28">
        <f t="shared" si="2"/>
        <v>2019.02</v>
      </c>
      <c r="B311" s="61">
        <v>105.72246368477499</v>
      </c>
      <c r="C311" s="62">
        <v>105.46009618539418</v>
      </c>
      <c r="E311" s="37"/>
      <c r="F311" s="38"/>
    </row>
    <row r="312" spans="1:7" ht="14.25" x14ac:dyDescent="0.2">
      <c r="A312" s="28">
        <f t="shared" si="2"/>
        <v>2019.03</v>
      </c>
      <c r="B312" s="61">
        <v>105.549853328113</v>
      </c>
      <c r="C312" s="62">
        <v>105.57074352274903</v>
      </c>
      <c r="E312" s="37"/>
      <c r="F312" s="38"/>
    </row>
    <row r="313" spans="1:7" ht="14.25" x14ac:dyDescent="0.2">
      <c r="A313" s="28">
        <f t="shared" si="2"/>
        <v>2019.04</v>
      </c>
      <c r="B313" s="61">
        <v>105.833193566254</v>
      </c>
      <c r="C313" s="62">
        <v>106.20058323663733</v>
      </c>
      <c r="E313" s="37"/>
      <c r="F313" s="38"/>
    </row>
    <row r="314" spans="1:7" ht="14.25" x14ac:dyDescent="0.2">
      <c r="A314" s="28">
        <f t="shared" si="2"/>
        <v>2019.05</v>
      </c>
      <c r="B314" s="61">
        <v>106.861957329986</v>
      </c>
      <c r="C314" s="62">
        <v>107.46528840531592</v>
      </c>
      <c r="E314" s="37"/>
      <c r="F314" s="38"/>
    </row>
    <row r="315" spans="1:7" ht="14.25" x14ac:dyDescent="0.2">
      <c r="A315" s="28">
        <f t="shared" si="2"/>
        <v>2019.06</v>
      </c>
      <c r="B315" s="61">
        <v>108.745521751219</v>
      </c>
      <c r="C315" s="62">
        <v>109.06842038466912</v>
      </c>
      <c r="E315" s="37"/>
      <c r="F315" s="38"/>
    </row>
    <row r="316" spans="1:7" ht="14.25" x14ac:dyDescent="0.2">
      <c r="A316" s="28">
        <f t="shared" si="2"/>
        <v>2019.07</v>
      </c>
      <c r="B316" s="61">
        <v>110.470472272641</v>
      </c>
      <c r="C316" s="62">
        <v>110.45967497192613</v>
      </c>
      <c r="E316" s="37"/>
      <c r="F316" s="38"/>
    </row>
    <row r="317" spans="1:7" ht="14.25" x14ac:dyDescent="0.2">
      <c r="A317" s="28">
        <f t="shared" si="2"/>
        <v>2019.08</v>
      </c>
      <c r="B317" s="61">
        <v>111.443875188473</v>
      </c>
      <c r="C317" s="62">
        <v>111.37851979307598</v>
      </c>
      <c r="E317" s="37"/>
      <c r="F317" s="38"/>
    </row>
    <row r="318" spans="1:7" ht="14.25" x14ac:dyDescent="0.2">
      <c r="A318" s="28">
        <f t="shared" si="2"/>
        <v>2019.09</v>
      </c>
      <c r="B318" s="61">
        <v>112.05165276538</v>
      </c>
      <c r="C318" s="62">
        <v>111.81436261078305</v>
      </c>
      <c r="E318" s="37"/>
      <c r="F318" s="38"/>
    </row>
    <row r="319" spans="1:7" ht="14.25" x14ac:dyDescent="0.2">
      <c r="A319" s="28">
        <f t="shared" si="2"/>
        <v>2019.1</v>
      </c>
      <c r="B319" s="61">
        <v>112.019887897389</v>
      </c>
      <c r="C319" s="62">
        <v>111.50473436659445</v>
      </c>
      <c r="E319" s="37"/>
      <c r="F319" s="38"/>
    </row>
    <row r="320" spans="1:7" ht="14.25" x14ac:dyDescent="0.2">
      <c r="A320" s="28">
        <f t="shared" si="2"/>
        <v>2019.11</v>
      </c>
      <c r="B320" s="61">
        <v>110.484049734601</v>
      </c>
      <c r="C320" s="62">
        <v>110.24725859675814</v>
      </c>
      <c r="E320" s="37"/>
      <c r="F320" s="38"/>
    </row>
    <row r="321" spans="1:7" ht="14.25" x14ac:dyDescent="0.2">
      <c r="A321" s="28">
        <f t="shared" si="2"/>
        <v>2019.12</v>
      </c>
      <c r="B321" s="61">
        <v>108.50456313585801</v>
      </c>
      <c r="C321" s="62">
        <v>108.60090233072984</v>
      </c>
      <c r="E321" s="40"/>
      <c r="F321" s="38"/>
      <c r="G321" s="36"/>
    </row>
    <row r="322" spans="1:7" x14ac:dyDescent="0.2">
      <c r="A322" s="28">
        <f t="shared" si="2"/>
        <v>2020.01</v>
      </c>
      <c r="B322" s="61">
        <v>107.394782136758</v>
      </c>
      <c r="C322" s="62">
        <v>107.25146953130482</v>
      </c>
      <c r="E322" s="39"/>
      <c r="F322" s="39"/>
    </row>
    <row r="323" spans="1:7" x14ac:dyDescent="0.2">
      <c r="A323" s="28">
        <f t="shared" si="2"/>
        <v>2020.02</v>
      </c>
      <c r="B323" s="61">
        <v>106.400931698382</v>
      </c>
      <c r="C323" s="62">
        <v>106.1230407091486</v>
      </c>
    </row>
    <row r="324" spans="1:7" x14ac:dyDescent="0.2">
      <c r="A324" s="28">
        <f t="shared" si="2"/>
        <v>2020.03</v>
      </c>
      <c r="B324" s="61">
        <v>104.900644594198</v>
      </c>
      <c r="C324" s="62">
        <v>105.12904763589111</v>
      </c>
    </row>
    <row r="325" spans="1:7" x14ac:dyDescent="0.2">
      <c r="A325" s="28">
        <f t="shared" si="2"/>
        <v>2020.04</v>
      </c>
      <c r="B325" s="61">
        <v>104.44567481688701</v>
      </c>
      <c r="C325" s="62">
        <v>104.82800877563091</v>
      </c>
    </row>
    <row r="326" spans="1:7" x14ac:dyDescent="0.2">
      <c r="A326" s="28">
        <f t="shared" si="2"/>
        <v>2020.05</v>
      </c>
      <c r="B326" s="61">
        <v>105.00506815120301</v>
      </c>
      <c r="C326" s="62">
        <v>105.18753005794848</v>
      </c>
    </row>
    <row r="327" spans="1:7" x14ac:dyDescent="0.2">
      <c r="A327" s="28">
        <f t="shared" si="2"/>
        <v>2020.06</v>
      </c>
      <c r="B327" s="61">
        <v>105.255823206193</v>
      </c>
      <c r="C327" s="62">
        <v>105.59446095747197</v>
      </c>
    </row>
    <row r="328" spans="1:7" x14ac:dyDescent="0.2">
      <c r="A328" s="28">
        <f t="shared" si="2"/>
        <v>2020.07</v>
      </c>
      <c r="B328" s="61">
        <v>106.16081172100201</v>
      </c>
      <c r="C328" s="62">
        <v>106.19623880506893</v>
      </c>
    </row>
    <row r="329" spans="1:7" x14ac:dyDescent="0.2">
      <c r="A329" s="28">
        <f t="shared" si="2"/>
        <v>2020.08</v>
      </c>
      <c r="B329" s="61">
        <v>107.63609080572</v>
      </c>
      <c r="C329" s="62">
        <v>107.06468130279136</v>
      </c>
    </row>
    <row r="330" spans="1:7" x14ac:dyDescent="0.2">
      <c r="A330" s="28">
        <f t="shared" si="2"/>
        <v>2020.09</v>
      </c>
      <c r="B330" s="61">
        <v>107.85859602482</v>
      </c>
      <c r="C330" s="62">
        <v>107.67413134591585</v>
      </c>
    </row>
    <row r="331" spans="1:7" x14ac:dyDescent="0.2">
      <c r="A331" s="28">
        <f t="shared" si="2"/>
        <v>2020.1</v>
      </c>
      <c r="B331" s="61">
        <v>107.972105610113</v>
      </c>
      <c r="C331" s="62">
        <v>108.35828500484307</v>
      </c>
    </row>
    <row r="332" spans="1:7" x14ac:dyDescent="0.2">
      <c r="A332" s="28">
        <f t="shared" si="2"/>
        <v>2020.11</v>
      </c>
      <c r="B332" s="61">
        <v>109.781892743028</v>
      </c>
      <c r="C332" s="62">
        <v>109.88682850753891</v>
      </c>
    </row>
    <row r="333" spans="1:7" x14ac:dyDescent="0.2">
      <c r="A333" s="28">
        <f t="shared" si="2"/>
        <v>2020.12</v>
      </c>
      <c r="B333" s="61">
        <v>111.980573752022</v>
      </c>
      <c r="C333" s="62">
        <v>111.98126994115849</v>
      </c>
    </row>
    <row r="334" spans="1:7" x14ac:dyDescent="0.2">
      <c r="A334" s="28">
        <f t="shared" si="2"/>
        <v>2021.01</v>
      </c>
      <c r="B334" s="61">
        <v>114.154687449657</v>
      </c>
      <c r="C334" s="62">
        <v>114.13566008396356</v>
      </c>
      <c r="E334" s="30"/>
    </row>
    <row r="335" spans="1:7" x14ac:dyDescent="0.2">
      <c r="A335" s="28">
        <f t="shared" si="2"/>
        <v>2021.02</v>
      </c>
      <c r="B335" s="61">
        <v>116.37510044604799</v>
      </c>
      <c r="C335" s="62">
        <v>116.06099212386333</v>
      </c>
      <c r="E335" s="30"/>
      <c r="F335" s="30"/>
    </row>
    <row r="336" spans="1:7" x14ac:dyDescent="0.2">
      <c r="A336" s="28">
        <f t="shared" si="2"/>
        <v>2021.03</v>
      </c>
      <c r="B336" s="61">
        <v>117.801043892782</v>
      </c>
      <c r="C336" s="62">
        <v>117.27212207069519</v>
      </c>
      <c r="E336" s="30"/>
      <c r="F336" s="30"/>
    </row>
    <row r="337" spans="1:6" x14ac:dyDescent="0.2">
      <c r="A337" s="28">
        <f t="shared" si="2"/>
        <v>2021.04</v>
      </c>
      <c r="B337" s="61">
        <v>117.780473563821</v>
      </c>
      <c r="C337" s="62">
        <v>117.56195590494241</v>
      </c>
      <c r="E337" s="30"/>
      <c r="F337" s="30"/>
    </row>
    <row r="338" spans="1:6" x14ac:dyDescent="0.2">
      <c r="A338" s="28">
        <f t="shared" si="2"/>
        <v>2021.05</v>
      </c>
      <c r="B338" s="61">
        <v>116.975597149979</v>
      </c>
      <c r="C338" s="62">
        <v>117.43096404580378</v>
      </c>
    </row>
    <row r="339" spans="1:6" x14ac:dyDescent="0.2">
      <c r="A339" s="28">
        <f t="shared" si="2"/>
        <v>2021.06</v>
      </c>
      <c r="B339" s="61">
        <v>117.520534246144</v>
      </c>
      <c r="C339" s="62">
        <v>117.69336711401527</v>
      </c>
    </row>
    <row r="340" spans="1:6" x14ac:dyDescent="0.2">
      <c r="A340" s="28">
        <f t="shared" si="2"/>
        <v>2021.07</v>
      </c>
      <c r="B340" s="61">
        <v>118.80477268662101</v>
      </c>
      <c r="C340" s="62">
        <v>118.43320349799697</v>
      </c>
    </row>
    <row r="341" spans="1:6" x14ac:dyDescent="0.2">
      <c r="A341" s="28">
        <f t="shared" si="2"/>
        <v>2021.08</v>
      </c>
      <c r="B341" s="61">
        <v>119.337115349022</v>
      </c>
      <c r="C341" s="62">
        <v>119.21002094865534</v>
      </c>
    </row>
    <row r="342" spans="1:6" x14ac:dyDescent="0.2">
      <c r="A342" s="28">
        <f t="shared" si="2"/>
        <v>2021.09</v>
      </c>
      <c r="B342" s="61">
        <v>119.89582516743801</v>
      </c>
      <c r="C342" s="62">
        <v>119.7195088681823</v>
      </c>
    </row>
    <row r="343" spans="1:6" x14ac:dyDescent="0.2">
      <c r="A343" s="28">
        <f t="shared" si="2"/>
        <v>2021.1</v>
      </c>
      <c r="B343" s="61">
        <v>119.750615655668</v>
      </c>
      <c r="C343" s="62">
        <v>119.75574691563654</v>
      </c>
    </row>
    <row r="344" spans="1:6" x14ac:dyDescent="0.2">
      <c r="A344" s="28">
        <f t="shared" si="2"/>
        <v>2021.11</v>
      </c>
      <c r="B344" s="61">
        <v>119.28546937941999</v>
      </c>
      <c r="C344" s="62">
        <v>119.58472051796466</v>
      </c>
    </row>
    <row r="345" spans="1:6" x14ac:dyDescent="0.2">
      <c r="A345" s="28">
        <f t="shared" si="2"/>
        <v>2021.12</v>
      </c>
      <c r="B345" s="61">
        <v>119.617270768271</v>
      </c>
      <c r="C345" s="62">
        <v>119.58178532685906</v>
      </c>
    </row>
    <row r="346" spans="1:6" x14ac:dyDescent="0.2">
      <c r="A346" s="28">
        <f t="shared" si="2"/>
        <v>2022.01</v>
      </c>
      <c r="B346" s="61">
        <v>119.59463917273</v>
      </c>
      <c r="C346" s="62">
        <v>119.67679401773432</v>
      </c>
    </row>
    <row r="347" spans="1:6" x14ac:dyDescent="0.2">
      <c r="A347" s="28">
        <f t="shared" si="2"/>
        <v>2022.02</v>
      </c>
      <c r="B347" s="61">
        <v>119.762716059737</v>
      </c>
      <c r="C347" s="62">
        <v>119.99409664576628</v>
      </c>
    </row>
    <row r="348" spans="1:6" x14ac:dyDescent="0.2">
      <c r="A348" s="28">
        <f t="shared" si="2"/>
        <v>2022.03</v>
      </c>
      <c r="B348" s="61">
        <v>120.59671196414</v>
      </c>
      <c r="C348" s="62">
        <v>120.67775466323587</v>
      </c>
    </row>
    <row r="349" spans="1:6" x14ac:dyDescent="0.2">
      <c r="A349" s="28">
        <f t="shared" si="2"/>
        <v>2022.04</v>
      </c>
      <c r="B349" s="61">
        <v>121.81601679468</v>
      </c>
      <c r="C349" s="62">
        <v>121.17242287224103</v>
      </c>
    </row>
    <row r="350" spans="1:6" x14ac:dyDescent="0.2">
      <c r="A350" s="28">
        <f t="shared" si="2"/>
        <v>2022.05</v>
      </c>
      <c r="B350" s="61">
        <v>122.73279793371201</v>
      </c>
      <c r="C350" s="62">
        <v>121.00849192865249</v>
      </c>
    </row>
    <row r="351" spans="1:6" x14ac:dyDescent="0.2">
      <c r="A351" s="28">
        <f t="shared" si="2"/>
        <v>2022.06</v>
      </c>
      <c r="B351" s="61">
        <v>122.062635854883</v>
      </c>
      <c r="C351" s="62">
        <v>120.4204186305121</v>
      </c>
    </row>
    <row r="352" spans="1:6" x14ac:dyDescent="0.2">
      <c r="A352" s="28">
        <f t="shared" si="2"/>
        <v>2022.07</v>
      </c>
      <c r="B352" s="61">
        <v>120.094400369849</v>
      </c>
      <c r="C352" s="62">
        <v>119.54560879027977</v>
      </c>
    </row>
    <row r="353" spans="1:3" x14ac:dyDescent="0.2">
      <c r="A353" s="28">
        <f t="shared" si="2"/>
        <v>2022.08</v>
      </c>
      <c r="B353" s="61">
        <v>118.463779478985</v>
      </c>
      <c r="C353" s="62">
        <v>118.54222434323867</v>
      </c>
    </row>
    <row r="354" spans="1:3" x14ac:dyDescent="0.2">
      <c r="A354" s="28">
        <f t="shared" si="2"/>
        <v>2022.09</v>
      </c>
      <c r="B354" s="61">
        <v>117.691114437772</v>
      </c>
      <c r="C354" s="62">
        <v>117.88966488462825</v>
      </c>
    </row>
    <row r="355" spans="1:3" x14ac:dyDescent="0.2">
      <c r="A355" s="28">
        <f t="shared" si="2"/>
        <v>2022.1</v>
      </c>
      <c r="B355" s="61">
        <v>117.24109708029501</v>
      </c>
      <c r="C355" s="62">
        <v>117.71357658146869</v>
      </c>
    </row>
    <row r="356" spans="1:3" x14ac:dyDescent="0.2">
      <c r="A356" s="28">
        <f t="shared" si="2"/>
        <v>2022.11</v>
      </c>
      <c r="B356" s="61">
        <v>117.667970543526</v>
      </c>
      <c r="C356" s="62">
        <v>117.71953564377898</v>
      </c>
    </row>
    <row r="357" spans="1:3" x14ac:dyDescent="0.2">
      <c r="A357" s="28">
        <f t="shared" si="2"/>
        <v>2022.12</v>
      </c>
      <c r="B357" s="61">
        <v>117.669457664148</v>
      </c>
      <c r="C357" s="62">
        <v>117.19819324905768</v>
      </c>
    </row>
    <row r="358" spans="1:3" x14ac:dyDescent="0.2">
      <c r="A358" s="28">
        <f t="shared" si="2"/>
        <v>2023.01</v>
      </c>
      <c r="B358" s="61">
        <v>115.721465330627</v>
      </c>
      <c r="C358" s="62">
        <v>115.85217047343289</v>
      </c>
    </row>
    <row r="359" spans="1:3" x14ac:dyDescent="0.2">
      <c r="A359" s="28">
        <f t="shared" si="2"/>
        <v>2023.02</v>
      </c>
      <c r="B359" s="61">
        <v>113.990586872931</v>
      </c>
      <c r="C359" s="62">
        <v>114.53296567257757</v>
      </c>
    </row>
    <row r="360" spans="1:3" x14ac:dyDescent="0.2">
      <c r="A360" s="28">
        <f t="shared" si="2"/>
        <v>2023.03</v>
      </c>
      <c r="B360" s="61">
        <v>113.679896352227</v>
      </c>
      <c r="C360" s="62">
        <v>113.8482432498636</v>
      </c>
    </row>
    <row r="361" spans="1:3" x14ac:dyDescent="0.2">
      <c r="A361" s="28">
        <f t="shared" si="2"/>
        <v>2023.04</v>
      </c>
      <c r="B361" s="61">
        <v>113.571182053505</v>
      </c>
      <c r="C361" s="62">
        <v>113.50662798919282</v>
      </c>
    </row>
    <row r="362" spans="1:3" x14ac:dyDescent="0.2">
      <c r="A362" s="28">
        <f t="shared" si="2"/>
        <v>2023.05</v>
      </c>
      <c r="B362" s="61">
        <v>113.13720600801901</v>
      </c>
      <c r="C362" s="62">
        <v>113.05169603508043</v>
      </c>
    </row>
    <row r="363" spans="1:3" x14ac:dyDescent="0.2">
      <c r="A363" s="28">
        <f t="shared" si="2"/>
        <v>2023.06</v>
      </c>
      <c r="B363" s="61">
        <v>112.387574930952</v>
      </c>
      <c r="C363" s="62">
        <v>112.18046404007526</v>
      </c>
    </row>
    <row r="364" spans="1:3" x14ac:dyDescent="0.2">
      <c r="A364" s="28">
        <f t="shared" si="2"/>
        <v>2023.07</v>
      </c>
      <c r="B364" s="61">
        <v>111.275159443817</v>
      </c>
      <c r="C364" s="62">
        <v>110.89052308313694</v>
      </c>
    </row>
    <row r="365" spans="1:3" x14ac:dyDescent="0.2">
      <c r="A365" s="28">
        <f t="shared" si="2"/>
        <v>2023.08</v>
      </c>
      <c r="B365" s="61">
        <v>109.521011647061</v>
      </c>
      <c r="C365" s="62">
        <v>109.32217762094217</v>
      </c>
    </row>
    <row r="366" spans="1:3" x14ac:dyDescent="0.2">
      <c r="A366" s="28">
        <f t="shared" si="2"/>
        <v>2023.09</v>
      </c>
      <c r="B366" s="61">
        <v>107.359458192663</v>
      </c>
      <c r="C366" s="62">
        <v>107.68623795584702</v>
      </c>
    </row>
    <row r="367" spans="1:3" x14ac:dyDescent="0.2">
      <c r="A367" s="28">
        <f t="shared" si="2"/>
        <v>2023.1</v>
      </c>
      <c r="B367" s="61">
        <v>106.245941456602</v>
      </c>
      <c r="C367" s="62">
        <v>106.4221233160611</v>
      </c>
    </row>
    <row r="368" spans="1:3" x14ac:dyDescent="0.2">
      <c r="A368" s="28">
        <f t="shared" si="2"/>
        <v>2023.11</v>
      </c>
      <c r="B368" s="61">
        <v>105.59927170538801</v>
      </c>
      <c r="C368" s="62">
        <v>105.69543279163298</v>
      </c>
    </row>
    <row r="369" spans="1:3" x14ac:dyDescent="0.2">
      <c r="A369" s="28">
        <f t="shared" si="2"/>
        <v>2023.12</v>
      </c>
      <c r="B369" s="61">
        <v>105.31976234930799</v>
      </c>
      <c r="C369" s="62">
        <v>105.63229089809158</v>
      </c>
    </row>
    <row r="370" spans="1:3" x14ac:dyDescent="0.2">
      <c r="A370" s="28">
        <f t="shared" ref="A370:A405" si="3">A358+1</f>
        <v>2024.01</v>
      </c>
      <c r="B370" s="61">
        <v>106.42226650025999</v>
      </c>
      <c r="C370" s="62">
        <v>106.3365098219641</v>
      </c>
    </row>
    <row r="371" spans="1:3" x14ac:dyDescent="0.2">
      <c r="A371" s="28">
        <f t="shared" si="3"/>
        <v>2024.02</v>
      </c>
      <c r="B371" s="61">
        <v>107.20437378030999</v>
      </c>
      <c r="C371" s="62">
        <v>107.19409342096101</v>
      </c>
    </row>
    <row r="372" spans="1:3" x14ac:dyDescent="0.2">
      <c r="A372" s="28">
        <f t="shared" si="3"/>
        <v>2024.03</v>
      </c>
      <c r="B372" s="61">
        <v>107.677447063472</v>
      </c>
      <c r="C372" s="62">
        <v>107.93103900652859</v>
      </c>
    </row>
    <row r="373" spans="1:3" x14ac:dyDescent="0.2">
      <c r="A373" s="28">
        <f t="shared" si="3"/>
        <v>2024.04</v>
      </c>
      <c r="B373" s="61">
        <v>108.742740788457</v>
      </c>
      <c r="C373" s="62">
        <v>108.80727084448463</v>
      </c>
    </row>
    <row r="374" spans="1:3" x14ac:dyDescent="0.2">
      <c r="A374" s="28">
        <f t="shared" si="3"/>
        <v>2024.05</v>
      </c>
      <c r="B374" s="61">
        <v>109.557076197374</v>
      </c>
      <c r="C374" s="62">
        <v>109.77027667089001</v>
      </c>
    </row>
    <row r="375" spans="1:3" x14ac:dyDescent="0.2">
      <c r="A375" s="28">
        <f t="shared" si="3"/>
        <v>2024.06</v>
      </c>
      <c r="B375" s="61">
        <v>110.69463096293001</v>
      </c>
      <c r="C375" s="62">
        <v>110.61230108729461</v>
      </c>
    </row>
    <row r="376" spans="1:3" x14ac:dyDescent="0.2">
      <c r="A376" s="28">
        <f t="shared" si="3"/>
        <v>2024.07</v>
      </c>
      <c r="B376" s="61">
        <v>111.474109034427</v>
      </c>
      <c r="C376" s="62">
        <v>111.07513084895552</v>
      </c>
    </row>
    <row r="377" spans="1:3" x14ac:dyDescent="0.2">
      <c r="A377" s="28">
        <f t="shared" si="3"/>
        <v>2024.08</v>
      </c>
      <c r="B377" s="61">
        <v>111.374442235421</v>
      </c>
      <c r="C377" s="62">
        <v>111.52291079144342</v>
      </c>
    </row>
    <row r="378" spans="1:3" x14ac:dyDescent="0.2">
      <c r="A378" s="28">
        <f t="shared" si="3"/>
        <v>2024.09</v>
      </c>
      <c r="B378" s="61">
        <v>112.386161510875</v>
      </c>
      <c r="C378" s="62">
        <v>112.45302220016148</v>
      </c>
    </row>
    <row r="379" spans="1:3" x14ac:dyDescent="0.2">
      <c r="A379" s="28">
        <f>A367+1</f>
        <v>2024.1</v>
      </c>
      <c r="B379" s="61">
        <v>113.720892536017</v>
      </c>
      <c r="C379" s="62">
        <v>113.45689738896684</v>
      </c>
    </row>
    <row r="380" spans="1:3" x14ac:dyDescent="0.2">
      <c r="A380" s="28">
        <f t="shared" si="3"/>
        <v>2024.11</v>
      </c>
      <c r="B380" s="61">
        <v>114.357775394093</v>
      </c>
      <c r="C380" s="62">
        <v>114.23558004216396</v>
      </c>
    </row>
    <row r="381" spans="1:3" x14ac:dyDescent="0.2">
      <c r="A381" s="28">
        <f t="shared" si="3"/>
        <v>2024.12</v>
      </c>
      <c r="B381" s="61">
        <v>115.07957498953</v>
      </c>
      <c r="C381" s="62">
        <v>114.84184527765423</v>
      </c>
    </row>
    <row r="382" spans="1:3" x14ac:dyDescent="0.2">
      <c r="A382" s="28">
        <f t="shared" si="3"/>
        <v>2025.01</v>
      </c>
      <c r="B382" s="61">
        <v>115.358547428278</v>
      </c>
      <c r="C382" s="62">
        <v>114.9052773569384</v>
      </c>
    </row>
    <row r="383" spans="1:3" x14ac:dyDescent="0.2">
      <c r="A383" s="28">
        <f t="shared" si="3"/>
        <v>2025.02</v>
      </c>
      <c r="B383" s="61">
        <v>114.164130314373</v>
      </c>
      <c r="C383" s="62">
        <v>114.26821337728398</v>
      </c>
    </row>
    <row r="384" spans="1:3" x14ac:dyDescent="0.2">
      <c r="A384" s="28">
        <f t="shared" si="3"/>
        <v>2025.03</v>
      </c>
      <c r="B384" s="61">
        <v>112.296594208383</v>
      </c>
      <c r="C384" s="62">
        <v>113.38203980461901</v>
      </c>
    </row>
    <row r="385" spans="1:3" x14ac:dyDescent="0.2">
      <c r="A385" s="28">
        <f t="shared" si="3"/>
        <v>2025.04</v>
      </c>
      <c r="B385" s="61">
        <v>111.960259802587</v>
      </c>
      <c r="C385" s="62">
        <v>112.84358392648492</v>
      </c>
    </row>
    <row r="386" spans="1:3" x14ac:dyDescent="0.2">
      <c r="A386" s="28">
        <f t="shared" si="3"/>
        <v>2025.05</v>
      </c>
      <c r="B386" s="61">
        <v>112.672745528178</v>
      </c>
      <c r="C386" s="62">
        <v>112.86322954145331</v>
      </c>
    </row>
    <row r="387" spans="1:3" x14ac:dyDescent="0.2">
      <c r="A387" s="28">
        <f t="shared" si="3"/>
        <v>2025.06</v>
      </c>
      <c r="B387" s="61">
        <v>112.657457780836</v>
      </c>
      <c r="C387" s="62">
        <v>113.12457313557722</v>
      </c>
    </row>
    <row r="388" spans="1:3" x14ac:dyDescent="0.2">
      <c r="A388" s="28">
        <f t="shared" si="3"/>
        <v>2025.07</v>
      </c>
      <c r="B388" s="61">
        <v>113.28951892508</v>
      </c>
      <c r="C388" s="62">
        <v>113.78230796561056</v>
      </c>
    </row>
    <row r="389" spans="1:3" x14ac:dyDescent="0.2">
      <c r="A389" s="28">
        <f t="shared" si="3"/>
        <v>2025.08</v>
      </c>
      <c r="B389" s="61">
        <v>115.342263159818</v>
      </c>
      <c r="C389" s="62">
        <v>114.80540088665271</v>
      </c>
    </row>
    <row r="390" spans="1:3" x14ac:dyDescent="0.2">
      <c r="A390" s="28">
        <f t="shared" si="3"/>
        <v>2025.09</v>
      </c>
      <c r="B390" s="61">
        <v>116.660159604629</v>
      </c>
      <c r="C390" s="62">
        <v>115.61841966512972</v>
      </c>
    </row>
    <row r="391" spans="1:3" x14ac:dyDescent="0.2">
      <c r="A391" s="28">
        <f t="shared" si="3"/>
        <v>2025.1</v>
      </c>
      <c r="B391" s="61">
        <v>116.685478353002</v>
      </c>
      <c r="C391" s="62">
        <v>116.01445946886851</v>
      </c>
    </row>
    <row r="392" spans="1:3" x14ac:dyDescent="0.2">
      <c r="A392" s="28">
        <f t="shared" si="3"/>
        <v>2025.11</v>
      </c>
      <c r="B392" s="61">
        <v>116.189006214348</v>
      </c>
      <c r="C392" s="62">
        <v>115.82287819528644</v>
      </c>
    </row>
    <row r="393" spans="1:3" x14ac:dyDescent="0.2">
      <c r="A393" s="28">
        <f t="shared" si="3"/>
        <v>2025.12</v>
      </c>
      <c r="B393" s="61">
        <v>115.378947883885</v>
      </c>
      <c r="C393" s="62">
        <v>115.23696995332895</v>
      </c>
    </row>
    <row r="394" spans="1:3" x14ac:dyDescent="0.2">
      <c r="A394" s="28">
        <f t="shared" si="3"/>
        <v>2026.01</v>
      </c>
      <c r="B394" s="61">
        <v>114.774245281883</v>
      </c>
      <c r="C394" s="62">
        <v>114.96996511417939</v>
      </c>
    </row>
    <row r="395" spans="1:3" x14ac:dyDescent="0.2">
      <c r="A395" s="28">
        <f t="shared" si="3"/>
        <v>2026.02</v>
      </c>
      <c r="B395" s="61">
        <v>115.354431847169</v>
      </c>
      <c r="C395" s="62">
        <v>115.33571965915333</v>
      </c>
    </row>
    <row r="396" spans="1:3" x14ac:dyDescent="0.2">
      <c r="A396" s="28">
        <f t="shared" si="3"/>
        <v>2026.03</v>
      </c>
      <c r="B396" s="61">
        <v>115.800433323343</v>
      </c>
      <c r="C396" s="62">
        <v>115.75658508864214</v>
      </c>
    </row>
    <row r="397" spans="1:3" x14ac:dyDescent="0.2">
      <c r="A397" s="28">
        <f t="shared" si="3"/>
        <v>2026.04</v>
      </c>
      <c r="B397" s="61">
        <v>115.236327237868</v>
      </c>
      <c r="C397" s="62">
        <v>115.75875791127382</v>
      </c>
    </row>
    <row r="398" spans="1:3" x14ac:dyDescent="0.2">
      <c r="A398" s="28">
        <f t="shared" si="3"/>
        <v>2026.05</v>
      </c>
      <c r="B398" s="61">
        <v>114.854469102046</v>
      </c>
      <c r="C398" s="62">
        <v>115.6502513309016</v>
      </c>
    </row>
    <row r="399" spans="1:3" x14ac:dyDescent="0.2">
      <c r="A399" s="28">
        <f t="shared" si="3"/>
        <v>2026.06</v>
      </c>
      <c r="B399" s="61">
        <v>115.1186555291</v>
      </c>
      <c r="C399" s="62">
        <v>115.65842172884265</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87</v>
      </c>
      <c r="C2" s="25"/>
    </row>
    <row r="3" spans="1:6" s="3" customFormat="1" ht="22.5" x14ac:dyDescent="0.2">
      <c r="A3" s="76" t="s">
        <v>16</v>
      </c>
      <c r="B3" s="16" t="s">
        <v>45</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69</v>
      </c>
      <c r="C8" s="91" t="s">
        <v>70</v>
      </c>
    </row>
    <row r="9" spans="1:6" s="4" customFormat="1" ht="13.5" thickBot="1" x14ac:dyDescent="0.25">
      <c r="A9" s="82"/>
      <c r="B9" s="27"/>
      <c r="C9" s="49"/>
    </row>
    <row r="10" spans="1:6" s="4" customFormat="1" x14ac:dyDescent="0.2">
      <c r="A10" s="28">
        <v>1994.01</v>
      </c>
      <c r="B10" s="50"/>
      <c r="C10" s="60">
        <v>33.978887229971534</v>
      </c>
      <c r="E10" s="33"/>
      <c r="F10" s="33"/>
    </row>
    <row r="11" spans="1:6" s="4" customFormat="1" x14ac:dyDescent="0.2">
      <c r="A11" s="28">
        <v>1994.02</v>
      </c>
      <c r="B11" s="51"/>
      <c r="C11" s="62">
        <v>34.147532963933543</v>
      </c>
      <c r="E11" s="33"/>
      <c r="F11" s="33"/>
    </row>
    <row r="12" spans="1:6" s="4" customFormat="1" x14ac:dyDescent="0.2">
      <c r="A12" s="28">
        <v>1994.03</v>
      </c>
      <c r="B12" s="51"/>
      <c r="C12" s="62">
        <v>34.036216442489767</v>
      </c>
      <c r="E12" s="33"/>
      <c r="F12" s="33"/>
    </row>
    <row r="13" spans="1:6" s="4" customFormat="1" x14ac:dyDescent="0.2">
      <c r="A13" s="28">
        <v>1994.04</v>
      </c>
      <c r="B13" s="51"/>
      <c r="C13" s="62">
        <v>33.25667865124462</v>
      </c>
      <c r="E13" s="33"/>
      <c r="F13" s="33"/>
    </row>
    <row r="14" spans="1:6" s="4" customFormat="1" x14ac:dyDescent="0.2">
      <c r="A14" s="28">
        <v>1994.05</v>
      </c>
      <c r="B14" s="51"/>
      <c r="C14" s="62">
        <v>33.349998051884626</v>
      </c>
      <c r="E14" s="33"/>
      <c r="F14" s="33"/>
    </row>
    <row r="15" spans="1:6" s="4" customFormat="1" x14ac:dyDescent="0.2">
      <c r="A15" s="28">
        <v>1994.06</v>
      </c>
      <c r="B15" s="51"/>
      <c r="C15" s="62">
        <v>33.440752079017159</v>
      </c>
      <c r="E15" s="33"/>
      <c r="F15" s="33"/>
    </row>
    <row r="16" spans="1:6" s="4" customFormat="1" x14ac:dyDescent="0.2">
      <c r="A16" s="28">
        <v>1994.07</v>
      </c>
      <c r="B16" s="51"/>
      <c r="C16" s="62">
        <v>33.591246305607577</v>
      </c>
      <c r="E16" s="33"/>
      <c r="F16" s="33"/>
    </row>
    <row r="17" spans="1:6" s="4" customFormat="1" x14ac:dyDescent="0.2">
      <c r="A17" s="28">
        <v>1994.08</v>
      </c>
      <c r="B17" s="51"/>
      <c r="C17" s="62">
        <v>33.674893092131967</v>
      </c>
      <c r="E17" s="33"/>
      <c r="F17" s="33"/>
    </row>
    <row r="18" spans="1:6" s="4" customFormat="1" x14ac:dyDescent="0.2">
      <c r="A18" s="28">
        <v>1994.09</v>
      </c>
      <c r="B18" s="51"/>
      <c r="C18" s="62">
        <v>33.854048776086323</v>
      </c>
      <c r="E18" s="33"/>
      <c r="F18" s="33"/>
    </row>
    <row r="19" spans="1:6" s="4" customFormat="1" x14ac:dyDescent="0.2">
      <c r="A19" s="28">
        <v>1994.1</v>
      </c>
      <c r="B19" s="51"/>
      <c r="C19" s="62">
        <v>33.807986147739534</v>
      </c>
      <c r="E19" s="33"/>
      <c r="F19" s="33"/>
    </row>
    <row r="20" spans="1:6" s="4" customFormat="1" x14ac:dyDescent="0.2">
      <c r="A20" s="28">
        <v>1994.11</v>
      </c>
      <c r="B20" s="51"/>
      <c r="C20" s="62">
        <v>33.775742300969313</v>
      </c>
      <c r="E20" s="33"/>
      <c r="F20" s="33"/>
    </row>
    <row r="21" spans="1:6" s="4" customFormat="1" x14ac:dyDescent="0.2">
      <c r="A21" s="28">
        <v>1994.12</v>
      </c>
      <c r="B21" s="51"/>
      <c r="C21" s="62">
        <v>33.500628872917559</v>
      </c>
      <c r="E21" s="33"/>
      <c r="F21" s="33"/>
    </row>
    <row r="22" spans="1:6" x14ac:dyDescent="0.2">
      <c r="A22" s="28">
        <v>1995.01</v>
      </c>
      <c r="B22" s="51"/>
      <c r="C22" s="62">
        <v>32.961621828224736</v>
      </c>
      <c r="E22" s="34"/>
      <c r="F22" s="33"/>
    </row>
    <row r="23" spans="1:6" x14ac:dyDescent="0.2">
      <c r="A23" s="28">
        <v>1995.02</v>
      </c>
      <c r="B23" s="51"/>
      <c r="C23" s="62">
        <v>33.095476451648061</v>
      </c>
      <c r="E23" s="34"/>
      <c r="F23" s="33"/>
    </row>
    <row r="24" spans="1:6" x14ac:dyDescent="0.2">
      <c r="A24" s="28">
        <v>1995.03</v>
      </c>
      <c r="B24" s="51"/>
      <c r="C24" s="62">
        <v>33.234807890779258</v>
      </c>
      <c r="E24" s="34"/>
      <c r="F24" s="33"/>
    </row>
    <row r="25" spans="1:6" x14ac:dyDescent="0.2">
      <c r="A25" s="28">
        <v>1995.04</v>
      </c>
      <c r="B25" s="51"/>
      <c r="C25" s="62">
        <v>30.158286176998722</v>
      </c>
      <c r="E25" s="34"/>
      <c r="F25" s="33"/>
    </row>
    <row r="26" spans="1:6" x14ac:dyDescent="0.2">
      <c r="A26" s="28">
        <v>1995.05</v>
      </c>
      <c r="B26" s="51"/>
      <c r="C26" s="62">
        <v>30.076858265233938</v>
      </c>
      <c r="E26" s="34"/>
      <c r="F26" s="33"/>
    </row>
    <row r="27" spans="1:6" x14ac:dyDescent="0.2">
      <c r="A27" s="28">
        <v>1995.06</v>
      </c>
      <c r="B27" s="51"/>
      <c r="C27" s="62">
        <v>30.156743357712873</v>
      </c>
      <c r="E27" s="34"/>
      <c r="F27" s="33"/>
    </row>
    <row r="28" spans="1:6" x14ac:dyDescent="0.2">
      <c r="A28" s="28">
        <v>1995.07</v>
      </c>
      <c r="B28" s="51"/>
      <c r="C28" s="62">
        <v>30.018157988723306</v>
      </c>
      <c r="E28" s="34"/>
      <c r="F28" s="33"/>
    </row>
    <row r="29" spans="1:6" x14ac:dyDescent="0.2">
      <c r="A29" s="28">
        <v>1995.08</v>
      </c>
      <c r="B29" s="51"/>
      <c r="C29" s="62">
        <v>29.887699120467431</v>
      </c>
      <c r="E29" s="34"/>
      <c r="F29" s="33"/>
    </row>
    <row r="30" spans="1:6" x14ac:dyDescent="0.2">
      <c r="A30" s="28">
        <v>1995.09</v>
      </c>
      <c r="B30" s="51"/>
      <c r="C30" s="62">
        <v>29.886619759938068</v>
      </c>
      <c r="E30" s="34"/>
      <c r="F30" s="33"/>
    </row>
    <row r="31" spans="1:6" x14ac:dyDescent="0.2">
      <c r="A31" s="28">
        <v>1995.1</v>
      </c>
      <c r="B31" s="51"/>
      <c r="C31" s="62">
        <v>31.092902506905816</v>
      </c>
      <c r="E31" s="34"/>
      <c r="F31" s="33"/>
    </row>
    <row r="32" spans="1:6" x14ac:dyDescent="0.2">
      <c r="A32" s="28">
        <v>1995.11</v>
      </c>
      <c r="B32" s="51"/>
      <c r="C32" s="62">
        <v>30.958579482196885</v>
      </c>
      <c r="E32" s="34"/>
      <c r="F32" s="33"/>
    </row>
    <row r="33" spans="1:6" x14ac:dyDescent="0.2">
      <c r="A33" s="28">
        <v>1995.12</v>
      </c>
      <c r="B33" s="51"/>
      <c r="C33" s="62">
        <v>30.769226370035952</v>
      </c>
      <c r="E33" s="34"/>
      <c r="F33" s="33"/>
    </row>
    <row r="34" spans="1:6" x14ac:dyDescent="0.2">
      <c r="A34" s="28">
        <v>1996.01</v>
      </c>
      <c r="B34" s="51"/>
      <c r="C34" s="62">
        <v>30.413127457955579</v>
      </c>
      <c r="E34" s="34"/>
      <c r="F34" s="33"/>
    </row>
    <row r="35" spans="1:6" x14ac:dyDescent="0.2">
      <c r="A35" s="28">
        <v>1996.02</v>
      </c>
      <c r="B35" s="51"/>
      <c r="C35" s="62">
        <v>30.394394244011632</v>
      </c>
      <c r="E35" s="34"/>
      <c r="F35" s="33"/>
    </row>
    <row r="36" spans="1:6" x14ac:dyDescent="0.2">
      <c r="A36" s="28">
        <v>1996.03</v>
      </c>
      <c r="B36" s="51"/>
      <c r="C36" s="62">
        <v>30.541757766356223</v>
      </c>
      <c r="E36" s="34"/>
      <c r="F36" s="33"/>
    </row>
    <row r="37" spans="1:6" x14ac:dyDescent="0.2">
      <c r="A37" s="28">
        <v>1996.04</v>
      </c>
      <c r="B37" s="51"/>
      <c r="C37" s="62">
        <v>33.055708028150946</v>
      </c>
      <c r="E37" s="34"/>
      <c r="F37" s="33"/>
    </row>
    <row r="38" spans="1:6" x14ac:dyDescent="0.2">
      <c r="A38" s="28">
        <v>1996.05</v>
      </c>
      <c r="B38" s="51"/>
      <c r="C38" s="62">
        <v>32.94281155131381</v>
      </c>
      <c r="E38" s="34"/>
      <c r="F38" s="33"/>
    </row>
    <row r="39" spans="1:6" x14ac:dyDescent="0.2">
      <c r="A39" s="28">
        <v>1996.06</v>
      </c>
      <c r="B39" s="51"/>
      <c r="C39" s="62">
        <v>32.768648005823962</v>
      </c>
      <c r="E39" s="34"/>
      <c r="F39" s="33"/>
    </row>
    <row r="40" spans="1:6" x14ac:dyDescent="0.2">
      <c r="A40" s="28">
        <v>1996.07</v>
      </c>
      <c r="B40" s="51"/>
      <c r="C40" s="62">
        <v>33.723014273757116</v>
      </c>
      <c r="E40" s="34"/>
      <c r="F40" s="33"/>
    </row>
    <row r="41" spans="1:6" x14ac:dyDescent="0.2">
      <c r="A41" s="28">
        <v>1996.08</v>
      </c>
      <c r="B41" s="51"/>
      <c r="C41" s="62">
        <v>33.97072342021611</v>
      </c>
      <c r="E41" s="34"/>
      <c r="F41" s="33"/>
    </row>
    <row r="42" spans="1:6" x14ac:dyDescent="0.2">
      <c r="A42" s="28">
        <v>1996.09</v>
      </c>
      <c r="B42" s="51"/>
      <c r="C42" s="62">
        <v>33.830922506019078</v>
      </c>
      <c r="E42" s="34"/>
      <c r="F42" s="33"/>
    </row>
    <row r="43" spans="1:6" x14ac:dyDescent="0.2">
      <c r="A43" s="28">
        <v>1996.1</v>
      </c>
      <c r="B43" s="51"/>
      <c r="C43" s="62">
        <v>34.389724400606362</v>
      </c>
      <c r="E43" s="34"/>
      <c r="F43" s="33"/>
    </row>
    <row r="44" spans="1:6" x14ac:dyDescent="0.2">
      <c r="A44" s="28">
        <v>1996.11</v>
      </c>
      <c r="B44" s="51"/>
      <c r="C44" s="62">
        <v>34.390267859651161</v>
      </c>
      <c r="E44" s="34"/>
      <c r="F44" s="33"/>
    </row>
    <row r="45" spans="1:6" x14ac:dyDescent="0.2">
      <c r="A45" s="28">
        <v>1996.12</v>
      </c>
      <c r="B45" s="51"/>
      <c r="C45" s="62">
        <v>34.53934557593854</v>
      </c>
      <c r="E45" s="34"/>
      <c r="F45" s="33"/>
    </row>
    <row r="46" spans="1:6" x14ac:dyDescent="0.2">
      <c r="A46" s="28">
        <v>1997.01</v>
      </c>
      <c r="B46" s="59">
        <v>33.479705925445373</v>
      </c>
      <c r="C46" s="62">
        <v>37.669692635610112</v>
      </c>
      <c r="E46" s="34"/>
      <c r="F46" s="33"/>
    </row>
    <row r="47" spans="1:6" x14ac:dyDescent="0.2">
      <c r="A47" s="28">
        <v>1997.02</v>
      </c>
      <c r="B47" s="61">
        <v>33.306008337881558</v>
      </c>
      <c r="C47" s="62">
        <v>37.264283869461508</v>
      </c>
      <c r="E47" s="34"/>
      <c r="F47" s="33"/>
    </row>
    <row r="48" spans="1:6" x14ac:dyDescent="0.2">
      <c r="A48" s="28">
        <v>1997.03</v>
      </c>
      <c r="B48" s="61">
        <v>37.96929879473474</v>
      </c>
      <c r="C48" s="62">
        <v>37.184542102876925</v>
      </c>
      <c r="E48" s="34"/>
      <c r="F48" s="33"/>
    </row>
    <row r="49" spans="1:6" x14ac:dyDescent="0.2">
      <c r="A49" s="28">
        <v>1997.04</v>
      </c>
      <c r="B49" s="61">
        <v>35.713541991153008</v>
      </c>
      <c r="C49" s="62">
        <v>37.800872773534245</v>
      </c>
      <c r="E49" s="34"/>
      <c r="F49" s="33"/>
    </row>
    <row r="50" spans="1:6" x14ac:dyDescent="0.2">
      <c r="A50" s="28">
        <v>1997.05</v>
      </c>
      <c r="B50" s="61">
        <v>37.598090328666544</v>
      </c>
      <c r="C50" s="62">
        <v>38.296729410444435</v>
      </c>
      <c r="E50" s="34"/>
      <c r="F50" s="33"/>
    </row>
    <row r="51" spans="1:6" x14ac:dyDescent="0.2">
      <c r="A51" s="28">
        <v>1997.06</v>
      </c>
      <c r="B51" s="61">
        <v>36.943930712372108</v>
      </c>
      <c r="C51" s="62">
        <v>38.135900147348487</v>
      </c>
      <c r="E51" s="34"/>
      <c r="F51" s="33"/>
    </row>
    <row r="52" spans="1:6" x14ac:dyDescent="0.2">
      <c r="A52" s="28">
        <v>1997.07</v>
      </c>
      <c r="B52" s="61">
        <v>37.66939050236688</v>
      </c>
      <c r="C52" s="62">
        <v>37.834192015878116</v>
      </c>
      <c r="E52" s="34"/>
      <c r="F52" s="33"/>
    </row>
    <row r="53" spans="1:6" x14ac:dyDescent="0.2">
      <c r="A53" s="28">
        <v>1997.08</v>
      </c>
      <c r="B53" s="61">
        <v>38.978862142857963</v>
      </c>
      <c r="C53" s="62">
        <v>37.933414948790706</v>
      </c>
      <c r="E53" s="34"/>
      <c r="F53" s="33"/>
    </row>
    <row r="54" spans="1:6" x14ac:dyDescent="0.2">
      <c r="A54" s="28">
        <v>1997.09</v>
      </c>
      <c r="B54" s="61">
        <v>34.313225766315256</v>
      </c>
      <c r="C54" s="62">
        <v>38.233380821749314</v>
      </c>
      <c r="E54" s="34"/>
      <c r="F54" s="33"/>
    </row>
    <row r="55" spans="1:6" x14ac:dyDescent="0.2">
      <c r="A55" s="28">
        <v>1997.1</v>
      </c>
      <c r="B55" s="61">
        <v>37.914622285436778</v>
      </c>
      <c r="C55" s="62">
        <v>39.037057037891117</v>
      </c>
      <c r="E55" s="34"/>
      <c r="F55" s="33"/>
    </row>
    <row r="56" spans="1:6" x14ac:dyDescent="0.2">
      <c r="A56" s="28">
        <v>1997.11</v>
      </c>
      <c r="B56" s="61">
        <v>40.687750518120481</v>
      </c>
      <c r="C56" s="62">
        <v>40.448717066646566</v>
      </c>
      <c r="E56" s="34"/>
      <c r="F56" s="33"/>
    </row>
    <row r="57" spans="1:6" x14ac:dyDescent="0.2">
      <c r="A57" s="28">
        <v>1997.12</v>
      </c>
      <c r="B57" s="61">
        <v>53.093407650110819</v>
      </c>
      <c r="C57" s="62">
        <v>41.432793249379898</v>
      </c>
      <c r="E57" s="34"/>
      <c r="F57" s="33"/>
    </row>
    <row r="58" spans="1:6" x14ac:dyDescent="0.2">
      <c r="A58" s="28">
        <v>1998.01</v>
      </c>
      <c r="B58" s="61">
        <v>38.000979505860194</v>
      </c>
      <c r="C58" s="62">
        <v>41.937614735030522</v>
      </c>
      <c r="E58" s="34"/>
      <c r="F58" s="33"/>
    </row>
    <row r="59" spans="1:6" x14ac:dyDescent="0.2">
      <c r="A59" s="28">
        <v>1998.02</v>
      </c>
      <c r="B59" s="61">
        <v>38.624281395513457</v>
      </c>
      <c r="C59" s="62">
        <v>42.334672989917642</v>
      </c>
      <c r="E59" s="34"/>
      <c r="F59" s="33"/>
    </row>
    <row r="60" spans="1:6" x14ac:dyDescent="0.2">
      <c r="A60" s="28">
        <v>1998.03</v>
      </c>
      <c r="B60" s="61">
        <v>44.30579620146802</v>
      </c>
      <c r="C60" s="62">
        <v>42.172242829842403</v>
      </c>
      <c r="E60" s="34"/>
      <c r="F60" s="33"/>
    </row>
    <row r="61" spans="1:6" x14ac:dyDescent="0.2">
      <c r="A61" s="28">
        <v>1998.04</v>
      </c>
      <c r="B61" s="61">
        <v>40.011911428456862</v>
      </c>
      <c r="C61" s="62">
        <v>41.722889202701808</v>
      </c>
      <c r="E61" s="34"/>
      <c r="F61" s="33"/>
    </row>
    <row r="62" spans="1:6" x14ac:dyDescent="0.2">
      <c r="A62" s="28">
        <v>1998.05</v>
      </c>
      <c r="B62" s="61">
        <v>41.819369792028894</v>
      </c>
      <c r="C62" s="62">
        <v>41.845896363207935</v>
      </c>
      <c r="E62" s="34"/>
      <c r="F62" s="33"/>
    </row>
    <row r="63" spans="1:6" x14ac:dyDescent="0.2">
      <c r="A63" s="28">
        <v>1998.06</v>
      </c>
      <c r="B63" s="61">
        <v>40.286249957121655</v>
      </c>
      <c r="C63" s="62">
        <v>42.149144224627051</v>
      </c>
      <c r="E63" s="34"/>
      <c r="F63" s="33"/>
    </row>
    <row r="64" spans="1:6" x14ac:dyDescent="0.2">
      <c r="A64" s="28">
        <v>1998.07</v>
      </c>
      <c r="B64" s="61">
        <v>42.61260703189086</v>
      </c>
      <c r="C64" s="62">
        <v>42.405893969651551</v>
      </c>
      <c r="E64" s="34"/>
      <c r="F64" s="33"/>
    </row>
    <row r="65" spans="1:6" x14ac:dyDescent="0.2">
      <c r="A65" s="28">
        <v>1998.08</v>
      </c>
      <c r="B65" s="61">
        <v>43.718335962031169</v>
      </c>
      <c r="C65" s="62">
        <v>43.016904219098279</v>
      </c>
      <c r="E65" s="34"/>
      <c r="F65" s="33"/>
    </row>
    <row r="66" spans="1:6" x14ac:dyDescent="0.2">
      <c r="A66" s="28">
        <v>1998.09</v>
      </c>
      <c r="B66" s="61">
        <v>40.07034284896973</v>
      </c>
      <c r="C66" s="62">
        <v>43.754260245356193</v>
      </c>
      <c r="E66" s="34"/>
      <c r="F66" s="33"/>
    </row>
    <row r="67" spans="1:6" x14ac:dyDescent="0.2">
      <c r="A67" s="28">
        <v>1998.1</v>
      </c>
      <c r="B67" s="61">
        <v>45.212477816288292</v>
      </c>
      <c r="C67" s="62">
        <v>44.331452198914455</v>
      </c>
      <c r="E67" s="34"/>
      <c r="F67" s="33"/>
    </row>
    <row r="68" spans="1:6" x14ac:dyDescent="0.2">
      <c r="A68" s="28">
        <v>1998.11</v>
      </c>
      <c r="B68" s="61">
        <v>42.917657277710767</v>
      </c>
      <c r="C68" s="62">
        <v>44.502560223038238</v>
      </c>
      <c r="E68" s="34"/>
      <c r="F68" s="33"/>
    </row>
    <row r="69" spans="1:6" x14ac:dyDescent="0.2">
      <c r="A69" s="28">
        <v>1998.12</v>
      </c>
      <c r="B69" s="61">
        <v>56.178632851187331</v>
      </c>
      <c r="C69" s="62">
        <v>44.246339642375816</v>
      </c>
      <c r="E69" s="34"/>
      <c r="F69" s="33"/>
    </row>
    <row r="70" spans="1:6" x14ac:dyDescent="0.2">
      <c r="A70" s="28">
        <v>1999.01</v>
      </c>
      <c r="B70" s="61">
        <v>40.656420014008908</v>
      </c>
      <c r="C70" s="62">
        <v>44.004056712117695</v>
      </c>
      <c r="E70" s="34"/>
      <c r="F70" s="33"/>
    </row>
    <row r="71" spans="1:6" x14ac:dyDescent="0.2">
      <c r="A71" s="28">
        <v>1999.02</v>
      </c>
      <c r="B71" s="61">
        <v>40.61805106882948</v>
      </c>
      <c r="C71" s="62">
        <v>44.222339520569832</v>
      </c>
      <c r="E71" s="34"/>
      <c r="F71" s="33"/>
    </row>
    <row r="72" spans="1:6" x14ac:dyDescent="0.2">
      <c r="A72" s="28">
        <v>1999.03</v>
      </c>
      <c r="B72" s="61">
        <v>45.975874794517971</v>
      </c>
      <c r="C72" s="62">
        <v>44.529207134968502</v>
      </c>
      <c r="E72" s="34"/>
      <c r="F72" s="33"/>
    </row>
    <row r="73" spans="1:6" x14ac:dyDescent="0.2">
      <c r="A73" s="28">
        <v>1999.04</v>
      </c>
      <c r="B73" s="61">
        <v>43.52021496140069</v>
      </c>
      <c r="C73" s="62">
        <v>44.662067440756076</v>
      </c>
      <c r="E73" s="34"/>
      <c r="F73" s="33"/>
    </row>
    <row r="74" spans="1:6" x14ac:dyDescent="0.2">
      <c r="A74" s="28">
        <v>1999.05</v>
      </c>
      <c r="B74" s="61">
        <v>44.078250894096676</v>
      </c>
      <c r="C74" s="62">
        <v>44.758848933175955</v>
      </c>
      <c r="E74" s="34"/>
      <c r="F74" s="33"/>
    </row>
    <row r="75" spans="1:6" x14ac:dyDescent="0.2">
      <c r="A75" s="28">
        <v>1999.06</v>
      </c>
      <c r="B75" s="61">
        <v>43.114229153535398</v>
      </c>
      <c r="C75" s="62">
        <v>45.084166807908517</v>
      </c>
      <c r="E75" s="34"/>
      <c r="F75" s="33"/>
    </row>
    <row r="76" spans="1:6" x14ac:dyDescent="0.2">
      <c r="A76" s="28">
        <v>1999.07</v>
      </c>
      <c r="B76" s="61">
        <v>47.466242878724842</v>
      </c>
      <c r="C76" s="62">
        <v>45.486713087521522</v>
      </c>
      <c r="E76" s="34"/>
      <c r="F76" s="33"/>
    </row>
    <row r="77" spans="1:6" x14ac:dyDescent="0.2">
      <c r="A77" s="28">
        <v>1999.08</v>
      </c>
      <c r="B77" s="61">
        <v>44.35328033633953</v>
      </c>
      <c r="C77" s="62">
        <v>45.342993971873753</v>
      </c>
      <c r="E77" s="34"/>
      <c r="F77" s="33"/>
    </row>
    <row r="78" spans="1:6" x14ac:dyDescent="0.2">
      <c r="A78" s="28">
        <v>1999.09</v>
      </c>
      <c r="B78" s="61">
        <v>41.810759541913647</v>
      </c>
      <c r="C78" s="62">
        <v>45.343479577869431</v>
      </c>
      <c r="E78" s="34"/>
      <c r="F78" s="33"/>
    </row>
    <row r="79" spans="1:6" x14ac:dyDescent="0.2">
      <c r="A79" s="28">
        <v>1999.1</v>
      </c>
      <c r="B79" s="61">
        <v>47.393638219539824</v>
      </c>
      <c r="C79" s="62">
        <v>45.617670716827163</v>
      </c>
      <c r="E79" s="34"/>
      <c r="F79" s="33"/>
    </row>
    <row r="80" spans="1:6" x14ac:dyDescent="0.2">
      <c r="A80" s="28">
        <v>1999.11</v>
      </c>
      <c r="B80" s="61">
        <v>42.854404777480454</v>
      </c>
      <c r="C80" s="62">
        <v>45.546458222064146</v>
      </c>
      <c r="E80" s="34"/>
      <c r="F80" s="33"/>
    </row>
    <row r="81" spans="1:6" x14ac:dyDescent="0.2">
      <c r="A81" s="28">
        <v>1999.12</v>
      </c>
      <c r="B81" s="61">
        <v>57.548716105257753</v>
      </c>
      <c r="C81" s="62">
        <v>45.655563803171418</v>
      </c>
      <c r="E81" s="34"/>
      <c r="F81" s="33"/>
    </row>
    <row r="82" spans="1:6" x14ac:dyDescent="0.2">
      <c r="A82" s="28">
        <v>2000.01</v>
      </c>
      <c r="B82" s="61">
        <v>42.846050956963559</v>
      </c>
      <c r="C82" s="62">
        <v>46.215242388288111</v>
      </c>
      <c r="E82" s="34"/>
      <c r="F82" s="33"/>
    </row>
    <row r="83" spans="1:6" x14ac:dyDescent="0.2">
      <c r="A83" s="28">
        <v>2000.02</v>
      </c>
      <c r="B83" s="61">
        <v>44.623733898116662</v>
      </c>
      <c r="C83" s="62">
        <v>47.206631310055926</v>
      </c>
      <c r="E83" s="34"/>
      <c r="F83" s="33"/>
    </row>
    <row r="84" spans="1:6" x14ac:dyDescent="0.2">
      <c r="A84" s="28">
        <v>2000.03</v>
      </c>
      <c r="B84" s="61">
        <v>47.885934058371404</v>
      </c>
      <c r="C84" s="62">
        <v>48.6849946222898</v>
      </c>
      <c r="E84" s="34"/>
      <c r="F84" s="33"/>
    </row>
    <row r="85" spans="1:6" x14ac:dyDescent="0.2">
      <c r="A85" s="28">
        <v>2000.04</v>
      </c>
      <c r="B85" s="61">
        <v>55.205570899817459</v>
      </c>
      <c r="C85" s="62">
        <v>50.290433685518167</v>
      </c>
      <c r="E85" s="34"/>
      <c r="F85" s="33"/>
    </row>
    <row r="86" spans="1:6" x14ac:dyDescent="0.2">
      <c r="A86" s="28">
        <v>2000.05</v>
      </c>
      <c r="B86" s="61">
        <v>49.510194383127505</v>
      </c>
      <c r="C86" s="62">
        <v>51.643360618604127</v>
      </c>
      <c r="E86" s="34"/>
      <c r="F86" s="33"/>
    </row>
    <row r="87" spans="1:6" x14ac:dyDescent="0.2">
      <c r="A87" s="28">
        <v>2000.06</v>
      </c>
      <c r="B87" s="61">
        <v>51.123895720171177</v>
      </c>
      <c r="C87" s="62">
        <v>52.771585259767029</v>
      </c>
      <c r="E87" s="34"/>
      <c r="F87" s="33"/>
    </row>
    <row r="88" spans="1:6" x14ac:dyDescent="0.2">
      <c r="A88" s="28">
        <v>2000.07</v>
      </c>
      <c r="B88" s="61">
        <v>55.732683674386848</v>
      </c>
      <c r="C88" s="62">
        <v>54.138383926450146</v>
      </c>
      <c r="E88" s="34"/>
      <c r="F88" s="33"/>
    </row>
    <row r="89" spans="1:6" x14ac:dyDescent="0.2">
      <c r="A89" s="28">
        <v>2000.08</v>
      </c>
      <c r="B89" s="61">
        <v>54.4617861487881</v>
      </c>
      <c r="C89" s="62">
        <v>55.367544744574118</v>
      </c>
      <c r="E89" s="34"/>
      <c r="F89" s="33"/>
    </row>
    <row r="90" spans="1:6" x14ac:dyDescent="0.2">
      <c r="A90" s="28">
        <v>2000.09</v>
      </c>
      <c r="B90" s="61">
        <v>53.732539719521448</v>
      </c>
      <c r="C90" s="62">
        <v>55.587723186162584</v>
      </c>
      <c r="E90" s="34"/>
      <c r="F90" s="33"/>
    </row>
    <row r="91" spans="1:6" x14ac:dyDescent="0.2">
      <c r="A91" s="28">
        <v>2000.1</v>
      </c>
      <c r="B91" s="61">
        <v>54.78509612705259</v>
      </c>
      <c r="C91" s="62">
        <v>55.154167191521438</v>
      </c>
      <c r="E91" s="34"/>
      <c r="F91" s="33"/>
    </row>
    <row r="92" spans="1:6" x14ac:dyDescent="0.2">
      <c r="A92" s="28">
        <v>2000.11</v>
      </c>
      <c r="B92" s="61">
        <v>52.677553857944588</v>
      </c>
      <c r="C92" s="62">
        <v>54.933608973387791</v>
      </c>
      <c r="E92" s="34"/>
      <c r="F92" s="33"/>
    </row>
    <row r="93" spans="1:6" x14ac:dyDescent="0.2">
      <c r="A93" s="28">
        <v>2000.12</v>
      </c>
      <c r="B93" s="61">
        <v>72.186897458662571</v>
      </c>
      <c r="C93" s="62">
        <v>54.838018970286633</v>
      </c>
      <c r="E93" s="34"/>
      <c r="F93" s="33"/>
    </row>
    <row r="94" spans="1:6" x14ac:dyDescent="0.2">
      <c r="A94" s="28">
        <v>2001.01</v>
      </c>
      <c r="B94" s="61">
        <v>49.863285646919294</v>
      </c>
      <c r="C94" s="62">
        <v>54.485037980029844</v>
      </c>
      <c r="E94" s="34"/>
      <c r="F94" s="33"/>
    </row>
    <row r="95" spans="1:6" x14ac:dyDescent="0.2">
      <c r="A95" s="28">
        <v>2001.02</v>
      </c>
      <c r="B95" s="61">
        <v>49.552452627184714</v>
      </c>
      <c r="C95" s="62">
        <v>54.266540718458643</v>
      </c>
      <c r="E95" s="34"/>
      <c r="F95" s="33"/>
    </row>
    <row r="96" spans="1:6" x14ac:dyDescent="0.2">
      <c r="A96" s="28">
        <v>2001.03</v>
      </c>
      <c r="B96" s="61">
        <v>56.750005726396907</v>
      </c>
      <c r="C96" s="62">
        <v>54.61134674981156</v>
      </c>
      <c r="E96" s="34"/>
      <c r="F96" s="33"/>
    </row>
    <row r="97" spans="1:6" x14ac:dyDescent="0.2">
      <c r="A97" s="28">
        <v>2001.04</v>
      </c>
      <c r="B97" s="61">
        <v>54.907788949299494</v>
      </c>
      <c r="C97" s="62">
        <v>54.965957947437801</v>
      </c>
      <c r="E97" s="34"/>
      <c r="F97" s="33"/>
    </row>
    <row r="98" spans="1:6" x14ac:dyDescent="0.2">
      <c r="A98" s="28">
        <v>2001.05</v>
      </c>
      <c r="B98" s="61">
        <v>48.905692946326397</v>
      </c>
      <c r="C98" s="62">
        <v>54.705150917611377</v>
      </c>
      <c r="E98" s="34"/>
      <c r="F98" s="33"/>
    </row>
    <row r="99" spans="1:6" x14ac:dyDescent="0.2">
      <c r="A99" s="28">
        <v>2001.06</v>
      </c>
      <c r="B99" s="61">
        <v>53.947740590449179</v>
      </c>
      <c r="C99" s="62">
        <v>54.253375134259926</v>
      </c>
      <c r="E99" s="34"/>
      <c r="F99" s="33"/>
    </row>
    <row r="100" spans="1:6" x14ac:dyDescent="0.2">
      <c r="A100" s="28">
        <v>2001.07</v>
      </c>
      <c r="B100" s="61">
        <v>54.319807738116403</v>
      </c>
      <c r="C100" s="62">
        <v>53.573634870530789</v>
      </c>
      <c r="E100" s="34"/>
      <c r="F100" s="33"/>
    </row>
    <row r="101" spans="1:6" x14ac:dyDescent="0.2">
      <c r="A101" s="28">
        <v>2001.08</v>
      </c>
      <c r="B101" s="61">
        <v>51.219280259223638</v>
      </c>
      <c r="C101" s="62">
        <v>52.420373064721176</v>
      </c>
      <c r="E101" s="34"/>
      <c r="F101" s="33"/>
    </row>
    <row r="102" spans="1:6" x14ac:dyDescent="0.2">
      <c r="A102" s="28">
        <v>2001.09</v>
      </c>
      <c r="B102" s="61">
        <v>49.847390101291602</v>
      </c>
      <c r="C102" s="62">
        <v>51.397991991951045</v>
      </c>
      <c r="E102" s="34"/>
      <c r="F102" s="33"/>
    </row>
    <row r="103" spans="1:6" x14ac:dyDescent="0.2">
      <c r="A103" s="28">
        <v>2001.1</v>
      </c>
      <c r="B103" s="61">
        <v>49.993224141939535</v>
      </c>
      <c r="C103" s="62">
        <v>50.815176333371824</v>
      </c>
      <c r="E103" s="34"/>
      <c r="F103" s="33"/>
    </row>
    <row r="104" spans="1:6" x14ac:dyDescent="0.2">
      <c r="A104" s="28">
        <v>2001.11</v>
      </c>
      <c r="B104" s="61">
        <v>48.563298029166461</v>
      </c>
      <c r="C104" s="62">
        <v>50.687559730024191</v>
      </c>
      <c r="E104" s="34"/>
      <c r="F104" s="33"/>
    </row>
    <row r="105" spans="1:6" x14ac:dyDescent="0.2">
      <c r="A105" s="28">
        <v>2001.12</v>
      </c>
      <c r="B105" s="61">
        <v>63.499557492006623</v>
      </c>
      <c r="C105" s="62">
        <v>50.733585704573734</v>
      </c>
      <c r="E105" s="34"/>
      <c r="F105" s="33"/>
    </row>
    <row r="106" spans="1:6" x14ac:dyDescent="0.2">
      <c r="A106" s="28">
        <v>2002.01</v>
      </c>
      <c r="B106" s="61">
        <v>47.840141846286699</v>
      </c>
      <c r="C106" s="62">
        <v>50.417521960151987</v>
      </c>
      <c r="E106" s="34"/>
      <c r="F106" s="33"/>
    </row>
    <row r="107" spans="1:6" x14ac:dyDescent="0.2">
      <c r="A107" s="28">
        <v>2002.02</v>
      </c>
      <c r="B107" s="61">
        <v>46.301346391549622</v>
      </c>
      <c r="C107" s="62">
        <v>49.461057266652375</v>
      </c>
      <c r="E107" s="34"/>
      <c r="F107" s="33"/>
    </row>
    <row r="108" spans="1:6" x14ac:dyDescent="0.2">
      <c r="A108" s="28">
        <v>2002.03</v>
      </c>
      <c r="B108" s="61">
        <v>51.593564253913755</v>
      </c>
      <c r="C108" s="62">
        <v>47.280229892017616</v>
      </c>
      <c r="E108" s="34"/>
      <c r="F108" s="33"/>
    </row>
    <row r="109" spans="1:6" x14ac:dyDescent="0.2">
      <c r="A109" s="28">
        <v>2002.04</v>
      </c>
      <c r="B109" s="61">
        <v>41.518924012000021</v>
      </c>
      <c r="C109" s="62">
        <v>44.246907297348685</v>
      </c>
      <c r="E109" s="34"/>
      <c r="F109" s="33"/>
    </row>
    <row r="110" spans="1:6" x14ac:dyDescent="0.2">
      <c r="A110" s="28">
        <v>2002.05</v>
      </c>
      <c r="B110" s="61">
        <v>38.383345581192501</v>
      </c>
      <c r="C110" s="62">
        <v>41.898790356434858</v>
      </c>
      <c r="E110" s="34"/>
      <c r="F110" s="33"/>
    </row>
    <row r="111" spans="1:6" x14ac:dyDescent="0.2">
      <c r="A111" s="28">
        <v>2002.06</v>
      </c>
      <c r="B111" s="61">
        <v>40.36825850136389</v>
      </c>
      <c r="C111" s="62">
        <v>40.131745030209821</v>
      </c>
      <c r="E111" s="34"/>
      <c r="F111" s="33"/>
    </row>
    <row r="112" spans="1:6" x14ac:dyDescent="0.2">
      <c r="A112" s="28">
        <v>2002.07</v>
      </c>
      <c r="B112" s="61">
        <v>37.771577348849057</v>
      </c>
      <c r="C112" s="62">
        <v>38.259692208427339</v>
      </c>
      <c r="E112" s="34"/>
      <c r="F112" s="33"/>
    </row>
    <row r="113" spans="1:6" x14ac:dyDescent="0.2">
      <c r="A113" s="28">
        <v>2002.08</v>
      </c>
      <c r="B113" s="61">
        <v>35.947534926446494</v>
      </c>
      <c r="C113" s="62">
        <v>36.900520423980133</v>
      </c>
      <c r="E113" s="34"/>
      <c r="F113" s="33"/>
    </row>
    <row r="114" spans="1:6" x14ac:dyDescent="0.2">
      <c r="A114" s="28">
        <v>2002.09</v>
      </c>
      <c r="B114" s="61">
        <v>33.791189974956509</v>
      </c>
      <c r="C114" s="62">
        <v>36.169272099233794</v>
      </c>
      <c r="E114" s="34"/>
      <c r="F114" s="33"/>
    </row>
    <row r="115" spans="1:6" x14ac:dyDescent="0.2">
      <c r="A115" s="28">
        <v>2002.1</v>
      </c>
      <c r="B115" s="61">
        <v>34.764978834496894</v>
      </c>
      <c r="C115" s="62">
        <v>35.629590584943927</v>
      </c>
      <c r="E115" s="34"/>
      <c r="F115" s="33"/>
    </row>
    <row r="116" spans="1:6" x14ac:dyDescent="0.2">
      <c r="A116" s="28">
        <v>2002.11</v>
      </c>
      <c r="B116" s="61">
        <v>34.571829450755892</v>
      </c>
      <c r="C116" s="62">
        <v>34.857680415897271</v>
      </c>
      <c r="E116" s="34"/>
      <c r="F116" s="33"/>
    </row>
    <row r="117" spans="1:6" x14ac:dyDescent="0.2">
      <c r="A117" s="28">
        <v>2002.12</v>
      </c>
      <c r="B117" s="61">
        <v>44.880578663961487</v>
      </c>
      <c r="C117" s="62">
        <v>34.001107001920637</v>
      </c>
      <c r="E117" s="34"/>
      <c r="F117" s="33"/>
    </row>
    <row r="118" spans="1:6" x14ac:dyDescent="0.2">
      <c r="A118" s="28">
        <v>2003.01</v>
      </c>
      <c r="B118" s="61">
        <v>31.109198246246031</v>
      </c>
      <c r="C118" s="62">
        <v>34.049454434770425</v>
      </c>
      <c r="E118" s="34"/>
      <c r="F118" s="33"/>
    </row>
    <row r="119" spans="1:6" x14ac:dyDescent="0.2">
      <c r="A119" s="28">
        <v>2003.02</v>
      </c>
      <c r="B119" s="61">
        <v>31.057393133430168</v>
      </c>
      <c r="C119" s="62">
        <v>34.32565091470709</v>
      </c>
      <c r="E119" s="34"/>
      <c r="F119" s="33"/>
    </row>
    <row r="120" spans="1:6" x14ac:dyDescent="0.2">
      <c r="A120" s="28">
        <v>2003.03</v>
      </c>
      <c r="B120" s="61">
        <v>35.697093382169768</v>
      </c>
      <c r="C120" s="62">
        <v>34.016100217340494</v>
      </c>
      <c r="E120" s="34"/>
      <c r="F120" s="33"/>
    </row>
    <row r="121" spans="1:6" x14ac:dyDescent="0.2">
      <c r="A121" s="28">
        <v>2003.04</v>
      </c>
      <c r="B121" s="61">
        <v>32.896626053684273</v>
      </c>
      <c r="C121" s="62">
        <v>34.283183436726439</v>
      </c>
      <c r="E121" s="34"/>
      <c r="F121" s="33"/>
    </row>
    <row r="122" spans="1:6" x14ac:dyDescent="0.2">
      <c r="A122" s="28">
        <v>2003.05</v>
      </c>
      <c r="B122" s="61">
        <v>34.917529071009682</v>
      </c>
      <c r="C122" s="62">
        <v>35.49421664984267</v>
      </c>
      <c r="E122" s="34"/>
      <c r="F122" s="33"/>
    </row>
    <row r="123" spans="1:6" x14ac:dyDescent="0.2">
      <c r="A123" s="28">
        <v>2003.06</v>
      </c>
      <c r="B123" s="61">
        <v>35.477755629359798</v>
      </c>
      <c r="C123" s="62">
        <v>36.470347303489433</v>
      </c>
      <c r="E123" s="34"/>
      <c r="F123" s="33"/>
    </row>
    <row r="124" spans="1:6" x14ac:dyDescent="0.2">
      <c r="A124" s="28">
        <v>2003.07</v>
      </c>
      <c r="B124" s="61">
        <v>36.315357870470201</v>
      </c>
      <c r="C124" s="62">
        <v>36.951653363946129</v>
      </c>
      <c r="E124" s="34"/>
      <c r="F124" s="33"/>
    </row>
    <row r="125" spans="1:6" x14ac:dyDescent="0.2">
      <c r="A125" s="28">
        <v>2003.08</v>
      </c>
      <c r="B125" s="61">
        <v>37.744308670855006</v>
      </c>
      <c r="C125" s="62">
        <v>37.757316924698678</v>
      </c>
      <c r="E125" s="34"/>
      <c r="F125" s="33"/>
    </row>
    <row r="126" spans="1:6" x14ac:dyDescent="0.2">
      <c r="A126" s="28">
        <v>2003.09</v>
      </c>
      <c r="B126" s="61">
        <v>36.001472822368797</v>
      </c>
      <c r="C126" s="62">
        <v>38.453883135961291</v>
      </c>
      <c r="E126" s="34"/>
      <c r="F126" s="33"/>
    </row>
    <row r="127" spans="1:6" x14ac:dyDescent="0.2">
      <c r="A127" s="28">
        <v>2003.1</v>
      </c>
      <c r="B127" s="61">
        <v>38.082766083234716</v>
      </c>
      <c r="C127" s="62">
        <v>38.225254361462099</v>
      </c>
      <c r="E127" s="34"/>
      <c r="F127" s="33"/>
    </row>
    <row r="128" spans="1:6" x14ac:dyDescent="0.2">
      <c r="A128" s="28">
        <v>2003.11</v>
      </c>
      <c r="B128" s="61">
        <v>37.448714669454411</v>
      </c>
      <c r="C128" s="62">
        <v>37.562702733854906</v>
      </c>
      <c r="E128" s="34"/>
      <c r="F128" s="33"/>
    </row>
    <row r="129" spans="1:6" x14ac:dyDescent="0.2">
      <c r="A129" s="28">
        <v>2003.12</v>
      </c>
      <c r="B129" s="61">
        <v>48.338057873525074</v>
      </c>
      <c r="C129" s="62">
        <v>37.383925147985785</v>
      </c>
      <c r="E129" s="34"/>
      <c r="F129" s="33"/>
    </row>
    <row r="130" spans="1:6" x14ac:dyDescent="0.2">
      <c r="A130" s="28">
        <v>2004.01</v>
      </c>
      <c r="B130" s="61">
        <v>36.094398893896802</v>
      </c>
      <c r="C130" s="62">
        <v>37.891297028321901</v>
      </c>
      <c r="E130" s="34"/>
      <c r="F130" s="33"/>
    </row>
    <row r="131" spans="1:6" x14ac:dyDescent="0.2">
      <c r="A131" s="28">
        <v>2004.02</v>
      </c>
      <c r="B131" s="61">
        <v>36.462198598488946</v>
      </c>
      <c r="C131" s="62">
        <v>38.392293927383122</v>
      </c>
      <c r="E131" s="34"/>
      <c r="F131" s="33"/>
    </row>
    <row r="132" spans="1:6" x14ac:dyDescent="0.2">
      <c r="A132" s="28">
        <v>2004.03</v>
      </c>
      <c r="B132" s="61">
        <v>38.733610427603324</v>
      </c>
      <c r="C132" s="62">
        <v>39.011226337521308</v>
      </c>
      <c r="E132" s="34"/>
      <c r="F132" s="33"/>
    </row>
    <row r="133" spans="1:6" x14ac:dyDescent="0.2">
      <c r="A133" s="28">
        <v>2004.04</v>
      </c>
      <c r="B133" s="61">
        <v>39.413851883772921</v>
      </c>
      <c r="C133" s="62">
        <v>39.887086275727796</v>
      </c>
      <c r="E133" s="34"/>
      <c r="F133" s="33"/>
    </row>
    <row r="134" spans="1:6" x14ac:dyDescent="0.2">
      <c r="A134" s="28">
        <v>2004.05</v>
      </c>
      <c r="B134" s="61">
        <v>39.967409058514285</v>
      </c>
      <c r="C134" s="62">
        <v>40.035952736664598</v>
      </c>
      <c r="E134" s="34"/>
      <c r="F134" s="33"/>
    </row>
    <row r="135" spans="1:6" x14ac:dyDescent="0.2">
      <c r="A135" s="28">
        <v>2004.06</v>
      </c>
      <c r="B135" s="61">
        <v>37.613687620248861</v>
      </c>
      <c r="C135" s="62">
        <v>39.506493320024362</v>
      </c>
      <c r="E135" s="34"/>
      <c r="F135" s="33"/>
    </row>
    <row r="136" spans="1:6" x14ac:dyDescent="0.2">
      <c r="A136" s="28">
        <v>2004.07</v>
      </c>
      <c r="B136" s="61">
        <v>39.778403727460564</v>
      </c>
      <c r="C136" s="62">
        <v>39.456533923058963</v>
      </c>
      <c r="E136" s="34"/>
      <c r="F136" s="33"/>
    </row>
    <row r="137" spans="1:6" x14ac:dyDescent="0.2">
      <c r="A137" s="28">
        <v>2004.08</v>
      </c>
      <c r="B137" s="61">
        <v>38.806054886696998</v>
      </c>
      <c r="C137" s="62">
        <v>39.883046805968647</v>
      </c>
      <c r="E137" s="34"/>
      <c r="F137" s="33"/>
    </row>
    <row r="138" spans="1:6" x14ac:dyDescent="0.2">
      <c r="A138" s="28">
        <v>2004.09</v>
      </c>
      <c r="B138" s="61">
        <v>36.275053228236132</v>
      </c>
      <c r="C138" s="62">
        <v>40.503774519727095</v>
      </c>
      <c r="E138" s="34"/>
      <c r="F138" s="33"/>
    </row>
    <row r="139" spans="1:6" x14ac:dyDescent="0.2">
      <c r="A139" s="28">
        <v>2004.1</v>
      </c>
      <c r="B139" s="61">
        <v>43.605986087192285</v>
      </c>
      <c r="C139" s="62">
        <v>41.49931508753231</v>
      </c>
      <c r="E139" s="34"/>
      <c r="F139" s="33"/>
    </row>
    <row r="140" spans="1:6" x14ac:dyDescent="0.2">
      <c r="A140" s="28">
        <v>2004.11</v>
      </c>
      <c r="B140" s="61">
        <v>40.062055261304025</v>
      </c>
      <c r="C140" s="62">
        <v>42.463482999209447</v>
      </c>
      <c r="E140" s="34"/>
      <c r="F140" s="33"/>
    </row>
    <row r="141" spans="1:6" x14ac:dyDescent="0.2">
      <c r="A141" s="28">
        <v>2004.12</v>
      </c>
      <c r="B141" s="61">
        <v>56.914453003436833</v>
      </c>
      <c r="C141" s="62">
        <v>43.057015949395677</v>
      </c>
      <c r="E141" s="34"/>
      <c r="F141" s="33"/>
    </row>
    <row r="142" spans="1:6" x14ac:dyDescent="0.2">
      <c r="A142" s="28">
        <v>2005.01</v>
      </c>
      <c r="B142" s="61">
        <v>41.274633716511104</v>
      </c>
      <c r="C142" s="62">
        <v>43.226456128433171</v>
      </c>
      <c r="E142" s="34"/>
      <c r="F142" s="33"/>
    </row>
    <row r="143" spans="1:6" x14ac:dyDescent="0.2">
      <c r="A143" s="28">
        <v>2005.02</v>
      </c>
      <c r="B143" s="61">
        <v>38.851194328651744</v>
      </c>
      <c r="C143" s="62">
        <v>43.107222975413151</v>
      </c>
      <c r="E143" s="34"/>
      <c r="F143" s="33"/>
    </row>
    <row r="144" spans="1:6" x14ac:dyDescent="0.2">
      <c r="A144" s="28">
        <v>2005.03</v>
      </c>
      <c r="B144" s="61">
        <v>43.026974250060867</v>
      </c>
      <c r="C144" s="62">
        <v>43.100451941251571</v>
      </c>
      <c r="E144" s="34"/>
      <c r="F144" s="33"/>
    </row>
    <row r="145" spans="1:6" x14ac:dyDescent="0.2">
      <c r="A145" s="28">
        <v>2005.04</v>
      </c>
      <c r="B145" s="61">
        <v>43.149250845990835</v>
      </c>
      <c r="C145" s="62">
        <v>43.598752467762012</v>
      </c>
      <c r="E145" s="34"/>
      <c r="F145" s="33"/>
    </row>
    <row r="146" spans="1:6" x14ac:dyDescent="0.2">
      <c r="A146" s="28">
        <v>2005.05</v>
      </c>
      <c r="B146" s="61">
        <v>42.825655989798967</v>
      </c>
      <c r="C146" s="62">
        <v>43.949524992016364</v>
      </c>
      <c r="E146" s="34"/>
      <c r="F146" s="33"/>
    </row>
    <row r="147" spans="1:6" x14ac:dyDescent="0.2">
      <c r="A147" s="28">
        <v>2005.06</v>
      </c>
      <c r="B147" s="61">
        <v>41.796236653836928</v>
      </c>
      <c r="C147" s="62">
        <v>43.927742774450337</v>
      </c>
      <c r="E147" s="34"/>
      <c r="F147" s="33"/>
    </row>
    <row r="148" spans="1:6" x14ac:dyDescent="0.2">
      <c r="A148" s="28">
        <v>2005.07</v>
      </c>
      <c r="B148" s="61">
        <v>45.91542676412503</v>
      </c>
      <c r="C148" s="62">
        <v>44.024715838222932</v>
      </c>
      <c r="E148" s="34"/>
      <c r="F148" s="33"/>
    </row>
    <row r="149" spans="1:6" x14ac:dyDescent="0.2">
      <c r="A149" s="28">
        <v>2005.08</v>
      </c>
      <c r="B149" s="61">
        <v>42.257877029988677</v>
      </c>
      <c r="C149" s="62">
        <v>43.954594300817597</v>
      </c>
      <c r="E149" s="34"/>
      <c r="F149" s="33"/>
    </row>
    <row r="150" spans="1:6" x14ac:dyDescent="0.2">
      <c r="A150" s="28">
        <v>2005.09</v>
      </c>
      <c r="B150" s="61">
        <v>40.840691260432955</v>
      </c>
      <c r="C150" s="62">
        <v>44.114939786035507</v>
      </c>
      <c r="E150" s="34"/>
      <c r="F150" s="33"/>
    </row>
    <row r="151" spans="1:6" x14ac:dyDescent="0.2">
      <c r="A151" s="28">
        <v>2005.1</v>
      </c>
      <c r="B151" s="61">
        <v>46.082856626756829</v>
      </c>
      <c r="C151" s="62">
        <v>44.537278462135383</v>
      </c>
      <c r="E151" s="34"/>
      <c r="F151" s="33"/>
    </row>
    <row r="152" spans="1:6" x14ac:dyDescent="0.2">
      <c r="A152" s="28">
        <v>2005.11</v>
      </c>
      <c r="B152" s="61">
        <v>42.872000432226436</v>
      </c>
      <c r="C152" s="62">
        <v>44.650842688237034</v>
      </c>
      <c r="E152" s="34"/>
      <c r="F152" s="33"/>
    </row>
    <row r="153" spans="1:6" x14ac:dyDescent="0.2">
      <c r="A153" s="28">
        <v>2005.12</v>
      </c>
      <c r="B153" s="61">
        <v>55.919691251020708</v>
      </c>
      <c r="C153" s="62">
        <v>44.918562355456416</v>
      </c>
      <c r="E153" s="34"/>
      <c r="F153" s="33"/>
    </row>
    <row r="154" spans="1:6" x14ac:dyDescent="0.2">
      <c r="A154" s="28">
        <v>2006.01</v>
      </c>
      <c r="B154" s="61">
        <v>42.769916322983434</v>
      </c>
      <c r="C154" s="62">
        <v>45.522504543141395</v>
      </c>
      <c r="E154" s="34"/>
      <c r="F154" s="33"/>
    </row>
    <row r="155" spans="1:6" x14ac:dyDescent="0.2">
      <c r="A155" s="28">
        <v>2006.02</v>
      </c>
      <c r="B155" s="61">
        <v>42.552399314696125</v>
      </c>
      <c r="C155" s="62">
        <v>46.080977756595438</v>
      </c>
      <c r="E155" s="34"/>
      <c r="F155" s="33"/>
    </row>
    <row r="156" spans="1:6" x14ac:dyDescent="0.2">
      <c r="A156" s="28">
        <v>2006.03</v>
      </c>
      <c r="B156" s="61">
        <v>46.24810771230284</v>
      </c>
      <c r="C156" s="62">
        <v>46.860068809335665</v>
      </c>
      <c r="E156" s="34"/>
      <c r="F156" s="33"/>
    </row>
    <row r="157" spans="1:6" x14ac:dyDescent="0.2">
      <c r="A157" s="28">
        <v>2006.04</v>
      </c>
      <c r="B157" s="61">
        <v>48.72786138352884</v>
      </c>
      <c r="C157" s="62">
        <v>47.834586313180857</v>
      </c>
      <c r="E157" s="34"/>
      <c r="F157" s="33"/>
    </row>
    <row r="158" spans="1:6" x14ac:dyDescent="0.2">
      <c r="A158" s="28">
        <v>2006.05</v>
      </c>
      <c r="B158" s="61">
        <v>46.190408756798071</v>
      </c>
      <c r="C158" s="62">
        <v>48.473853432476133</v>
      </c>
      <c r="E158" s="34"/>
      <c r="F158" s="33"/>
    </row>
    <row r="159" spans="1:6" x14ac:dyDescent="0.2">
      <c r="A159" s="28">
        <v>2006.06</v>
      </c>
      <c r="B159" s="61">
        <v>47.545555988753179</v>
      </c>
      <c r="C159" s="62">
        <v>49.033784643860358</v>
      </c>
      <c r="E159" s="34"/>
      <c r="F159" s="33"/>
    </row>
    <row r="160" spans="1:6" x14ac:dyDescent="0.2">
      <c r="A160" s="28">
        <v>2006.07</v>
      </c>
      <c r="B160" s="61">
        <v>50.779192587448335</v>
      </c>
      <c r="C160" s="62">
        <v>49.60738266344228</v>
      </c>
      <c r="E160" s="34"/>
      <c r="F160" s="33"/>
    </row>
    <row r="161" spans="1:6" x14ac:dyDescent="0.2">
      <c r="A161" s="28">
        <v>2006.08</v>
      </c>
      <c r="B161" s="61">
        <v>48.867055151754066</v>
      </c>
      <c r="C161" s="62">
        <v>50.087879314167829</v>
      </c>
      <c r="E161" s="34"/>
      <c r="F161" s="33"/>
    </row>
    <row r="162" spans="1:6" x14ac:dyDescent="0.2">
      <c r="A162" s="28">
        <v>2006.09</v>
      </c>
      <c r="B162" s="61">
        <v>48.570952647701191</v>
      </c>
      <c r="C162" s="62">
        <v>50.440723341430733</v>
      </c>
      <c r="E162" s="34"/>
      <c r="F162" s="33"/>
    </row>
    <row r="163" spans="1:6" x14ac:dyDescent="0.2">
      <c r="A163" s="28">
        <v>2006.1</v>
      </c>
      <c r="B163" s="61">
        <v>50.47030378088666</v>
      </c>
      <c r="C163" s="62">
        <v>50.668306419901128</v>
      </c>
      <c r="E163" s="34"/>
      <c r="F163" s="33"/>
    </row>
    <row r="164" spans="1:6" x14ac:dyDescent="0.2">
      <c r="A164" s="28">
        <v>2006.11</v>
      </c>
      <c r="B164" s="61">
        <v>49.765799446728941</v>
      </c>
      <c r="C164" s="62">
        <v>51.229457485042978</v>
      </c>
      <c r="E164" s="34"/>
      <c r="F164" s="33"/>
    </row>
    <row r="165" spans="1:6" x14ac:dyDescent="0.2">
      <c r="A165" s="28">
        <v>2006.12</v>
      </c>
      <c r="B165" s="61">
        <v>67.847192495504459</v>
      </c>
      <c r="C165" s="62">
        <v>52.054371375907195</v>
      </c>
      <c r="E165" s="34"/>
      <c r="F165" s="33"/>
    </row>
    <row r="166" spans="1:6" x14ac:dyDescent="0.2">
      <c r="A166" s="28">
        <v>2007.01</v>
      </c>
      <c r="B166" s="61">
        <v>49.491075039282514</v>
      </c>
      <c r="C166" s="62">
        <v>52.635564946980899</v>
      </c>
      <c r="E166" s="34"/>
      <c r="F166" s="33"/>
    </row>
    <row r="167" spans="1:6" x14ac:dyDescent="0.2">
      <c r="A167" s="28">
        <v>2007.02</v>
      </c>
      <c r="B167" s="61">
        <v>47.059846010624106</v>
      </c>
      <c r="C167" s="62">
        <v>53.301535088039486</v>
      </c>
      <c r="E167" s="34"/>
      <c r="F167" s="33"/>
    </row>
    <row r="168" spans="1:6" x14ac:dyDescent="0.2">
      <c r="A168" s="28">
        <v>2007.03</v>
      </c>
      <c r="B168" s="61">
        <v>54.95238303928636</v>
      </c>
      <c r="C168" s="62">
        <v>54.357863386877249</v>
      </c>
      <c r="E168" s="34"/>
      <c r="F168" s="33"/>
    </row>
    <row r="169" spans="1:6" x14ac:dyDescent="0.2">
      <c r="A169" s="28">
        <v>2007.04</v>
      </c>
      <c r="B169" s="61">
        <v>54.102816360970806</v>
      </c>
      <c r="C169" s="62">
        <v>55.147038998349331</v>
      </c>
      <c r="E169" s="34"/>
      <c r="F169" s="33"/>
    </row>
    <row r="170" spans="1:6" x14ac:dyDescent="0.2">
      <c r="A170" s="28">
        <v>2007.05</v>
      </c>
      <c r="B170" s="61">
        <v>52.962332522042026</v>
      </c>
      <c r="C170" s="62">
        <v>56.092023732909439</v>
      </c>
      <c r="E170" s="34"/>
      <c r="F170" s="33"/>
    </row>
    <row r="171" spans="1:6" x14ac:dyDescent="0.2">
      <c r="A171" s="28">
        <v>2007.06</v>
      </c>
      <c r="B171" s="61">
        <v>57.556723067928019</v>
      </c>
      <c r="C171" s="62">
        <v>57.473545812846382</v>
      </c>
      <c r="E171" s="34"/>
      <c r="F171" s="33"/>
    </row>
    <row r="172" spans="1:6" x14ac:dyDescent="0.2">
      <c r="A172" s="28">
        <v>2007.07</v>
      </c>
      <c r="B172" s="61">
        <v>58.746807659178195</v>
      </c>
      <c r="C172" s="62">
        <v>58.581666990985994</v>
      </c>
      <c r="E172" s="34"/>
      <c r="F172" s="33"/>
    </row>
    <row r="173" spans="1:6" x14ac:dyDescent="0.2">
      <c r="A173" s="28">
        <v>2007.08</v>
      </c>
      <c r="B173" s="61">
        <v>59.463401651897399</v>
      </c>
      <c r="C173" s="62">
        <v>59.65865876498092</v>
      </c>
      <c r="E173" s="34"/>
      <c r="F173" s="33"/>
    </row>
    <row r="174" spans="1:6" x14ac:dyDescent="0.2">
      <c r="A174" s="28">
        <v>2007.09</v>
      </c>
      <c r="B174" s="61">
        <v>58.914724738869268</v>
      </c>
      <c r="C174" s="62">
        <v>60.492901073862996</v>
      </c>
      <c r="E174" s="34"/>
      <c r="F174" s="33"/>
    </row>
    <row r="175" spans="1:6" x14ac:dyDescent="0.2">
      <c r="A175" s="28">
        <v>2007.1</v>
      </c>
      <c r="B175" s="61">
        <v>60.188891006310847</v>
      </c>
      <c r="C175" s="62">
        <v>60.959674314984809</v>
      </c>
      <c r="E175" s="34"/>
      <c r="F175" s="33"/>
    </row>
    <row r="176" spans="1:6" x14ac:dyDescent="0.2">
      <c r="A176" s="28">
        <v>2007.11</v>
      </c>
      <c r="B176" s="61">
        <v>60.550023533790601</v>
      </c>
      <c r="C176" s="62">
        <v>61.840058545329015</v>
      </c>
      <c r="E176" s="34"/>
      <c r="F176" s="33"/>
    </row>
    <row r="177" spans="1:6" x14ac:dyDescent="0.2">
      <c r="A177" s="28">
        <v>2007.12</v>
      </c>
      <c r="B177" s="61">
        <v>78.838801226136056</v>
      </c>
      <c r="C177" s="62">
        <v>62.84662053639947</v>
      </c>
      <c r="E177" s="35"/>
      <c r="F177" s="33"/>
    </row>
    <row r="178" spans="1:6" x14ac:dyDescent="0.2">
      <c r="A178" s="28">
        <f t="shared" ref="A178:A241" si="0">A166+1</f>
        <v>2008.01</v>
      </c>
      <c r="B178" s="61">
        <v>59.87227886885055</v>
      </c>
      <c r="C178" s="62">
        <v>63.321717445892233</v>
      </c>
      <c r="E178" s="34"/>
      <c r="F178" s="33"/>
    </row>
    <row r="179" spans="1:6" x14ac:dyDescent="0.2">
      <c r="A179" s="28">
        <f t="shared" si="0"/>
        <v>2008.02</v>
      </c>
      <c r="B179" s="61">
        <v>59.225920283722004</v>
      </c>
      <c r="C179" s="62">
        <v>63.585743357333762</v>
      </c>
      <c r="E179" s="34"/>
      <c r="F179" s="33"/>
    </row>
    <row r="180" spans="1:6" x14ac:dyDescent="0.2">
      <c r="A180" s="28">
        <f t="shared" si="0"/>
        <v>2008.03</v>
      </c>
      <c r="B180" s="61">
        <v>66.154138330782402</v>
      </c>
      <c r="C180" s="62">
        <v>63.524257759291302</v>
      </c>
      <c r="E180" s="34"/>
      <c r="F180" s="33"/>
    </row>
    <row r="181" spans="1:6" x14ac:dyDescent="0.2">
      <c r="A181" s="28">
        <f t="shared" si="0"/>
        <v>2008.04</v>
      </c>
      <c r="B181" s="61">
        <v>59.323419116256254</v>
      </c>
      <c r="C181" s="62">
        <v>63.070145450786022</v>
      </c>
      <c r="E181" s="34"/>
      <c r="F181" s="33"/>
    </row>
    <row r="182" spans="1:6" x14ac:dyDescent="0.2">
      <c r="A182" s="28">
        <f t="shared" si="0"/>
        <v>2008.05</v>
      </c>
      <c r="B182" s="61">
        <v>61.653383232914301</v>
      </c>
      <c r="C182" s="62">
        <v>62.690028676481496</v>
      </c>
      <c r="E182" s="34"/>
      <c r="F182" s="33"/>
    </row>
    <row r="183" spans="1:6" x14ac:dyDescent="0.2">
      <c r="A183" s="28">
        <f t="shared" si="0"/>
        <v>2008.06</v>
      </c>
      <c r="B183" s="61">
        <v>61.00694761574065</v>
      </c>
      <c r="C183" s="62">
        <v>62.478684102505866</v>
      </c>
      <c r="E183" s="34"/>
      <c r="F183" s="33"/>
    </row>
    <row r="184" spans="1:6" x14ac:dyDescent="0.2">
      <c r="A184" s="28">
        <f t="shared" si="0"/>
        <v>2008.07</v>
      </c>
      <c r="B184" s="61">
        <v>61.095209614745386</v>
      </c>
      <c r="C184" s="62">
        <v>62.804824575519241</v>
      </c>
      <c r="E184" s="34"/>
      <c r="F184" s="33"/>
    </row>
    <row r="185" spans="1:6" x14ac:dyDescent="0.2">
      <c r="A185" s="28">
        <f t="shared" si="0"/>
        <v>2008.08</v>
      </c>
      <c r="B185" s="61">
        <v>64.850396525212957</v>
      </c>
      <c r="C185" s="62">
        <v>63.220046312852723</v>
      </c>
      <c r="E185" s="34"/>
      <c r="F185" s="33"/>
    </row>
    <row r="186" spans="1:6" x14ac:dyDescent="0.2">
      <c r="A186" s="28">
        <f t="shared" si="0"/>
        <v>2008.09</v>
      </c>
      <c r="B186" s="61">
        <v>59.149163881696879</v>
      </c>
      <c r="C186" s="62">
        <v>63.163450816327895</v>
      </c>
      <c r="E186" s="34"/>
      <c r="F186" s="33"/>
    </row>
    <row r="187" spans="1:6" x14ac:dyDescent="0.2">
      <c r="A187" s="28">
        <f t="shared" si="0"/>
        <v>2008.1</v>
      </c>
      <c r="B187" s="61">
        <v>63.155686777656214</v>
      </c>
      <c r="C187" s="62">
        <v>63.072784503143396</v>
      </c>
      <c r="E187" s="34"/>
      <c r="F187" s="33"/>
    </row>
    <row r="188" spans="1:6" x14ac:dyDescent="0.2">
      <c r="A188" s="28">
        <f t="shared" si="0"/>
        <v>2008.11</v>
      </c>
      <c r="B188" s="61">
        <v>63.312853480464014</v>
      </c>
      <c r="C188" s="62">
        <v>62.918251504345086</v>
      </c>
      <c r="E188" s="34"/>
      <c r="F188" s="33"/>
    </row>
    <row r="189" spans="1:6" x14ac:dyDescent="0.2">
      <c r="A189" s="28">
        <f t="shared" si="0"/>
        <v>2008.12</v>
      </c>
      <c r="B189" s="61">
        <v>78.636091679522465</v>
      </c>
      <c r="C189" s="62">
        <v>62.385003074910287</v>
      </c>
      <c r="E189" s="35"/>
      <c r="F189" s="33"/>
    </row>
    <row r="190" spans="1:6" x14ac:dyDescent="0.2">
      <c r="A190" s="28">
        <f t="shared" si="0"/>
        <v>2009.01</v>
      </c>
      <c r="B190" s="61">
        <v>59.144966144519138</v>
      </c>
      <c r="C190" s="62">
        <v>61.647152314482618</v>
      </c>
      <c r="E190" s="34"/>
      <c r="F190" s="33"/>
    </row>
    <row r="191" spans="1:6" x14ac:dyDescent="0.2">
      <c r="A191" s="28">
        <f t="shared" si="0"/>
        <v>2009.02</v>
      </c>
      <c r="B191" s="61">
        <v>54.705668709930499</v>
      </c>
      <c r="C191" s="62">
        <v>61.067071210113234</v>
      </c>
      <c r="E191" s="34"/>
      <c r="F191" s="33"/>
    </row>
    <row r="192" spans="1:6" x14ac:dyDescent="0.2">
      <c r="A192" s="28">
        <f t="shared" si="0"/>
        <v>2009.03</v>
      </c>
      <c r="B192" s="61">
        <v>59.249769935893902</v>
      </c>
      <c r="C192" s="62">
        <v>60.901736973402734</v>
      </c>
      <c r="E192" s="34"/>
      <c r="F192" s="33"/>
    </row>
    <row r="193" spans="1:6" x14ac:dyDescent="0.2">
      <c r="A193" s="28">
        <f t="shared" si="0"/>
        <v>2009.04</v>
      </c>
      <c r="B193" s="61">
        <v>59.301363136591362</v>
      </c>
      <c r="C193" s="62">
        <v>61.263712402835395</v>
      </c>
      <c r="E193" s="34"/>
      <c r="F193" s="33"/>
    </row>
    <row r="194" spans="1:6" x14ac:dyDescent="0.2">
      <c r="A194" s="28">
        <f t="shared" si="0"/>
        <v>2009.05</v>
      </c>
      <c r="B194" s="61">
        <v>61.114035149842628</v>
      </c>
      <c r="C194" s="62">
        <v>61.69124476143881</v>
      </c>
      <c r="E194" s="34"/>
      <c r="F194" s="33"/>
    </row>
    <row r="195" spans="1:6" x14ac:dyDescent="0.2">
      <c r="A195" s="28">
        <f t="shared" si="0"/>
        <v>2009.06</v>
      </c>
      <c r="B195" s="61">
        <v>60.015872714558725</v>
      </c>
      <c r="C195" s="62">
        <v>61.787420107344524</v>
      </c>
      <c r="E195" s="34"/>
      <c r="F195" s="33"/>
    </row>
    <row r="196" spans="1:6" x14ac:dyDescent="0.2">
      <c r="A196" s="28">
        <f t="shared" si="0"/>
        <v>2009.07</v>
      </c>
      <c r="B196" s="61">
        <v>62.998637158414375</v>
      </c>
      <c r="C196" s="62">
        <v>61.755176668885412</v>
      </c>
      <c r="E196" s="34"/>
      <c r="F196" s="33"/>
    </row>
    <row r="197" spans="1:6" x14ac:dyDescent="0.2">
      <c r="A197" s="28">
        <f t="shared" si="0"/>
        <v>2009.08</v>
      </c>
      <c r="B197" s="61">
        <v>62.525112932185493</v>
      </c>
      <c r="C197" s="62">
        <v>61.448276443948401</v>
      </c>
      <c r="E197" s="34"/>
      <c r="F197" s="33"/>
    </row>
    <row r="198" spans="1:6" x14ac:dyDescent="0.2">
      <c r="A198" s="28">
        <f t="shared" si="0"/>
        <v>2009.09</v>
      </c>
      <c r="B198" s="61">
        <v>57.205596702498248</v>
      </c>
      <c r="C198" s="62">
        <v>61.214211087631739</v>
      </c>
      <c r="E198" s="34"/>
      <c r="F198" s="33"/>
    </row>
    <row r="199" spans="1:6" x14ac:dyDescent="0.2">
      <c r="A199" s="28">
        <f t="shared" si="0"/>
        <v>2009.1</v>
      </c>
      <c r="B199" s="61">
        <v>62.583108824219835</v>
      </c>
      <c r="C199" s="62">
        <v>61.721770816758493</v>
      </c>
      <c r="E199" s="34"/>
      <c r="F199" s="33"/>
    </row>
    <row r="200" spans="1:6" x14ac:dyDescent="0.2">
      <c r="A200" s="28">
        <f t="shared" si="0"/>
        <v>2009.11</v>
      </c>
      <c r="B200" s="61">
        <v>61.653245537108532</v>
      </c>
      <c r="C200" s="62">
        <v>62.365004351992404</v>
      </c>
      <c r="E200" s="34"/>
      <c r="F200" s="33"/>
    </row>
    <row r="201" spans="1:6" x14ac:dyDescent="0.2">
      <c r="A201" s="28">
        <f t="shared" si="0"/>
        <v>2009.12</v>
      </c>
      <c r="B201" s="61">
        <v>77.27746355240258</v>
      </c>
      <c r="C201" s="62">
        <v>62.451747686901292</v>
      </c>
      <c r="E201" s="35"/>
      <c r="F201" s="33"/>
    </row>
    <row r="202" spans="1:6" x14ac:dyDescent="0.2">
      <c r="A202" s="28">
        <f t="shared" si="0"/>
        <v>2010.01</v>
      </c>
      <c r="B202" s="61">
        <v>60.545802430174454</v>
      </c>
      <c r="C202" s="62">
        <v>62.436743366906683</v>
      </c>
      <c r="E202" s="34"/>
      <c r="F202" s="33"/>
    </row>
    <row r="203" spans="1:6" x14ac:dyDescent="0.2">
      <c r="A203" s="28">
        <f t="shared" si="0"/>
        <v>2010.02</v>
      </c>
      <c r="B203" s="61">
        <v>56.8184583031682</v>
      </c>
      <c r="C203" s="62">
        <v>62.86939400741943</v>
      </c>
      <c r="E203" s="34"/>
      <c r="F203" s="33"/>
    </row>
    <row r="204" spans="1:6" x14ac:dyDescent="0.2">
      <c r="A204" s="28">
        <f t="shared" si="0"/>
        <v>2010.03</v>
      </c>
      <c r="B204" s="61">
        <v>62.014168210578347</v>
      </c>
      <c r="C204" s="62">
        <v>63.356845189595475</v>
      </c>
      <c r="E204" s="34"/>
      <c r="F204" s="33"/>
    </row>
    <row r="205" spans="1:6" x14ac:dyDescent="0.2">
      <c r="A205" s="28">
        <f t="shared" si="0"/>
        <v>2010.04</v>
      </c>
      <c r="B205" s="61">
        <v>61.739895743071187</v>
      </c>
      <c r="C205" s="62">
        <v>63.860148474762177</v>
      </c>
      <c r="E205" s="34"/>
      <c r="F205" s="33"/>
    </row>
    <row r="206" spans="1:6" x14ac:dyDescent="0.2">
      <c r="A206" s="28">
        <f t="shared" si="0"/>
        <v>2010.05</v>
      </c>
      <c r="B206" s="61">
        <v>65.617920234073864</v>
      </c>
      <c r="C206" s="62">
        <v>64.560652181869642</v>
      </c>
      <c r="E206" s="34"/>
      <c r="F206" s="33"/>
    </row>
    <row r="207" spans="1:6" x14ac:dyDescent="0.2">
      <c r="A207" s="28">
        <f t="shared" si="0"/>
        <v>2010.06</v>
      </c>
      <c r="B207" s="61">
        <v>64.160775098843274</v>
      </c>
      <c r="C207" s="62">
        <v>65.24009208633251</v>
      </c>
      <c r="E207" s="34"/>
      <c r="F207" s="33"/>
    </row>
    <row r="208" spans="1:6" x14ac:dyDescent="0.2">
      <c r="A208" s="28">
        <f t="shared" si="0"/>
        <v>2010.07</v>
      </c>
      <c r="B208" s="61">
        <v>67.916300726942993</v>
      </c>
      <c r="C208" s="62">
        <v>65.441281028174714</v>
      </c>
      <c r="E208" s="34"/>
      <c r="F208" s="33"/>
    </row>
    <row r="209" spans="1:6" x14ac:dyDescent="0.2">
      <c r="A209" s="28">
        <f t="shared" si="0"/>
        <v>2010.08</v>
      </c>
      <c r="B209" s="61">
        <v>64.532949120172333</v>
      </c>
      <c r="C209" s="62">
        <v>65.317842768582992</v>
      </c>
      <c r="E209" s="34"/>
      <c r="F209" s="33"/>
    </row>
    <row r="210" spans="1:6" x14ac:dyDescent="0.2">
      <c r="A210" s="28">
        <f t="shared" si="0"/>
        <v>2010.09</v>
      </c>
      <c r="B210" s="61">
        <v>62.40625494804074</v>
      </c>
      <c r="C210" s="62">
        <v>65.460446381931433</v>
      </c>
      <c r="E210" s="34"/>
      <c r="F210" s="33"/>
    </row>
    <row r="211" spans="1:6" x14ac:dyDescent="0.2">
      <c r="A211" s="28">
        <f t="shared" si="0"/>
        <v>2010.1</v>
      </c>
      <c r="B211" s="61">
        <v>66.806567752020243</v>
      </c>
      <c r="C211" s="62">
        <v>65.241804067511211</v>
      </c>
      <c r="E211" s="34"/>
      <c r="F211" s="33"/>
    </row>
    <row r="212" spans="1:6" x14ac:dyDescent="0.2">
      <c r="A212" s="28">
        <f t="shared" si="0"/>
        <v>2010.11</v>
      </c>
      <c r="B212" s="61">
        <v>63.11557022796503</v>
      </c>
      <c r="C212" s="62">
        <v>65.109798834719584</v>
      </c>
      <c r="E212" s="34"/>
      <c r="F212" s="33"/>
    </row>
    <row r="213" spans="1:6" x14ac:dyDescent="0.2">
      <c r="A213" s="28">
        <f t="shared" si="0"/>
        <v>2010.12</v>
      </c>
      <c r="B213" s="61">
        <v>83.708506635576143</v>
      </c>
      <c r="C213" s="62">
        <v>65.832764888160341</v>
      </c>
      <c r="E213" s="35"/>
      <c r="F213" s="33"/>
    </row>
    <row r="214" spans="1:6" x14ac:dyDescent="0.2">
      <c r="A214" s="28">
        <f t="shared" si="0"/>
        <v>2011.01</v>
      </c>
      <c r="B214" s="61">
        <v>62.610350449131808</v>
      </c>
      <c r="C214" s="62">
        <v>66.325030082792807</v>
      </c>
      <c r="E214" s="34"/>
      <c r="F214" s="33"/>
    </row>
    <row r="215" spans="1:6" x14ac:dyDescent="0.2">
      <c r="A215" s="28">
        <f t="shared" si="0"/>
        <v>2011.02</v>
      </c>
      <c r="B215" s="61">
        <v>59.934272120183266</v>
      </c>
      <c r="C215" s="62">
        <v>66.776216849029979</v>
      </c>
      <c r="E215" s="34"/>
      <c r="F215" s="33"/>
    </row>
    <row r="216" spans="1:6" x14ac:dyDescent="0.2">
      <c r="A216" s="28">
        <f t="shared" si="0"/>
        <v>2011.03</v>
      </c>
      <c r="B216" s="61">
        <v>66.950706712756073</v>
      </c>
      <c r="C216" s="62">
        <v>67.927376942113995</v>
      </c>
      <c r="E216" s="34"/>
      <c r="F216" s="33"/>
    </row>
    <row r="217" spans="1:6" x14ac:dyDescent="0.2">
      <c r="A217" s="28">
        <f t="shared" si="0"/>
        <v>2011.04</v>
      </c>
      <c r="B217" s="61">
        <v>67.689965160471601</v>
      </c>
      <c r="C217" s="62">
        <v>68.444446530099668</v>
      </c>
      <c r="E217" s="34"/>
      <c r="F217" s="33"/>
    </row>
    <row r="218" spans="1:6" x14ac:dyDescent="0.2">
      <c r="A218" s="28">
        <f t="shared" si="0"/>
        <v>2011.05</v>
      </c>
      <c r="B218" s="61">
        <v>64.900595187824649</v>
      </c>
      <c r="C218" s="62">
        <v>68.164534761386037</v>
      </c>
      <c r="E218" s="34"/>
      <c r="F218" s="33"/>
    </row>
    <row r="219" spans="1:6" x14ac:dyDescent="0.2">
      <c r="A219" s="28">
        <f t="shared" si="0"/>
        <v>2011.06</v>
      </c>
      <c r="B219" s="61">
        <v>67.53044501963943</v>
      </c>
      <c r="C219" s="62">
        <v>68.376674935913314</v>
      </c>
      <c r="E219" s="34"/>
      <c r="F219" s="33"/>
    </row>
    <row r="220" spans="1:6" x14ac:dyDescent="0.2">
      <c r="A220" s="28">
        <f t="shared" si="0"/>
        <v>2011.07</v>
      </c>
      <c r="B220" s="61">
        <v>71.821501090622874</v>
      </c>
      <c r="C220" s="62">
        <v>68.85945523428984</v>
      </c>
      <c r="E220" s="34"/>
      <c r="F220" s="33"/>
    </row>
    <row r="221" spans="1:6" x14ac:dyDescent="0.2">
      <c r="A221" s="28">
        <f t="shared" si="0"/>
        <v>2011.08</v>
      </c>
      <c r="B221" s="61">
        <v>68.498856822348301</v>
      </c>
      <c r="C221" s="62">
        <v>69.049141573370292</v>
      </c>
      <c r="E221" s="34"/>
      <c r="F221" s="33"/>
    </row>
    <row r="222" spans="1:6" x14ac:dyDescent="0.2">
      <c r="A222" s="28">
        <f t="shared" si="0"/>
        <v>2011.09</v>
      </c>
      <c r="B222" s="61">
        <v>65.435024927890481</v>
      </c>
      <c r="C222" s="62">
        <v>69.282750005363198</v>
      </c>
      <c r="E222" s="34"/>
      <c r="F222" s="33"/>
    </row>
    <row r="223" spans="1:6" x14ac:dyDescent="0.2">
      <c r="A223" s="28">
        <f t="shared" si="0"/>
        <v>2011.1</v>
      </c>
      <c r="B223" s="61">
        <v>70.929661819699092</v>
      </c>
      <c r="C223" s="62">
        <v>69.578368045282488</v>
      </c>
      <c r="E223" s="34"/>
      <c r="F223" s="33"/>
    </row>
    <row r="224" spans="1:6" x14ac:dyDescent="0.2">
      <c r="A224" s="28">
        <f t="shared" si="0"/>
        <v>2011.11</v>
      </c>
      <c r="B224" s="61">
        <v>68.708559634351985</v>
      </c>
      <c r="C224" s="62">
        <v>69.443480922765843</v>
      </c>
      <c r="E224" s="34"/>
      <c r="F224" s="33"/>
    </row>
    <row r="225" spans="1:6" x14ac:dyDescent="0.2">
      <c r="A225" s="28">
        <f t="shared" si="0"/>
        <v>2011.12</v>
      </c>
      <c r="B225" s="61">
        <v>84.386120293959053</v>
      </c>
      <c r="C225" s="62">
        <v>69.32573911110795</v>
      </c>
      <c r="E225" s="35"/>
      <c r="F225" s="33"/>
    </row>
    <row r="226" spans="1:6" x14ac:dyDescent="0.2">
      <c r="A226" s="28">
        <f t="shared" si="0"/>
        <v>2012.01</v>
      </c>
      <c r="B226" s="61">
        <v>67.341829076116099</v>
      </c>
      <c r="C226" s="62">
        <v>69.73279750763507</v>
      </c>
      <c r="E226" s="34"/>
      <c r="F226" s="33"/>
    </row>
    <row r="227" spans="1:6" x14ac:dyDescent="0.2">
      <c r="A227" s="28">
        <f t="shared" si="0"/>
        <v>2012.02</v>
      </c>
      <c r="B227" s="61">
        <v>66.080555244040454</v>
      </c>
      <c r="C227" s="62">
        <v>70.075558102714552</v>
      </c>
      <c r="E227" s="34"/>
      <c r="F227" s="33"/>
    </row>
    <row r="228" spans="1:6" x14ac:dyDescent="0.2">
      <c r="A228" s="28">
        <f t="shared" si="0"/>
        <v>2012.03</v>
      </c>
      <c r="B228" s="61">
        <v>69.159534774882346</v>
      </c>
      <c r="C228" s="62">
        <v>70.00613827824489</v>
      </c>
      <c r="E228" s="34"/>
      <c r="F228" s="33"/>
    </row>
    <row r="229" spans="1:6" x14ac:dyDescent="0.2">
      <c r="A229" s="28">
        <f t="shared" si="0"/>
        <v>2012.04</v>
      </c>
      <c r="B229" s="61">
        <v>69.664565003026013</v>
      </c>
      <c r="C229" s="62">
        <v>69.531433411358506</v>
      </c>
      <c r="E229" s="34"/>
      <c r="F229" s="33"/>
    </row>
    <row r="230" spans="1:6" x14ac:dyDescent="0.2">
      <c r="A230" s="28">
        <f t="shared" si="0"/>
        <v>2012.05</v>
      </c>
      <c r="B230" s="61">
        <v>65.129358943495163</v>
      </c>
      <c r="C230" s="62">
        <v>68.998964266466444</v>
      </c>
      <c r="E230" s="34"/>
      <c r="F230" s="33"/>
    </row>
    <row r="231" spans="1:6" x14ac:dyDescent="0.2">
      <c r="A231" s="28">
        <f t="shared" si="0"/>
        <v>2012.06</v>
      </c>
      <c r="B231" s="61">
        <v>69.653077298389462</v>
      </c>
      <c r="C231" s="62">
        <v>68.985489931580844</v>
      </c>
      <c r="E231" s="34"/>
      <c r="F231" s="33"/>
    </row>
    <row r="232" spans="1:6" x14ac:dyDescent="0.2">
      <c r="A232" s="28">
        <f t="shared" si="0"/>
        <v>2012.07</v>
      </c>
      <c r="B232" s="61">
        <v>70.160883125103453</v>
      </c>
      <c r="C232" s="62">
        <v>69.194578323255257</v>
      </c>
      <c r="E232" s="34"/>
      <c r="F232" s="33"/>
    </row>
    <row r="233" spans="1:6" x14ac:dyDescent="0.2">
      <c r="A233" s="28">
        <f t="shared" si="0"/>
        <v>2012.08</v>
      </c>
      <c r="B233" s="61">
        <v>69.374612821192159</v>
      </c>
      <c r="C233" s="62">
        <v>69.464408237733593</v>
      </c>
      <c r="E233" s="34"/>
      <c r="F233" s="33"/>
    </row>
    <row r="234" spans="1:6" x14ac:dyDescent="0.2">
      <c r="A234" s="28">
        <f t="shared" si="0"/>
        <v>2012.09</v>
      </c>
      <c r="B234" s="61">
        <v>67.512636168452715</v>
      </c>
      <c r="C234" s="62">
        <v>69.559152370909601</v>
      </c>
      <c r="E234" s="34"/>
      <c r="F234" s="33"/>
    </row>
    <row r="235" spans="1:6" x14ac:dyDescent="0.2">
      <c r="A235" s="28">
        <f t="shared" si="0"/>
        <v>2012.1</v>
      </c>
      <c r="B235" s="61">
        <v>68.461766747436926</v>
      </c>
      <c r="C235" s="62">
        <v>69.070941354167999</v>
      </c>
      <c r="E235" s="34"/>
      <c r="F235" s="33"/>
    </row>
    <row r="236" spans="1:6" x14ac:dyDescent="0.2">
      <c r="A236" s="28">
        <f t="shared" si="0"/>
        <v>2012.11</v>
      </c>
      <c r="B236" s="61">
        <v>68.230480689831452</v>
      </c>
      <c r="C236" s="62">
        <v>68.545579254578527</v>
      </c>
      <c r="E236" s="34"/>
      <c r="F236" s="33"/>
    </row>
    <row r="237" spans="1:6" x14ac:dyDescent="0.2">
      <c r="A237" s="28">
        <f t="shared" si="0"/>
        <v>2012.12</v>
      </c>
      <c r="B237" s="61">
        <v>84.287891303542992</v>
      </c>
      <c r="C237" s="62">
        <v>68.372113305417457</v>
      </c>
      <c r="E237" s="35"/>
      <c r="F237" s="33"/>
    </row>
    <row r="238" spans="1:6" x14ac:dyDescent="0.2">
      <c r="A238" s="28">
        <f t="shared" si="0"/>
        <v>2013.01</v>
      </c>
      <c r="B238" s="61">
        <v>65.71981314563007</v>
      </c>
      <c r="C238" s="62">
        <v>68.613077771084136</v>
      </c>
      <c r="E238" s="34"/>
      <c r="F238" s="33"/>
    </row>
    <row r="239" spans="1:6" x14ac:dyDescent="0.2">
      <c r="A239" s="28">
        <f t="shared" si="0"/>
        <v>2013.02</v>
      </c>
      <c r="B239" s="61">
        <v>63.611710532687404</v>
      </c>
      <c r="C239" s="62">
        <v>68.839148935189172</v>
      </c>
      <c r="E239" s="34"/>
      <c r="F239" s="33"/>
    </row>
    <row r="240" spans="1:6" x14ac:dyDescent="0.2">
      <c r="A240" s="28">
        <f t="shared" si="0"/>
        <v>2013.03</v>
      </c>
      <c r="B240" s="61">
        <v>68.919825449248322</v>
      </c>
      <c r="C240" s="62">
        <v>68.448163074694648</v>
      </c>
      <c r="E240" s="34"/>
      <c r="F240" s="33"/>
    </row>
    <row r="241" spans="1:6" x14ac:dyDescent="0.2">
      <c r="A241" s="28">
        <f t="shared" si="0"/>
        <v>2013.04</v>
      </c>
      <c r="B241" s="61">
        <v>63.82811567423871</v>
      </c>
      <c r="C241" s="62">
        <v>68.135097515625901</v>
      </c>
      <c r="E241" s="34"/>
      <c r="F241" s="33"/>
    </row>
    <row r="242" spans="1:6" x14ac:dyDescent="0.2">
      <c r="A242" s="28">
        <f t="shared" ref="A242:A305" si="1">A230+1</f>
        <v>2013.05</v>
      </c>
      <c r="B242" s="61">
        <v>65.792558981379642</v>
      </c>
      <c r="C242" s="62">
        <v>68.722014091348854</v>
      </c>
      <c r="E242" s="34"/>
      <c r="F242" s="33"/>
    </row>
    <row r="243" spans="1:6" x14ac:dyDescent="0.2">
      <c r="A243" s="28">
        <f t="shared" si="1"/>
        <v>2013.06</v>
      </c>
      <c r="B243" s="61">
        <v>71.013197677335086</v>
      </c>
      <c r="C243" s="62">
        <v>69.524910586140649</v>
      </c>
      <c r="E243" s="34"/>
      <c r="F243" s="33"/>
    </row>
    <row r="244" spans="1:6" x14ac:dyDescent="0.2">
      <c r="A244" s="28">
        <f t="shared" si="1"/>
        <v>2013.07</v>
      </c>
      <c r="B244" s="61">
        <v>69.711881629807749</v>
      </c>
      <c r="C244" s="62">
        <v>69.895001154970814</v>
      </c>
      <c r="E244" s="34"/>
      <c r="F244" s="33"/>
    </row>
    <row r="245" spans="1:6" x14ac:dyDescent="0.2">
      <c r="A245" s="28">
        <f t="shared" si="1"/>
        <v>2013.08</v>
      </c>
      <c r="B245" s="61">
        <v>71.037834435852986</v>
      </c>
      <c r="C245" s="62">
        <v>69.977718659361599</v>
      </c>
      <c r="E245" s="34"/>
      <c r="F245" s="33"/>
    </row>
    <row r="246" spans="1:6" x14ac:dyDescent="0.2">
      <c r="A246" s="28">
        <f t="shared" si="1"/>
        <v>2013.09</v>
      </c>
      <c r="B246" s="61">
        <v>65.666800700888828</v>
      </c>
      <c r="C246" s="62">
        <v>69.59731062102523</v>
      </c>
      <c r="E246" s="34"/>
      <c r="F246" s="33"/>
    </row>
    <row r="247" spans="1:6" x14ac:dyDescent="0.2">
      <c r="A247" s="28">
        <f t="shared" si="1"/>
        <v>2013.1</v>
      </c>
      <c r="B247" s="61">
        <v>68.518314531245551</v>
      </c>
      <c r="C247" s="62">
        <v>69.251896482580023</v>
      </c>
      <c r="E247" s="34"/>
      <c r="F247" s="33"/>
    </row>
    <row r="248" spans="1:6" x14ac:dyDescent="0.2">
      <c r="A248" s="28">
        <f t="shared" si="1"/>
        <v>2013.11</v>
      </c>
      <c r="B248" s="61">
        <v>70.648602854650719</v>
      </c>
      <c r="C248" s="62">
        <v>69.44036821630219</v>
      </c>
      <c r="E248" s="34"/>
      <c r="F248" s="33"/>
    </row>
    <row r="249" spans="1:6" x14ac:dyDescent="0.2">
      <c r="A249" s="28">
        <f t="shared" si="1"/>
        <v>2013.12</v>
      </c>
      <c r="B249" s="61">
        <v>87.675530207990661</v>
      </c>
      <c r="C249" s="62">
        <v>69.914314388713393</v>
      </c>
      <c r="E249" s="35"/>
      <c r="F249" s="33"/>
    </row>
    <row r="250" spans="1:6" x14ac:dyDescent="0.2">
      <c r="A250" s="28">
        <f t="shared" si="1"/>
        <v>2014.01</v>
      </c>
      <c r="B250" s="61">
        <v>68.665528590209703</v>
      </c>
      <c r="C250" s="62">
        <v>70.093570976906761</v>
      </c>
      <c r="E250" s="34"/>
      <c r="F250" s="33"/>
    </row>
    <row r="251" spans="1:6" x14ac:dyDescent="0.2">
      <c r="A251" s="28">
        <f t="shared" si="1"/>
        <v>2014.02</v>
      </c>
      <c r="B251" s="61">
        <v>59.555563311849653</v>
      </c>
      <c r="C251" s="62">
        <v>69.26687100426274</v>
      </c>
      <c r="E251" s="34"/>
      <c r="F251" s="33"/>
    </row>
    <row r="252" spans="1:6" x14ac:dyDescent="0.2">
      <c r="A252" s="28">
        <f t="shared" si="1"/>
        <v>2014.03</v>
      </c>
      <c r="B252" s="61">
        <v>66.644098763900615</v>
      </c>
      <c r="C252" s="62">
        <v>68.260394799069431</v>
      </c>
      <c r="E252" s="34"/>
      <c r="F252" s="33"/>
    </row>
    <row r="253" spans="1:6" x14ac:dyDescent="0.2">
      <c r="A253" s="28">
        <f t="shared" si="1"/>
        <v>2014.04</v>
      </c>
      <c r="B253" s="61">
        <v>65.381189484097078</v>
      </c>
      <c r="C253" s="62">
        <v>68.312363748195551</v>
      </c>
      <c r="E253" s="34"/>
      <c r="F253" s="33"/>
    </row>
    <row r="254" spans="1:6" x14ac:dyDescent="0.2">
      <c r="A254" s="28">
        <f t="shared" si="1"/>
        <v>2014.05</v>
      </c>
      <c r="B254" s="61">
        <v>68.644773509572445</v>
      </c>
      <c r="C254" s="62">
        <v>68.535306926261356</v>
      </c>
      <c r="E254" s="34"/>
      <c r="F254" s="33"/>
    </row>
    <row r="255" spans="1:6" x14ac:dyDescent="0.2">
      <c r="A255" s="28">
        <f t="shared" si="1"/>
        <v>2014.06</v>
      </c>
      <c r="B255" s="61">
        <v>67.654485906938291</v>
      </c>
      <c r="C255" s="62">
        <v>68.04295154506076</v>
      </c>
      <c r="E255" s="34"/>
      <c r="F255" s="33"/>
    </row>
    <row r="256" spans="1:6" x14ac:dyDescent="0.2">
      <c r="A256" s="28">
        <f t="shared" si="1"/>
        <v>2014.07</v>
      </c>
      <c r="B256" s="61">
        <v>67.505151289106507</v>
      </c>
      <c r="C256" s="62">
        <v>67.713177266067504</v>
      </c>
      <c r="E256" s="34"/>
      <c r="F256" s="33"/>
    </row>
    <row r="257" spans="1:6" x14ac:dyDescent="0.2">
      <c r="A257" s="28">
        <f t="shared" si="1"/>
        <v>2014.08</v>
      </c>
      <c r="B257" s="61">
        <v>69.357713382074735</v>
      </c>
      <c r="C257" s="62">
        <v>67.685855429188422</v>
      </c>
      <c r="E257" s="34"/>
      <c r="F257" s="33"/>
    </row>
    <row r="258" spans="1:6" x14ac:dyDescent="0.2">
      <c r="A258" s="28">
        <f t="shared" si="1"/>
        <v>2014.09</v>
      </c>
      <c r="B258" s="61">
        <v>62.536604056529178</v>
      </c>
      <c r="C258" s="62">
        <v>68.097464463209789</v>
      </c>
      <c r="E258" s="34"/>
      <c r="F258" s="33"/>
    </row>
    <row r="259" spans="1:6" x14ac:dyDescent="0.2">
      <c r="A259" s="28">
        <f t="shared" si="1"/>
        <v>2014.1</v>
      </c>
      <c r="B259" s="61">
        <v>69.389527981621114</v>
      </c>
      <c r="C259" s="62">
        <v>69.184221402463663</v>
      </c>
      <c r="E259" s="34"/>
      <c r="F259" s="33"/>
    </row>
    <row r="260" spans="1:6" x14ac:dyDescent="0.2">
      <c r="A260" s="28">
        <f t="shared" si="1"/>
        <v>2014.11</v>
      </c>
      <c r="B260" s="61">
        <v>71.685602615118427</v>
      </c>
      <c r="C260" s="62">
        <v>69.758962837716098</v>
      </c>
      <c r="E260" s="34"/>
      <c r="F260" s="33"/>
    </row>
    <row r="261" spans="1:6" x14ac:dyDescent="0.2">
      <c r="A261" s="28">
        <f t="shared" si="1"/>
        <v>2014.12</v>
      </c>
      <c r="B261" s="61">
        <v>84.443954230707533</v>
      </c>
      <c r="C261" s="62">
        <v>69.476006756783534</v>
      </c>
      <c r="E261" s="35"/>
      <c r="F261" s="33"/>
    </row>
    <row r="262" spans="1:6" x14ac:dyDescent="0.2">
      <c r="A262" s="28">
        <f t="shared" si="1"/>
        <v>2015.01</v>
      </c>
      <c r="B262" s="61">
        <v>67.397034613420487</v>
      </c>
      <c r="C262" s="62">
        <v>69.014321608637331</v>
      </c>
      <c r="E262" s="34"/>
      <c r="F262" s="33"/>
    </row>
    <row r="263" spans="1:6" x14ac:dyDescent="0.2">
      <c r="A263" s="28">
        <f t="shared" si="1"/>
        <v>2015.02</v>
      </c>
      <c r="B263" s="61">
        <v>63.183930919890805</v>
      </c>
      <c r="C263" s="62">
        <v>68.694179503473364</v>
      </c>
      <c r="E263" s="34"/>
      <c r="F263" s="33"/>
    </row>
    <row r="264" spans="1:6" x14ac:dyDescent="0.2">
      <c r="A264" s="28">
        <f t="shared" si="1"/>
        <v>2015.03</v>
      </c>
      <c r="B264" s="61">
        <v>66.305226947385506</v>
      </c>
      <c r="C264" s="62">
        <v>68.285531002819965</v>
      </c>
      <c r="E264" s="34"/>
      <c r="F264" s="33"/>
    </row>
    <row r="265" spans="1:6" x14ac:dyDescent="0.2">
      <c r="A265" s="28">
        <f t="shared" si="1"/>
        <v>2015.04</v>
      </c>
      <c r="B265" s="61">
        <v>64.805986228633202</v>
      </c>
      <c r="C265" s="62">
        <v>67.806304155335056</v>
      </c>
      <c r="E265" s="34"/>
      <c r="F265" s="33"/>
    </row>
    <row r="266" spans="1:6" x14ac:dyDescent="0.2">
      <c r="A266" s="28">
        <f t="shared" si="1"/>
        <v>2015.05</v>
      </c>
      <c r="B266" s="61">
        <v>67.384361530196955</v>
      </c>
      <c r="C266" s="62">
        <v>68.071537411301335</v>
      </c>
      <c r="E266" s="34"/>
      <c r="F266" s="33"/>
    </row>
    <row r="267" spans="1:6" x14ac:dyDescent="0.2">
      <c r="A267" s="28">
        <f t="shared" si="1"/>
        <v>2015.06</v>
      </c>
      <c r="B267" s="61">
        <v>68.529076805243733</v>
      </c>
      <c r="C267" s="62">
        <v>69.274751822645825</v>
      </c>
      <c r="E267" s="34"/>
      <c r="F267" s="33"/>
    </row>
    <row r="268" spans="1:6" x14ac:dyDescent="0.2">
      <c r="A268" s="28">
        <f t="shared" si="1"/>
        <v>2015.07</v>
      </c>
      <c r="B268" s="61">
        <v>70.79795823978148</v>
      </c>
      <c r="C268" s="62">
        <v>70.033536495761098</v>
      </c>
      <c r="E268" s="34"/>
      <c r="F268" s="33"/>
    </row>
    <row r="269" spans="1:6" x14ac:dyDescent="0.2">
      <c r="A269" s="28">
        <f t="shared" si="1"/>
        <v>2015.08</v>
      </c>
      <c r="B269" s="61">
        <v>70.20101130617023</v>
      </c>
      <c r="C269" s="62">
        <v>69.924981729590215</v>
      </c>
      <c r="E269" s="34"/>
      <c r="F269" s="33"/>
    </row>
    <row r="270" spans="1:6" x14ac:dyDescent="0.2">
      <c r="A270" s="28">
        <f t="shared" si="1"/>
        <v>2015.09</v>
      </c>
      <c r="B270" s="61">
        <v>62.3637707897593</v>
      </c>
      <c r="C270" s="62">
        <v>70.139322442003163</v>
      </c>
      <c r="E270" s="34"/>
      <c r="F270" s="33"/>
    </row>
    <row r="271" spans="1:6" x14ac:dyDescent="0.2">
      <c r="A271" s="28">
        <f t="shared" si="1"/>
        <v>2015.1</v>
      </c>
      <c r="B271" s="61">
        <v>70.391961993508005</v>
      </c>
      <c r="C271" s="62">
        <v>70.454321338880419</v>
      </c>
      <c r="E271" s="34"/>
      <c r="F271" s="33"/>
    </row>
    <row r="272" spans="1:6" x14ac:dyDescent="0.2">
      <c r="A272" s="28">
        <f t="shared" si="1"/>
        <v>2015.11</v>
      </c>
      <c r="B272" s="61">
        <v>72.452822673336811</v>
      </c>
      <c r="C272" s="62">
        <v>69.934372933370113</v>
      </c>
      <c r="E272" s="34"/>
      <c r="F272" s="33"/>
    </row>
    <row r="273" spans="1:6" x14ac:dyDescent="0.2">
      <c r="A273" s="28">
        <f t="shared" si="1"/>
        <v>2015.12</v>
      </c>
      <c r="B273" s="61">
        <v>86.787886508904634</v>
      </c>
      <c r="C273" s="62">
        <v>68.446131215867837</v>
      </c>
      <c r="E273" s="34"/>
      <c r="F273" s="33"/>
    </row>
    <row r="274" spans="1:6" x14ac:dyDescent="0.2">
      <c r="A274" s="28">
        <f t="shared" si="1"/>
        <v>2016.01</v>
      </c>
      <c r="B274" s="61">
        <v>65.889260171532939</v>
      </c>
      <c r="C274" s="62">
        <v>66.870928539354821</v>
      </c>
      <c r="E274" s="34"/>
      <c r="F274" s="33"/>
    </row>
    <row r="275" spans="1:6" x14ac:dyDescent="0.2">
      <c r="A275" s="28">
        <f t="shared" si="1"/>
        <v>2016.02</v>
      </c>
      <c r="B275" s="61">
        <v>61.811762295261147</v>
      </c>
      <c r="C275" s="62">
        <v>65.978242098723939</v>
      </c>
      <c r="E275" s="34"/>
      <c r="F275" s="33"/>
    </row>
    <row r="276" spans="1:6" x14ac:dyDescent="0.2">
      <c r="A276" s="28">
        <f t="shared" si="1"/>
        <v>2016.03</v>
      </c>
      <c r="B276" s="61">
        <v>63.851436147451899</v>
      </c>
      <c r="C276" s="62">
        <v>65.484081139311527</v>
      </c>
      <c r="E276" s="34"/>
      <c r="F276" s="33"/>
    </row>
    <row r="277" spans="1:6" x14ac:dyDescent="0.2">
      <c r="A277" s="28">
        <f t="shared" si="1"/>
        <v>2016.04</v>
      </c>
      <c r="B277" s="61">
        <v>63.153525855352235</v>
      </c>
      <c r="C277" s="62">
        <v>65.342015323500618</v>
      </c>
      <c r="E277" s="34"/>
      <c r="F277" s="33"/>
    </row>
    <row r="278" spans="1:6" x14ac:dyDescent="0.2">
      <c r="A278" s="28">
        <f t="shared" si="1"/>
        <v>2016.05</v>
      </c>
      <c r="B278" s="61">
        <v>63.725652245763037</v>
      </c>
      <c r="C278" s="62">
        <v>64.78558567695606</v>
      </c>
      <c r="E278" s="35"/>
      <c r="F278" s="33"/>
    </row>
    <row r="279" spans="1:6" x14ac:dyDescent="0.2">
      <c r="A279" s="28">
        <f t="shared" si="1"/>
        <v>2016.06</v>
      </c>
      <c r="B279" s="61">
        <v>62.781023259637081</v>
      </c>
      <c r="C279" s="62">
        <v>63.161506014919297</v>
      </c>
      <c r="E279" s="34"/>
      <c r="F279" s="33"/>
    </row>
    <row r="280" spans="1:6" x14ac:dyDescent="0.2">
      <c r="A280" s="28">
        <f t="shared" si="1"/>
        <v>2016.07</v>
      </c>
      <c r="B280" s="61">
        <v>62.797777648079943</v>
      </c>
      <c r="C280" s="62">
        <v>61.819914805529955</v>
      </c>
      <c r="E280" s="35"/>
      <c r="F280" s="33"/>
    </row>
    <row r="281" spans="1:6" x14ac:dyDescent="0.2">
      <c r="A281" s="28">
        <f t="shared" si="1"/>
        <v>2016.08</v>
      </c>
      <c r="B281" s="61">
        <v>60.970753873246466</v>
      </c>
      <c r="C281" s="62">
        <v>61.662965324431589</v>
      </c>
      <c r="E281" s="34"/>
      <c r="F281" s="33"/>
    </row>
    <row r="282" spans="1:6" x14ac:dyDescent="0.2">
      <c r="A282" s="28">
        <f t="shared" si="1"/>
        <v>2016.09</v>
      </c>
      <c r="B282" s="61">
        <v>57.253773739088331</v>
      </c>
      <c r="C282" s="62">
        <v>61.457549679494804</v>
      </c>
      <c r="E282" s="34"/>
      <c r="F282" s="33"/>
    </row>
    <row r="283" spans="1:6" x14ac:dyDescent="0.2">
      <c r="A283" s="28">
        <f t="shared" si="1"/>
        <v>2016.1</v>
      </c>
      <c r="B283" s="61">
        <v>59.780507531597266</v>
      </c>
      <c r="C283" s="62">
        <v>60.972714065356072</v>
      </c>
      <c r="E283" s="34"/>
      <c r="F283" s="33"/>
    </row>
    <row r="284" spans="1:6" x14ac:dyDescent="0.2">
      <c r="A284" s="28">
        <f t="shared" si="1"/>
        <v>2016.11</v>
      </c>
      <c r="B284" s="61">
        <v>61.658112492905751</v>
      </c>
      <c r="C284" s="62">
        <v>61.329812176757059</v>
      </c>
      <c r="E284" s="34"/>
      <c r="F284" s="33"/>
    </row>
    <row r="285" spans="1:6" x14ac:dyDescent="0.2">
      <c r="A285" s="28">
        <f t="shared" si="1"/>
        <v>2016.12</v>
      </c>
      <c r="B285" s="61">
        <v>78.002507702929165</v>
      </c>
      <c r="C285" s="62">
        <v>62.039381649763826</v>
      </c>
      <c r="E285" s="34"/>
      <c r="F285" s="33"/>
    </row>
    <row r="286" spans="1:6" x14ac:dyDescent="0.2">
      <c r="A286" s="28">
        <f t="shared" si="1"/>
        <v>2017.01</v>
      </c>
      <c r="B286" s="61">
        <v>63.335438216179867</v>
      </c>
      <c r="C286" s="62">
        <v>62.563612548152577</v>
      </c>
      <c r="E286" s="34"/>
      <c r="F286" s="33"/>
    </row>
    <row r="287" spans="1:6" x14ac:dyDescent="0.2">
      <c r="A287" s="28">
        <f t="shared" si="1"/>
        <v>2017.02</v>
      </c>
      <c r="B287" s="61">
        <v>57.490026927189589</v>
      </c>
      <c r="C287" s="62">
        <v>62.766909918740645</v>
      </c>
      <c r="E287" s="34"/>
      <c r="F287" s="33"/>
    </row>
    <row r="288" spans="1:6" x14ac:dyDescent="0.2">
      <c r="A288" s="28">
        <f t="shared" si="1"/>
        <v>2017.03</v>
      </c>
      <c r="B288" s="61">
        <v>61.306694369609943</v>
      </c>
      <c r="C288" s="62">
        <v>62.943671085113941</v>
      </c>
      <c r="E288" s="34"/>
      <c r="F288" s="33"/>
    </row>
    <row r="289" spans="1:6" x14ac:dyDescent="0.2">
      <c r="A289" s="28">
        <f t="shared" si="1"/>
        <v>2017.04</v>
      </c>
      <c r="B289" s="61">
        <v>63.27769491546826</v>
      </c>
      <c r="C289" s="62">
        <v>63.482284134344567</v>
      </c>
      <c r="E289" s="34"/>
      <c r="F289" s="33"/>
    </row>
    <row r="290" spans="1:6" x14ac:dyDescent="0.2">
      <c r="A290" s="28">
        <f t="shared" si="1"/>
        <v>2017.05</v>
      </c>
      <c r="B290" s="61">
        <v>61.400656243284672</v>
      </c>
      <c r="C290" s="62">
        <v>63.583005714144527</v>
      </c>
      <c r="E290" s="34"/>
      <c r="F290" s="33"/>
    </row>
    <row r="291" spans="1:6" x14ac:dyDescent="0.2">
      <c r="A291" s="28">
        <f t="shared" si="1"/>
        <v>2017.06</v>
      </c>
      <c r="B291" s="61">
        <v>59.902650405700022</v>
      </c>
      <c r="C291" s="62">
        <v>63.054484379040368</v>
      </c>
      <c r="E291" s="34"/>
      <c r="F291" s="33"/>
    </row>
    <row r="292" spans="1:6" x14ac:dyDescent="0.2">
      <c r="A292" s="28">
        <f t="shared" si="1"/>
        <v>2017.07</v>
      </c>
      <c r="B292" s="61">
        <v>62.89754207011174</v>
      </c>
      <c r="C292" s="62">
        <v>62.906387465198335</v>
      </c>
      <c r="E292" s="34"/>
      <c r="F292" s="33"/>
    </row>
    <row r="293" spans="1:6" x14ac:dyDescent="0.2">
      <c r="A293" s="28">
        <f t="shared" si="1"/>
        <v>2017.08</v>
      </c>
      <c r="B293" s="61">
        <v>63.319064607070437</v>
      </c>
      <c r="C293" s="62">
        <v>63.607021343238799</v>
      </c>
      <c r="E293" s="34"/>
      <c r="F293" s="33"/>
    </row>
    <row r="294" spans="1:6" x14ac:dyDescent="0.2">
      <c r="A294" s="28">
        <f t="shared" si="1"/>
        <v>2017.09</v>
      </c>
      <c r="B294" s="61">
        <v>60.275164236949855</v>
      </c>
      <c r="C294" s="62">
        <v>64.030393036134882</v>
      </c>
      <c r="E294" s="34"/>
      <c r="F294" s="33"/>
    </row>
    <row r="295" spans="1:6" x14ac:dyDescent="0.2">
      <c r="A295" s="28">
        <f t="shared" si="1"/>
        <v>2017.1</v>
      </c>
      <c r="B295" s="61">
        <v>62.146623647240709</v>
      </c>
      <c r="C295" s="62">
        <v>63.993784901649143</v>
      </c>
      <c r="E295" s="34"/>
      <c r="F295" s="33"/>
    </row>
    <row r="296" spans="1:6" x14ac:dyDescent="0.2">
      <c r="A296" s="28">
        <f t="shared" si="1"/>
        <v>2017.11</v>
      </c>
      <c r="B296" s="61">
        <v>63.918204973263073</v>
      </c>
      <c r="C296" s="62">
        <v>64.27608261766278</v>
      </c>
      <c r="E296" s="34"/>
      <c r="F296" s="33"/>
    </row>
    <row r="297" spans="1:6" x14ac:dyDescent="0.2">
      <c r="A297" s="28">
        <f t="shared" si="1"/>
        <v>2017.12</v>
      </c>
      <c r="B297" s="61">
        <v>81.567981108983901</v>
      </c>
      <c r="C297" s="62">
        <v>64.733510189828863</v>
      </c>
      <c r="E297" s="34"/>
      <c r="F297" s="33"/>
    </row>
    <row r="298" spans="1:6" x14ac:dyDescent="0.2">
      <c r="A298" s="28">
        <f t="shared" si="1"/>
        <v>2018.01</v>
      </c>
      <c r="B298" s="61">
        <v>62.574375249798791</v>
      </c>
      <c r="C298" s="62">
        <v>65.104746864355292</v>
      </c>
      <c r="E298" s="34"/>
      <c r="F298" s="33"/>
    </row>
    <row r="299" spans="1:6" x14ac:dyDescent="0.2">
      <c r="A299" s="28">
        <f t="shared" si="1"/>
        <v>2018.02</v>
      </c>
      <c r="B299" s="61">
        <v>59.827073817339205</v>
      </c>
      <c r="C299" s="62">
        <v>65.764325879562037</v>
      </c>
      <c r="E299" s="34"/>
      <c r="F299" s="33"/>
    </row>
    <row r="300" spans="1:6" x14ac:dyDescent="0.2">
      <c r="A300" s="28">
        <f t="shared" si="1"/>
        <v>2018.03</v>
      </c>
      <c r="B300" s="61">
        <v>68.351596000893437</v>
      </c>
      <c r="C300" s="62">
        <v>66.471929765001292</v>
      </c>
      <c r="E300" s="34"/>
      <c r="F300" s="33"/>
    </row>
    <row r="301" spans="1:6" x14ac:dyDescent="0.2">
      <c r="A301" s="28">
        <f t="shared" si="1"/>
        <v>2018.04</v>
      </c>
      <c r="B301" s="61">
        <v>63.548758185146724</v>
      </c>
      <c r="C301" s="62">
        <v>66.356637406512121</v>
      </c>
      <c r="E301" s="34"/>
      <c r="F301" s="33"/>
    </row>
    <row r="302" spans="1:6" x14ac:dyDescent="0.2">
      <c r="A302" s="28">
        <f t="shared" si="1"/>
        <v>2018.05</v>
      </c>
      <c r="B302" s="61">
        <v>63.6941421773451</v>
      </c>
      <c r="C302" s="62">
        <v>65.99480351916111</v>
      </c>
      <c r="E302" s="34"/>
      <c r="F302" s="33"/>
    </row>
    <row r="303" spans="1:6" x14ac:dyDescent="0.2">
      <c r="A303" s="28">
        <f t="shared" si="1"/>
        <v>2018.06</v>
      </c>
      <c r="B303" s="61">
        <v>67.149732498114929</v>
      </c>
      <c r="C303" s="62">
        <v>65.790226567682836</v>
      </c>
      <c r="E303" s="34"/>
      <c r="F303" s="33"/>
    </row>
    <row r="304" spans="1:6" x14ac:dyDescent="0.2">
      <c r="A304" s="28">
        <f t="shared" si="1"/>
        <v>2018.07</v>
      </c>
      <c r="B304" s="61">
        <v>65.236523917156475</v>
      </c>
      <c r="C304" s="62">
        <v>65.177776025006153</v>
      </c>
      <c r="E304" s="34"/>
      <c r="F304" s="33"/>
    </row>
    <row r="305" spans="1:7" x14ac:dyDescent="0.2">
      <c r="A305" s="28">
        <f t="shared" si="1"/>
        <v>2018.08</v>
      </c>
      <c r="B305" s="61">
        <v>63.606336848527498</v>
      </c>
      <c r="C305" s="62">
        <v>63.538401622128397</v>
      </c>
      <c r="E305" s="34"/>
      <c r="F305" s="33"/>
    </row>
    <row r="306" spans="1:7" x14ac:dyDescent="0.2">
      <c r="A306" s="28">
        <f t="shared" ref="A306:A369" si="2">A294+1</f>
        <v>2018.09</v>
      </c>
      <c r="B306" s="61">
        <v>57.269069092056213</v>
      </c>
      <c r="C306" s="62">
        <v>61.631678265997479</v>
      </c>
      <c r="E306" s="34"/>
      <c r="F306" s="33"/>
    </row>
    <row r="307" spans="1:7" x14ac:dyDescent="0.2">
      <c r="A307" s="28">
        <f t="shared" si="2"/>
        <v>2018.1</v>
      </c>
      <c r="B307" s="61">
        <v>58.996047013452106</v>
      </c>
      <c r="C307" s="62">
        <v>60.512122673389875</v>
      </c>
      <c r="E307" s="34"/>
      <c r="F307" s="33"/>
    </row>
    <row r="308" spans="1:7" x14ac:dyDescent="0.2">
      <c r="A308" s="28">
        <f t="shared" si="2"/>
        <v>2018.11</v>
      </c>
      <c r="B308" s="61">
        <v>58.518038806592052</v>
      </c>
      <c r="C308" s="62">
        <v>60.030132509473958</v>
      </c>
      <c r="E308" s="34"/>
      <c r="F308" s="33"/>
    </row>
    <row r="309" spans="1:7" x14ac:dyDescent="0.2">
      <c r="A309" s="28">
        <f t="shared" si="2"/>
        <v>2018.12</v>
      </c>
      <c r="B309" s="61">
        <v>76.864034282355732</v>
      </c>
      <c r="C309" s="62">
        <v>60.150475699505577</v>
      </c>
      <c r="E309" s="35"/>
      <c r="F309" s="33"/>
      <c r="G309" s="30"/>
    </row>
    <row r="310" spans="1:7" ht="14.25" x14ac:dyDescent="0.2">
      <c r="A310" s="28">
        <f t="shared" si="2"/>
        <v>2019.01</v>
      </c>
      <c r="B310" s="61">
        <v>57.306105397422684</v>
      </c>
      <c r="C310" s="62">
        <v>60.029253232008131</v>
      </c>
      <c r="E310" s="37"/>
      <c r="F310" s="38"/>
    </row>
    <row r="311" spans="1:7" ht="14.25" x14ac:dyDescent="0.2">
      <c r="A311" s="28">
        <f t="shared" si="2"/>
        <v>2019.02</v>
      </c>
      <c r="B311" s="61">
        <v>54.061135018841028</v>
      </c>
      <c r="C311" s="62">
        <v>59.29889129146936</v>
      </c>
      <c r="E311" s="37"/>
      <c r="F311" s="38"/>
    </row>
    <row r="312" spans="1:7" ht="14.25" x14ac:dyDescent="0.2">
      <c r="A312" s="28">
        <f t="shared" si="2"/>
        <v>2019.03</v>
      </c>
      <c r="B312" s="61">
        <v>60.05616542367229</v>
      </c>
      <c r="C312" s="62">
        <v>58.61109891240099</v>
      </c>
      <c r="E312" s="37"/>
      <c r="F312" s="38"/>
    </row>
    <row r="313" spans="1:7" ht="14.25" x14ac:dyDescent="0.2">
      <c r="A313" s="28">
        <f t="shared" si="2"/>
        <v>2019.04</v>
      </c>
      <c r="B313" s="61">
        <v>55.801552421095309</v>
      </c>
      <c r="C313" s="62">
        <v>58.25480161236969</v>
      </c>
      <c r="E313" s="37"/>
      <c r="F313" s="38"/>
    </row>
    <row r="314" spans="1:7" ht="14.25" x14ac:dyDescent="0.2">
      <c r="A314" s="28">
        <f t="shared" si="2"/>
        <v>2019.05</v>
      </c>
      <c r="B314" s="61">
        <v>55.914347831509914</v>
      </c>
      <c r="C314" s="62">
        <v>58.58669980734723</v>
      </c>
      <c r="E314" s="37"/>
      <c r="F314" s="38"/>
    </row>
    <row r="315" spans="1:7" ht="14.25" x14ac:dyDescent="0.2">
      <c r="A315" s="28">
        <f t="shared" si="2"/>
        <v>2019.06</v>
      </c>
      <c r="B315" s="61">
        <v>61.589391439645382</v>
      </c>
      <c r="C315" s="62">
        <v>58.748209027384178</v>
      </c>
      <c r="E315" s="37"/>
      <c r="F315" s="38"/>
    </row>
    <row r="316" spans="1:7" ht="14.25" x14ac:dyDescent="0.2">
      <c r="A316" s="28">
        <f t="shared" si="2"/>
        <v>2019.07</v>
      </c>
      <c r="B316" s="61">
        <v>56.690598564719394</v>
      </c>
      <c r="C316" s="62">
        <v>58.341026051531465</v>
      </c>
      <c r="E316" s="37"/>
      <c r="F316" s="38"/>
    </row>
    <row r="317" spans="1:7" ht="14.25" x14ac:dyDescent="0.2">
      <c r="A317" s="28">
        <f t="shared" si="2"/>
        <v>2019.08</v>
      </c>
      <c r="B317" s="61">
        <v>59.140937486680059</v>
      </c>
      <c r="C317" s="62">
        <v>58.351866698797963</v>
      </c>
      <c r="E317" s="37"/>
      <c r="F317" s="38"/>
    </row>
    <row r="318" spans="1:7" ht="14.25" x14ac:dyDescent="0.2">
      <c r="A318" s="28">
        <f t="shared" si="2"/>
        <v>2019.09</v>
      </c>
      <c r="B318" s="61">
        <v>53.492077539678178</v>
      </c>
      <c r="C318" s="62">
        <v>58.236970380914755</v>
      </c>
      <c r="E318" s="37"/>
      <c r="F318" s="38"/>
    </row>
    <row r="319" spans="1:7" ht="14.25" x14ac:dyDescent="0.2">
      <c r="A319" s="28">
        <f t="shared" si="2"/>
        <v>2019.1</v>
      </c>
      <c r="B319" s="61">
        <v>59.424198132881941</v>
      </c>
      <c r="C319" s="62">
        <v>57.958812704858971</v>
      </c>
      <c r="E319" s="37"/>
      <c r="F319" s="38"/>
    </row>
    <row r="320" spans="1:7" ht="14.25" x14ac:dyDescent="0.2">
      <c r="A320" s="28">
        <f t="shared" si="2"/>
        <v>2019.11</v>
      </c>
      <c r="B320" s="61">
        <v>58.306151768693027</v>
      </c>
      <c r="C320" s="62">
        <v>57.852412765476963</v>
      </c>
      <c r="E320" s="37"/>
      <c r="F320" s="38"/>
    </row>
    <row r="321" spans="1:7" ht="14.25" x14ac:dyDescent="0.2">
      <c r="A321" s="28">
        <f t="shared" si="2"/>
        <v>2019.12</v>
      </c>
      <c r="B321" s="61">
        <v>70.280652903522295</v>
      </c>
      <c r="C321" s="62">
        <v>57.417963589103138</v>
      </c>
      <c r="E321" s="40"/>
      <c r="F321" s="38"/>
      <c r="G321" s="36"/>
    </row>
    <row r="322" spans="1:7" x14ac:dyDescent="0.2">
      <c r="A322" s="28">
        <f t="shared" si="2"/>
        <v>2020.01</v>
      </c>
      <c r="B322" s="61">
        <v>54.67208652397359</v>
      </c>
      <c r="C322" s="62">
        <v>57.352789291776652</v>
      </c>
      <c r="E322" s="39"/>
      <c r="F322" s="39"/>
    </row>
    <row r="323" spans="1:7" x14ac:dyDescent="0.2">
      <c r="A323" s="28">
        <f t="shared" si="2"/>
        <v>2020.02</v>
      </c>
      <c r="B323" s="61">
        <v>55.525642028793868</v>
      </c>
      <c r="C323" s="62">
        <v>57.554957822702654</v>
      </c>
    </row>
    <row r="324" spans="1:7" x14ac:dyDescent="0.2">
      <c r="A324" s="28">
        <f t="shared" si="2"/>
        <v>2020.03</v>
      </c>
      <c r="B324" s="61">
        <v>61.282113155346408</v>
      </c>
      <c r="C324" s="62">
        <v>56.997500010755715</v>
      </c>
    </row>
    <row r="325" spans="1:7" x14ac:dyDescent="0.2">
      <c r="A325" s="28">
        <f t="shared" si="2"/>
        <v>2020.04</v>
      </c>
      <c r="B325" s="61">
        <v>50.475857611497432</v>
      </c>
      <c r="C325" s="62">
        <v>56.271167777942743</v>
      </c>
    </row>
    <row r="326" spans="1:7" x14ac:dyDescent="0.2">
      <c r="A326" s="28">
        <f t="shared" si="2"/>
        <v>2020.05</v>
      </c>
      <c r="B326" s="61">
        <v>54.451637123830423</v>
      </c>
      <c r="C326" s="62">
        <v>55.91617872504262</v>
      </c>
    </row>
    <row r="327" spans="1:7" x14ac:dyDescent="0.2">
      <c r="A327" s="28">
        <f t="shared" si="2"/>
        <v>2020.06</v>
      </c>
      <c r="B327" s="61">
        <v>55.331208449511472</v>
      </c>
      <c r="C327" s="62">
        <v>56.010137911165032</v>
      </c>
    </row>
    <row r="328" spans="1:7" x14ac:dyDescent="0.2">
      <c r="A328" s="28">
        <f t="shared" si="2"/>
        <v>2020.07</v>
      </c>
      <c r="B328" s="61">
        <v>58.099907014339522</v>
      </c>
      <c r="C328" s="62">
        <v>56.065787905096187</v>
      </c>
    </row>
    <row r="329" spans="1:7" x14ac:dyDescent="0.2">
      <c r="A329" s="28">
        <f t="shared" si="2"/>
        <v>2020.08</v>
      </c>
      <c r="B329" s="61">
        <v>55.405293986229289</v>
      </c>
      <c r="C329" s="62">
        <v>55.773550301586184</v>
      </c>
    </row>
    <row r="330" spans="1:7" x14ac:dyDescent="0.2">
      <c r="A330" s="28">
        <f t="shared" si="2"/>
        <v>2020.09</v>
      </c>
      <c r="B330" s="61">
        <v>51.828952410630244</v>
      </c>
      <c r="C330" s="62">
        <v>56.304556984697825</v>
      </c>
    </row>
    <row r="331" spans="1:7" x14ac:dyDescent="0.2">
      <c r="A331" s="28">
        <f t="shared" si="2"/>
        <v>2020.1</v>
      </c>
      <c r="B331" s="61">
        <v>57.248557173241373</v>
      </c>
      <c r="C331" s="62">
        <v>57.135457918631751</v>
      </c>
    </row>
    <row r="332" spans="1:7" x14ac:dyDescent="0.2">
      <c r="A332" s="28">
        <f t="shared" si="2"/>
        <v>2020.11</v>
      </c>
      <c r="B332" s="61">
        <v>56.8345889283666</v>
      </c>
      <c r="C332" s="62">
        <v>57.099931388437525</v>
      </c>
    </row>
    <row r="333" spans="1:7" x14ac:dyDescent="0.2">
      <c r="A333" s="28">
        <f t="shared" si="2"/>
        <v>2020.12</v>
      </c>
      <c r="B333" s="61">
        <v>71.054166050173279</v>
      </c>
      <c r="C333" s="62">
        <v>56.820934052968312</v>
      </c>
    </row>
    <row r="334" spans="1:7" x14ac:dyDescent="0.2">
      <c r="A334" s="28">
        <f t="shared" si="2"/>
        <v>2021.01</v>
      </c>
      <c r="B334" s="61">
        <v>56.187078795184121</v>
      </c>
      <c r="C334" s="62">
        <v>56.770983919365833</v>
      </c>
      <c r="E334" s="30"/>
    </row>
    <row r="335" spans="1:7" x14ac:dyDescent="0.2">
      <c r="A335" s="28">
        <f t="shared" si="2"/>
        <v>2021.02</v>
      </c>
      <c r="B335" s="61">
        <v>51.558103801099698</v>
      </c>
      <c r="C335" s="62">
        <v>57.458676819216848</v>
      </c>
      <c r="E335" s="30"/>
      <c r="F335" s="30"/>
    </row>
    <row r="336" spans="1:7" x14ac:dyDescent="0.2">
      <c r="A336" s="28">
        <f t="shared" si="2"/>
        <v>2021.03</v>
      </c>
      <c r="B336" s="61">
        <v>59.084182193914486</v>
      </c>
      <c r="C336" s="62">
        <v>58.766827387736299</v>
      </c>
      <c r="E336" s="30"/>
      <c r="F336" s="30"/>
    </row>
    <row r="337" spans="1:6" x14ac:dyDescent="0.2">
      <c r="A337" s="28">
        <f t="shared" si="2"/>
        <v>2021.04</v>
      </c>
      <c r="B337" s="61">
        <v>57.186418873589425</v>
      </c>
      <c r="C337" s="62">
        <v>58.924951988485205</v>
      </c>
      <c r="E337" s="30"/>
      <c r="F337" s="30"/>
    </row>
    <row r="338" spans="1:6" x14ac:dyDescent="0.2">
      <c r="A338" s="28">
        <f t="shared" si="2"/>
        <v>2021.05</v>
      </c>
      <c r="B338" s="61">
        <v>55.404697745924331</v>
      </c>
      <c r="C338" s="62">
        <v>58.141570120644303</v>
      </c>
    </row>
    <row r="339" spans="1:6" x14ac:dyDescent="0.2">
      <c r="A339" s="28">
        <f t="shared" si="2"/>
        <v>2021.06</v>
      </c>
      <c r="B339" s="61">
        <v>57.696987964744984</v>
      </c>
      <c r="C339" s="62">
        <v>57.820103765819098</v>
      </c>
    </row>
    <row r="340" spans="1:6" x14ac:dyDescent="0.2">
      <c r="A340" s="28">
        <f t="shared" si="2"/>
        <v>2021.07</v>
      </c>
      <c r="B340" s="61">
        <v>58.48987942340159</v>
      </c>
      <c r="C340" s="62">
        <v>57.318456082908973</v>
      </c>
    </row>
    <row r="341" spans="1:6" x14ac:dyDescent="0.2">
      <c r="A341" s="28">
        <f t="shared" si="2"/>
        <v>2021.08</v>
      </c>
      <c r="B341" s="61">
        <v>55.502283562018818</v>
      </c>
      <c r="C341" s="62">
        <v>56.840737904901872</v>
      </c>
    </row>
    <row r="342" spans="1:6" x14ac:dyDescent="0.2">
      <c r="A342" s="28">
        <f t="shared" si="2"/>
        <v>2021.09</v>
      </c>
      <c r="B342" s="61">
        <v>53.627861188539931</v>
      </c>
      <c r="C342" s="62">
        <v>56.98972825799995</v>
      </c>
    </row>
    <row r="343" spans="1:6" x14ac:dyDescent="0.2">
      <c r="A343" s="28">
        <f t="shared" si="2"/>
        <v>2021.1</v>
      </c>
      <c r="B343" s="61">
        <v>57.393759356283489</v>
      </c>
      <c r="C343" s="62">
        <v>56.62498651139768</v>
      </c>
    </row>
    <row r="344" spans="1:6" x14ac:dyDescent="0.2">
      <c r="A344" s="28">
        <f t="shared" si="2"/>
        <v>2021.11</v>
      </c>
      <c r="B344" s="61">
        <v>55.033181180191875</v>
      </c>
      <c r="C344" s="62">
        <v>56.337549193815114</v>
      </c>
    </row>
    <row r="345" spans="1:6" x14ac:dyDescent="0.2">
      <c r="A345" s="28">
        <f t="shared" si="2"/>
        <v>2021.12</v>
      </c>
      <c r="B345" s="61">
        <v>71.774755506774355</v>
      </c>
      <c r="C345" s="62">
        <v>56.664817395127557</v>
      </c>
    </row>
    <row r="346" spans="1:6" x14ac:dyDescent="0.2">
      <c r="A346" s="28">
        <f t="shared" si="2"/>
        <v>2022.01</v>
      </c>
      <c r="B346" s="61">
        <v>55.061098202552024</v>
      </c>
      <c r="C346" s="62">
        <v>56.474746088960522</v>
      </c>
    </row>
    <row r="347" spans="1:6" x14ac:dyDescent="0.2">
      <c r="A347" s="28">
        <f t="shared" si="2"/>
        <v>2022.02</v>
      </c>
      <c r="B347" s="61">
        <v>50.822870614993825</v>
      </c>
      <c r="C347" s="62">
        <v>56.043801183601374</v>
      </c>
    </row>
    <row r="348" spans="1:6" x14ac:dyDescent="0.2">
      <c r="A348" s="28">
        <f t="shared" si="2"/>
        <v>2022.03</v>
      </c>
      <c r="B348" s="61">
        <v>55.025720154851612</v>
      </c>
      <c r="C348" s="62">
        <v>55.966905713964138</v>
      </c>
    </row>
    <row r="349" spans="1:6" x14ac:dyDescent="0.2">
      <c r="A349" s="28">
        <f t="shared" si="2"/>
        <v>2022.04</v>
      </c>
      <c r="B349" s="61">
        <v>55.267331296074133</v>
      </c>
      <c r="C349" s="62">
        <v>56.33680524875291</v>
      </c>
    </row>
    <row r="350" spans="1:6" x14ac:dyDescent="0.2">
      <c r="A350" s="28">
        <f t="shared" si="2"/>
        <v>2022.05</v>
      </c>
      <c r="B350" s="61">
        <v>53.665026352679753</v>
      </c>
      <c r="C350" s="62">
        <v>56.713693744888303</v>
      </c>
    </row>
    <row r="351" spans="1:6" x14ac:dyDescent="0.2">
      <c r="A351" s="28">
        <f t="shared" si="2"/>
        <v>2022.06</v>
      </c>
      <c r="B351" s="61">
        <v>55.781358371760106</v>
      </c>
      <c r="C351" s="62">
        <v>56.794317637771108</v>
      </c>
    </row>
    <row r="352" spans="1:6" x14ac:dyDescent="0.2">
      <c r="A352" s="28">
        <f t="shared" si="2"/>
        <v>2022.07</v>
      </c>
      <c r="B352" s="61">
        <v>58.93528861876257</v>
      </c>
      <c r="C352" s="62">
        <v>56.851062242629112</v>
      </c>
    </row>
    <row r="353" spans="1:3" x14ac:dyDescent="0.2">
      <c r="A353" s="28">
        <f t="shared" si="2"/>
        <v>2022.08</v>
      </c>
      <c r="B353" s="61">
        <v>55.913600981806098</v>
      </c>
      <c r="C353" s="62">
        <v>56.783648441209827</v>
      </c>
    </row>
    <row r="354" spans="1:3" x14ac:dyDescent="0.2">
      <c r="A354" s="28">
        <f t="shared" si="2"/>
        <v>2022.09</v>
      </c>
      <c r="B354" s="61">
        <v>53.22378355066094</v>
      </c>
      <c r="C354" s="62">
        <v>56.587865283836251</v>
      </c>
    </row>
    <row r="355" spans="1:3" x14ac:dyDescent="0.2">
      <c r="A355" s="28">
        <f t="shared" si="2"/>
        <v>2022.1</v>
      </c>
      <c r="B355" s="61">
        <v>56.566685050798164</v>
      </c>
      <c r="C355" s="62">
        <v>56.725286991559265</v>
      </c>
    </row>
    <row r="356" spans="1:3" x14ac:dyDescent="0.2">
      <c r="A356" s="28">
        <f t="shared" si="2"/>
        <v>2022.11</v>
      </c>
      <c r="B356" s="61">
        <v>57.78028488196928</v>
      </c>
      <c r="C356" s="62">
        <v>57.119380457658885</v>
      </c>
    </row>
    <row r="357" spans="1:3" x14ac:dyDescent="0.2">
      <c r="A357" s="28">
        <f t="shared" si="2"/>
        <v>2022.12</v>
      </c>
      <c r="B357" s="61">
        <v>71.454437582388735</v>
      </c>
      <c r="C357" s="62">
        <v>57.691028526126736</v>
      </c>
    </row>
    <row r="358" spans="1:3" x14ac:dyDescent="0.2">
      <c r="A358" s="28">
        <f t="shared" si="2"/>
        <v>2023.01</v>
      </c>
      <c r="B358" s="61">
        <v>57.290689908596242</v>
      </c>
      <c r="C358" s="62">
        <v>58.666206695221042</v>
      </c>
    </row>
    <row r="359" spans="1:3" x14ac:dyDescent="0.2">
      <c r="A359" s="28">
        <f t="shared" si="2"/>
        <v>2023.02</v>
      </c>
      <c r="B359" s="61">
        <v>53.657162158341023</v>
      </c>
      <c r="C359" s="62">
        <v>59.074151399655875</v>
      </c>
    </row>
    <row r="360" spans="1:3" x14ac:dyDescent="0.2">
      <c r="A360" s="28">
        <f t="shared" si="2"/>
        <v>2023.03</v>
      </c>
      <c r="B360" s="61">
        <v>58.313637316976326</v>
      </c>
      <c r="C360" s="62">
        <v>58.545268265417008</v>
      </c>
    </row>
    <row r="361" spans="1:3" x14ac:dyDescent="0.2">
      <c r="A361" s="28">
        <f t="shared" si="2"/>
        <v>2023.04</v>
      </c>
      <c r="B361" s="61">
        <v>56.955119292148609</v>
      </c>
      <c r="C361" s="62">
        <v>57.950733920664767</v>
      </c>
    </row>
    <row r="362" spans="1:3" x14ac:dyDescent="0.2">
      <c r="A362" s="28">
        <f t="shared" si="2"/>
        <v>2023.05</v>
      </c>
      <c r="B362" s="61">
        <v>54.237655582804265</v>
      </c>
      <c r="C362" s="62">
        <v>58.263367543513226</v>
      </c>
    </row>
    <row r="363" spans="1:3" x14ac:dyDescent="0.2">
      <c r="A363" s="28">
        <f t="shared" si="2"/>
        <v>2023.06</v>
      </c>
      <c r="B363" s="61">
        <v>56.175608673330046</v>
      </c>
      <c r="C363" s="62">
        <v>59.299741802923123</v>
      </c>
    </row>
    <row r="364" spans="1:3" x14ac:dyDescent="0.2">
      <c r="A364" s="28">
        <f t="shared" si="2"/>
        <v>2023.07</v>
      </c>
      <c r="B364" s="61">
        <v>61.149860154228449</v>
      </c>
      <c r="C364" s="62">
        <v>60.560415673546679</v>
      </c>
    </row>
    <row r="365" spans="1:3" x14ac:dyDescent="0.2">
      <c r="A365" s="28">
        <f t="shared" si="2"/>
        <v>2023.08</v>
      </c>
      <c r="B365" s="61">
        <v>62.489265078359253</v>
      </c>
      <c r="C365" s="62">
        <v>61.991622078595974</v>
      </c>
    </row>
    <row r="366" spans="1:3" x14ac:dyDescent="0.2">
      <c r="A366" s="28">
        <f t="shared" si="2"/>
        <v>2023.09</v>
      </c>
      <c r="B366" s="61">
        <v>60.239214812475609</v>
      </c>
      <c r="C366" s="62">
        <v>62.414217102517007</v>
      </c>
    </row>
    <row r="367" spans="1:3" x14ac:dyDescent="0.2">
      <c r="A367" s="28">
        <f t="shared" si="2"/>
        <v>2023.1</v>
      </c>
      <c r="B367" s="61">
        <v>64.889241078403032</v>
      </c>
      <c r="C367" s="62">
        <v>61.975755656721596</v>
      </c>
    </row>
    <row r="368" spans="1:3" x14ac:dyDescent="0.2">
      <c r="A368" s="28">
        <f t="shared" si="2"/>
        <v>2023.11</v>
      </c>
      <c r="B368" s="61">
        <v>62.013146341466985</v>
      </c>
      <c r="C368" s="62">
        <v>61.197224120410063</v>
      </c>
    </row>
    <row r="369" spans="1:3" x14ac:dyDescent="0.2">
      <c r="A369" s="28">
        <f t="shared" si="2"/>
        <v>2023.12</v>
      </c>
      <c r="B369" s="61">
        <v>74.555843804137709</v>
      </c>
      <c r="C369" s="62">
        <v>59.316754935421308</v>
      </c>
    </row>
    <row r="370" spans="1:3" x14ac:dyDescent="0.2">
      <c r="A370" s="28">
        <f t="shared" ref="A370:A405" si="3">A358+1</f>
        <v>2024.01</v>
      </c>
      <c r="B370" s="61">
        <v>53.381473141515606</v>
      </c>
      <c r="C370" s="62">
        <v>57.22605634903546</v>
      </c>
    </row>
    <row r="371" spans="1:3" x14ac:dyDescent="0.2">
      <c r="A371" s="28">
        <f t="shared" si="3"/>
        <v>2024.02</v>
      </c>
      <c r="B371" s="61">
        <v>49.559849487587648</v>
      </c>
      <c r="C371" s="62">
        <v>55.857228094743853</v>
      </c>
    </row>
    <row r="372" spans="1:3" x14ac:dyDescent="0.2">
      <c r="A372" s="28">
        <f t="shared" si="3"/>
        <v>2024.03</v>
      </c>
      <c r="B372" s="61">
        <v>55.823270017755533</v>
      </c>
      <c r="C372" s="62">
        <v>55.162335511959689</v>
      </c>
    </row>
    <row r="373" spans="1:3" x14ac:dyDescent="0.2">
      <c r="A373" s="28">
        <f t="shared" si="3"/>
        <v>2024.04</v>
      </c>
      <c r="B373" s="61">
        <v>52.199990046480693</v>
      </c>
      <c r="C373" s="62">
        <v>55.357883141744296</v>
      </c>
    </row>
    <row r="374" spans="1:3" x14ac:dyDescent="0.2">
      <c r="A374" s="28">
        <f t="shared" si="3"/>
        <v>2024.05</v>
      </c>
      <c r="B374" s="61">
        <v>52.911583791749329</v>
      </c>
      <c r="C374" s="62">
        <v>55.453943238626508</v>
      </c>
    </row>
    <row r="375" spans="1:3" x14ac:dyDescent="0.2">
      <c r="A375" s="28">
        <f t="shared" si="3"/>
        <v>2024.06</v>
      </c>
      <c r="B375" s="61">
        <v>55.113489067404615</v>
      </c>
      <c r="C375" s="62">
        <v>55.097375342458932</v>
      </c>
    </row>
    <row r="376" spans="1:3" x14ac:dyDescent="0.2">
      <c r="A376" s="28">
        <f t="shared" si="3"/>
        <v>2024.07</v>
      </c>
      <c r="B376" s="61">
        <v>54.935757872636223</v>
      </c>
      <c r="C376" s="62">
        <v>55.263609993333901</v>
      </c>
    </row>
    <row r="377" spans="1:3" x14ac:dyDescent="0.2">
      <c r="A377" s="28">
        <f t="shared" si="3"/>
        <v>2024.08</v>
      </c>
      <c r="B377" s="61">
        <v>56.752660965317162</v>
      </c>
      <c r="C377" s="62">
        <v>55.23575323410941</v>
      </c>
    </row>
    <row r="378" spans="1:3" x14ac:dyDescent="0.2">
      <c r="A378" s="28">
        <f t="shared" si="3"/>
        <v>2024.09</v>
      </c>
      <c r="B378" s="61">
        <v>50.898686072151953</v>
      </c>
      <c r="C378" s="62">
        <v>54.907301735428646</v>
      </c>
    </row>
    <row r="379" spans="1:3" x14ac:dyDescent="0.2">
      <c r="A379" s="28">
        <f>A367+1</f>
        <v>2024.1</v>
      </c>
      <c r="B379" s="61">
        <v>54.600921929618401</v>
      </c>
      <c r="C379" s="62">
        <v>55.265911386597544</v>
      </c>
    </row>
    <row r="380" spans="1:3" x14ac:dyDescent="0.2">
      <c r="A380" s="28">
        <f t="shared" si="3"/>
        <v>2024.11</v>
      </c>
      <c r="B380" s="61">
        <v>56.567567807042494</v>
      </c>
      <c r="C380" s="62">
        <v>55.366605868540518</v>
      </c>
    </row>
    <row r="381" spans="1:3" x14ac:dyDescent="0.2">
      <c r="A381" s="28">
        <f t="shared" si="3"/>
        <v>2024.12</v>
      </c>
      <c r="B381" s="61">
        <v>67.711574379270075</v>
      </c>
      <c r="C381" s="62">
        <v>55.359265498730892</v>
      </c>
    </row>
    <row r="382" spans="1:3" x14ac:dyDescent="0.2">
      <c r="A382" s="28">
        <f t="shared" si="3"/>
        <v>2025.01</v>
      </c>
      <c r="B382" s="61">
        <v>54.644910912505452</v>
      </c>
      <c r="C382" s="62">
        <v>55.99602005019662</v>
      </c>
    </row>
    <row r="383" spans="1:3" x14ac:dyDescent="0.2">
      <c r="A383" s="28">
        <f t="shared" si="3"/>
        <v>2025.02</v>
      </c>
      <c r="B383" s="61">
        <v>50.780398325325592</v>
      </c>
      <c r="C383" s="62">
        <v>56.42519330598401</v>
      </c>
    </row>
    <row r="384" spans="1:3" x14ac:dyDescent="0.2">
      <c r="A384" s="28">
        <f t="shared" si="3"/>
        <v>2025.03</v>
      </c>
      <c r="B384" s="61">
        <v>56.999091113121281</v>
      </c>
      <c r="C384" s="62">
        <v>56.639764369022238</v>
      </c>
    </row>
    <row r="385" spans="1:3" x14ac:dyDescent="0.2">
      <c r="A385" s="28">
        <f t="shared" si="3"/>
        <v>2025.04</v>
      </c>
      <c r="B385" s="61">
        <v>55.050424747086439</v>
      </c>
      <c r="C385" s="62">
        <v>56.730190006038526</v>
      </c>
    </row>
    <row r="386" spans="1:3" x14ac:dyDescent="0.2">
      <c r="A386" s="28">
        <f t="shared" si="3"/>
        <v>2025.05</v>
      </c>
      <c r="B386" s="61">
        <v>54.393984202171758</v>
      </c>
      <c r="C386" s="62">
        <v>56.295174312686065</v>
      </c>
    </row>
    <row r="387" spans="1:3" x14ac:dyDescent="0.2">
      <c r="A387" s="28">
        <f t="shared" si="3"/>
        <v>2025.06</v>
      </c>
      <c r="B387" s="61">
        <v>54.811626073458683</v>
      </c>
      <c r="C387" s="62">
        <v>55.477337726330227</v>
      </c>
    </row>
    <row r="388" spans="1:3" x14ac:dyDescent="0.2">
      <c r="A388" s="28">
        <f t="shared" si="3"/>
        <v>2025.07</v>
      </c>
      <c r="B388" s="61">
        <v>54.239704090745498</v>
      </c>
      <c r="C388" s="62">
        <v>54.455403358482926</v>
      </c>
    </row>
    <row r="389" spans="1:3" x14ac:dyDescent="0.2">
      <c r="A389" s="28">
        <f t="shared" si="3"/>
        <v>2025.08</v>
      </c>
      <c r="B389" s="61">
        <v>55.145214121317125</v>
      </c>
      <c r="C389" s="62">
        <v>53.807258200588443</v>
      </c>
    </row>
    <row r="390" spans="1:3" x14ac:dyDescent="0.2">
      <c r="A390" s="28">
        <f t="shared" si="3"/>
        <v>2025.09</v>
      </c>
      <c r="B390" s="61">
        <v>50.582667868643703</v>
      </c>
      <c r="C390" s="62">
        <v>53.54414361259709</v>
      </c>
    </row>
    <row r="391" spans="1:3" x14ac:dyDescent="0.2">
      <c r="A391" s="28">
        <f t="shared" si="3"/>
        <v>2025.1</v>
      </c>
      <c r="B391" s="61">
        <v>51.688353937526777</v>
      </c>
      <c r="C391" s="62">
        <v>52.924262948616573</v>
      </c>
    </row>
    <row r="392" spans="1:3" x14ac:dyDescent="0.2">
      <c r="A392" s="28">
        <f t="shared" si="3"/>
        <v>2025.11</v>
      </c>
      <c r="B392" s="61">
        <v>53.614672558816856</v>
      </c>
      <c r="C392" s="62">
        <v>52.908106066150914</v>
      </c>
    </row>
    <row r="393" spans="1:3" x14ac:dyDescent="0.2">
      <c r="A393" s="28">
        <f t="shared" si="3"/>
        <v>2025.12</v>
      </c>
      <c r="B393" s="61">
        <v>67.032529056480627</v>
      </c>
      <c r="C393" s="62">
        <v>53.815883218583451</v>
      </c>
    </row>
    <row r="394" spans="1:3" x14ac:dyDescent="0.2">
      <c r="A394" s="28">
        <f t="shared" si="3"/>
        <v>2026.01</v>
      </c>
      <c r="B394" s="61">
        <v>53.129762994783256</v>
      </c>
      <c r="C394" s="62">
        <v>54.4483288755535</v>
      </c>
    </row>
    <row r="395" spans="1:3" x14ac:dyDescent="0.2">
      <c r="A395" s="28">
        <f t="shared" si="3"/>
        <v>2026.02</v>
      </c>
      <c r="B395" s="61">
        <v>49.255127004708598</v>
      </c>
      <c r="C395" s="62">
        <v>54.718183067375548</v>
      </c>
    </row>
    <row r="396" spans="1:3" x14ac:dyDescent="0.2">
      <c r="A396" s="28">
        <f t="shared" si="3"/>
        <v>2026.03</v>
      </c>
      <c r="B396" s="61">
        <v>54.352838467369665</v>
      </c>
      <c r="C396" s="62">
        <v>54.840355694738065</v>
      </c>
    </row>
    <row r="397" spans="1:3" x14ac:dyDescent="0.2">
      <c r="A397" s="28">
        <f t="shared" si="3"/>
        <v>2026.04</v>
      </c>
      <c r="B397" s="61">
        <v>53.016789460146903</v>
      </c>
      <c r="C397" s="62">
        <v>54.712558940162026</v>
      </c>
    </row>
    <row r="398" spans="1:3" x14ac:dyDescent="0.2">
      <c r="A398" s="28">
        <f t="shared" si="3"/>
        <v>2026.05</v>
      </c>
      <c r="B398" s="61">
        <v>53.554465948954203</v>
      </c>
      <c r="C398" s="62">
        <v>54.509577835963128</v>
      </c>
    </row>
    <row r="399" spans="1:3" x14ac:dyDescent="0.2">
      <c r="A399" s="28">
        <f t="shared" si="3"/>
        <v>2026.06</v>
      </c>
      <c r="B399" s="61">
        <v>52.949670165581573</v>
      </c>
      <c r="C399" s="62">
        <v>54.440674796586883</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6" sqref="B6"/>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85</v>
      </c>
      <c r="C2" s="25"/>
    </row>
    <row r="3" spans="1:6" s="3" customFormat="1" ht="22.5" x14ac:dyDescent="0.2">
      <c r="A3" s="76" t="s">
        <v>16</v>
      </c>
      <c r="B3" s="16" t="s">
        <v>46</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47</v>
      </c>
      <c r="C7" s="47" t="s">
        <v>47</v>
      </c>
    </row>
    <row r="8" spans="1:6" s="3" customFormat="1" x14ac:dyDescent="0.2">
      <c r="A8" s="81" t="s">
        <v>23</v>
      </c>
      <c r="B8" s="89" t="s">
        <v>71</v>
      </c>
      <c r="C8" s="91" t="s">
        <v>72</v>
      </c>
    </row>
    <row r="9" spans="1:6" s="4" customFormat="1" ht="13.5" thickBot="1" x14ac:dyDescent="0.25">
      <c r="A9" s="82"/>
      <c r="B9" s="27"/>
      <c r="C9" s="49"/>
    </row>
    <row r="10" spans="1:6" s="4" customFormat="1" x14ac:dyDescent="0.2">
      <c r="A10" s="28">
        <v>1994.01</v>
      </c>
      <c r="B10" s="50"/>
      <c r="C10" s="60">
        <v>35.885597675391388</v>
      </c>
      <c r="E10" s="33"/>
      <c r="F10" s="33"/>
    </row>
    <row r="11" spans="1:6" s="4" customFormat="1" x14ac:dyDescent="0.2">
      <c r="A11" s="28">
        <v>1994.02</v>
      </c>
      <c r="B11" s="51"/>
      <c r="C11" s="62">
        <v>37.319720573527185</v>
      </c>
      <c r="E11" s="33"/>
      <c r="F11" s="33"/>
    </row>
    <row r="12" spans="1:6" s="4" customFormat="1" x14ac:dyDescent="0.2">
      <c r="A12" s="28">
        <v>1994.03</v>
      </c>
      <c r="B12" s="51"/>
      <c r="C12" s="62">
        <v>36.980132515131437</v>
      </c>
      <c r="E12" s="33"/>
      <c r="F12" s="33"/>
    </row>
    <row r="13" spans="1:6" s="4" customFormat="1" x14ac:dyDescent="0.2">
      <c r="A13" s="28">
        <v>1994.04</v>
      </c>
      <c r="B13" s="51"/>
      <c r="C13" s="62">
        <v>37.879497393719852</v>
      </c>
      <c r="E13" s="33"/>
      <c r="F13" s="33"/>
    </row>
    <row r="14" spans="1:6" s="4" customFormat="1" x14ac:dyDescent="0.2">
      <c r="A14" s="28">
        <v>1994.05</v>
      </c>
      <c r="B14" s="51"/>
      <c r="C14" s="62">
        <v>38.971939661556114</v>
      </c>
      <c r="E14" s="33"/>
      <c r="F14" s="33"/>
    </row>
    <row r="15" spans="1:6" s="4" customFormat="1" x14ac:dyDescent="0.2">
      <c r="A15" s="28">
        <v>1994.06</v>
      </c>
      <c r="B15" s="51"/>
      <c r="C15" s="62">
        <v>39.529753458563043</v>
      </c>
      <c r="E15" s="33"/>
      <c r="F15" s="33"/>
    </row>
    <row r="16" spans="1:6" s="4" customFormat="1" x14ac:dyDescent="0.2">
      <c r="A16" s="28">
        <v>1994.07</v>
      </c>
      <c r="B16" s="51"/>
      <c r="C16" s="62">
        <v>40.403228337170859</v>
      </c>
      <c r="E16" s="33"/>
      <c r="F16" s="33"/>
    </row>
    <row r="17" spans="1:6" s="4" customFormat="1" x14ac:dyDescent="0.2">
      <c r="A17" s="28">
        <v>1994.08</v>
      </c>
      <c r="B17" s="51"/>
      <c r="C17" s="62">
        <v>39.83062415802776</v>
      </c>
      <c r="E17" s="33"/>
      <c r="F17" s="33"/>
    </row>
    <row r="18" spans="1:6" s="4" customFormat="1" x14ac:dyDescent="0.2">
      <c r="A18" s="28">
        <v>1994.09</v>
      </c>
      <c r="B18" s="51"/>
      <c r="C18" s="62">
        <v>39.51249340607815</v>
      </c>
      <c r="E18" s="33"/>
      <c r="F18" s="33"/>
    </row>
    <row r="19" spans="1:6" s="4" customFormat="1" x14ac:dyDescent="0.2">
      <c r="A19" s="28">
        <v>1994.1</v>
      </c>
      <c r="B19" s="51"/>
      <c r="C19" s="62">
        <v>40.449959393825132</v>
      </c>
      <c r="E19" s="33"/>
      <c r="F19" s="33"/>
    </row>
    <row r="20" spans="1:6" s="4" customFormat="1" x14ac:dyDescent="0.2">
      <c r="A20" s="28">
        <v>1994.11</v>
      </c>
      <c r="B20" s="51"/>
      <c r="C20" s="62">
        <v>41.330539160461086</v>
      </c>
      <c r="E20" s="33"/>
      <c r="F20" s="33"/>
    </row>
    <row r="21" spans="1:6" s="4" customFormat="1" x14ac:dyDescent="0.2">
      <c r="A21" s="28">
        <v>1994.12</v>
      </c>
      <c r="B21" s="51"/>
      <c r="C21" s="62">
        <v>40.471609125417352</v>
      </c>
      <c r="E21" s="33"/>
      <c r="F21" s="33"/>
    </row>
    <row r="22" spans="1:6" x14ac:dyDescent="0.2">
      <c r="A22" s="28">
        <v>1995.01</v>
      </c>
      <c r="B22" s="51"/>
      <c r="C22" s="62">
        <v>37.869650682813003</v>
      </c>
      <c r="E22" s="34"/>
      <c r="F22" s="33"/>
    </row>
    <row r="23" spans="1:6" x14ac:dyDescent="0.2">
      <c r="A23" s="28">
        <v>1995.02</v>
      </c>
      <c r="B23" s="51"/>
      <c r="C23" s="62">
        <v>36.072515392651624</v>
      </c>
      <c r="E23" s="34"/>
      <c r="F23" s="33"/>
    </row>
    <row r="24" spans="1:6" x14ac:dyDescent="0.2">
      <c r="A24" s="28">
        <v>1995.03</v>
      </c>
      <c r="B24" s="51"/>
      <c r="C24" s="62">
        <v>33.773050536424456</v>
      </c>
      <c r="E24" s="34"/>
      <c r="F24" s="33"/>
    </row>
    <row r="25" spans="1:6" x14ac:dyDescent="0.2">
      <c r="A25" s="28">
        <v>1995.04</v>
      </c>
      <c r="B25" s="51"/>
      <c r="C25" s="62">
        <v>31.701156893230269</v>
      </c>
      <c r="E25" s="34"/>
      <c r="F25" s="33"/>
    </row>
    <row r="26" spans="1:6" x14ac:dyDescent="0.2">
      <c r="A26" s="28">
        <v>1995.05</v>
      </c>
      <c r="B26" s="51"/>
      <c r="C26" s="62">
        <v>31.779629203050131</v>
      </c>
      <c r="E26" s="34"/>
      <c r="F26" s="33"/>
    </row>
    <row r="27" spans="1:6" x14ac:dyDescent="0.2">
      <c r="A27" s="28">
        <v>1995.06</v>
      </c>
      <c r="B27" s="51"/>
      <c r="C27" s="62">
        <v>30.487927990052007</v>
      </c>
      <c r="E27" s="34"/>
      <c r="F27" s="33"/>
    </row>
    <row r="28" spans="1:6" x14ac:dyDescent="0.2">
      <c r="A28" s="28">
        <v>1995.07</v>
      </c>
      <c r="B28" s="51"/>
      <c r="C28" s="62">
        <v>28.268475749184443</v>
      </c>
      <c r="E28" s="34"/>
      <c r="F28" s="33"/>
    </row>
    <row r="29" spans="1:6" x14ac:dyDescent="0.2">
      <c r="A29" s="28">
        <v>1995.08</v>
      </c>
      <c r="B29" s="51"/>
      <c r="C29" s="62">
        <v>27.881721407906962</v>
      </c>
      <c r="E29" s="34"/>
      <c r="F29" s="33"/>
    </row>
    <row r="30" spans="1:6" x14ac:dyDescent="0.2">
      <c r="A30" s="28">
        <v>1995.09</v>
      </c>
      <c r="B30" s="51"/>
      <c r="C30" s="62">
        <v>27.845171345546891</v>
      </c>
      <c r="E30" s="34"/>
      <c r="F30" s="33"/>
    </row>
    <row r="31" spans="1:6" x14ac:dyDescent="0.2">
      <c r="A31" s="28">
        <v>1995.1</v>
      </c>
      <c r="B31" s="51"/>
      <c r="C31" s="62">
        <v>27.182653337094472</v>
      </c>
      <c r="E31" s="34"/>
      <c r="F31" s="33"/>
    </row>
    <row r="32" spans="1:6" x14ac:dyDescent="0.2">
      <c r="A32" s="28">
        <v>1995.11</v>
      </c>
      <c r="B32" s="51"/>
      <c r="C32" s="62">
        <v>26.439007757059354</v>
      </c>
      <c r="E32" s="34"/>
      <c r="F32" s="33"/>
    </row>
    <row r="33" spans="1:6" x14ac:dyDescent="0.2">
      <c r="A33" s="28">
        <v>1995.12</v>
      </c>
      <c r="B33" s="51"/>
      <c r="C33" s="62">
        <v>26.961417812643194</v>
      </c>
      <c r="E33" s="34"/>
      <c r="F33" s="33"/>
    </row>
    <row r="34" spans="1:6" x14ac:dyDescent="0.2">
      <c r="A34" s="28">
        <v>1996.01</v>
      </c>
      <c r="B34" s="51"/>
      <c r="C34" s="62">
        <v>28.393863065736436</v>
      </c>
      <c r="E34" s="34"/>
      <c r="F34" s="33"/>
    </row>
    <row r="35" spans="1:6" x14ac:dyDescent="0.2">
      <c r="A35" s="28">
        <v>1996.02</v>
      </c>
      <c r="B35" s="51"/>
      <c r="C35" s="62">
        <v>29.404946789401606</v>
      </c>
      <c r="E35" s="34"/>
      <c r="F35" s="33"/>
    </row>
    <row r="36" spans="1:6" x14ac:dyDescent="0.2">
      <c r="A36" s="28">
        <v>1996.03</v>
      </c>
      <c r="B36" s="51"/>
      <c r="C36" s="62">
        <v>29.876728191777737</v>
      </c>
      <c r="E36" s="34"/>
      <c r="F36" s="33"/>
    </row>
    <row r="37" spans="1:6" x14ac:dyDescent="0.2">
      <c r="A37" s="28">
        <v>1996.04</v>
      </c>
      <c r="B37" s="51"/>
      <c r="C37" s="62">
        <v>29.381579067163337</v>
      </c>
      <c r="E37" s="34"/>
      <c r="F37" s="33"/>
    </row>
    <row r="38" spans="1:6" x14ac:dyDescent="0.2">
      <c r="A38" s="28">
        <v>1996.05</v>
      </c>
      <c r="B38" s="51"/>
      <c r="C38" s="62">
        <v>30.72782550362399</v>
      </c>
      <c r="E38" s="34"/>
      <c r="F38" s="33"/>
    </row>
    <row r="39" spans="1:6" x14ac:dyDescent="0.2">
      <c r="A39" s="28">
        <v>1996.06</v>
      </c>
      <c r="B39" s="51"/>
      <c r="C39" s="62">
        <v>33.391142039111685</v>
      </c>
      <c r="E39" s="34"/>
      <c r="F39" s="33"/>
    </row>
    <row r="40" spans="1:6" x14ac:dyDescent="0.2">
      <c r="A40" s="28">
        <v>1996.07</v>
      </c>
      <c r="B40" s="51"/>
      <c r="C40" s="62">
        <v>32.74553012902004</v>
      </c>
      <c r="E40" s="34"/>
      <c r="F40" s="33"/>
    </row>
    <row r="41" spans="1:6" x14ac:dyDescent="0.2">
      <c r="A41" s="28">
        <v>1996.08</v>
      </c>
      <c r="B41" s="51"/>
      <c r="C41" s="62">
        <v>31.339445438617886</v>
      </c>
      <c r="E41" s="34"/>
      <c r="F41" s="33"/>
    </row>
    <row r="42" spans="1:6" x14ac:dyDescent="0.2">
      <c r="A42" s="28">
        <v>1996.09</v>
      </c>
      <c r="B42" s="51"/>
      <c r="C42" s="62">
        <v>32.504858179257312</v>
      </c>
      <c r="E42" s="34"/>
      <c r="F42" s="33"/>
    </row>
    <row r="43" spans="1:6" x14ac:dyDescent="0.2">
      <c r="A43" s="28">
        <v>1996.1</v>
      </c>
      <c r="B43" s="51"/>
      <c r="C43" s="62">
        <v>34.275016388628124</v>
      </c>
      <c r="E43" s="34"/>
      <c r="F43" s="33"/>
    </row>
    <row r="44" spans="1:6" x14ac:dyDescent="0.2">
      <c r="A44" s="28">
        <v>1996.11</v>
      </c>
      <c r="B44" s="51"/>
      <c r="C44" s="62">
        <v>34.752186694843367</v>
      </c>
      <c r="E44" s="34"/>
      <c r="F44" s="33"/>
    </row>
    <row r="45" spans="1:6" x14ac:dyDescent="0.2">
      <c r="A45" s="28">
        <v>1996.12</v>
      </c>
      <c r="B45" s="51"/>
      <c r="C45" s="62">
        <v>34.895260942055636</v>
      </c>
      <c r="E45" s="34"/>
      <c r="F45" s="33"/>
    </row>
    <row r="46" spans="1:6" x14ac:dyDescent="0.2">
      <c r="A46" s="28">
        <v>1997.01</v>
      </c>
      <c r="B46" s="51"/>
      <c r="C46" s="62">
        <v>35.496099146081463</v>
      </c>
      <c r="E46" s="34"/>
      <c r="F46" s="33"/>
    </row>
    <row r="47" spans="1:6" x14ac:dyDescent="0.2">
      <c r="A47" s="28">
        <v>1997.02</v>
      </c>
      <c r="B47" s="51"/>
      <c r="C47" s="62">
        <v>36.859550741792148</v>
      </c>
      <c r="E47" s="34"/>
      <c r="F47" s="33"/>
    </row>
    <row r="48" spans="1:6" x14ac:dyDescent="0.2">
      <c r="A48" s="28">
        <v>1997.03</v>
      </c>
      <c r="B48" s="51"/>
      <c r="C48" s="62">
        <v>38.538355856974015</v>
      </c>
      <c r="E48" s="34"/>
      <c r="F48" s="33"/>
    </row>
    <row r="49" spans="1:6" x14ac:dyDescent="0.2">
      <c r="A49" s="28">
        <v>1997.04</v>
      </c>
      <c r="B49" s="51"/>
      <c r="C49" s="62">
        <v>39.556644116072079</v>
      </c>
      <c r="E49" s="34"/>
      <c r="F49" s="33"/>
    </row>
    <row r="50" spans="1:6" x14ac:dyDescent="0.2">
      <c r="A50" s="28">
        <v>1997.05</v>
      </c>
      <c r="B50" s="51"/>
      <c r="C50" s="62">
        <v>40.551455643784834</v>
      </c>
      <c r="E50" s="34"/>
      <c r="F50" s="33"/>
    </row>
    <row r="51" spans="1:6" x14ac:dyDescent="0.2">
      <c r="A51" s="28">
        <v>1997.06</v>
      </c>
      <c r="B51" s="51"/>
      <c r="C51" s="62">
        <v>42.106231430213228</v>
      </c>
      <c r="E51" s="34"/>
      <c r="F51" s="33"/>
    </row>
    <row r="52" spans="1:6" x14ac:dyDescent="0.2">
      <c r="A52" s="28">
        <v>1997.07</v>
      </c>
      <c r="B52" s="51"/>
      <c r="C52" s="62">
        <v>43.611223287633621</v>
      </c>
      <c r="E52" s="34"/>
      <c r="F52" s="33"/>
    </row>
    <row r="53" spans="1:6" x14ac:dyDescent="0.2">
      <c r="A53" s="28">
        <v>1997.08</v>
      </c>
      <c r="B53" s="51"/>
      <c r="C53" s="62">
        <v>45.043796632814953</v>
      </c>
      <c r="E53" s="34"/>
      <c r="F53" s="33"/>
    </row>
    <row r="54" spans="1:6" x14ac:dyDescent="0.2">
      <c r="A54" s="28">
        <v>1997.09</v>
      </c>
      <c r="B54" s="51"/>
      <c r="C54" s="62">
        <v>46.916795032628301</v>
      </c>
      <c r="E54" s="34"/>
      <c r="F54" s="33"/>
    </row>
    <row r="55" spans="1:6" x14ac:dyDescent="0.2">
      <c r="A55" s="28">
        <v>1997.1</v>
      </c>
      <c r="B55" s="51"/>
      <c r="C55" s="62">
        <v>47.863120268243058</v>
      </c>
      <c r="E55" s="34"/>
      <c r="F55" s="33"/>
    </row>
    <row r="56" spans="1:6" x14ac:dyDescent="0.2">
      <c r="A56" s="28">
        <v>1997.11</v>
      </c>
      <c r="B56" s="51"/>
      <c r="C56" s="62">
        <v>47.441527614305791</v>
      </c>
      <c r="E56" s="34"/>
      <c r="F56" s="33"/>
    </row>
    <row r="57" spans="1:6" x14ac:dyDescent="0.2">
      <c r="A57" s="28">
        <v>1997.12</v>
      </c>
      <c r="B57" s="51"/>
      <c r="C57" s="62">
        <v>47.626487015914634</v>
      </c>
      <c r="E57" s="34"/>
      <c r="F57" s="33"/>
    </row>
    <row r="58" spans="1:6" x14ac:dyDescent="0.2">
      <c r="A58" s="28">
        <v>1998.01</v>
      </c>
      <c r="B58" s="51"/>
      <c r="C58" s="62">
        <v>48.709326337862045</v>
      </c>
      <c r="E58" s="34"/>
      <c r="F58" s="33"/>
    </row>
    <row r="59" spans="1:6" x14ac:dyDescent="0.2">
      <c r="A59" s="28">
        <v>1998.02</v>
      </c>
      <c r="B59" s="51"/>
      <c r="C59" s="62">
        <v>48.633548995514005</v>
      </c>
      <c r="E59" s="34"/>
      <c r="F59" s="33"/>
    </row>
    <row r="60" spans="1:6" x14ac:dyDescent="0.2">
      <c r="A60" s="28">
        <v>1998.03</v>
      </c>
      <c r="B60" s="51"/>
      <c r="C60" s="62">
        <v>47.509650985227502</v>
      </c>
      <c r="E60" s="34"/>
      <c r="F60" s="33"/>
    </row>
    <row r="61" spans="1:6" x14ac:dyDescent="0.2">
      <c r="A61" s="28">
        <v>1998.04</v>
      </c>
      <c r="B61" s="51"/>
      <c r="C61" s="62">
        <v>48.186538908617841</v>
      </c>
      <c r="E61" s="34"/>
      <c r="F61" s="33"/>
    </row>
    <row r="62" spans="1:6" x14ac:dyDescent="0.2">
      <c r="A62" s="28">
        <v>1998.05</v>
      </c>
      <c r="B62" s="51"/>
      <c r="C62" s="62">
        <v>48.483528557533276</v>
      </c>
      <c r="E62" s="34"/>
      <c r="F62" s="33"/>
    </row>
    <row r="63" spans="1:6" x14ac:dyDescent="0.2">
      <c r="A63" s="28">
        <v>1998.06</v>
      </c>
      <c r="B63" s="51"/>
      <c r="C63" s="62">
        <v>47.15541188233076</v>
      </c>
      <c r="E63" s="34"/>
      <c r="F63" s="33"/>
    </row>
    <row r="64" spans="1:6" x14ac:dyDescent="0.2">
      <c r="A64" s="28">
        <v>1998.07</v>
      </c>
      <c r="B64" s="51"/>
      <c r="C64" s="62">
        <v>46.988391614242914</v>
      </c>
      <c r="E64" s="34"/>
      <c r="F64" s="33"/>
    </row>
    <row r="65" spans="1:6" x14ac:dyDescent="0.2">
      <c r="A65" s="28">
        <v>1998.08</v>
      </c>
      <c r="B65" s="51"/>
      <c r="C65" s="62">
        <v>47.530732584405648</v>
      </c>
      <c r="E65" s="34"/>
      <c r="F65" s="33"/>
    </row>
    <row r="66" spans="1:6" x14ac:dyDescent="0.2">
      <c r="A66" s="28">
        <v>1998.09</v>
      </c>
      <c r="B66" s="51"/>
      <c r="C66" s="62">
        <v>47.607787341846546</v>
      </c>
      <c r="E66" s="34"/>
      <c r="F66" s="33"/>
    </row>
    <row r="67" spans="1:6" x14ac:dyDescent="0.2">
      <c r="A67" s="28">
        <v>1998.1</v>
      </c>
      <c r="B67" s="51"/>
      <c r="C67" s="62">
        <v>46.479900874623446</v>
      </c>
      <c r="E67" s="34"/>
      <c r="F67" s="33"/>
    </row>
    <row r="68" spans="1:6" x14ac:dyDescent="0.2">
      <c r="A68" s="28">
        <v>1998.11</v>
      </c>
      <c r="B68" s="51"/>
      <c r="C68" s="62">
        <v>45.446076252002563</v>
      </c>
      <c r="E68" s="34"/>
      <c r="F68" s="33"/>
    </row>
    <row r="69" spans="1:6" x14ac:dyDescent="0.2">
      <c r="A69" s="28">
        <v>1998.12</v>
      </c>
      <c r="B69" s="51"/>
      <c r="C69" s="62">
        <v>45.094899446775827</v>
      </c>
      <c r="E69" s="34"/>
      <c r="F69" s="33"/>
    </row>
    <row r="70" spans="1:6" x14ac:dyDescent="0.2">
      <c r="A70" s="28">
        <v>1999.01</v>
      </c>
      <c r="B70" s="51"/>
      <c r="C70" s="62">
        <v>43.634694379465941</v>
      </c>
      <c r="E70" s="34"/>
      <c r="F70" s="33"/>
    </row>
    <row r="71" spans="1:6" x14ac:dyDescent="0.2">
      <c r="A71" s="28">
        <v>1999.02</v>
      </c>
      <c r="B71" s="51"/>
      <c r="C71" s="62">
        <v>42.993164948066855</v>
      </c>
      <c r="E71" s="34"/>
      <c r="F71" s="33"/>
    </row>
    <row r="72" spans="1:6" x14ac:dyDescent="0.2">
      <c r="A72" s="28">
        <v>1999.03</v>
      </c>
      <c r="B72" s="51"/>
      <c r="C72" s="62">
        <v>44.438778823757545</v>
      </c>
      <c r="E72" s="34"/>
      <c r="F72" s="33"/>
    </row>
    <row r="73" spans="1:6" x14ac:dyDescent="0.2">
      <c r="A73" s="28">
        <v>1999.04</v>
      </c>
      <c r="B73" s="51"/>
      <c r="C73" s="62">
        <v>46.189372677496458</v>
      </c>
      <c r="E73" s="34"/>
      <c r="F73" s="33"/>
    </row>
    <row r="74" spans="1:6" x14ac:dyDescent="0.2">
      <c r="A74" s="28">
        <v>1999.05</v>
      </c>
      <c r="B74" s="51"/>
      <c r="C74" s="62">
        <v>45.205695811326684</v>
      </c>
      <c r="E74" s="34"/>
      <c r="F74" s="33"/>
    </row>
    <row r="75" spans="1:6" x14ac:dyDescent="0.2">
      <c r="A75" s="28">
        <v>1999.06</v>
      </c>
      <c r="B75" s="51"/>
      <c r="C75" s="62">
        <v>43.553056598372677</v>
      </c>
      <c r="E75" s="34"/>
      <c r="F75" s="33"/>
    </row>
    <row r="76" spans="1:6" x14ac:dyDescent="0.2">
      <c r="A76" s="28">
        <v>1999.07</v>
      </c>
      <c r="B76" s="51"/>
      <c r="C76" s="62">
        <v>44.324445681947921</v>
      </c>
      <c r="E76" s="34"/>
      <c r="F76" s="33"/>
    </row>
    <row r="77" spans="1:6" x14ac:dyDescent="0.2">
      <c r="A77" s="28">
        <v>1999.08</v>
      </c>
      <c r="B77" s="51"/>
      <c r="C77" s="62">
        <v>44.358117188506689</v>
      </c>
      <c r="E77" s="34"/>
      <c r="F77" s="33"/>
    </row>
    <row r="78" spans="1:6" x14ac:dyDescent="0.2">
      <c r="A78" s="28">
        <v>1999.09</v>
      </c>
      <c r="B78" s="51"/>
      <c r="C78" s="62">
        <v>42.912889735413394</v>
      </c>
      <c r="E78" s="34"/>
      <c r="F78" s="33"/>
    </row>
    <row r="79" spans="1:6" x14ac:dyDescent="0.2">
      <c r="A79" s="28">
        <v>1999.1</v>
      </c>
      <c r="B79" s="51"/>
      <c r="C79" s="62">
        <v>42.387555792739775</v>
      </c>
      <c r="E79" s="34"/>
      <c r="F79" s="33"/>
    </row>
    <row r="80" spans="1:6" x14ac:dyDescent="0.2">
      <c r="A80" s="28">
        <v>1999.11</v>
      </c>
      <c r="B80" s="51"/>
      <c r="C80" s="62">
        <v>42.196110102028285</v>
      </c>
      <c r="E80" s="34"/>
      <c r="F80" s="33"/>
    </row>
    <row r="81" spans="1:6" x14ac:dyDescent="0.2">
      <c r="A81" s="28">
        <v>1999.12</v>
      </c>
      <c r="B81" s="51"/>
      <c r="C81" s="62">
        <v>41.421172071002282</v>
      </c>
      <c r="E81" s="34"/>
      <c r="F81" s="33"/>
    </row>
    <row r="82" spans="1:6" x14ac:dyDescent="0.2">
      <c r="A82" s="28">
        <v>2000.01</v>
      </c>
      <c r="B82" s="59">
        <v>40.585000000000001</v>
      </c>
      <c r="C82" s="62">
        <v>40.819528299104057</v>
      </c>
      <c r="E82" s="34"/>
      <c r="F82" s="33"/>
    </row>
    <row r="83" spans="1:6" x14ac:dyDescent="0.2">
      <c r="A83" s="28">
        <v>2000.02</v>
      </c>
      <c r="B83" s="61">
        <v>34.963999999999999</v>
      </c>
      <c r="C83" s="62">
        <v>38.966242756052011</v>
      </c>
      <c r="E83" s="34"/>
      <c r="F83" s="33"/>
    </row>
    <row r="84" spans="1:6" x14ac:dyDescent="0.2">
      <c r="A84" s="28">
        <v>2000.03</v>
      </c>
      <c r="B84" s="61">
        <v>43.151000000000003</v>
      </c>
      <c r="C84" s="62">
        <v>38.681972818515497</v>
      </c>
      <c r="E84" s="34"/>
      <c r="F84" s="33"/>
    </row>
    <row r="85" spans="1:6" x14ac:dyDescent="0.2">
      <c r="A85" s="28">
        <v>2000.04</v>
      </c>
      <c r="B85" s="61">
        <v>34.179000000000002</v>
      </c>
      <c r="C85" s="62">
        <v>37.73024820799759</v>
      </c>
      <c r="E85" s="34"/>
      <c r="F85" s="33"/>
    </row>
    <row r="86" spans="1:6" x14ac:dyDescent="0.2">
      <c r="A86" s="28">
        <v>2000.05</v>
      </c>
      <c r="B86" s="61">
        <v>31.178000000000001</v>
      </c>
      <c r="C86" s="62">
        <v>34.511928188660093</v>
      </c>
      <c r="E86" s="34"/>
      <c r="F86" s="33"/>
    </row>
    <row r="87" spans="1:6" x14ac:dyDescent="0.2">
      <c r="A87" s="28">
        <v>2000.06</v>
      </c>
      <c r="B87" s="61">
        <v>32.951999999999998</v>
      </c>
      <c r="C87" s="62">
        <v>33.092349966099313</v>
      </c>
      <c r="E87" s="34"/>
      <c r="F87" s="33"/>
    </row>
    <row r="88" spans="1:6" x14ac:dyDescent="0.2">
      <c r="A88" s="28">
        <v>2000.07</v>
      </c>
      <c r="B88" s="61">
        <v>34.814</v>
      </c>
      <c r="C88" s="62">
        <v>34.402012203952644</v>
      </c>
      <c r="E88" s="34"/>
      <c r="F88" s="33"/>
    </row>
    <row r="89" spans="1:6" x14ac:dyDescent="0.2">
      <c r="A89" s="28">
        <v>2000.08</v>
      </c>
      <c r="B89" s="61">
        <v>41.097999999999999</v>
      </c>
      <c r="C89" s="62">
        <v>35.970573485814498</v>
      </c>
      <c r="E89" s="34"/>
      <c r="F89" s="33"/>
    </row>
    <row r="90" spans="1:6" x14ac:dyDescent="0.2">
      <c r="A90" s="28">
        <v>2000.09</v>
      </c>
      <c r="B90" s="61">
        <v>44.591999999999999</v>
      </c>
      <c r="C90" s="62">
        <v>35.170672336759608</v>
      </c>
      <c r="E90" s="34"/>
      <c r="F90" s="33"/>
    </row>
    <row r="91" spans="1:6" x14ac:dyDescent="0.2">
      <c r="A91" s="28">
        <v>2000.1</v>
      </c>
      <c r="B91" s="61">
        <v>32.796999999999997</v>
      </c>
      <c r="C91" s="62">
        <v>33.431362732234263</v>
      </c>
      <c r="E91" s="34"/>
      <c r="F91" s="33"/>
    </row>
    <row r="92" spans="1:6" x14ac:dyDescent="0.2">
      <c r="A92" s="28">
        <v>2000.11</v>
      </c>
      <c r="B92" s="61">
        <v>35.82</v>
      </c>
      <c r="C92" s="62">
        <v>34.428184516877501</v>
      </c>
      <c r="E92" s="34"/>
      <c r="F92" s="33"/>
    </row>
    <row r="93" spans="1:6" x14ac:dyDescent="0.2">
      <c r="A93" s="28">
        <v>2000.12</v>
      </c>
      <c r="B93" s="61">
        <v>33.640999999999998</v>
      </c>
      <c r="C93" s="62">
        <v>36.920452044241699</v>
      </c>
      <c r="E93" s="34"/>
      <c r="F93" s="33"/>
    </row>
    <row r="94" spans="1:6" x14ac:dyDescent="0.2">
      <c r="A94" s="28">
        <v>2001.01</v>
      </c>
      <c r="B94" s="61">
        <v>40.055999999999997</v>
      </c>
      <c r="C94" s="62">
        <v>39.777752268307054</v>
      </c>
      <c r="E94" s="34"/>
      <c r="F94" s="33"/>
    </row>
    <row r="95" spans="1:6" x14ac:dyDescent="0.2">
      <c r="A95" s="28">
        <v>2001.02</v>
      </c>
      <c r="B95" s="61">
        <v>39.308</v>
      </c>
      <c r="C95" s="62">
        <v>41.102134125712738</v>
      </c>
      <c r="E95" s="34"/>
      <c r="F95" s="33"/>
    </row>
    <row r="96" spans="1:6" x14ac:dyDescent="0.2">
      <c r="A96" s="28">
        <v>2001.03</v>
      </c>
      <c r="B96" s="61">
        <v>35.442</v>
      </c>
      <c r="C96" s="62">
        <v>39.670618585882799</v>
      </c>
      <c r="E96" s="34"/>
      <c r="F96" s="33"/>
    </row>
    <row r="97" spans="1:6" x14ac:dyDescent="0.2">
      <c r="A97" s="28">
        <v>2001.04</v>
      </c>
      <c r="B97" s="61">
        <v>32.878999999999998</v>
      </c>
      <c r="C97" s="62">
        <v>38.874273904090515</v>
      </c>
      <c r="E97" s="34"/>
      <c r="F97" s="33"/>
    </row>
    <row r="98" spans="1:6" x14ac:dyDescent="0.2">
      <c r="A98" s="28">
        <v>2001.05</v>
      </c>
      <c r="B98" s="61">
        <v>36.328000000000003</v>
      </c>
      <c r="C98" s="62">
        <v>37.838147186144795</v>
      </c>
      <c r="E98" s="34"/>
      <c r="F98" s="33"/>
    </row>
    <row r="99" spans="1:6" x14ac:dyDescent="0.2">
      <c r="A99" s="28">
        <v>2001.06</v>
      </c>
      <c r="B99" s="61">
        <v>34.213999999999999</v>
      </c>
      <c r="C99" s="62">
        <v>36.28102658632276</v>
      </c>
      <c r="E99" s="34"/>
      <c r="F99" s="33"/>
    </row>
    <row r="100" spans="1:6" x14ac:dyDescent="0.2">
      <c r="A100" s="28">
        <v>2001.07</v>
      </c>
      <c r="B100" s="61">
        <v>40.424999999999997</v>
      </c>
      <c r="C100" s="62">
        <v>35.203924788117696</v>
      </c>
      <c r="E100" s="34"/>
      <c r="F100" s="33"/>
    </row>
    <row r="101" spans="1:6" x14ac:dyDescent="0.2">
      <c r="A101" s="28">
        <v>2001.08</v>
      </c>
      <c r="B101" s="61">
        <v>35.892000000000003</v>
      </c>
      <c r="C101" s="62">
        <v>33.037013529893699</v>
      </c>
      <c r="E101" s="34"/>
      <c r="F101" s="33"/>
    </row>
    <row r="102" spans="1:6" x14ac:dyDescent="0.2">
      <c r="A102" s="28">
        <v>2001.09</v>
      </c>
      <c r="B102" s="61">
        <v>35.47</v>
      </c>
      <c r="C102" s="62">
        <v>31.062839065731374</v>
      </c>
      <c r="E102" s="34"/>
      <c r="F102" s="33"/>
    </row>
    <row r="103" spans="1:6" x14ac:dyDescent="0.2">
      <c r="A103" s="28">
        <v>2001.1</v>
      </c>
      <c r="B103" s="61">
        <v>31.462</v>
      </c>
      <c r="C103" s="62">
        <v>29.914300389062547</v>
      </c>
      <c r="E103" s="34"/>
      <c r="F103" s="33"/>
    </row>
    <row r="104" spans="1:6" x14ac:dyDescent="0.2">
      <c r="A104" s="28">
        <v>2001.11</v>
      </c>
      <c r="B104" s="61">
        <v>35.718000000000004</v>
      </c>
      <c r="C104" s="62">
        <v>28.632002698394693</v>
      </c>
      <c r="E104" s="34"/>
      <c r="F104" s="33"/>
    </row>
    <row r="105" spans="1:6" x14ac:dyDescent="0.2">
      <c r="A105" s="28">
        <v>2001.12</v>
      </c>
      <c r="B105" s="61">
        <v>23.364000000000001</v>
      </c>
      <c r="C105" s="62">
        <v>26.253911897128383</v>
      </c>
      <c r="E105" s="34"/>
      <c r="F105" s="33"/>
    </row>
    <row r="106" spans="1:6" x14ac:dyDescent="0.2">
      <c r="A106" s="28">
        <v>2002.01</v>
      </c>
      <c r="B106" s="61">
        <v>21.364000000000001</v>
      </c>
      <c r="C106" s="62">
        <v>23.449905693280531</v>
      </c>
      <c r="E106" s="34"/>
      <c r="F106" s="33"/>
    </row>
    <row r="107" spans="1:6" x14ac:dyDescent="0.2">
      <c r="A107" s="28">
        <v>2002.02</v>
      </c>
      <c r="B107" s="61">
        <v>20.009</v>
      </c>
      <c r="C107" s="62">
        <v>22.104095428499324</v>
      </c>
      <c r="E107" s="34"/>
      <c r="F107" s="33"/>
    </row>
    <row r="108" spans="1:6" x14ac:dyDescent="0.2">
      <c r="A108" s="28">
        <v>2002.03</v>
      </c>
      <c r="B108" s="61">
        <v>19.719000000000001</v>
      </c>
      <c r="C108" s="62">
        <v>21.420423705103524</v>
      </c>
      <c r="E108" s="34"/>
      <c r="F108" s="33"/>
    </row>
    <row r="109" spans="1:6" x14ac:dyDescent="0.2">
      <c r="A109" s="28">
        <v>2002.04</v>
      </c>
      <c r="B109" s="61">
        <v>18.276</v>
      </c>
      <c r="C109" s="62">
        <v>21.73305019191136</v>
      </c>
      <c r="E109" s="34"/>
      <c r="F109" s="33"/>
    </row>
    <row r="110" spans="1:6" x14ac:dyDescent="0.2">
      <c r="A110" s="28">
        <v>2002.05</v>
      </c>
      <c r="B110" s="61">
        <v>23.641999999999999</v>
      </c>
      <c r="C110" s="62">
        <v>24.1000918245275</v>
      </c>
      <c r="E110" s="34"/>
      <c r="F110" s="33"/>
    </row>
    <row r="111" spans="1:6" x14ac:dyDescent="0.2">
      <c r="A111" s="28">
        <v>2002.06</v>
      </c>
      <c r="B111" s="61">
        <v>24.402999999999999</v>
      </c>
      <c r="C111" s="62">
        <v>25.522410585842128</v>
      </c>
      <c r="E111" s="34"/>
      <c r="F111" s="33"/>
    </row>
    <row r="112" spans="1:6" x14ac:dyDescent="0.2">
      <c r="A112" s="28">
        <v>2002.07</v>
      </c>
      <c r="B112" s="61">
        <v>26.058</v>
      </c>
      <c r="C112" s="62">
        <v>25.543205199688572</v>
      </c>
      <c r="E112" s="34"/>
      <c r="F112" s="33"/>
    </row>
    <row r="113" spans="1:6" x14ac:dyDescent="0.2">
      <c r="A113" s="28">
        <v>2002.08</v>
      </c>
      <c r="B113" s="61">
        <v>30.805</v>
      </c>
      <c r="C113" s="62">
        <v>26.621241249434544</v>
      </c>
      <c r="E113" s="34"/>
      <c r="F113" s="33"/>
    </row>
    <row r="114" spans="1:6" x14ac:dyDescent="0.2">
      <c r="A114" s="28">
        <v>2002.09</v>
      </c>
      <c r="B114" s="61">
        <v>31.593</v>
      </c>
      <c r="C114" s="62">
        <v>27.765033901771893</v>
      </c>
      <c r="E114" s="34"/>
      <c r="F114" s="33"/>
    </row>
    <row r="115" spans="1:6" x14ac:dyDescent="0.2">
      <c r="A115" s="28">
        <v>2002.1</v>
      </c>
      <c r="B115" s="61">
        <v>30.652999999999999</v>
      </c>
      <c r="C115" s="62">
        <v>28.285211055963856</v>
      </c>
      <c r="E115" s="34"/>
      <c r="F115" s="33"/>
    </row>
    <row r="116" spans="1:6" x14ac:dyDescent="0.2">
      <c r="A116" s="28">
        <v>2002.11</v>
      </c>
      <c r="B116" s="61">
        <v>30.366</v>
      </c>
      <c r="C116" s="62">
        <v>28.757457103793914</v>
      </c>
      <c r="E116" s="34"/>
      <c r="F116" s="33"/>
    </row>
    <row r="117" spans="1:6" x14ac:dyDescent="0.2">
      <c r="A117" s="28">
        <v>2002.12</v>
      </c>
      <c r="B117" s="61">
        <v>27.794</v>
      </c>
      <c r="C117" s="62">
        <v>30.286893588266583</v>
      </c>
      <c r="E117" s="34"/>
      <c r="F117" s="33"/>
    </row>
    <row r="118" spans="1:6" x14ac:dyDescent="0.2">
      <c r="A118" s="28">
        <v>2003.01</v>
      </c>
      <c r="B118" s="61">
        <v>34.027999999999999</v>
      </c>
      <c r="C118" s="62">
        <v>32.200194182843859</v>
      </c>
      <c r="E118" s="34"/>
      <c r="F118" s="33"/>
    </row>
    <row r="119" spans="1:6" x14ac:dyDescent="0.2">
      <c r="A119" s="28">
        <v>2003.02</v>
      </c>
      <c r="B119" s="61">
        <v>28.57</v>
      </c>
      <c r="C119" s="62">
        <v>32.951520768161437</v>
      </c>
      <c r="E119" s="34"/>
      <c r="F119" s="33"/>
    </row>
    <row r="120" spans="1:6" x14ac:dyDescent="0.2">
      <c r="A120" s="28">
        <v>2003.03</v>
      </c>
      <c r="B120" s="61">
        <v>29.928000000000001</v>
      </c>
      <c r="C120" s="62">
        <v>32.660052165120192</v>
      </c>
      <c r="E120" s="34"/>
      <c r="F120" s="33"/>
    </row>
    <row r="121" spans="1:6" x14ac:dyDescent="0.2">
      <c r="A121" s="28">
        <v>2003.04</v>
      </c>
      <c r="B121" s="61">
        <v>26.681000000000001</v>
      </c>
      <c r="C121" s="62">
        <v>31.179171846003555</v>
      </c>
      <c r="E121" s="34"/>
      <c r="F121" s="33"/>
    </row>
    <row r="122" spans="1:6" x14ac:dyDescent="0.2">
      <c r="A122" s="28">
        <v>2003.05</v>
      </c>
      <c r="B122" s="61">
        <v>29.065999999999999</v>
      </c>
      <c r="C122" s="62">
        <v>31.996317682580234</v>
      </c>
      <c r="E122" s="34"/>
      <c r="F122" s="33"/>
    </row>
    <row r="123" spans="1:6" x14ac:dyDescent="0.2">
      <c r="A123" s="28">
        <v>2003.06</v>
      </c>
      <c r="B123" s="61">
        <v>35.125</v>
      </c>
      <c r="C123" s="62">
        <v>34.884580656179587</v>
      </c>
      <c r="E123" s="34"/>
      <c r="F123" s="33"/>
    </row>
    <row r="124" spans="1:6" x14ac:dyDescent="0.2">
      <c r="A124" s="28">
        <v>2003.07</v>
      </c>
      <c r="B124" s="61">
        <v>37.512</v>
      </c>
      <c r="C124" s="62">
        <v>35.286226878366897</v>
      </c>
      <c r="E124" s="34"/>
      <c r="F124" s="33"/>
    </row>
    <row r="125" spans="1:6" x14ac:dyDescent="0.2">
      <c r="A125" s="28">
        <v>2003.08</v>
      </c>
      <c r="B125" s="61">
        <v>37.938000000000002</v>
      </c>
      <c r="C125" s="62">
        <v>35.536170560554623</v>
      </c>
      <c r="E125" s="34"/>
      <c r="F125" s="33"/>
    </row>
    <row r="126" spans="1:6" x14ac:dyDescent="0.2">
      <c r="A126" s="28">
        <v>2003.09</v>
      </c>
      <c r="B126" s="61">
        <v>46.283999999999999</v>
      </c>
      <c r="C126" s="62">
        <v>38.896292344512339</v>
      </c>
      <c r="E126" s="34"/>
      <c r="F126" s="33"/>
    </row>
    <row r="127" spans="1:6" x14ac:dyDescent="0.2">
      <c r="A127" s="28">
        <v>2003.1</v>
      </c>
      <c r="B127" s="61">
        <v>48.273000000000003</v>
      </c>
      <c r="C127" s="62">
        <v>43.059144429424336</v>
      </c>
      <c r="E127" s="34"/>
      <c r="F127" s="33"/>
    </row>
    <row r="128" spans="1:6" x14ac:dyDescent="0.2">
      <c r="A128" s="28">
        <v>2003.11</v>
      </c>
      <c r="B128" s="61">
        <v>44.555</v>
      </c>
      <c r="C128" s="62">
        <v>45.320571958288909</v>
      </c>
      <c r="E128" s="34"/>
      <c r="F128" s="33"/>
    </row>
    <row r="129" spans="1:6" x14ac:dyDescent="0.2">
      <c r="A129" s="28">
        <v>2003.12</v>
      </c>
      <c r="B129" s="61">
        <v>44.466999999999999</v>
      </c>
      <c r="C129" s="62">
        <v>46.608663957937161</v>
      </c>
      <c r="E129" s="34"/>
      <c r="F129" s="33"/>
    </row>
    <row r="130" spans="1:6" x14ac:dyDescent="0.2">
      <c r="A130" s="28">
        <v>2004.01</v>
      </c>
      <c r="B130" s="61">
        <v>47.222250000000003</v>
      </c>
      <c r="C130" s="62">
        <v>47.802124300230574</v>
      </c>
      <c r="E130" s="34"/>
      <c r="F130" s="33"/>
    </row>
    <row r="131" spans="1:6" x14ac:dyDescent="0.2">
      <c r="A131" s="28">
        <v>2004.02</v>
      </c>
      <c r="B131" s="61">
        <v>44.373160000000006</v>
      </c>
      <c r="C131" s="62">
        <v>49.254983050531415</v>
      </c>
      <c r="E131" s="34"/>
      <c r="F131" s="33"/>
    </row>
    <row r="132" spans="1:6" x14ac:dyDescent="0.2">
      <c r="A132" s="28">
        <v>2004.03</v>
      </c>
      <c r="B132" s="61">
        <v>52.50761</v>
      </c>
      <c r="C132" s="62">
        <v>50.565859649673605</v>
      </c>
      <c r="E132" s="34"/>
      <c r="F132" s="33"/>
    </row>
    <row r="133" spans="1:6" x14ac:dyDescent="0.2">
      <c r="A133" s="28">
        <v>2004.04</v>
      </c>
      <c r="B133" s="61">
        <v>37.158279999999998</v>
      </c>
      <c r="C133" s="62">
        <v>50.654441097159605</v>
      </c>
      <c r="E133" s="34"/>
      <c r="F133" s="33"/>
    </row>
    <row r="134" spans="1:6" x14ac:dyDescent="0.2">
      <c r="A134" s="28">
        <v>2004.05</v>
      </c>
      <c r="B134" s="61">
        <v>45.377870000000001</v>
      </c>
      <c r="C134" s="62">
        <v>50.475093177013811</v>
      </c>
      <c r="E134" s="34"/>
      <c r="F134" s="33"/>
    </row>
    <row r="135" spans="1:6" x14ac:dyDescent="0.2">
      <c r="A135" s="28">
        <v>2004.06</v>
      </c>
      <c r="B135" s="61">
        <v>49.862499999999997</v>
      </c>
      <c r="C135" s="62">
        <v>50.752400294458084</v>
      </c>
      <c r="E135" s="34"/>
      <c r="F135" s="33"/>
    </row>
    <row r="136" spans="1:6" x14ac:dyDescent="0.2">
      <c r="A136" s="28">
        <v>2004.07</v>
      </c>
      <c r="B136" s="61">
        <v>55.438769999999998</v>
      </c>
      <c r="C136" s="62">
        <v>50.759559518107551</v>
      </c>
      <c r="E136" s="34"/>
      <c r="F136" s="33"/>
    </row>
    <row r="137" spans="1:6" x14ac:dyDescent="0.2">
      <c r="A137" s="28">
        <v>2004.08</v>
      </c>
      <c r="B137" s="61">
        <v>55.363050000000001</v>
      </c>
      <c r="C137" s="62">
        <v>50.431476302805009</v>
      </c>
      <c r="E137" s="34"/>
      <c r="F137" s="33"/>
    </row>
    <row r="138" spans="1:6" x14ac:dyDescent="0.2">
      <c r="A138" s="28">
        <v>2004.09</v>
      </c>
      <c r="B138" s="61">
        <v>57.284109999999998</v>
      </c>
      <c r="C138" s="62">
        <v>50.734379196834453</v>
      </c>
      <c r="E138" s="34"/>
      <c r="F138" s="33"/>
    </row>
    <row r="139" spans="1:6" x14ac:dyDescent="0.2">
      <c r="A139" s="28">
        <v>2004.1</v>
      </c>
      <c r="B139" s="61">
        <v>53.979759999999999</v>
      </c>
      <c r="C139" s="62">
        <v>50.27626081649418</v>
      </c>
      <c r="E139" s="34"/>
      <c r="F139" s="33"/>
    </row>
    <row r="140" spans="1:6" x14ac:dyDescent="0.2">
      <c r="A140" s="28">
        <v>2004.11</v>
      </c>
      <c r="B140" s="61">
        <v>52.289540000000002</v>
      </c>
      <c r="C140" s="62">
        <v>48.777959559971229</v>
      </c>
      <c r="E140" s="34"/>
      <c r="F140" s="33"/>
    </row>
    <row r="141" spans="1:6" x14ac:dyDescent="0.2">
      <c r="A141" s="28">
        <v>2004.12</v>
      </c>
      <c r="B141" s="61">
        <v>23.565200000000001</v>
      </c>
      <c r="C141" s="62">
        <v>48.739401288209848</v>
      </c>
      <c r="E141" s="34"/>
      <c r="F141" s="33"/>
    </row>
    <row r="142" spans="1:6" x14ac:dyDescent="0.2">
      <c r="A142" s="28">
        <v>2005.01</v>
      </c>
      <c r="B142" s="61">
        <v>52.576459999999997</v>
      </c>
      <c r="C142" s="62">
        <v>50.482264374155783</v>
      </c>
      <c r="E142" s="34"/>
      <c r="F142" s="33"/>
    </row>
    <row r="143" spans="1:6" x14ac:dyDescent="0.2">
      <c r="A143" s="28">
        <v>2005.02</v>
      </c>
      <c r="B143" s="61">
        <v>47.851210000000002</v>
      </c>
      <c r="C143" s="62">
        <v>51.687821604309249</v>
      </c>
      <c r="E143" s="34"/>
      <c r="F143" s="33"/>
    </row>
    <row r="144" spans="1:6" x14ac:dyDescent="0.2">
      <c r="A144" s="28">
        <v>2005.03</v>
      </c>
      <c r="B144" s="61">
        <v>47.192779999999999</v>
      </c>
      <c r="C144" s="62">
        <v>52.031368528127281</v>
      </c>
      <c r="E144" s="34"/>
      <c r="F144" s="33"/>
    </row>
    <row r="145" spans="1:6" x14ac:dyDescent="0.2">
      <c r="A145" s="28">
        <v>2005.04</v>
      </c>
      <c r="B145" s="61">
        <v>49.833260000000003</v>
      </c>
      <c r="C145" s="62">
        <v>54.230541755231286</v>
      </c>
      <c r="E145" s="34"/>
      <c r="F145" s="33"/>
    </row>
    <row r="146" spans="1:6" x14ac:dyDescent="0.2">
      <c r="A146" s="28">
        <v>2005.05</v>
      </c>
      <c r="B146" s="61">
        <v>55.936109999999999</v>
      </c>
      <c r="C146" s="62">
        <v>55.866195965258314</v>
      </c>
      <c r="E146" s="34"/>
      <c r="F146" s="33"/>
    </row>
    <row r="147" spans="1:6" x14ac:dyDescent="0.2">
      <c r="A147" s="28">
        <v>2005.06</v>
      </c>
      <c r="B147" s="61">
        <v>51.137540000000001</v>
      </c>
      <c r="C147" s="62">
        <v>55.401904853001504</v>
      </c>
      <c r="E147" s="34"/>
      <c r="F147" s="33"/>
    </row>
    <row r="148" spans="1:6" x14ac:dyDescent="0.2">
      <c r="A148" s="28">
        <v>2005.07</v>
      </c>
      <c r="B148" s="61">
        <v>59.067219999999999</v>
      </c>
      <c r="C148" s="62">
        <v>56.462922809662764</v>
      </c>
      <c r="E148" s="34"/>
      <c r="F148" s="33"/>
    </row>
    <row r="149" spans="1:6" x14ac:dyDescent="0.2">
      <c r="A149" s="28">
        <v>2005.08</v>
      </c>
      <c r="B149" s="61">
        <v>65.46799</v>
      </c>
      <c r="C149" s="62">
        <v>58.756934409364781</v>
      </c>
      <c r="E149" s="34"/>
      <c r="F149" s="33"/>
    </row>
    <row r="150" spans="1:6" x14ac:dyDescent="0.2">
      <c r="A150" s="28">
        <v>2005.09</v>
      </c>
      <c r="B150" s="61">
        <v>71.963929999999991</v>
      </c>
      <c r="C150" s="62">
        <v>60.890711993770651</v>
      </c>
      <c r="E150" s="34"/>
      <c r="F150" s="33"/>
    </row>
    <row r="151" spans="1:6" x14ac:dyDescent="0.2">
      <c r="A151" s="28">
        <v>2005.1</v>
      </c>
      <c r="B151" s="61">
        <v>63.87227</v>
      </c>
      <c r="C151" s="62">
        <v>61.575991110141153</v>
      </c>
      <c r="E151" s="34"/>
      <c r="F151" s="33"/>
    </row>
    <row r="152" spans="1:6" x14ac:dyDescent="0.2">
      <c r="A152" s="28">
        <v>2005.11</v>
      </c>
      <c r="B152" s="61">
        <v>63.775580000000005</v>
      </c>
      <c r="C152" s="62">
        <v>62.475508453501192</v>
      </c>
      <c r="E152" s="34"/>
      <c r="F152" s="33"/>
    </row>
    <row r="153" spans="1:6" x14ac:dyDescent="0.2">
      <c r="A153" s="28">
        <v>2005.12</v>
      </c>
      <c r="B153" s="61">
        <v>64.359880000000004</v>
      </c>
      <c r="C153" s="62">
        <v>64.293299971168466</v>
      </c>
      <c r="E153" s="34"/>
      <c r="F153" s="33"/>
    </row>
    <row r="154" spans="1:6" x14ac:dyDescent="0.2">
      <c r="A154" s="28">
        <v>2006.01</v>
      </c>
      <c r="B154" s="61">
        <v>60.241080000000004</v>
      </c>
      <c r="C154" s="62">
        <v>64.132624575079703</v>
      </c>
      <c r="E154" s="34"/>
      <c r="F154" s="33"/>
    </row>
    <row r="155" spans="1:6" x14ac:dyDescent="0.2">
      <c r="A155" s="28">
        <v>2006.02</v>
      </c>
      <c r="B155" s="61">
        <v>58.41066</v>
      </c>
      <c r="C155" s="62">
        <v>64.641465634457418</v>
      </c>
      <c r="E155" s="34"/>
      <c r="F155" s="33"/>
    </row>
    <row r="156" spans="1:6" x14ac:dyDescent="0.2">
      <c r="A156" s="28">
        <v>2006.03</v>
      </c>
      <c r="B156" s="61">
        <v>63.146190000000004</v>
      </c>
      <c r="C156" s="62">
        <v>67.888472905585076</v>
      </c>
      <c r="E156" s="34"/>
      <c r="F156" s="33"/>
    </row>
    <row r="157" spans="1:6" x14ac:dyDescent="0.2">
      <c r="A157" s="28">
        <v>2006.04</v>
      </c>
      <c r="B157" s="61">
        <v>63.66122</v>
      </c>
      <c r="C157" s="62">
        <v>71.380869829427553</v>
      </c>
      <c r="E157" s="34"/>
      <c r="F157" s="33"/>
    </row>
    <row r="158" spans="1:6" x14ac:dyDescent="0.2">
      <c r="A158" s="28">
        <v>2006.05</v>
      </c>
      <c r="B158" s="61">
        <v>69.993309999999994</v>
      </c>
      <c r="C158" s="62">
        <v>70.359296635886807</v>
      </c>
      <c r="E158" s="34"/>
      <c r="F158" s="33"/>
    </row>
    <row r="159" spans="1:6" x14ac:dyDescent="0.2">
      <c r="A159" s="28">
        <v>2006.06</v>
      </c>
      <c r="B159" s="61">
        <v>65.946449999999999</v>
      </c>
      <c r="C159" s="62">
        <v>68.084445598813886</v>
      </c>
      <c r="E159" s="34"/>
      <c r="F159" s="33"/>
    </row>
    <row r="160" spans="1:6" x14ac:dyDescent="0.2">
      <c r="A160" s="28">
        <v>2006.07</v>
      </c>
      <c r="B160" s="61">
        <v>71.100179999999995</v>
      </c>
      <c r="C160" s="62">
        <v>69.491838125019001</v>
      </c>
      <c r="E160" s="34"/>
      <c r="F160" s="33"/>
    </row>
    <row r="161" spans="1:6" x14ac:dyDescent="0.2">
      <c r="A161" s="28">
        <v>2006.08</v>
      </c>
      <c r="B161" s="61">
        <v>77.048050000000003</v>
      </c>
      <c r="C161" s="62">
        <v>69.492816012414806</v>
      </c>
      <c r="E161" s="34"/>
      <c r="F161" s="33"/>
    </row>
    <row r="162" spans="1:6" x14ac:dyDescent="0.2">
      <c r="A162" s="28">
        <v>2006.09</v>
      </c>
      <c r="B162" s="61">
        <v>75.524439999999998</v>
      </c>
      <c r="C162" s="62">
        <v>67.386391430952315</v>
      </c>
      <c r="E162" s="34"/>
      <c r="F162" s="33"/>
    </row>
    <row r="163" spans="1:6" x14ac:dyDescent="0.2">
      <c r="A163" s="28">
        <v>2006.1</v>
      </c>
      <c r="B163" s="61">
        <v>72.589210000000008</v>
      </c>
      <c r="C163" s="62">
        <v>66.923203672490502</v>
      </c>
      <c r="E163" s="34"/>
      <c r="F163" s="33"/>
    </row>
    <row r="164" spans="1:6" x14ac:dyDescent="0.2">
      <c r="A164" s="28">
        <v>2006.11</v>
      </c>
      <c r="B164" s="61">
        <v>71.150059999999996</v>
      </c>
      <c r="C164" s="62">
        <v>67.022244124778581</v>
      </c>
      <c r="E164" s="34"/>
      <c r="F164" s="33"/>
    </row>
    <row r="165" spans="1:6" x14ac:dyDescent="0.2">
      <c r="A165" s="28">
        <v>2006.12</v>
      </c>
      <c r="B165" s="61">
        <v>59.411209999999997</v>
      </c>
      <c r="C165" s="62">
        <v>66.322314778126923</v>
      </c>
      <c r="E165" s="34"/>
      <c r="F165" s="33"/>
    </row>
    <row r="166" spans="1:6" x14ac:dyDescent="0.2">
      <c r="A166" s="28">
        <v>2007.01</v>
      </c>
      <c r="B166" s="61">
        <v>66.040800000000004</v>
      </c>
      <c r="C166" s="62">
        <v>67.583555132525476</v>
      </c>
      <c r="E166" s="34"/>
      <c r="F166" s="33"/>
    </row>
    <row r="167" spans="1:6" x14ac:dyDescent="0.2">
      <c r="A167" s="28">
        <v>2007.02</v>
      </c>
      <c r="B167" s="61">
        <v>63.672249999999998</v>
      </c>
      <c r="C167" s="62">
        <v>69.644324611799561</v>
      </c>
      <c r="E167" s="34"/>
      <c r="F167" s="33"/>
    </row>
    <row r="168" spans="1:6" x14ac:dyDescent="0.2">
      <c r="A168" s="28">
        <v>2007.03</v>
      </c>
      <c r="B168" s="61">
        <v>48.421639999999996</v>
      </c>
      <c r="C168" s="62">
        <v>68.718884855637128</v>
      </c>
      <c r="E168" s="34"/>
      <c r="F168" s="33"/>
    </row>
    <row r="169" spans="1:6" x14ac:dyDescent="0.2">
      <c r="A169" s="28">
        <v>2007.04</v>
      </c>
      <c r="B169" s="61">
        <v>59.688879999999997</v>
      </c>
      <c r="C169" s="62">
        <v>68.622536637492786</v>
      </c>
      <c r="E169" s="34"/>
      <c r="F169" s="33"/>
    </row>
    <row r="170" spans="1:6" x14ac:dyDescent="0.2">
      <c r="A170" s="28">
        <v>2007.05</v>
      </c>
      <c r="B170" s="61">
        <v>72.692800000000005</v>
      </c>
      <c r="C170" s="62">
        <v>71.933648038539218</v>
      </c>
      <c r="E170" s="34"/>
      <c r="F170" s="33"/>
    </row>
    <row r="171" spans="1:6" x14ac:dyDescent="0.2">
      <c r="A171" s="28">
        <v>2007.06</v>
      </c>
      <c r="B171" s="61">
        <v>73.820539999999994</v>
      </c>
      <c r="C171" s="62">
        <v>74.314770235404865</v>
      </c>
      <c r="E171" s="34"/>
      <c r="F171" s="33"/>
    </row>
    <row r="172" spans="1:6" x14ac:dyDescent="0.2">
      <c r="A172" s="28">
        <v>2007.07</v>
      </c>
      <c r="B172" s="61">
        <v>79.217799999999997</v>
      </c>
      <c r="C172" s="62">
        <v>75.886082441788886</v>
      </c>
      <c r="E172" s="34"/>
      <c r="F172" s="33"/>
    </row>
    <row r="173" spans="1:6" x14ac:dyDescent="0.2">
      <c r="A173" s="28">
        <v>2007.08</v>
      </c>
      <c r="B173" s="61">
        <v>88.368600000000001</v>
      </c>
      <c r="C173" s="62">
        <v>79.212691440153435</v>
      </c>
      <c r="E173" s="34"/>
      <c r="F173" s="33"/>
    </row>
    <row r="174" spans="1:6" x14ac:dyDescent="0.2">
      <c r="A174" s="28">
        <v>2007.09</v>
      </c>
      <c r="B174" s="61">
        <v>68.63042999999999</v>
      </c>
      <c r="C174" s="62">
        <v>81.327645928037583</v>
      </c>
      <c r="E174" s="34"/>
      <c r="F174" s="33"/>
    </row>
    <row r="175" spans="1:6" x14ac:dyDescent="0.2">
      <c r="A175" s="28">
        <v>2007.1</v>
      </c>
      <c r="B175" s="61">
        <v>87.904730000000001</v>
      </c>
      <c r="C175" s="62">
        <v>84.226032722922824</v>
      </c>
      <c r="E175" s="34"/>
      <c r="F175" s="33"/>
    </row>
    <row r="176" spans="1:6" x14ac:dyDescent="0.2">
      <c r="A176" s="28">
        <v>2007.11</v>
      </c>
      <c r="B176" s="61">
        <v>106.54454</v>
      </c>
      <c r="C176" s="62">
        <v>89.984508161344337</v>
      </c>
      <c r="E176" s="34"/>
      <c r="F176" s="33"/>
    </row>
    <row r="177" spans="1:6" x14ac:dyDescent="0.2">
      <c r="A177" s="28">
        <v>2007.12</v>
      </c>
      <c r="B177" s="61">
        <v>83.3767</v>
      </c>
      <c r="C177" s="62">
        <v>90.630096558826111</v>
      </c>
      <c r="E177" s="35"/>
      <c r="F177" s="33"/>
    </row>
    <row r="178" spans="1:6" x14ac:dyDescent="0.2">
      <c r="A178" s="28">
        <f t="shared" ref="A178:A241" si="0">A166+1</f>
        <v>2008.01</v>
      </c>
      <c r="B178" s="61">
        <v>84.058410000000009</v>
      </c>
      <c r="C178" s="62">
        <v>85.996691244700671</v>
      </c>
      <c r="E178" s="34"/>
      <c r="F178" s="33"/>
    </row>
    <row r="179" spans="1:6" x14ac:dyDescent="0.2">
      <c r="A179" s="28">
        <f t="shared" si="0"/>
        <v>2008.02</v>
      </c>
      <c r="B179" s="61">
        <v>77.351300000000009</v>
      </c>
      <c r="C179" s="62">
        <v>83.032380736263661</v>
      </c>
      <c r="E179" s="34"/>
      <c r="F179" s="33"/>
    </row>
    <row r="180" spans="1:6" x14ac:dyDescent="0.2">
      <c r="A180" s="28">
        <f t="shared" si="0"/>
        <v>2008.03</v>
      </c>
      <c r="B180" s="61">
        <v>73.807929999999999</v>
      </c>
      <c r="C180" s="62">
        <v>84.429198926092695</v>
      </c>
      <c r="E180" s="34"/>
      <c r="F180" s="33"/>
    </row>
    <row r="181" spans="1:6" x14ac:dyDescent="0.2">
      <c r="A181" s="28">
        <f t="shared" si="0"/>
        <v>2008.04</v>
      </c>
      <c r="B181" s="61">
        <v>86.686360000000008</v>
      </c>
      <c r="C181" s="62">
        <v>87.273957880786128</v>
      </c>
      <c r="E181" s="34"/>
      <c r="F181" s="33"/>
    </row>
    <row r="182" spans="1:6" x14ac:dyDescent="0.2">
      <c r="A182" s="28">
        <f t="shared" si="0"/>
        <v>2008.05</v>
      </c>
      <c r="B182" s="61">
        <v>85.149299999999997</v>
      </c>
      <c r="C182" s="62">
        <v>86.664514216701818</v>
      </c>
      <c r="E182" s="34"/>
      <c r="F182" s="33"/>
    </row>
    <row r="183" spans="1:6" x14ac:dyDescent="0.2">
      <c r="A183" s="28">
        <f t="shared" si="0"/>
        <v>2008.06</v>
      </c>
      <c r="B183" s="61">
        <v>59.598440000000004</v>
      </c>
      <c r="C183" s="62">
        <v>85.297331701171075</v>
      </c>
      <c r="E183" s="34"/>
      <c r="F183" s="33"/>
    </row>
    <row r="184" spans="1:6" x14ac:dyDescent="0.2">
      <c r="A184" s="28">
        <f t="shared" si="0"/>
        <v>2008.07</v>
      </c>
      <c r="B184" s="61">
        <v>96.380719999999997</v>
      </c>
      <c r="C184" s="62">
        <v>84.283707555753978</v>
      </c>
      <c r="E184" s="34"/>
      <c r="F184" s="33"/>
    </row>
    <row r="185" spans="1:6" x14ac:dyDescent="0.2">
      <c r="A185" s="28">
        <f t="shared" si="0"/>
        <v>2008.08</v>
      </c>
      <c r="B185" s="61">
        <v>85.578440000000001</v>
      </c>
      <c r="C185" s="62">
        <v>81.76126999961555</v>
      </c>
      <c r="E185" s="34"/>
      <c r="F185" s="33"/>
    </row>
    <row r="186" spans="1:6" x14ac:dyDescent="0.2">
      <c r="A186" s="28">
        <f t="shared" si="0"/>
        <v>2008.09</v>
      </c>
      <c r="B186" s="61">
        <v>91.714479999999995</v>
      </c>
      <c r="C186" s="62">
        <v>78.386645541970751</v>
      </c>
      <c r="E186" s="34"/>
      <c r="F186" s="33"/>
    </row>
    <row r="187" spans="1:6" x14ac:dyDescent="0.2">
      <c r="A187" s="28">
        <f t="shared" si="0"/>
        <v>2008.1</v>
      </c>
      <c r="B187" s="61">
        <v>80.00179</v>
      </c>
      <c r="C187" s="62">
        <v>74.623751747381306</v>
      </c>
      <c r="E187" s="34"/>
      <c r="F187" s="33"/>
    </row>
    <row r="188" spans="1:6" x14ac:dyDescent="0.2">
      <c r="A188" s="28">
        <f t="shared" si="0"/>
        <v>2008.11</v>
      </c>
      <c r="B188" s="61">
        <v>73.681669999999997</v>
      </c>
      <c r="C188" s="62">
        <v>71.606683813932221</v>
      </c>
      <c r="E188" s="34"/>
      <c r="F188" s="33"/>
    </row>
    <row r="189" spans="1:6" x14ac:dyDescent="0.2">
      <c r="A189" s="28">
        <f t="shared" si="0"/>
        <v>2008.12</v>
      </c>
      <c r="B189" s="61">
        <v>63.530720000000002</v>
      </c>
      <c r="C189" s="62">
        <v>70.558473193703549</v>
      </c>
      <c r="E189" s="35"/>
      <c r="F189" s="33"/>
    </row>
    <row r="190" spans="1:6" x14ac:dyDescent="0.2">
      <c r="A190" s="28">
        <f t="shared" si="0"/>
        <v>2009.01</v>
      </c>
      <c r="B190" s="61">
        <v>72.353359999999995</v>
      </c>
      <c r="C190" s="62">
        <v>71.49958324691417</v>
      </c>
      <c r="E190" s="34"/>
      <c r="F190" s="33"/>
    </row>
    <row r="191" spans="1:6" x14ac:dyDescent="0.2">
      <c r="A191" s="28">
        <f t="shared" si="0"/>
        <v>2009.02</v>
      </c>
      <c r="B191" s="61">
        <v>60.706540000000004</v>
      </c>
      <c r="C191" s="62">
        <v>71.696468370729036</v>
      </c>
      <c r="E191" s="34"/>
      <c r="F191" s="33"/>
    </row>
    <row r="192" spans="1:6" x14ac:dyDescent="0.2">
      <c r="A192" s="28">
        <f t="shared" si="0"/>
        <v>2009.03</v>
      </c>
      <c r="B192" s="61">
        <v>69.090670000000003</v>
      </c>
      <c r="C192" s="62">
        <v>69.956198256284509</v>
      </c>
      <c r="E192" s="34"/>
      <c r="F192" s="33"/>
    </row>
    <row r="193" spans="1:6" x14ac:dyDescent="0.2">
      <c r="A193" s="28">
        <f t="shared" si="0"/>
        <v>2009.04</v>
      </c>
      <c r="B193" s="61">
        <v>61.661809999999996</v>
      </c>
      <c r="C193" s="62">
        <v>66.126397508849294</v>
      </c>
      <c r="E193" s="34"/>
      <c r="F193" s="33"/>
    </row>
    <row r="194" spans="1:6" x14ac:dyDescent="0.2">
      <c r="A194" s="28">
        <f t="shared" si="0"/>
        <v>2009.05</v>
      </c>
      <c r="B194" s="61">
        <v>56.141269999999999</v>
      </c>
      <c r="C194" s="62">
        <v>61.971390037157917</v>
      </c>
      <c r="E194" s="34"/>
      <c r="F194" s="33"/>
    </row>
    <row r="195" spans="1:6" x14ac:dyDescent="0.2">
      <c r="A195" s="28">
        <f t="shared" si="0"/>
        <v>2009.06</v>
      </c>
      <c r="B195" s="61">
        <v>61.628769999999996</v>
      </c>
      <c r="C195" s="62">
        <v>59.974072993826617</v>
      </c>
      <c r="E195" s="34"/>
      <c r="F195" s="33"/>
    </row>
    <row r="196" spans="1:6" x14ac:dyDescent="0.2">
      <c r="A196" s="28">
        <f t="shared" si="0"/>
        <v>2009.07</v>
      </c>
      <c r="B196" s="61">
        <v>62.283940000000001</v>
      </c>
      <c r="C196" s="62">
        <v>59.891764069736276</v>
      </c>
      <c r="E196" s="34"/>
      <c r="F196" s="33"/>
    </row>
    <row r="197" spans="1:6" x14ac:dyDescent="0.2">
      <c r="A197" s="28">
        <f t="shared" si="0"/>
        <v>2009.08</v>
      </c>
      <c r="B197" s="61">
        <v>63.159570000000002</v>
      </c>
      <c r="C197" s="62">
        <v>59.439945426532262</v>
      </c>
      <c r="E197" s="34"/>
      <c r="F197" s="33"/>
    </row>
    <row r="198" spans="1:6" x14ac:dyDescent="0.2">
      <c r="A198" s="28">
        <f t="shared" si="0"/>
        <v>2009.09</v>
      </c>
      <c r="B198" s="61">
        <v>60.863279999999996</v>
      </c>
      <c r="C198" s="62">
        <v>58.401254345844087</v>
      </c>
      <c r="E198" s="34"/>
      <c r="F198" s="33"/>
    </row>
    <row r="199" spans="1:6" x14ac:dyDescent="0.2">
      <c r="A199" s="28">
        <f t="shared" si="0"/>
        <v>2009.1</v>
      </c>
      <c r="B199" s="61">
        <v>68.202160000000006</v>
      </c>
      <c r="C199" s="62">
        <v>59.097668145255881</v>
      </c>
      <c r="E199" s="34"/>
      <c r="F199" s="33"/>
    </row>
    <row r="200" spans="1:6" x14ac:dyDescent="0.2">
      <c r="A200" s="28">
        <f t="shared" si="0"/>
        <v>2009.11</v>
      </c>
      <c r="B200" s="61">
        <v>60.680769999999995</v>
      </c>
      <c r="C200" s="62">
        <v>58.47379582423428</v>
      </c>
      <c r="E200" s="34"/>
      <c r="F200" s="33"/>
    </row>
    <row r="201" spans="1:6" x14ac:dyDescent="0.2">
      <c r="A201" s="28">
        <f t="shared" si="0"/>
        <v>2009.12</v>
      </c>
      <c r="B201" s="61">
        <v>52.171769999999995</v>
      </c>
      <c r="C201" s="62">
        <v>58.10126450623509</v>
      </c>
      <c r="E201" s="35"/>
      <c r="F201" s="33"/>
    </row>
    <row r="202" spans="1:6" x14ac:dyDescent="0.2">
      <c r="A202" s="28">
        <f t="shared" si="0"/>
        <v>2010.01</v>
      </c>
      <c r="B202" s="61">
        <v>59.927210000000002</v>
      </c>
      <c r="C202" s="62">
        <v>60.038584668647829</v>
      </c>
      <c r="E202" s="34"/>
      <c r="F202" s="33"/>
    </row>
    <row r="203" spans="1:6" x14ac:dyDescent="0.2">
      <c r="A203" s="28">
        <f t="shared" si="0"/>
        <v>2010.02</v>
      </c>
      <c r="B203" s="61">
        <v>50.312290000000004</v>
      </c>
      <c r="C203" s="62">
        <v>62.252759503554081</v>
      </c>
      <c r="E203" s="34"/>
      <c r="F203" s="33"/>
    </row>
    <row r="204" spans="1:6" x14ac:dyDescent="0.2">
      <c r="A204" s="28">
        <f t="shared" si="0"/>
        <v>2010.03</v>
      </c>
      <c r="B204" s="61">
        <v>67.621649999999988</v>
      </c>
      <c r="C204" s="62">
        <v>65.093882590569251</v>
      </c>
      <c r="E204" s="34"/>
      <c r="F204" s="33"/>
    </row>
    <row r="205" spans="1:6" x14ac:dyDescent="0.2">
      <c r="A205" s="28">
        <f t="shared" si="0"/>
        <v>2010.04</v>
      </c>
      <c r="B205" s="61">
        <v>65.126660000000001</v>
      </c>
      <c r="C205" s="62">
        <v>66.398686072128413</v>
      </c>
      <c r="E205" s="34"/>
      <c r="F205" s="33"/>
    </row>
    <row r="206" spans="1:6" x14ac:dyDescent="0.2">
      <c r="A206" s="28">
        <f t="shared" si="0"/>
        <v>2010.05</v>
      </c>
      <c r="B206" s="61">
        <v>62.254160000000006</v>
      </c>
      <c r="C206" s="62">
        <v>66.6431034611591</v>
      </c>
      <c r="E206" s="34"/>
      <c r="F206" s="33"/>
    </row>
    <row r="207" spans="1:6" x14ac:dyDescent="0.2">
      <c r="A207" s="28">
        <f t="shared" si="0"/>
        <v>2010.06</v>
      </c>
      <c r="B207" s="61">
        <v>67.270179999999996</v>
      </c>
      <c r="C207" s="62">
        <v>67.547457693197956</v>
      </c>
      <c r="E207" s="34"/>
      <c r="F207" s="33"/>
    </row>
    <row r="208" spans="1:6" x14ac:dyDescent="0.2">
      <c r="A208" s="28">
        <f t="shared" si="0"/>
        <v>2010.07</v>
      </c>
      <c r="B208" s="61">
        <v>72.678509999999989</v>
      </c>
      <c r="C208" s="62">
        <v>67.893994377057766</v>
      </c>
      <c r="E208" s="34"/>
      <c r="F208" s="33"/>
    </row>
    <row r="209" spans="1:6" x14ac:dyDescent="0.2">
      <c r="A209" s="28">
        <f t="shared" si="0"/>
        <v>2010.08</v>
      </c>
      <c r="B209" s="61">
        <v>72.345590000000001</v>
      </c>
      <c r="C209" s="62">
        <v>67.380287863926299</v>
      </c>
      <c r="E209" s="34"/>
      <c r="F209" s="33"/>
    </row>
    <row r="210" spans="1:6" x14ac:dyDescent="0.2">
      <c r="A210" s="28">
        <f t="shared" si="0"/>
        <v>2010.09</v>
      </c>
      <c r="B210" s="61">
        <v>71.787279999999996</v>
      </c>
      <c r="C210" s="62">
        <v>69.042438450758738</v>
      </c>
      <c r="E210" s="34"/>
      <c r="F210" s="33"/>
    </row>
    <row r="211" spans="1:6" x14ac:dyDescent="0.2">
      <c r="A211" s="28">
        <f t="shared" si="0"/>
        <v>2010.1</v>
      </c>
      <c r="B211" s="61">
        <v>79.38382</v>
      </c>
      <c r="C211" s="62">
        <v>73.521072840848589</v>
      </c>
      <c r="E211" s="34"/>
      <c r="F211" s="33"/>
    </row>
    <row r="212" spans="1:6" x14ac:dyDescent="0.2">
      <c r="A212" s="28">
        <f t="shared" si="0"/>
        <v>2010.11</v>
      </c>
      <c r="B212" s="61">
        <v>86.81674000000001</v>
      </c>
      <c r="C212" s="62">
        <v>78.018949870576876</v>
      </c>
      <c r="E212" s="34"/>
      <c r="F212" s="33"/>
    </row>
    <row r="213" spans="1:6" x14ac:dyDescent="0.2">
      <c r="A213" s="28">
        <f t="shared" si="0"/>
        <v>2010.12</v>
      </c>
      <c r="B213" s="61">
        <v>78.678710000000009</v>
      </c>
      <c r="C213" s="62">
        <v>81.277353352318983</v>
      </c>
      <c r="E213" s="35"/>
      <c r="F213" s="33"/>
    </row>
    <row r="214" spans="1:6" x14ac:dyDescent="0.2">
      <c r="A214" s="28">
        <f t="shared" si="0"/>
        <v>2011.01</v>
      </c>
      <c r="B214" s="61">
        <v>75.138890000000004</v>
      </c>
      <c r="C214" s="62">
        <v>80.620558830410118</v>
      </c>
      <c r="E214" s="34"/>
      <c r="F214" s="33"/>
    </row>
    <row r="215" spans="1:6" x14ac:dyDescent="0.2">
      <c r="A215" s="28">
        <f t="shared" si="0"/>
        <v>2011.02</v>
      </c>
      <c r="B215" s="61">
        <v>63.104639999999996</v>
      </c>
      <c r="C215" s="62">
        <v>77.907146045404886</v>
      </c>
      <c r="E215" s="34"/>
      <c r="F215" s="33"/>
    </row>
    <row r="216" spans="1:6" x14ac:dyDescent="0.2">
      <c r="A216" s="28">
        <f t="shared" si="0"/>
        <v>2011.03</v>
      </c>
      <c r="B216" s="61">
        <v>78.158869999999993</v>
      </c>
      <c r="C216" s="62">
        <v>77.526551147722117</v>
      </c>
      <c r="E216" s="34"/>
      <c r="F216" s="33"/>
    </row>
    <row r="217" spans="1:6" x14ac:dyDescent="0.2">
      <c r="A217" s="28">
        <f t="shared" si="0"/>
        <v>2011.04</v>
      </c>
      <c r="B217" s="61">
        <v>74.410920000000004</v>
      </c>
      <c r="C217" s="62">
        <v>78.151639821449791</v>
      </c>
      <c r="E217" s="34"/>
      <c r="F217" s="33"/>
    </row>
    <row r="218" spans="1:6" x14ac:dyDescent="0.2">
      <c r="A218" s="28">
        <f t="shared" si="0"/>
        <v>2011.05</v>
      </c>
      <c r="B218" s="61">
        <v>79.264510000000001</v>
      </c>
      <c r="C218" s="62">
        <v>78.032929034188157</v>
      </c>
      <c r="E218" s="34"/>
      <c r="F218" s="33"/>
    </row>
    <row r="219" spans="1:6" x14ac:dyDescent="0.2">
      <c r="A219" s="28">
        <f t="shared" si="0"/>
        <v>2011.06</v>
      </c>
      <c r="B219" s="61">
        <v>74.055789999999988</v>
      </c>
      <c r="C219" s="62">
        <v>77.772947578583896</v>
      </c>
      <c r="E219" s="34"/>
      <c r="F219" s="33"/>
    </row>
    <row r="220" spans="1:6" x14ac:dyDescent="0.2">
      <c r="A220" s="28">
        <f t="shared" si="0"/>
        <v>2011.07</v>
      </c>
      <c r="B220" s="61">
        <v>80.894899999999993</v>
      </c>
      <c r="C220" s="62">
        <v>78.018261095887183</v>
      </c>
      <c r="E220" s="34"/>
      <c r="F220" s="33"/>
    </row>
    <row r="221" spans="1:6" x14ac:dyDescent="0.2">
      <c r="A221" s="28">
        <f t="shared" si="0"/>
        <v>2011.08</v>
      </c>
      <c r="B221" s="61">
        <v>84.310869999999994</v>
      </c>
      <c r="C221" s="62">
        <v>78.548375747312761</v>
      </c>
      <c r="E221" s="34"/>
      <c r="F221" s="33"/>
    </row>
    <row r="222" spans="1:6" x14ac:dyDescent="0.2">
      <c r="A222" s="28">
        <f t="shared" si="0"/>
        <v>2011.09</v>
      </c>
      <c r="B222" s="61">
        <v>91.531000000000006</v>
      </c>
      <c r="C222" s="62">
        <v>78.216874110415205</v>
      </c>
      <c r="E222" s="34"/>
      <c r="F222" s="33"/>
    </row>
    <row r="223" spans="1:6" x14ac:dyDescent="0.2">
      <c r="A223" s="28">
        <f t="shared" si="0"/>
        <v>2011.1</v>
      </c>
      <c r="B223" s="61">
        <v>75.635000000000005</v>
      </c>
      <c r="C223" s="62">
        <v>76.06955269743176</v>
      </c>
      <c r="E223" s="34"/>
      <c r="F223" s="33"/>
    </row>
    <row r="224" spans="1:6" x14ac:dyDescent="0.2">
      <c r="A224" s="28">
        <f t="shared" si="0"/>
        <v>2011.11</v>
      </c>
      <c r="B224" s="61">
        <v>81.972999999999999</v>
      </c>
      <c r="C224" s="62">
        <v>73.977826342656741</v>
      </c>
      <c r="E224" s="34"/>
      <c r="F224" s="33"/>
    </row>
    <row r="225" spans="1:6" x14ac:dyDescent="0.2">
      <c r="A225" s="28">
        <f t="shared" si="0"/>
        <v>2011.12</v>
      </c>
      <c r="B225" s="61">
        <v>75.563999999999993</v>
      </c>
      <c r="C225" s="62">
        <v>71.818656811179778</v>
      </c>
      <c r="E225" s="35"/>
      <c r="F225" s="33"/>
    </row>
    <row r="226" spans="1:6" x14ac:dyDescent="0.2">
      <c r="A226" s="28">
        <f t="shared" si="0"/>
        <v>2012.01</v>
      </c>
      <c r="B226" s="61">
        <v>65.876000000000005</v>
      </c>
      <c r="C226" s="62">
        <v>69.148223748439477</v>
      </c>
      <c r="E226" s="34"/>
      <c r="F226" s="33"/>
    </row>
    <row r="227" spans="1:6" x14ac:dyDescent="0.2">
      <c r="A227" s="28">
        <f t="shared" si="0"/>
        <v>2012.02</v>
      </c>
      <c r="B227" s="61">
        <v>57.253</v>
      </c>
      <c r="C227" s="62">
        <v>67.941523173518164</v>
      </c>
      <c r="E227" s="34"/>
      <c r="F227" s="33"/>
    </row>
    <row r="228" spans="1:6" x14ac:dyDescent="0.2">
      <c r="A228" s="28">
        <f t="shared" si="0"/>
        <v>2012.03</v>
      </c>
      <c r="B228" s="61">
        <v>67.492999999999995</v>
      </c>
      <c r="C228" s="62">
        <v>68.433430172991564</v>
      </c>
      <c r="E228" s="34"/>
      <c r="F228" s="33"/>
    </row>
    <row r="229" spans="1:6" x14ac:dyDescent="0.2">
      <c r="A229" s="28">
        <f t="shared" si="0"/>
        <v>2012.04</v>
      </c>
      <c r="B229" s="61">
        <v>64.655000000000001</v>
      </c>
      <c r="C229" s="62">
        <v>68.937018081954889</v>
      </c>
      <c r="E229" s="34"/>
      <c r="F229" s="33"/>
    </row>
    <row r="230" spans="1:6" x14ac:dyDescent="0.2">
      <c r="A230" s="28">
        <f t="shared" si="0"/>
        <v>2012.05</v>
      </c>
      <c r="B230" s="61">
        <v>67.533000000000001</v>
      </c>
      <c r="C230" s="62">
        <v>68.833786091881336</v>
      </c>
      <c r="E230" s="34"/>
      <c r="F230" s="33"/>
    </row>
    <row r="231" spans="1:6" x14ac:dyDescent="0.2">
      <c r="A231" s="28">
        <f t="shared" si="0"/>
        <v>2012.06</v>
      </c>
      <c r="B231" s="61">
        <v>71.983999999999995</v>
      </c>
      <c r="C231" s="62">
        <v>68.125239283448309</v>
      </c>
      <c r="E231" s="34"/>
      <c r="F231" s="33"/>
    </row>
    <row r="232" spans="1:6" x14ac:dyDescent="0.2">
      <c r="A232" s="28">
        <f t="shared" si="0"/>
        <v>2012.07</v>
      </c>
      <c r="B232" s="61">
        <v>74.948999999999998</v>
      </c>
      <c r="C232" s="62">
        <v>64.657162997011653</v>
      </c>
      <c r="E232" s="34"/>
      <c r="F232" s="33"/>
    </row>
    <row r="233" spans="1:6" x14ac:dyDescent="0.2">
      <c r="A233" s="28">
        <f t="shared" si="0"/>
        <v>2012.08</v>
      </c>
      <c r="B233" s="61">
        <v>64.861999999999995</v>
      </c>
      <c r="C233" s="62">
        <v>61.308290884057037</v>
      </c>
      <c r="E233" s="34"/>
      <c r="F233" s="33"/>
    </row>
    <row r="234" spans="1:6" x14ac:dyDescent="0.2">
      <c r="A234" s="28">
        <f t="shared" si="0"/>
        <v>2012.09</v>
      </c>
      <c r="B234" s="61">
        <v>63.235999999999997</v>
      </c>
      <c r="C234" s="62">
        <v>61.083302986153299</v>
      </c>
      <c r="E234" s="34"/>
      <c r="F234" s="33"/>
    </row>
    <row r="235" spans="1:6" x14ac:dyDescent="0.2">
      <c r="A235" s="28">
        <f t="shared" si="0"/>
        <v>2012.1</v>
      </c>
      <c r="B235" s="61">
        <v>66.754999999999995</v>
      </c>
      <c r="C235" s="62">
        <v>62.155969734959896</v>
      </c>
      <c r="E235" s="34"/>
      <c r="F235" s="33"/>
    </row>
    <row r="236" spans="1:6" x14ac:dyDescent="0.2">
      <c r="A236" s="28">
        <f t="shared" si="0"/>
        <v>2012.11</v>
      </c>
      <c r="B236" s="61">
        <v>73.210999999999999</v>
      </c>
      <c r="C236" s="62">
        <v>63.543613457687918</v>
      </c>
      <c r="E236" s="34"/>
      <c r="F236" s="33"/>
    </row>
    <row r="237" spans="1:6" x14ac:dyDescent="0.2">
      <c r="A237" s="28">
        <f t="shared" si="0"/>
        <v>2012.12</v>
      </c>
      <c r="B237" s="61">
        <v>53.603999999999999</v>
      </c>
      <c r="C237" s="62">
        <v>66.14910746020638</v>
      </c>
      <c r="E237" s="35"/>
      <c r="F237" s="33"/>
    </row>
    <row r="238" spans="1:6" x14ac:dyDescent="0.2">
      <c r="A238" s="28">
        <f t="shared" si="0"/>
        <v>2013.01</v>
      </c>
      <c r="B238" s="61">
        <v>71.355999999999995</v>
      </c>
      <c r="C238" s="62">
        <v>69.963666391750493</v>
      </c>
      <c r="E238" s="34"/>
      <c r="F238" s="33"/>
    </row>
    <row r="239" spans="1:6" x14ac:dyDescent="0.2">
      <c r="A239" s="28">
        <f t="shared" si="0"/>
        <v>2013.02</v>
      </c>
      <c r="B239" s="61">
        <v>59.164000000000001</v>
      </c>
      <c r="C239" s="62">
        <v>71.279571172490989</v>
      </c>
      <c r="E239" s="34"/>
      <c r="F239" s="33"/>
    </row>
    <row r="240" spans="1:6" x14ac:dyDescent="0.2">
      <c r="A240" s="28">
        <f t="shared" si="0"/>
        <v>2013.03</v>
      </c>
      <c r="B240" s="61">
        <v>68.581000000000003</v>
      </c>
      <c r="C240" s="62">
        <v>71.724827558739392</v>
      </c>
      <c r="E240" s="34"/>
      <c r="F240" s="33"/>
    </row>
    <row r="241" spans="1:6" x14ac:dyDescent="0.2">
      <c r="A241" s="28">
        <f t="shared" si="0"/>
        <v>2013.04</v>
      </c>
      <c r="B241" s="61">
        <v>73.516000000000005</v>
      </c>
      <c r="C241" s="62">
        <v>73.415095443896405</v>
      </c>
      <c r="E241" s="34"/>
      <c r="F241" s="33"/>
    </row>
    <row r="242" spans="1:6" x14ac:dyDescent="0.2">
      <c r="A242" s="28">
        <f t="shared" ref="A242:A305" si="1">A230+1</f>
        <v>2013.05</v>
      </c>
      <c r="B242" s="61">
        <v>73.510999999999996</v>
      </c>
      <c r="C242" s="62">
        <v>74.28492957108574</v>
      </c>
      <c r="E242" s="34"/>
      <c r="F242" s="33"/>
    </row>
    <row r="243" spans="1:6" x14ac:dyDescent="0.2">
      <c r="A243" s="28">
        <f t="shared" si="1"/>
        <v>2013.06</v>
      </c>
      <c r="B243" s="61">
        <v>72.709000000000003</v>
      </c>
      <c r="C243" s="62">
        <v>75.426578250188001</v>
      </c>
      <c r="E243" s="34"/>
      <c r="F243" s="33"/>
    </row>
    <row r="244" spans="1:6" x14ac:dyDescent="0.2">
      <c r="A244" s="28">
        <f t="shared" si="1"/>
        <v>2013.07</v>
      </c>
      <c r="B244" s="61">
        <v>79.221999999999994</v>
      </c>
      <c r="C244" s="62">
        <v>77.149992174640445</v>
      </c>
      <c r="E244" s="34"/>
      <c r="F244" s="33"/>
    </row>
    <row r="245" spans="1:6" x14ac:dyDescent="0.2">
      <c r="A245" s="28">
        <f t="shared" si="1"/>
        <v>2013.08</v>
      </c>
      <c r="B245" s="61">
        <v>87.266000000000005</v>
      </c>
      <c r="C245" s="62">
        <v>79.641989127143049</v>
      </c>
      <c r="E245" s="34"/>
      <c r="F245" s="33"/>
    </row>
    <row r="246" spans="1:6" x14ac:dyDescent="0.2">
      <c r="A246" s="28">
        <f t="shared" si="1"/>
        <v>2013.09</v>
      </c>
      <c r="B246" s="61">
        <v>87.79</v>
      </c>
      <c r="C246" s="62">
        <v>82.6607081951731</v>
      </c>
      <c r="E246" s="34"/>
      <c r="F246" s="33"/>
    </row>
    <row r="247" spans="1:6" x14ac:dyDescent="0.2">
      <c r="A247" s="28">
        <f t="shared" si="1"/>
        <v>2013.1</v>
      </c>
      <c r="B247" s="61">
        <v>92.614000000000004</v>
      </c>
      <c r="C247" s="62">
        <v>81.52671876658161</v>
      </c>
      <c r="E247" s="34"/>
      <c r="F247" s="33"/>
    </row>
    <row r="248" spans="1:6" x14ac:dyDescent="0.2">
      <c r="A248" s="28">
        <f t="shared" si="1"/>
        <v>2013.11</v>
      </c>
      <c r="B248" s="61">
        <v>80.11</v>
      </c>
      <c r="C248" s="62">
        <v>77.26391204343453</v>
      </c>
      <c r="E248" s="34"/>
      <c r="F248" s="33"/>
    </row>
    <row r="249" spans="1:6" x14ac:dyDescent="0.2">
      <c r="A249" s="28">
        <f t="shared" si="1"/>
        <v>2013.12</v>
      </c>
      <c r="B249" s="61">
        <v>72.370999999999995</v>
      </c>
      <c r="C249" s="62">
        <v>75.273368603668729</v>
      </c>
      <c r="E249" s="35"/>
      <c r="F249" s="33"/>
    </row>
    <row r="250" spans="1:6" x14ac:dyDescent="0.2">
      <c r="A250" s="28">
        <f t="shared" si="1"/>
        <v>2014.01</v>
      </c>
      <c r="B250" s="61">
        <v>71.424000000000007</v>
      </c>
      <c r="C250" s="62">
        <v>74.481385420847076</v>
      </c>
      <c r="E250" s="34"/>
      <c r="F250" s="33"/>
    </row>
    <row r="251" spans="1:6" x14ac:dyDescent="0.2">
      <c r="A251" s="28">
        <f t="shared" si="1"/>
        <v>2014.02</v>
      </c>
      <c r="B251" s="61">
        <v>53.417000000000002</v>
      </c>
      <c r="C251" s="62">
        <v>74.511633677436592</v>
      </c>
      <c r="E251" s="34"/>
      <c r="F251" s="33"/>
    </row>
    <row r="252" spans="1:6" x14ac:dyDescent="0.2">
      <c r="A252" s="28">
        <f t="shared" si="1"/>
        <v>2014.03</v>
      </c>
      <c r="B252" s="61">
        <v>70.510999999999996</v>
      </c>
      <c r="C252" s="62">
        <v>75.411868698056992</v>
      </c>
      <c r="E252" s="34"/>
      <c r="F252" s="33"/>
    </row>
    <row r="253" spans="1:6" x14ac:dyDescent="0.2">
      <c r="A253" s="28">
        <f t="shared" si="1"/>
        <v>2014.04</v>
      </c>
      <c r="B253" s="61">
        <v>71.546000000000006</v>
      </c>
      <c r="C253" s="62">
        <v>75.264083586240076</v>
      </c>
      <c r="E253" s="34"/>
      <c r="F253" s="33"/>
    </row>
    <row r="254" spans="1:6" x14ac:dyDescent="0.2">
      <c r="A254" s="28">
        <f t="shared" si="1"/>
        <v>2014.05</v>
      </c>
      <c r="B254" s="61">
        <v>73.959999999999994</v>
      </c>
      <c r="C254" s="62">
        <v>75.016144852888743</v>
      </c>
      <c r="E254" s="34"/>
      <c r="F254" s="33"/>
    </row>
    <row r="255" spans="1:6" x14ac:dyDescent="0.2">
      <c r="A255" s="28">
        <f t="shared" si="1"/>
        <v>2014.06</v>
      </c>
      <c r="B255" s="61">
        <v>75.655000000000001</v>
      </c>
      <c r="C255" s="62">
        <v>75.408702000658479</v>
      </c>
      <c r="E255" s="34"/>
      <c r="F255" s="33"/>
    </row>
    <row r="256" spans="1:6" x14ac:dyDescent="0.2">
      <c r="A256" s="28">
        <f t="shared" si="1"/>
        <v>2014.07</v>
      </c>
      <c r="B256" s="61">
        <v>77.542000000000002</v>
      </c>
      <c r="C256" s="62">
        <v>75.9138239560925</v>
      </c>
      <c r="E256" s="34"/>
      <c r="F256" s="33"/>
    </row>
    <row r="257" spans="1:6" x14ac:dyDescent="0.2">
      <c r="A257" s="28">
        <f t="shared" si="1"/>
        <v>2014.08</v>
      </c>
      <c r="B257" s="61">
        <v>83.731999999999999</v>
      </c>
      <c r="C257" s="62">
        <v>76.239293493430921</v>
      </c>
      <c r="E257" s="34"/>
      <c r="F257" s="33"/>
    </row>
    <row r="258" spans="1:6" x14ac:dyDescent="0.2">
      <c r="A258" s="28">
        <f t="shared" si="1"/>
        <v>2014.09</v>
      </c>
      <c r="B258" s="61">
        <v>85.093000000000004</v>
      </c>
      <c r="C258" s="62">
        <v>76.929071426455295</v>
      </c>
      <c r="E258" s="34"/>
      <c r="F258" s="33"/>
    </row>
    <row r="259" spans="1:6" x14ac:dyDescent="0.2">
      <c r="A259" s="28">
        <f t="shared" si="1"/>
        <v>2014.1</v>
      </c>
      <c r="B259" s="61">
        <v>87.73</v>
      </c>
      <c r="C259" s="62">
        <v>78.467227613693211</v>
      </c>
      <c r="E259" s="34"/>
      <c r="F259" s="33"/>
    </row>
    <row r="260" spans="1:6" x14ac:dyDescent="0.2">
      <c r="A260" s="28">
        <f t="shared" si="1"/>
        <v>2014.11</v>
      </c>
      <c r="B260" s="61">
        <v>79.331999999999994</v>
      </c>
      <c r="C260" s="62">
        <v>78.362497821161767</v>
      </c>
      <c r="E260" s="34"/>
      <c r="F260" s="33"/>
    </row>
    <row r="261" spans="1:6" x14ac:dyDescent="0.2">
      <c r="A261" s="28">
        <f t="shared" si="1"/>
        <v>2014.12</v>
      </c>
      <c r="B261" s="61">
        <v>71.637</v>
      </c>
      <c r="C261" s="62">
        <v>76.517965544687669</v>
      </c>
      <c r="E261" s="35"/>
      <c r="F261" s="33"/>
    </row>
    <row r="262" spans="1:6" x14ac:dyDescent="0.2">
      <c r="A262" s="28">
        <f t="shared" si="1"/>
        <v>2015.01</v>
      </c>
      <c r="B262" s="61">
        <v>72.542000000000002</v>
      </c>
      <c r="C262" s="62">
        <v>77.542308119277848</v>
      </c>
      <c r="E262" s="34"/>
      <c r="F262" s="33"/>
    </row>
    <row r="263" spans="1:6" x14ac:dyDescent="0.2">
      <c r="A263" s="28">
        <f t="shared" si="1"/>
        <v>2015.02</v>
      </c>
      <c r="B263" s="61">
        <v>70.063999999999993</v>
      </c>
      <c r="C263" s="62">
        <v>80.460195904186321</v>
      </c>
      <c r="E263" s="34"/>
      <c r="F263" s="33"/>
    </row>
    <row r="264" spans="1:6" x14ac:dyDescent="0.2">
      <c r="A264" s="28">
        <f t="shared" si="1"/>
        <v>2015.03</v>
      </c>
      <c r="B264" s="61">
        <v>73.370999999999995</v>
      </c>
      <c r="C264" s="62">
        <v>81.112885431353419</v>
      </c>
      <c r="E264" s="34"/>
      <c r="F264" s="33"/>
    </row>
    <row r="265" spans="1:6" x14ac:dyDescent="0.2">
      <c r="A265" s="28">
        <f t="shared" si="1"/>
        <v>2015.04</v>
      </c>
      <c r="B265" s="61">
        <v>83.387</v>
      </c>
      <c r="C265" s="62">
        <v>81.422409567075832</v>
      </c>
      <c r="E265" s="34"/>
      <c r="F265" s="33"/>
    </row>
    <row r="266" spans="1:6" x14ac:dyDescent="0.2">
      <c r="A266" s="28">
        <f t="shared" si="1"/>
        <v>2015.05</v>
      </c>
      <c r="B266" s="61">
        <v>80.162000000000006</v>
      </c>
      <c r="C266" s="62">
        <v>81.578176908393885</v>
      </c>
      <c r="E266" s="34"/>
      <c r="F266" s="33"/>
    </row>
    <row r="267" spans="1:6" x14ac:dyDescent="0.2">
      <c r="A267" s="28">
        <f t="shared" si="1"/>
        <v>2015.06</v>
      </c>
      <c r="B267" s="61">
        <v>84.888999999999996</v>
      </c>
      <c r="C267" s="62">
        <v>79.485132715899425</v>
      </c>
      <c r="E267" s="34"/>
      <c r="F267" s="33"/>
    </row>
    <row r="268" spans="1:6" x14ac:dyDescent="0.2">
      <c r="A268" s="28">
        <f t="shared" si="1"/>
        <v>2015.07</v>
      </c>
      <c r="B268" s="61">
        <v>79.655000000000001</v>
      </c>
      <c r="C268" s="62">
        <v>76.657719894266364</v>
      </c>
      <c r="E268" s="34"/>
      <c r="F268" s="33"/>
    </row>
    <row r="269" spans="1:6" x14ac:dyDescent="0.2">
      <c r="A269" s="28">
        <f t="shared" si="1"/>
        <v>2015.08</v>
      </c>
      <c r="B269" s="61">
        <v>77.272000000000006</v>
      </c>
      <c r="C269" s="62">
        <v>74.841134217341008</v>
      </c>
      <c r="E269" s="34"/>
      <c r="F269" s="33"/>
    </row>
    <row r="270" spans="1:6" x14ac:dyDescent="0.2">
      <c r="A270" s="28">
        <f t="shared" si="1"/>
        <v>2015.09</v>
      </c>
      <c r="B270" s="61">
        <v>82.991</v>
      </c>
      <c r="C270" s="62">
        <v>75.891579465090089</v>
      </c>
      <c r="E270" s="34"/>
      <c r="F270" s="33"/>
    </row>
    <row r="271" spans="1:6" x14ac:dyDescent="0.2">
      <c r="A271" s="28">
        <f t="shared" si="1"/>
        <v>2015.1</v>
      </c>
      <c r="B271" s="61">
        <v>87.328000000000003</v>
      </c>
      <c r="C271" s="62">
        <v>77.567014386489035</v>
      </c>
      <c r="E271" s="34"/>
      <c r="F271" s="33"/>
    </row>
    <row r="272" spans="1:6" x14ac:dyDescent="0.2">
      <c r="A272" s="28">
        <f t="shared" si="1"/>
        <v>2015.11</v>
      </c>
      <c r="B272" s="61">
        <v>77.316999999999993</v>
      </c>
      <c r="C272" s="62">
        <v>76.358086601281968</v>
      </c>
      <c r="E272" s="34"/>
      <c r="F272" s="33"/>
    </row>
    <row r="273" spans="1:6" x14ac:dyDescent="0.2">
      <c r="A273" s="28">
        <f t="shared" si="1"/>
        <v>2015.12</v>
      </c>
      <c r="B273" s="61">
        <v>71.504000000000005</v>
      </c>
      <c r="C273" s="62">
        <v>74.870089024487314</v>
      </c>
      <c r="E273" s="34"/>
      <c r="F273" s="33"/>
    </row>
    <row r="274" spans="1:6" x14ac:dyDescent="0.2">
      <c r="A274" s="28">
        <f t="shared" si="1"/>
        <v>2016.01</v>
      </c>
      <c r="B274" s="61">
        <v>68.704999999999998</v>
      </c>
      <c r="C274" s="62">
        <v>72.748459768044469</v>
      </c>
      <c r="E274" s="34"/>
      <c r="F274" s="33"/>
    </row>
    <row r="275" spans="1:6" x14ac:dyDescent="0.2">
      <c r="A275" s="28">
        <f t="shared" si="1"/>
        <v>2016.02</v>
      </c>
      <c r="B275" s="61">
        <v>58.831000000000003</v>
      </c>
      <c r="C275" s="62">
        <v>68.927757172076483</v>
      </c>
      <c r="E275" s="34"/>
      <c r="F275" s="33"/>
    </row>
    <row r="276" spans="1:6" x14ac:dyDescent="0.2">
      <c r="A276" s="28">
        <f t="shared" si="1"/>
        <v>2016.03</v>
      </c>
      <c r="B276" s="61">
        <v>66.974000000000004</v>
      </c>
      <c r="C276" s="62">
        <v>67.650296944622511</v>
      </c>
      <c r="E276" s="34"/>
      <c r="F276" s="33"/>
    </row>
    <row r="277" spans="1:6" x14ac:dyDescent="0.2">
      <c r="A277" s="28">
        <f t="shared" si="1"/>
        <v>2016.04</v>
      </c>
      <c r="B277" s="61">
        <v>45.915999999999997</v>
      </c>
      <c r="C277" s="62">
        <v>69.147860072283706</v>
      </c>
      <c r="E277" s="34"/>
      <c r="F277" s="33"/>
    </row>
    <row r="278" spans="1:6" x14ac:dyDescent="0.2">
      <c r="A278" s="28">
        <f t="shared" si="1"/>
        <v>2016.05</v>
      </c>
      <c r="B278" s="61">
        <v>81.686000000000007</v>
      </c>
      <c r="C278" s="62">
        <v>71.62486342100101</v>
      </c>
      <c r="E278" s="35"/>
      <c r="F278" s="33"/>
    </row>
    <row r="279" spans="1:6" x14ac:dyDescent="0.2">
      <c r="A279" s="28">
        <f t="shared" si="1"/>
        <v>2016.06</v>
      </c>
      <c r="B279" s="61">
        <v>76.597999999999999</v>
      </c>
      <c r="C279" s="62">
        <v>72.767177369676347</v>
      </c>
      <c r="E279" s="34"/>
      <c r="F279" s="33"/>
    </row>
    <row r="280" spans="1:6" x14ac:dyDescent="0.2">
      <c r="A280" s="28">
        <f t="shared" si="1"/>
        <v>2016.07</v>
      </c>
      <c r="B280" s="61">
        <v>69.317999999999998</v>
      </c>
      <c r="C280" s="62">
        <v>73.748444581692311</v>
      </c>
      <c r="E280" s="35"/>
      <c r="F280" s="33"/>
    </row>
    <row r="281" spans="1:6" x14ac:dyDescent="0.2">
      <c r="A281" s="28">
        <f t="shared" si="1"/>
        <v>2016.08</v>
      </c>
      <c r="B281" s="61">
        <v>93.213999999999999</v>
      </c>
      <c r="C281" s="62">
        <v>76.681223298985415</v>
      </c>
      <c r="E281" s="34"/>
      <c r="F281" s="33"/>
    </row>
    <row r="282" spans="1:6" x14ac:dyDescent="0.2">
      <c r="A282" s="28">
        <f t="shared" si="1"/>
        <v>2016.09</v>
      </c>
      <c r="B282" s="61">
        <v>86.003</v>
      </c>
      <c r="C282" s="62">
        <v>75.585516935708526</v>
      </c>
      <c r="E282" s="34"/>
      <c r="F282" s="33"/>
    </row>
    <row r="283" spans="1:6" x14ac:dyDescent="0.2">
      <c r="A283" s="28">
        <f t="shared" si="1"/>
        <v>2016.1</v>
      </c>
      <c r="B283" s="61">
        <v>71.906999999999996</v>
      </c>
      <c r="C283" s="62">
        <v>74.351937897112194</v>
      </c>
      <c r="E283" s="34"/>
      <c r="F283" s="33"/>
    </row>
    <row r="284" spans="1:6" x14ac:dyDescent="0.2">
      <c r="A284" s="28">
        <f t="shared" si="1"/>
        <v>2016.11</v>
      </c>
      <c r="B284" s="61">
        <v>86.403000000000006</v>
      </c>
      <c r="C284" s="62">
        <v>78.549635733565978</v>
      </c>
      <c r="E284" s="34"/>
      <c r="F284" s="33"/>
    </row>
    <row r="285" spans="1:6" x14ac:dyDescent="0.2">
      <c r="A285" s="28">
        <f t="shared" si="1"/>
        <v>2016.12</v>
      </c>
      <c r="B285" s="61">
        <v>78.454999999999998</v>
      </c>
      <c r="C285" s="62">
        <v>79.6013971626857</v>
      </c>
      <c r="E285" s="34"/>
      <c r="F285" s="33"/>
    </row>
    <row r="286" spans="1:6" x14ac:dyDescent="0.2">
      <c r="A286" s="28">
        <f t="shared" si="1"/>
        <v>2017.01</v>
      </c>
      <c r="B286" s="61">
        <v>68.635000000000005</v>
      </c>
      <c r="C286" s="62">
        <v>77.551814169409937</v>
      </c>
      <c r="E286" s="34"/>
      <c r="F286" s="33"/>
    </row>
    <row r="287" spans="1:6" x14ac:dyDescent="0.2">
      <c r="A287" s="28">
        <f t="shared" si="1"/>
        <v>2017.02</v>
      </c>
      <c r="B287" s="61">
        <v>69.052999999999997</v>
      </c>
      <c r="C287" s="62">
        <v>80.006594728284654</v>
      </c>
      <c r="E287" s="34"/>
      <c r="F287" s="33"/>
    </row>
    <row r="288" spans="1:6" x14ac:dyDescent="0.2">
      <c r="A288" s="28">
        <f t="shared" si="1"/>
        <v>2017.03</v>
      </c>
      <c r="B288" s="61">
        <v>84.278000000000006</v>
      </c>
      <c r="C288" s="62">
        <v>83.446244191286013</v>
      </c>
      <c r="E288" s="34"/>
      <c r="F288" s="33"/>
    </row>
    <row r="289" spans="1:6" x14ac:dyDescent="0.2">
      <c r="A289" s="28">
        <f t="shared" si="1"/>
        <v>2017.04</v>
      </c>
      <c r="B289" s="61">
        <v>71.033000000000001</v>
      </c>
      <c r="C289" s="62">
        <v>84.578287418817695</v>
      </c>
      <c r="E289" s="34"/>
      <c r="F289" s="33"/>
    </row>
    <row r="290" spans="1:6" x14ac:dyDescent="0.2">
      <c r="A290" s="28">
        <f t="shared" si="1"/>
        <v>2017.05</v>
      </c>
      <c r="B290" s="61">
        <v>84.585999999999999</v>
      </c>
      <c r="C290" s="62">
        <v>84.07235900921377</v>
      </c>
      <c r="E290" s="34"/>
      <c r="F290" s="33"/>
    </row>
    <row r="291" spans="1:6" x14ac:dyDescent="0.2">
      <c r="A291" s="28">
        <f t="shared" si="1"/>
        <v>2017.06</v>
      </c>
      <c r="B291" s="61">
        <v>87.177999999999997</v>
      </c>
      <c r="C291" s="62">
        <v>82.717486925025241</v>
      </c>
      <c r="E291" s="34"/>
      <c r="F291" s="33"/>
    </row>
    <row r="292" spans="1:6" x14ac:dyDescent="0.2">
      <c r="A292" s="28">
        <f t="shared" si="1"/>
        <v>2017.07</v>
      </c>
      <c r="B292" s="61">
        <v>81.448999999999998</v>
      </c>
      <c r="C292" s="62">
        <v>82.698460762038195</v>
      </c>
      <c r="E292" s="34"/>
      <c r="F292" s="33"/>
    </row>
    <row r="293" spans="1:6" x14ac:dyDescent="0.2">
      <c r="A293" s="28">
        <f t="shared" si="1"/>
        <v>2017.08</v>
      </c>
      <c r="B293" s="61">
        <v>94.575000000000003</v>
      </c>
      <c r="C293" s="62">
        <v>83.037729780243808</v>
      </c>
      <c r="E293" s="34"/>
      <c r="F293" s="33"/>
    </row>
    <row r="294" spans="1:6" x14ac:dyDescent="0.2">
      <c r="A294" s="28">
        <f t="shared" si="1"/>
        <v>2017.09</v>
      </c>
      <c r="B294" s="61">
        <v>93.700999999999993</v>
      </c>
      <c r="C294" s="62">
        <v>84.169551589995962</v>
      </c>
      <c r="E294" s="34"/>
      <c r="F294" s="33"/>
    </row>
    <row r="295" spans="1:6" x14ac:dyDescent="0.2">
      <c r="A295" s="28">
        <f t="shared" si="1"/>
        <v>2017.1</v>
      </c>
      <c r="B295" s="61">
        <v>94.644000000000005</v>
      </c>
      <c r="C295" s="62">
        <v>87.624662901067722</v>
      </c>
      <c r="E295" s="34"/>
      <c r="F295" s="33"/>
    </row>
    <row r="296" spans="1:6" x14ac:dyDescent="0.2">
      <c r="A296" s="28">
        <f t="shared" si="1"/>
        <v>2017.11</v>
      </c>
      <c r="B296" s="61">
        <v>96.010999999999996</v>
      </c>
      <c r="C296" s="62">
        <v>91.632341736741267</v>
      </c>
      <c r="E296" s="34"/>
      <c r="F296" s="33"/>
    </row>
    <row r="297" spans="1:6" x14ac:dyDescent="0.2">
      <c r="A297" s="28">
        <f t="shared" si="1"/>
        <v>2017.12</v>
      </c>
      <c r="B297" s="61">
        <v>87.216999999999999</v>
      </c>
      <c r="C297" s="62">
        <v>96.043804284150781</v>
      </c>
      <c r="E297" s="34"/>
      <c r="F297" s="33"/>
    </row>
    <row r="298" spans="1:6" x14ac:dyDescent="0.2">
      <c r="A298" s="28">
        <f t="shared" si="1"/>
        <v>2018.01</v>
      </c>
      <c r="B298" s="61">
        <v>96.168000000000006</v>
      </c>
      <c r="C298" s="62">
        <v>100.08225995078932</v>
      </c>
      <c r="E298" s="34"/>
      <c r="F298" s="33"/>
    </row>
    <row r="299" spans="1:6" x14ac:dyDescent="0.2">
      <c r="A299" s="28">
        <f t="shared" si="1"/>
        <v>2018.02</v>
      </c>
      <c r="B299" s="61">
        <v>84.352999999999994</v>
      </c>
      <c r="C299" s="62">
        <v>100.02251537648812</v>
      </c>
      <c r="E299" s="34"/>
      <c r="F299" s="33"/>
    </row>
    <row r="300" spans="1:6" x14ac:dyDescent="0.2">
      <c r="A300" s="28">
        <f t="shared" si="1"/>
        <v>2018.03</v>
      </c>
      <c r="B300" s="61">
        <v>96.891999999999996</v>
      </c>
      <c r="C300" s="62">
        <v>96.060493936065143</v>
      </c>
      <c r="E300" s="34"/>
      <c r="F300" s="33"/>
    </row>
    <row r="301" spans="1:6" x14ac:dyDescent="0.2">
      <c r="A301" s="28">
        <f t="shared" si="1"/>
        <v>2018.04</v>
      </c>
      <c r="B301" s="61">
        <v>76.84</v>
      </c>
      <c r="C301" s="62">
        <v>91.069646158912349</v>
      </c>
      <c r="E301" s="34"/>
      <c r="F301" s="33"/>
    </row>
    <row r="302" spans="1:6" x14ac:dyDescent="0.2">
      <c r="A302" s="28">
        <f t="shared" si="1"/>
        <v>2018.05</v>
      </c>
      <c r="B302" s="61">
        <v>71.144000000000005</v>
      </c>
      <c r="C302" s="62">
        <v>87.973528631933476</v>
      </c>
      <c r="E302" s="34"/>
      <c r="F302" s="33"/>
    </row>
    <row r="303" spans="1:6" x14ac:dyDescent="0.2">
      <c r="A303" s="28">
        <f t="shared" si="1"/>
        <v>2018.06</v>
      </c>
      <c r="B303" s="61">
        <v>90.462999999999994</v>
      </c>
      <c r="C303" s="62">
        <v>84.791856546323174</v>
      </c>
      <c r="E303" s="34"/>
      <c r="F303" s="33"/>
    </row>
    <row r="304" spans="1:6" x14ac:dyDescent="0.2">
      <c r="A304" s="28">
        <f t="shared" si="1"/>
        <v>2018.07</v>
      </c>
      <c r="B304" s="61">
        <v>82.106999999999999</v>
      </c>
      <c r="C304" s="62">
        <v>81.413149070300022</v>
      </c>
      <c r="E304" s="34"/>
      <c r="F304" s="33"/>
    </row>
    <row r="305" spans="1:7" x14ac:dyDescent="0.2">
      <c r="A305" s="28">
        <f t="shared" si="1"/>
        <v>2018.08</v>
      </c>
      <c r="B305" s="61">
        <v>97.057000000000002</v>
      </c>
      <c r="C305" s="62">
        <v>81.14243264726457</v>
      </c>
      <c r="E305" s="34"/>
      <c r="F305" s="33"/>
    </row>
    <row r="306" spans="1:7" x14ac:dyDescent="0.2">
      <c r="A306" s="28">
        <f t="shared" ref="A306:A369" si="2">A294+1</f>
        <v>2018.09</v>
      </c>
      <c r="B306" s="61">
        <v>83.623000000000005</v>
      </c>
      <c r="C306" s="62">
        <v>79.412380865069863</v>
      </c>
      <c r="E306" s="34"/>
      <c r="F306" s="33"/>
    </row>
    <row r="307" spans="1:7" x14ac:dyDescent="0.2">
      <c r="A307" s="28">
        <f t="shared" si="2"/>
        <v>2018.1</v>
      </c>
      <c r="B307" s="61">
        <v>80.867000000000004</v>
      </c>
      <c r="C307" s="62">
        <v>74.001646787336412</v>
      </c>
      <c r="E307" s="34"/>
      <c r="F307" s="33"/>
    </row>
    <row r="308" spans="1:7" x14ac:dyDescent="0.2">
      <c r="A308" s="28">
        <f t="shared" si="2"/>
        <v>2018.11</v>
      </c>
      <c r="B308" s="61">
        <v>71.863</v>
      </c>
      <c r="C308" s="62">
        <v>70.816869680654506</v>
      </c>
      <c r="E308" s="34"/>
      <c r="F308" s="33"/>
    </row>
    <row r="309" spans="1:7" x14ac:dyDescent="0.2">
      <c r="A309" s="28">
        <f t="shared" si="2"/>
        <v>2018.12</v>
      </c>
      <c r="B309" s="61">
        <v>65.394000000000005</v>
      </c>
      <c r="C309" s="62">
        <v>71.213734090062346</v>
      </c>
      <c r="E309" s="35"/>
      <c r="F309" s="33"/>
      <c r="G309" s="30"/>
    </row>
    <row r="310" spans="1:7" ht="14.25" x14ac:dyDescent="0.2">
      <c r="A310" s="28">
        <f t="shared" si="2"/>
        <v>2019.01</v>
      </c>
      <c r="B310" s="61">
        <v>64.344999999999999</v>
      </c>
      <c r="C310" s="62">
        <v>73.02151767214626</v>
      </c>
      <c r="E310" s="37"/>
      <c r="F310" s="38"/>
    </row>
    <row r="311" spans="1:7" ht="14.25" x14ac:dyDescent="0.2">
      <c r="A311" s="28">
        <f t="shared" si="2"/>
        <v>2019.02</v>
      </c>
      <c r="B311" s="61">
        <v>75.727000000000004</v>
      </c>
      <c r="C311" s="62">
        <v>77.146214218026572</v>
      </c>
      <c r="E311" s="37"/>
      <c r="F311" s="38"/>
    </row>
    <row r="312" spans="1:7" ht="14.25" x14ac:dyDescent="0.2">
      <c r="A312" s="28">
        <f t="shared" si="2"/>
        <v>2019.03</v>
      </c>
      <c r="B312" s="61">
        <v>77.641999999999996</v>
      </c>
      <c r="C312" s="62">
        <v>79.123525794559001</v>
      </c>
      <c r="E312" s="37"/>
      <c r="F312" s="38"/>
    </row>
    <row r="313" spans="1:7" ht="14.25" x14ac:dyDescent="0.2">
      <c r="A313" s="28">
        <f t="shared" si="2"/>
        <v>2019.04</v>
      </c>
      <c r="B313" s="61">
        <v>69.248000000000005</v>
      </c>
      <c r="C313" s="62">
        <v>77.5215301040989</v>
      </c>
      <c r="E313" s="37"/>
      <c r="F313" s="38"/>
    </row>
    <row r="314" spans="1:7" ht="14.25" x14ac:dyDescent="0.2">
      <c r="A314" s="28">
        <f t="shared" si="2"/>
        <v>2019.05</v>
      </c>
      <c r="B314" s="61">
        <v>76.813000000000002</v>
      </c>
      <c r="C314" s="62">
        <v>76.655325386677433</v>
      </c>
      <c r="E314" s="37"/>
      <c r="F314" s="38"/>
    </row>
    <row r="315" spans="1:7" ht="14.25" x14ac:dyDescent="0.2">
      <c r="A315" s="28">
        <f t="shared" si="2"/>
        <v>2019.06</v>
      </c>
      <c r="B315" s="61">
        <v>73.177999999999997</v>
      </c>
      <c r="C315" s="62">
        <v>76.125112307872925</v>
      </c>
      <c r="E315" s="37"/>
      <c r="F315" s="38"/>
    </row>
    <row r="316" spans="1:7" ht="14.25" x14ac:dyDescent="0.2">
      <c r="A316" s="28">
        <f t="shared" si="2"/>
        <v>2019.07</v>
      </c>
      <c r="B316" s="61">
        <v>81.075999999999993</v>
      </c>
      <c r="C316" s="62">
        <v>74.889463899515334</v>
      </c>
      <c r="E316" s="37"/>
      <c r="F316" s="38"/>
    </row>
    <row r="317" spans="1:7" ht="14.25" x14ac:dyDescent="0.2">
      <c r="A317" s="28">
        <f t="shared" si="2"/>
        <v>2019.08</v>
      </c>
      <c r="B317" s="61">
        <v>84.088999999999999</v>
      </c>
      <c r="C317" s="62">
        <v>71.492125532671125</v>
      </c>
      <c r="E317" s="37"/>
      <c r="F317" s="38"/>
    </row>
    <row r="318" spans="1:7" ht="14.25" x14ac:dyDescent="0.2">
      <c r="A318" s="28">
        <f t="shared" si="2"/>
        <v>2019.09</v>
      </c>
      <c r="B318" s="61">
        <v>70.531999999999996</v>
      </c>
      <c r="C318" s="62">
        <v>66.631438678462501</v>
      </c>
      <c r="E318" s="37"/>
      <c r="F318" s="38"/>
    </row>
    <row r="319" spans="1:7" ht="14.25" x14ac:dyDescent="0.2">
      <c r="A319" s="28">
        <f t="shared" si="2"/>
        <v>2019.1</v>
      </c>
      <c r="B319" s="61">
        <v>69.144000000000005</v>
      </c>
      <c r="C319" s="62">
        <v>62.865105106985141</v>
      </c>
      <c r="E319" s="37"/>
      <c r="F319" s="38"/>
    </row>
    <row r="320" spans="1:7" ht="14.25" x14ac:dyDescent="0.2">
      <c r="A320" s="28">
        <f t="shared" si="2"/>
        <v>2019.11</v>
      </c>
      <c r="B320" s="61">
        <v>63.634</v>
      </c>
      <c r="C320" s="62">
        <v>60.434977395951023</v>
      </c>
      <c r="E320" s="37"/>
      <c r="F320" s="38"/>
    </row>
    <row r="321" spans="1:7" ht="14.25" x14ac:dyDescent="0.2">
      <c r="A321" s="28">
        <f t="shared" si="2"/>
        <v>2019.12</v>
      </c>
      <c r="B321" s="61">
        <v>57.265000000000001</v>
      </c>
      <c r="C321" s="62">
        <v>59.386706049479905</v>
      </c>
      <c r="E321" s="40"/>
      <c r="F321" s="38"/>
      <c r="G321" s="36"/>
    </row>
    <row r="322" spans="1:7" x14ac:dyDescent="0.2">
      <c r="A322" s="28">
        <f t="shared" si="2"/>
        <v>2020.01</v>
      </c>
      <c r="B322" s="61">
        <v>54.387999999999998</v>
      </c>
      <c r="C322" s="62">
        <v>58.121383347977115</v>
      </c>
      <c r="E322" s="39"/>
      <c r="F322" s="39"/>
    </row>
    <row r="323" spans="1:7" x14ac:dyDescent="0.2">
      <c r="A323" s="28">
        <f t="shared" si="2"/>
        <v>2020.02</v>
      </c>
      <c r="B323" s="61">
        <v>52.619</v>
      </c>
      <c r="C323" s="62">
        <v>55.68690813989911</v>
      </c>
    </row>
    <row r="324" spans="1:7" x14ac:dyDescent="0.2">
      <c r="A324" s="28">
        <f t="shared" si="2"/>
        <v>2020.03</v>
      </c>
      <c r="B324" s="61">
        <v>43.043999999999997</v>
      </c>
      <c r="C324" s="62">
        <v>54.441314091486504</v>
      </c>
    </row>
    <row r="325" spans="1:7" x14ac:dyDescent="0.2">
      <c r="A325" s="28">
        <f t="shared" si="2"/>
        <v>2020.04</v>
      </c>
      <c r="B325" s="61">
        <v>24.456</v>
      </c>
      <c r="C325" s="62">
        <v>54.784219583492209</v>
      </c>
    </row>
    <row r="326" spans="1:7" x14ac:dyDescent="0.2">
      <c r="A326" s="28">
        <f t="shared" si="2"/>
        <v>2020.05</v>
      </c>
      <c r="B326" s="61">
        <v>51.994999999999997</v>
      </c>
      <c r="C326" s="62">
        <v>57.975182972410892</v>
      </c>
    </row>
    <row r="327" spans="1:7" x14ac:dyDescent="0.2">
      <c r="A327" s="28">
        <f t="shared" si="2"/>
        <v>2020.06</v>
      </c>
      <c r="B327" s="61">
        <v>72.736999999999995</v>
      </c>
      <c r="C327" s="62">
        <v>64.154728034068</v>
      </c>
    </row>
    <row r="328" spans="1:7" x14ac:dyDescent="0.2">
      <c r="A328" s="28">
        <f t="shared" si="2"/>
        <v>2020.07</v>
      </c>
      <c r="B328" s="61">
        <v>84.613</v>
      </c>
      <c r="C328" s="62">
        <v>69.482708928921582</v>
      </c>
    </row>
    <row r="329" spans="1:7" x14ac:dyDescent="0.2">
      <c r="A329" s="28">
        <f t="shared" si="2"/>
        <v>2020.08</v>
      </c>
      <c r="B329" s="61">
        <v>81.584000000000003</v>
      </c>
      <c r="C329" s="62">
        <v>73.462588182729064</v>
      </c>
    </row>
    <row r="330" spans="1:7" x14ac:dyDescent="0.2">
      <c r="A330" s="28">
        <f t="shared" si="2"/>
        <v>2020.09</v>
      </c>
      <c r="B330" s="61">
        <v>85.501999999999995</v>
      </c>
      <c r="C330" s="62">
        <v>76.712615392576708</v>
      </c>
    </row>
    <row r="331" spans="1:7" x14ac:dyDescent="0.2">
      <c r="A331" s="28">
        <f t="shared" si="2"/>
        <v>2020.1</v>
      </c>
      <c r="B331" s="61">
        <v>88.152000000000001</v>
      </c>
      <c r="C331" s="62">
        <v>79.887516369536968</v>
      </c>
    </row>
    <row r="332" spans="1:7" x14ac:dyDescent="0.2">
      <c r="A332" s="28">
        <f t="shared" si="2"/>
        <v>2020.11</v>
      </c>
      <c r="B332" s="61">
        <v>84.605000000000004</v>
      </c>
      <c r="C332" s="62">
        <v>82.776462765487466</v>
      </c>
    </row>
    <row r="333" spans="1:7" x14ac:dyDescent="0.2">
      <c r="A333" s="28">
        <f t="shared" si="2"/>
        <v>2020.12</v>
      </c>
      <c r="B333" s="61">
        <v>81.834000000000003</v>
      </c>
      <c r="C333" s="62">
        <v>82.819193890953073</v>
      </c>
    </row>
    <row r="334" spans="1:7" x14ac:dyDescent="0.2">
      <c r="A334" s="28">
        <f t="shared" si="2"/>
        <v>2021.01</v>
      </c>
      <c r="B334" s="61">
        <v>70.465000000000003</v>
      </c>
      <c r="C334" s="62">
        <v>80.137941439453613</v>
      </c>
      <c r="E334" s="30"/>
    </row>
    <row r="335" spans="1:7" x14ac:dyDescent="0.2">
      <c r="A335" s="28">
        <f t="shared" si="2"/>
        <v>2021.02</v>
      </c>
      <c r="B335" s="61">
        <v>66.629000000000005</v>
      </c>
      <c r="C335" s="62">
        <v>78.826970623740237</v>
      </c>
      <c r="E335" s="30"/>
      <c r="F335" s="30"/>
    </row>
    <row r="336" spans="1:7" x14ac:dyDescent="0.2">
      <c r="A336" s="28">
        <f t="shared" si="2"/>
        <v>2021.03</v>
      </c>
      <c r="B336" s="61">
        <v>78.849000000000004</v>
      </c>
      <c r="C336" s="62">
        <v>80.562789818707031</v>
      </c>
      <c r="E336" s="30"/>
      <c r="F336" s="30"/>
    </row>
    <row r="337" spans="1:6" x14ac:dyDescent="0.2">
      <c r="A337" s="28">
        <f t="shared" si="2"/>
        <v>2021.04</v>
      </c>
      <c r="B337" s="61">
        <v>75.158000000000001</v>
      </c>
      <c r="C337" s="62">
        <v>81.232586640313741</v>
      </c>
      <c r="E337" s="30"/>
      <c r="F337" s="30"/>
    </row>
    <row r="338" spans="1:6" x14ac:dyDescent="0.2">
      <c r="A338" s="28">
        <f t="shared" si="2"/>
        <v>2021.05</v>
      </c>
      <c r="B338" s="61">
        <v>69.548000000000002</v>
      </c>
      <c r="C338" s="62">
        <v>80.290977221418359</v>
      </c>
    </row>
    <row r="339" spans="1:6" x14ac:dyDescent="0.2">
      <c r="A339" s="28">
        <f t="shared" si="2"/>
        <v>2021.06</v>
      </c>
      <c r="B339" s="61">
        <v>85.028000000000006</v>
      </c>
      <c r="C339" s="62">
        <v>80.364227375220949</v>
      </c>
    </row>
    <row r="340" spans="1:6" x14ac:dyDescent="0.2">
      <c r="A340" s="28">
        <f t="shared" si="2"/>
        <v>2021.07</v>
      </c>
      <c r="B340" s="61">
        <v>86.572999999999993</v>
      </c>
      <c r="C340" s="62">
        <v>79.422973495778095</v>
      </c>
    </row>
    <row r="341" spans="1:6" x14ac:dyDescent="0.2">
      <c r="A341" s="28">
        <f t="shared" si="2"/>
        <v>2021.08</v>
      </c>
      <c r="B341" s="61">
        <v>90.561999999999998</v>
      </c>
      <c r="C341" s="62">
        <v>78.899634632197376</v>
      </c>
    </row>
    <row r="342" spans="1:6" x14ac:dyDescent="0.2">
      <c r="A342" s="28">
        <f t="shared" si="2"/>
        <v>2021.09</v>
      </c>
      <c r="B342" s="61">
        <v>89.168000000000006</v>
      </c>
      <c r="C342" s="62">
        <v>80.605599626504443</v>
      </c>
    </row>
    <row r="343" spans="1:6" x14ac:dyDescent="0.2">
      <c r="A343" s="28">
        <f t="shared" si="2"/>
        <v>2021.1</v>
      </c>
      <c r="B343" s="61">
        <v>87.385000000000005</v>
      </c>
      <c r="C343" s="62">
        <v>81.131647298755752</v>
      </c>
    </row>
    <row r="344" spans="1:6" x14ac:dyDescent="0.2">
      <c r="A344" s="28">
        <f t="shared" si="2"/>
        <v>2021.11</v>
      </c>
      <c r="B344" s="61">
        <v>87.242000000000004</v>
      </c>
      <c r="C344" s="62">
        <v>80.866538359510869</v>
      </c>
    </row>
    <row r="345" spans="1:6" x14ac:dyDescent="0.2">
      <c r="A345" s="28">
        <f t="shared" si="2"/>
        <v>2021.12</v>
      </c>
      <c r="B345" s="61">
        <v>79.649000000000001</v>
      </c>
      <c r="C345" s="62">
        <v>80.555957251485751</v>
      </c>
    </row>
    <row r="346" spans="1:6" x14ac:dyDescent="0.2">
      <c r="A346" s="28">
        <f t="shared" si="2"/>
        <v>2022.01</v>
      </c>
      <c r="B346" s="61">
        <v>66.381</v>
      </c>
      <c r="C346" s="62">
        <v>81.749998173026214</v>
      </c>
    </row>
    <row r="347" spans="1:6" x14ac:dyDescent="0.2">
      <c r="A347" s="28">
        <f t="shared" si="2"/>
        <v>2022.02</v>
      </c>
      <c r="B347" s="61">
        <v>76.073999999999998</v>
      </c>
      <c r="C347" s="62">
        <v>84.190119957932637</v>
      </c>
    </row>
    <row r="348" spans="1:6" x14ac:dyDescent="0.2">
      <c r="A348" s="28">
        <f t="shared" si="2"/>
        <v>2022.03</v>
      </c>
      <c r="B348" s="61">
        <v>79.313999999999993</v>
      </c>
      <c r="C348" s="62">
        <v>86.716357926882353</v>
      </c>
    </row>
    <row r="349" spans="1:6" x14ac:dyDescent="0.2">
      <c r="A349" s="28">
        <f t="shared" si="2"/>
        <v>2022.04</v>
      </c>
      <c r="B349" s="61">
        <v>82.991</v>
      </c>
      <c r="C349" s="62">
        <v>90.84167445672837</v>
      </c>
    </row>
    <row r="350" spans="1:6" x14ac:dyDescent="0.2">
      <c r="A350" s="28">
        <f t="shared" si="2"/>
        <v>2022.05</v>
      </c>
      <c r="B350" s="61">
        <v>86.98</v>
      </c>
      <c r="C350" s="62">
        <v>90.933887709676881</v>
      </c>
    </row>
    <row r="351" spans="1:6" x14ac:dyDescent="0.2">
      <c r="A351" s="28">
        <f t="shared" si="2"/>
        <v>2022.06</v>
      </c>
      <c r="B351" s="61">
        <v>84.745999999999995</v>
      </c>
      <c r="C351" s="62">
        <v>86.954867067568685</v>
      </c>
    </row>
    <row r="352" spans="1:6" x14ac:dyDescent="0.2">
      <c r="A352" s="28">
        <f t="shared" si="2"/>
        <v>2022.07</v>
      </c>
      <c r="B352" s="61">
        <v>90.512</v>
      </c>
      <c r="C352" s="62">
        <v>83.387991419255485</v>
      </c>
    </row>
    <row r="353" spans="1:3" x14ac:dyDescent="0.2">
      <c r="A353" s="28">
        <f t="shared" si="2"/>
        <v>2022.08</v>
      </c>
      <c r="B353" s="61">
        <v>92.775000000000006</v>
      </c>
      <c r="C353" s="62">
        <v>80.424912778024733</v>
      </c>
    </row>
    <row r="354" spans="1:3" x14ac:dyDescent="0.2">
      <c r="A354" s="28">
        <f t="shared" si="2"/>
        <v>2022.09</v>
      </c>
      <c r="B354" s="61">
        <v>92.783000000000001</v>
      </c>
      <c r="C354" s="62">
        <v>79.358202180465582</v>
      </c>
    </row>
    <row r="355" spans="1:3" x14ac:dyDescent="0.2">
      <c r="A355" s="28">
        <f t="shared" si="2"/>
        <v>2022.1</v>
      </c>
      <c r="B355" s="61">
        <v>82.445999999999998</v>
      </c>
      <c r="C355" s="62">
        <v>79.661738762440834</v>
      </c>
    </row>
    <row r="356" spans="1:3" x14ac:dyDescent="0.2">
      <c r="A356" s="28">
        <f t="shared" si="2"/>
        <v>2022.11</v>
      </c>
      <c r="B356" s="61">
        <v>85.841999999999999</v>
      </c>
      <c r="C356" s="62">
        <v>78.63994706715097</v>
      </c>
    </row>
    <row r="357" spans="1:3" x14ac:dyDescent="0.2">
      <c r="A357" s="28">
        <f t="shared" si="2"/>
        <v>2022.12</v>
      </c>
      <c r="B357" s="61">
        <v>71.614000000000004</v>
      </c>
      <c r="C357" s="62">
        <v>76.028144380710955</v>
      </c>
    </row>
    <row r="358" spans="1:3" x14ac:dyDescent="0.2">
      <c r="A358" s="28">
        <f t="shared" si="2"/>
        <v>2023.01</v>
      </c>
      <c r="B358" s="61">
        <v>68.929000000000002</v>
      </c>
      <c r="C358" s="62">
        <v>74.699728738026167</v>
      </c>
    </row>
    <row r="359" spans="1:3" x14ac:dyDescent="0.2">
      <c r="A359" s="28">
        <f t="shared" si="2"/>
        <v>2023.02</v>
      </c>
      <c r="B359" s="61">
        <v>63.616</v>
      </c>
      <c r="C359" s="62">
        <v>75.807919329969351</v>
      </c>
    </row>
    <row r="360" spans="1:3" x14ac:dyDescent="0.2">
      <c r="A360" s="28">
        <f t="shared" si="2"/>
        <v>2023.03</v>
      </c>
      <c r="B360" s="61">
        <v>77.253</v>
      </c>
      <c r="C360" s="62">
        <v>77.121027096706285</v>
      </c>
    </row>
    <row r="361" spans="1:3" x14ac:dyDescent="0.2">
      <c r="A361" s="28">
        <f t="shared" si="2"/>
        <v>2023.04</v>
      </c>
      <c r="B361" s="61">
        <v>71.716999999999999</v>
      </c>
      <c r="C361" s="62">
        <v>76.398905162203945</v>
      </c>
    </row>
    <row r="362" spans="1:3" x14ac:dyDescent="0.2">
      <c r="A362" s="28">
        <f t="shared" si="2"/>
        <v>2023.05</v>
      </c>
      <c r="B362" s="61">
        <v>72.480999999999995</v>
      </c>
      <c r="C362" s="62">
        <v>74.210232222057542</v>
      </c>
    </row>
    <row r="363" spans="1:3" x14ac:dyDescent="0.2">
      <c r="A363" s="28">
        <f t="shared" si="2"/>
        <v>2023.06</v>
      </c>
      <c r="B363" s="61">
        <v>73.143000000000001</v>
      </c>
      <c r="C363" s="62">
        <v>71.873498506896766</v>
      </c>
    </row>
    <row r="364" spans="1:3" x14ac:dyDescent="0.2">
      <c r="A364" s="28">
        <f t="shared" si="2"/>
        <v>2023.07</v>
      </c>
      <c r="B364" s="61">
        <v>73.817999999999998</v>
      </c>
      <c r="C364" s="62">
        <v>71.67708171917414</v>
      </c>
    </row>
    <row r="365" spans="1:3" x14ac:dyDescent="0.2">
      <c r="A365" s="28">
        <f t="shared" si="2"/>
        <v>2023.08</v>
      </c>
      <c r="B365" s="61">
        <v>86.19</v>
      </c>
      <c r="C365" s="62">
        <v>71.75238094306701</v>
      </c>
    </row>
    <row r="366" spans="1:3" x14ac:dyDescent="0.2">
      <c r="A366" s="28">
        <f t="shared" si="2"/>
        <v>2023.09</v>
      </c>
      <c r="B366" s="61">
        <v>77.248000000000005</v>
      </c>
      <c r="C366" s="62">
        <v>69.371573855849789</v>
      </c>
    </row>
    <row r="367" spans="1:3" x14ac:dyDescent="0.2">
      <c r="A367" s="28">
        <f t="shared" si="2"/>
        <v>2023.1</v>
      </c>
      <c r="B367" s="61">
        <v>76.02</v>
      </c>
      <c r="C367" s="62">
        <v>66.526616133973434</v>
      </c>
    </row>
    <row r="368" spans="1:3" x14ac:dyDescent="0.2">
      <c r="A368" s="28">
        <f t="shared" si="2"/>
        <v>2023.11</v>
      </c>
      <c r="B368" s="61">
        <v>64.820999999999998</v>
      </c>
      <c r="C368" s="62">
        <v>63.382505665315975</v>
      </c>
    </row>
    <row r="369" spans="1:3" x14ac:dyDescent="0.2">
      <c r="A369" s="28">
        <f t="shared" si="2"/>
        <v>2023.12</v>
      </c>
      <c r="B369" s="61">
        <v>56.420999999999999</v>
      </c>
      <c r="C369" s="62">
        <v>60.580765947431097</v>
      </c>
    </row>
    <row r="370" spans="1:3" x14ac:dyDescent="0.2">
      <c r="A370" s="28">
        <f t="shared" ref="A370:A405" si="3">A358+1</f>
        <v>2024.01</v>
      </c>
      <c r="B370" s="61">
        <v>54.646000000000001</v>
      </c>
      <c r="C370" s="62">
        <v>58.387206214876521</v>
      </c>
    </row>
    <row r="371" spans="1:3" x14ac:dyDescent="0.2">
      <c r="A371" s="28">
        <f t="shared" si="3"/>
        <v>2024.02</v>
      </c>
      <c r="B371" s="61">
        <v>48.534999999999997</v>
      </c>
      <c r="C371" s="62">
        <v>56.381008377964456</v>
      </c>
    </row>
    <row r="372" spans="1:3" x14ac:dyDescent="0.2">
      <c r="A372" s="28">
        <f t="shared" si="3"/>
        <v>2024.03</v>
      </c>
      <c r="B372" s="61">
        <v>43.331000000000003</v>
      </c>
      <c r="C372" s="62">
        <v>55.288906034630386</v>
      </c>
    </row>
    <row r="373" spans="1:3" x14ac:dyDescent="0.2">
      <c r="A373" s="28">
        <f t="shared" si="3"/>
        <v>2024.04</v>
      </c>
      <c r="B373" s="61">
        <v>47.511000000000003</v>
      </c>
      <c r="C373" s="62">
        <v>55.450710750247495</v>
      </c>
    </row>
    <row r="374" spans="1:3" x14ac:dyDescent="0.2">
      <c r="A374" s="28">
        <f t="shared" si="3"/>
        <v>2024.05</v>
      </c>
      <c r="B374" s="61">
        <v>63.231000000000002</v>
      </c>
      <c r="C374" s="62">
        <v>57.792188447632419</v>
      </c>
    </row>
    <row r="375" spans="1:3" x14ac:dyDescent="0.2">
      <c r="A375" s="28">
        <f t="shared" si="3"/>
        <v>2024.06</v>
      </c>
      <c r="B375" s="61">
        <v>56.56</v>
      </c>
      <c r="C375" s="62">
        <v>61.071527451948086</v>
      </c>
    </row>
    <row r="376" spans="1:3" x14ac:dyDescent="0.2">
      <c r="A376" s="28">
        <f t="shared" si="3"/>
        <v>2024.07</v>
      </c>
      <c r="B376" s="61">
        <v>72.019000000000005</v>
      </c>
      <c r="C376" s="62">
        <v>61.562281402095074</v>
      </c>
    </row>
    <row r="377" spans="1:3" x14ac:dyDescent="0.2">
      <c r="A377" s="28">
        <f t="shared" si="3"/>
        <v>2024.08</v>
      </c>
      <c r="B377" s="61">
        <v>66.043999999999997</v>
      </c>
      <c r="C377" s="62">
        <v>59.932560301357803</v>
      </c>
    </row>
    <row r="378" spans="1:3" x14ac:dyDescent="0.2">
      <c r="A378" s="28">
        <f t="shared" si="3"/>
        <v>2024.09</v>
      </c>
      <c r="B378" s="61">
        <v>66.900999999999996</v>
      </c>
      <c r="C378" s="62">
        <v>58.722102841197234</v>
      </c>
    </row>
    <row r="379" spans="1:3" x14ac:dyDescent="0.2">
      <c r="A379" s="28">
        <f>A367+1</f>
        <v>2024.1</v>
      </c>
      <c r="B379" s="61">
        <v>62.103000000000002</v>
      </c>
      <c r="C379" s="62">
        <v>57.153292111291378</v>
      </c>
    </row>
    <row r="380" spans="1:3" x14ac:dyDescent="0.2">
      <c r="A380" s="28">
        <f t="shared" si="3"/>
        <v>2024.11</v>
      </c>
      <c r="B380" s="61">
        <v>61.484999999999999</v>
      </c>
      <c r="C380" s="62">
        <v>57.529323837093678</v>
      </c>
    </row>
    <row r="381" spans="1:3" x14ac:dyDescent="0.2">
      <c r="A381" s="28">
        <f t="shared" si="3"/>
        <v>2024.12</v>
      </c>
      <c r="B381" s="61">
        <v>58.34</v>
      </c>
      <c r="C381" s="62">
        <v>59.462659672792235</v>
      </c>
    </row>
    <row r="382" spans="1:3" x14ac:dyDescent="0.2">
      <c r="A382" s="28">
        <f t="shared" si="3"/>
        <v>2025.01</v>
      </c>
      <c r="B382" s="61">
        <v>62.295999999999999</v>
      </c>
      <c r="C382" s="62">
        <v>59.818766275049754</v>
      </c>
    </row>
    <row r="383" spans="1:3" x14ac:dyDescent="0.2">
      <c r="A383" s="28">
        <f t="shared" si="3"/>
        <v>2025.02</v>
      </c>
      <c r="B383" s="61">
        <v>51.082000000000001</v>
      </c>
      <c r="C383" s="62">
        <v>59.109798843368281</v>
      </c>
    </row>
    <row r="384" spans="1:3" x14ac:dyDescent="0.2">
      <c r="A384" s="28">
        <f t="shared" si="3"/>
        <v>2025.03</v>
      </c>
      <c r="B384" s="61">
        <v>50.969000000000001</v>
      </c>
      <c r="C384" s="62">
        <v>56.052310213158435</v>
      </c>
    </row>
    <row r="385" spans="1:3" x14ac:dyDescent="0.2">
      <c r="A385" s="28">
        <f t="shared" si="3"/>
        <v>2025.04</v>
      </c>
      <c r="B385" s="61">
        <v>42.23</v>
      </c>
      <c r="C385" s="62">
        <v>52.400316137107424</v>
      </c>
    </row>
    <row r="386" spans="1:3" x14ac:dyDescent="0.2">
      <c r="A386" s="28">
        <f t="shared" si="3"/>
        <v>2025.05</v>
      </c>
      <c r="B386" s="61">
        <v>43.140999999999998</v>
      </c>
      <c r="C386" s="62">
        <v>51.163314289069447</v>
      </c>
    </row>
    <row r="387" spans="1:3" x14ac:dyDescent="0.2">
      <c r="A387" s="28">
        <f t="shared" si="3"/>
        <v>2025.06</v>
      </c>
      <c r="B387" s="61">
        <v>44.218000000000004</v>
      </c>
      <c r="C387" s="62">
        <v>52.169053071296915</v>
      </c>
    </row>
    <row r="388" spans="1:3" x14ac:dyDescent="0.2">
      <c r="A388" s="28">
        <f t="shared" si="3"/>
        <v>2025.07</v>
      </c>
      <c r="B388" s="61">
        <v>64.531000000000006</v>
      </c>
      <c r="C388" s="62">
        <v>55.274286235937851</v>
      </c>
    </row>
    <row r="389" spans="1:3" x14ac:dyDescent="0.2">
      <c r="A389" s="28">
        <f t="shared" si="3"/>
        <v>2025.08</v>
      </c>
      <c r="B389" s="61">
        <v>64.421580569094161</v>
      </c>
      <c r="C389" s="62">
        <v>57.286095832584152</v>
      </c>
    </row>
    <row r="390" spans="1:3" x14ac:dyDescent="0.2">
      <c r="A390" s="28">
        <f t="shared" si="3"/>
        <v>2025.09</v>
      </c>
      <c r="B390" s="61">
        <v>66.740763576712581</v>
      </c>
      <c r="C390" s="62">
        <v>58.318420225310646</v>
      </c>
    </row>
    <row r="391" spans="1:3" x14ac:dyDescent="0.2">
      <c r="A391" s="28">
        <f t="shared" si="3"/>
        <v>2025.1</v>
      </c>
      <c r="B391" s="61">
        <v>70.404460561568129</v>
      </c>
      <c r="C391" s="62">
        <v>60.109852218571682</v>
      </c>
    </row>
    <row r="392" spans="1:3" x14ac:dyDescent="0.2">
      <c r="A392" s="28">
        <f t="shared" si="3"/>
        <v>2025.11</v>
      </c>
      <c r="B392" s="61">
        <v>60.300721204480475</v>
      </c>
      <c r="C392" s="62">
        <v>59.77230816903942</v>
      </c>
    </row>
    <row r="393" spans="1:3" x14ac:dyDescent="0.2">
      <c r="A393" s="28">
        <f t="shared" si="3"/>
        <v>2025.12</v>
      </c>
      <c r="B393" s="61">
        <v>54.93088084084247</v>
      </c>
      <c r="C393" s="62">
        <v>58.978083369103565</v>
      </c>
    </row>
    <row r="394" spans="1:3" x14ac:dyDescent="0.2">
      <c r="A394" s="28">
        <f t="shared" si="3"/>
        <v>2026.01</v>
      </c>
      <c r="B394" s="61">
        <v>57.303283133127387</v>
      </c>
      <c r="C394" s="62">
        <v>59.861311165481489</v>
      </c>
    </row>
    <row r="395" spans="1:3" x14ac:dyDescent="0.2">
      <c r="A395" s="28">
        <f t="shared" si="3"/>
        <v>2026.02</v>
      </c>
      <c r="B395" s="61">
        <v>50.63524120254263</v>
      </c>
      <c r="C395" s="62">
        <v>60.617020429345118</v>
      </c>
    </row>
    <row r="396" spans="1:3" x14ac:dyDescent="0.2">
      <c r="A396" s="28">
        <f t="shared" si="3"/>
        <v>2026.03</v>
      </c>
      <c r="B396" s="61">
        <v>60.076938474694288</v>
      </c>
      <c r="C396" s="62">
        <v>62.113114298430887</v>
      </c>
    </row>
    <row r="397" spans="1:3" x14ac:dyDescent="0.2">
      <c r="A397" s="28">
        <f t="shared" si="3"/>
        <v>2026.04</v>
      </c>
      <c r="B397" s="61">
        <v>53.120698122773454</v>
      </c>
      <c r="C397" s="62">
        <v>63.514213499211507</v>
      </c>
    </row>
    <row r="398" spans="1:3" x14ac:dyDescent="0.2">
      <c r="A398" s="28">
        <f t="shared" si="3"/>
        <v>2026.05</v>
      </c>
      <c r="B398" s="61">
        <v>58.641253755692404</v>
      </c>
      <c r="C398" s="62">
        <v>62.194399723176673</v>
      </c>
    </row>
    <row r="399" spans="1:3" x14ac:dyDescent="0.2">
      <c r="A399" s="28">
        <f t="shared" si="3"/>
        <v>2026.06</v>
      </c>
      <c r="B399" s="61">
        <v>58.915638428276246</v>
      </c>
      <c r="C399" s="62">
        <v>59.962726855817635</v>
      </c>
    </row>
    <row r="400" spans="1:3" x14ac:dyDescent="0.2">
      <c r="A400" s="28">
        <f t="shared" si="3"/>
        <v>2026.07</v>
      </c>
      <c r="B400" s="61">
        <v>59.324525391342362</v>
      </c>
      <c r="C400" s="62">
        <v>59.187753495136427</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89</v>
      </c>
      <c r="C2" s="25"/>
    </row>
    <row r="3" spans="1:6" s="3" customFormat="1" ht="33.75" x14ac:dyDescent="0.2">
      <c r="A3" s="76" t="s">
        <v>16</v>
      </c>
      <c r="B3" s="16" t="s">
        <v>49</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48</v>
      </c>
      <c r="C7" s="47" t="s">
        <v>48</v>
      </c>
    </row>
    <row r="8" spans="1:6" s="3" customFormat="1" x14ac:dyDescent="0.2">
      <c r="A8" s="81" t="s">
        <v>23</v>
      </c>
      <c r="B8" s="89" t="s">
        <v>73</v>
      </c>
      <c r="C8" s="91" t="s">
        <v>74</v>
      </c>
    </row>
    <row r="9" spans="1:6" s="4" customFormat="1" ht="13.5" thickBot="1" x14ac:dyDescent="0.25">
      <c r="A9" s="82"/>
      <c r="B9" s="27"/>
      <c r="C9" s="49"/>
    </row>
    <row r="10" spans="1:6" s="4" customFormat="1" x14ac:dyDescent="0.2">
      <c r="A10" s="28">
        <v>1994.01</v>
      </c>
      <c r="B10" s="59">
        <v>6.2062288872512896</v>
      </c>
      <c r="C10" s="60">
        <v>3.2194030971696077</v>
      </c>
      <c r="E10" s="33"/>
      <c r="F10" s="33"/>
    </row>
    <row r="11" spans="1:6" s="4" customFormat="1" x14ac:dyDescent="0.2">
      <c r="A11" s="28">
        <v>1994.02</v>
      </c>
      <c r="B11" s="61">
        <v>3.0353093588798821</v>
      </c>
      <c r="C11" s="62">
        <v>3.1462277171813446</v>
      </c>
      <c r="E11" s="33"/>
      <c r="F11" s="33"/>
    </row>
    <row r="12" spans="1:6" s="4" customFormat="1" x14ac:dyDescent="0.2">
      <c r="A12" s="28">
        <v>1994.03</v>
      </c>
      <c r="B12" s="61">
        <v>3.0034704495210023</v>
      </c>
      <c r="C12" s="62">
        <v>3.1332391848413543</v>
      </c>
      <c r="E12" s="33"/>
      <c r="F12" s="33"/>
    </row>
    <row r="13" spans="1:6" s="4" customFormat="1" x14ac:dyDescent="0.2">
      <c r="A13" s="28">
        <v>1994.04</v>
      </c>
      <c r="B13" s="61">
        <v>3.3419062638172439</v>
      </c>
      <c r="C13" s="62">
        <v>3.2886694066262105</v>
      </c>
      <c r="E13" s="33"/>
      <c r="F13" s="33"/>
    </row>
    <row r="14" spans="1:6" s="4" customFormat="1" x14ac:dyDescent="0.2">
      <c r="A14" s="28">
        <v>1994.05</v>
      </c>
      <c r="B14" s="61">
        <v>3.3666698599852616</v>
      </c>
      <c r="C14" s="62">
        <v>3.4126493575307695</v>
      </c>
      <c r="E14" s="33"/>
      <c r="F14" s="33"/>
    </row>
    <row r="15" spans="1:6" s="4" customFormat="1" x14ac:dyDescent="0.2">
      <c r="A15" s="28">
        <v>1994.06</v>
      </c>
      <c r="B15" s="61">
        <v>3.1614857774502578</v>
      </c>
      <c r="C15" s="62">
        <v>3.5203672347532962</v>
      </c>
      <c r="E15" s="33"/>
      <c r="F15" s="33"/>
    </row>
    <row r="16" spans="1:6" s="4" customFormat="1" x14ac:dyDescent="0.2">
      <c r="A16" s="28">
        <v>1994.07</v>
      </c>
      <c r="B16" s="61">
        <v>3.8713755342667651</v>
      </c>
      <c r="C16" s="62">
        <v>3.5590886925538925</v>
      </c>
      <c r="E16" s="33"/>
      <c r="F16" s="33"/>
    </row>
    <row r="17" spans="1:6" s="4" customFormat="1" x14ac:dyDescent="0.2">
      <c r="A17" s="28">
        <v>1994.08</v>
      </c>
      <c r="B17" s="61">
        <v>3.4079425202652911</v>
      </c>
      <c r="C17" s="62">
        <v>3.4382632076688662</v>
      </c>
      <c r="E17" s="33"/>
      <c r="F17" s="33"/>
    </row>
    <row r="18" spans="1:6" s="4" customFormat="1" x14ac:dyDescent="0.2">
      <c r="A18" s="28">
        <v>1994.09</v>
      </c>
      <c r="B18" s="61">
        <v>3.7227939572586588</v>
      </c>
      <c r="C18" s="62">
        <v>3.4893584514639411</v>
      </c>
      <c r="E18" s="33"/>
      <c r="F18" s="33"/>
    </row>
    <row r="19" spans="1:6" s="4" customFormat="1" x14ac:dyDescent="0.2">
      <c r="A19" s="28">
        <v>1994.1</v>
      </c>
      <c r="B19" s="61">
        <v>3.5211475313190861</v>
      </c>
      <c r="C19" s="62">
        <v>3.5174275927833496</v>
      </c>
      <c r="E19" s="33"/>
      <c r="F19" s="33"/>
    </row>
    <row r="20" spans="1:6" s="4" customFormat="1" x14ac:dyDescent="0.2">
      <c r="A20" s="28">
        <v>1994.11</v>
      </c>
      <c r="B20" s="61">
        <v>2.1638666175386883</v>
      </c>
      <c r="C20" s="62">
        <v>3.2655558274726588</v>
      </c>
      <c r="E20" s="33"/>
      <c r="F20" s="33"/>
    </row>
    <row r="21" spans="1:6" s="4" customFormat="1" x14ac:dyDescent="0.2">
      <c r="A21" s="28">
        <v>1994.12</v>
      </c>
      <c r="B21" s="61">
        <v>1.2028032424465736</v>
      </c>
      <c r="C21" s="62">
        <v>3.1666829178797373</v>
      </c>
      <c r="E21" s="33"/>
      <c r="F21" s="33"/>
    </row>
    <row r="22" spans="1:6" x14ac:dyDescent="0.2">
      <c r="A22" s="28">
        <v>1995.01</v>
      </c>
      <c r="B22" s="61">
        <v>7.0519999999999996</v>
      </c>
      <c r="C22" s="62">
        <v>3.2324301073096597</v>
      </c>
      <c r="E22" s="34"/>
      <c r="F22" s="33"/>
    </row>
    <row r="23" spans="1:6" x14ac:dyDescent="0.2">
      <c r="A23" s="28">
        <v>1995.02</v>
      </c>
      <c r="B23" s="61">
        <v>2.9630000000000001</v>
      </c>
      <c r="C23" s="62">
        <v>3.1488950285516433</v>
      </c>
      <c r="E23" s="34"/>
      <c r="F23" s="33"/>
    </row>
    <row r="24" spans="1:6" x14ac:dyDescent="0.2">
      <c r="A24" s="28">
        <v>1995.03</v>
      </c>
      <c r="B24" s="61">
        <v>3.2930000000000001</v>
      </c>
      <c r="C24" s="62">
        <v>2.9450854175641203</v>
      </c>
      <c r="E24" s="34"/>
      <c r="F24" s="33"/>
    </row>
    <row r="25" spans="1:6" x14ac:dyDescent="0.2">
      <c r="A25" s="28">
        <v>1995.04</v>
      </c>
      <c r="B25" s="61">
        <v>2.3039999999999998</v>
      </c>
      <c r="C25" s="62">
        <v>2.637878939542289</v>
      </c>
      <c r="E25" s="34"/>
      <c r="F25" s="33"/>
    </row>
    <row r="26" spans="1:6" x14ac:dyDescent="0.2">
      <c r="A26" s="28">
        <v>1995.05</v>
      </c>
      <c r="B26" s="61">
        <v>2.121</v>
      </c>
      <c r="C26" s="62">
        <v>2.3275802641377044</v>
      </c>
      <c r="E26" s="34"/>
      <c r="F26" s="33"/>
    </row>
    <row r="27" spans="1:6" x14ac:dyDescent="0.2">
      <c r="A27" s="28">
        <v>1995.06</v>
      </c>
      <c r="B27" s="61">
        <v>2</v>
      </c>
      <c r="C27" s="62">
        <v>2.1589841040297042</v>
      </c>
      <c r="E27" s="34"/>
      <c r="F27" s="33"/>
    </row>
    <row r="28" spans="1:6" x14ac:dyDescent="0.2">
      <c r="A28" s="28">
        <v>1995.07</v>
      </c>
      <c r="B28" s="61">
        <v>2.1080000000000001</v>
      </c>
      <c r="C28" s="62">
        <v>2.08260098404359</v>
      </c>
      <c r="E28" s="34"/>
      <c r="F28" s="33"/>
    </row>
    <row r="29" spans="1:6" x14ac:dyDescent="0.2">
      <c r="A29" s="28">
        <v>1995.08</v>
      </c>
      <c r="B29" s="61">
        <v>2.1960000000000002</v>
      </c>
      <c r="C29" s="62">
        <v>2.0603825427388855</v>
      </c>
      <c r="E29" s="34"/>
      <c r="F29" s="33"/>
    </row>
    <row r="30" spans="1:6" x14ac:dyDescent="0.2">
      <c r="A30" s="28">
        <v>1995.09</v>
      </c>
      <c r="B30" s="61">
        <v>2.1230000000000002</v>
      </c>
      <c r="C30" s="62">
        <v>2.0464671421514753</v>
      </c>
      <c r="E30" s="34"/>
      <c r="F30" s="33"/>
    </row>
    <row r="31" spans="1:6" x14ac:dyDescent="0.2">
      <c r="A31" s="28">
        <v>1995.1</v>
      </c>
      <c r="B31" s="61">
        <v>1.897</v>
      </c>
      <c r="C31" s="62">
        <v>2.0326627205403178</v>
      </c>
      <c r="E31" s="34"/>
      <c r="F31" s="33"/>
    </row>
    <row r="32" spans="1:6" x14ac:dyDescent="0.2">
      <c r="A32" s="28">
        <v>1995.11</v>
      </c>
      <c r="B32" s="61">
        <v>1.448</v>
      </c>
      <c r="C32" s="62">
        <v>2.0654238976650969</v>
      </c>
      <c r="E32" s="34"/>
      <c r="F32" s="33"/>
    </row>
    <row r="33" spans="1:6" x14ac:dyDescent="0.2">
      <c r="A33" s="28">
        <v>1995.12</v>
      </c>
      <c r="B33" s="61">
        <v>0.61399999999999999</v>
      </c>
      <c r="C33" s="62">
        <v>2.109076625015704</v>
      </c>
      <c r="E33" s="34"/>
      <c r="F33" s="33"/>
    </row>
    <row r="34" spans="1:6" x14ac:dyDescent="0.2">
      <c r="A34" s="28">
        <v>1996.01</v>
      </c>
      <c r="B34" s="61">
        <v>4.351</v>
      </c>
      <c r="C34" s="62">
        <v>2.1723889277448118</v>
      </c>
      <c r="E34" s="34"/>
      <c r="F34" s="33"/>
    </row>
    <row r="35" spans="1:6" x14ac:dyDescent="0.2">
      <c r="A35" s="28">
        <v>1996.02</v>
      </c>
      <c r="B35" s="61">
        <v>2.3029999999999999</v>
      </c>
      <c r="C35" s="62">
        <v>2.2988280369561513</v>
      </c>
      <c r="E35" s="34"/>
      <c r="F35" s="33"/>
    </row>
    <row r="36" spans="1:6" x14ac:dyDescent="0.2">
      <c r="A36" s="28">
        <v>1996.03</v>
      </c>
      <c r="B36" s="61">
        <v>2.407</v>
      </c>
      <c r="C36" s="62">
        <v>2.4508417246139564</v>
      </c>
      <c r="E36" s="34"/>
      <c r="F36" s="33"/>
    </row>
    <row r="37" spans="1:6" x14ac:dyDescent="0.2">
      <c r="A37" s="28">
        <v>1996.04</v>
      </c>
      <c r="B37" s="61">
        <v>2.5030000000000001</v>
      </c>
      <c r="C37" s="62">
        <v>2.627192952428913</v>
      </c>
      <c r="E37" s="34"/>
      <c r="F37" s="33"/>
    </row>
    <row r="38" spans="1:6" x14ac:dyDescent="0.2">
      <c r="A38" s="28">
        <v>1996.05</v>
      </c>
      <c r="B38" s="61">
        <v>2.8940000000000001</v>
      </c>
      <c r="C38" s="62">
        <v>2.7694368233724429</v>
      </c>
      <c r="E38" s="34"/>
      <c r="F38" s="33"/>
    </row>
    <row r="39" spans="1:6" x14ac:dyDescent="0.2">
      <c r="A39" s="28">
        <v>1996.06</v>
      </c>
      <c r="B39" s="61">
        <v>2.3660000000000001</v>
      </c>
      <c r="C39" s="62">
        <v>2.7586716546523093</v>
      </c>
      <c r="E39" s="34"/>
      <c r="F39" s="33"/>
    </row>
    <row r="40" spans="1:6" x14ac:dyDescent="0.2">
      <c r="A40" s="28">
        <v>1996.07</v>
      </c>
      <c r="B40" s="61">
        <v>2.94</v>
      </c>
      <c r="C40" s="62">
        <v>2.7555180721291523</v>
      </c>
      <c r="E40" s="34"/>
      <c r="F40" s="33"/>
    </row>
    <row r="41" spans="1:6" x14ac:dyDescent="0.2">
      <c r="A41" s="28">
        <v>1996.08</v>
      </c>
      <c r="B41" s="61">
        <v>3.085</v>
      </c>
      <c r="C41" s="62">
        <v>2.8208591902490454</v>
      </c>
      <c r="E41" s="34"/>
      <c r="F41" s="33"/>
    </row>
    <row r="42" spans="1:6" x14ac:dyDescent="0.2">
      <c r="A42" s="28">
        <v>1996.09</v>
      </c>
      <c r="B42" s="61">
        <v>2.8340000000000001</v>
      </c>
      <c r="C42" s="62">
        <v>2.766877532888592</v>
      </c>
      <c r="E42" s="34"/>
      <c r="F42" s="33"/>
    </row>
    <row r="43" spans="1:6" x14ac:dyDescent="0.2">
      <c r="A43" s="28">
        <v>1996.1</v>
      </c>
      <c r="B43" s="61">
        <v>2.5710000000000002</v>
      </c>
      <c r="C43" s="62">
        <v>2.7520290065545097</v>
      </c>
      <c r="E43" s="34"/>
      <c r="F43" s="33"/>
    </row>
    <row r="44" spans="1:6" x14ac:dyDescent="0.2">
      <c r="A44" s="28">
        <v>1996.11</v>
      </c>
      <c r="B44" s="61">
        <v>2.044</v>
      </c>
      <c r="C44" s="62">
        <v>2.8399952447522407</v>
      </c>
      <c r="E44" s="34"/>
      <c r="F44" s="33"/>
    </row>
    <row r="45" spans="1:6" x14ac:dyDescent="0.2">
      <c r="A45" s="28">
        <v>1996.12</v>
      </c>
      <c r="B45" s="61">
        <v>1.623</v>
      </c>
      <c r="C45" s="62">
        <v>2.7933902533026873</v>
      </c>
      <c r="E45" s="34"/>
      <c r="F45" s="33"/>
    </row>
    <row r="46" spans="1:6" x14ac:dyDescent="0.2">
      <c r="A46" s="28">
        <v>1997.01</v>
      </c>
      <c r="B46" s="61">
        <v>5.2670000000000003</v>
      </c>
      <c r="C46" s="62">
        <v>2.6949802173889141</v>
      </c>
      <c r="E46" s="34"/>
      <c r="F46" s="33"/>
    </row>
    <row r="47" spans="1:6" x14ac:dyDescent="0.2">
      <c r="A47" s="28">
        <v>1997.02</v>
      </c>
      <c r="B47" s="61">
        <v>2.5750000000000002</v>
      </c>
      <c r="C47" s="62">
        <v>2.7266347079194295</v>
      </c>
      <c r="E47" s="34"/>
      <c r="F47" s="33"/>
    </row>
    <row r="48" spans="1:6" x14ac:dyDescent="0.2">
      <c r="A48" s="28">
        <v>1997.03</v>
      </c>
      <c r="B48" s="61">
        <v>2.5470000000000002</v>
      </c>
      <c r="C48" s="62">
        <v>2.78144726853969</v>
      </c>
      <c r="E48" s="34"/>
      <c r="F48" s="33"/>
    </row>
    <row r="49" spans="1:6" x14ac:dyDescent="0.2">
      <c r="A49" s="28">
        <v>1997.04</v>
      </c>
      <c r="B49" s="61">
        <v>2.8330000000000002</v>
      </c>
      <c r="C49" s="62">
        <v>2.8132486737055595</v>
      </c>
      <c r="E49" s="34"/>
      <c r="F49" s="33"/>
    </row>
    <row r="50" spans="1:6" x14ac:dyDescent="0.2">
      <c r="A50" s="28">
        <v>1997.05</v>
      </c>
      <c r="B50" s="61">
        <v>2.8559999999999999</v>
      </c>
      <c r="C50" s="62">
        <v>2.9100249758936974</v>
      </c>
      <c r="E50" s="34"/>
      <c r="F50" s="33"/>
    </row>
    <row r="51" spans="1:6" x14ac:dyDescent="0.2">
      <c r="A51" s="28">
        <v>1997.06</v>
      </c>
      <c r="B51" s="61">
        <v>2.6819999999999999</v>
      </c>
      <c r="C51" s="62">
        <v>2.9790497224719275</v>
      </c>
      <c r="E51" s="34"/>
      <c r="F51" s="33"/>
    </row>
    <row r="52" spans="1:6" x14ac:dyDescent="0.2">
      <c r="A52" s="28">
        <v>1997.07</v>
      </c>
      <c r="B52" s="61">
        <v>3.2839999999999998</v>
      </c>
      <c r="C52" s="62">
        <v>2.9396384040112986</v>
      </c>
      <c r="E52" s="34"/>
      <c r="F52" s="33"/>
    </row>
    <row r="53" spans="1:6" x14ac:dyDescent="0.2">
      <c r="A53" s="28">
        <v>1997.08</v>
      </c>
      <c r="B53" s="61">
        <v>2.89</v>
      </c>
      <c r="C53" s="62">
        <v>2.8791495930855882</v>
      </c>
      <c r="E53" s="34"/>
      <c r="F53" s="33"/>
    </row>
    <row r="54" spans="1:6" x14ac:dyDescent="0.2">
      <c r="A54" s="28">
        <v>1997.09</v>
      </c>
      <c r="B54" s="61">
        <v>3.1579999999999999</v>
      </c>
      <c r="C54" s="62">
        <v>2.9142997664940404</v>
      </c>
      <c r="E54" s="34"/>
      <c r="F54" s="33"/>
    </row>
    <row r="55" spans="1:6" x14ac:dyDescent="0.2">
      <c r="A55" s="28">
        <v>1997.1</v>
      </c>
      <c r="B55" s="61">
        <v>2.9910000000000001</v>
      </c>
      <c r="C55" s="62">
        <v>2.8991664041981426</v>
      </c>
      <c r="E55" s="34"/>
      <c r="F55" s="33"/>
    </row>
    <row r="56" spans="1:6" x14ac:dyDescent="0.2">
      <c r="A56" s="28">
        <v>1997.11</v>
      </c>
      <c r="B56" s="61">
        <v>1.8380000000000001</v>
      </c>
      <c r="C56" s="62">
        <v>2.8239926159213358</v>
      </c>
      <c r="E56" s="34"/>
      <c r="F56" s="33"/>
    </row>
    <row r="57" spans="1:6" x14ac:dyDescent="0.2">
      <c r="A57" s="28">
        <v>1997.12</v>
      </c>
      <c r="B57" s="61">
        <v>1.0780000000000001</v>
      </c>
      <c r="C57" s="62">
        <v>2.9468942496557169</v>
      </c>
      <c r="E57" s="34"/>
      <c r="F57" s="33"/>
    </row>
    <row r="58" spans="1:6" x14ac:dyDescent="0.2">
      <c r="A58" s="28">
        <v>1998.01</v>
      </c>
      <c r="B58" s="61">
        <v>5.8739999999999997</v>
      </c>
      <c r="C58" s="62">
        <v>3.1769607390757386</v>
      </c>
      <c r="E58" s="34"/>
      <c r="F58" s="33"/>
    </row>
    <row r="59" spans="1:6" x14ac:dyDescent="0.2">
      <c r="A59" s="28">
        <v>1998.02</v>
      </c>
      <c r="B59" s="61">
        <v>3.2149999999999999</v>
      </c>
      <c r="C59" s="62">
        <v>3.3063244896425363</v>
      </c>
      <c r="E59" s="34"/>
      <c r="F59" s="33"/>
    </row>
    <row r="60" spans="1:6" x14ac:dyDescent="0.2">
      <c r="A60" s="28">
        <v>1998.03</v>
      </c>
      <c r="B60" s="61">
        <v>3.3250000000000002</v>
      </c>
      <c r="C60" s="62">
        <v>3.3634763458439538</v>
      </c>
      <c r="E60" s="34"/>
      <c r="F60" s="33"/>
    </row>
    <row r="61" spans="1:6" x14ac:dyDescent="0.2">
      <c r="A61" s="28">
        <v>1998.04</v>
      </c>
      <c r="B61" s="61">
        <v>3.2890000000000001</v>
      </c>
      <c r="C61" s="62">
        <v>3.4359217564191851</v>
      </c>
      <c r="E61" s="34"/>
      <c r="F61" s="33"/>
    </row>
    <row r="62" spans="1:6" x14ac:dyDescent="0.2">
      <c r="A62" s="28">
        <v>1998.05</v>
      </c>
      <c r="B62" s="61">
        <v>3.0990000000000002</v>
      </c>
      <c r="C62" s="62">
        <v>3.4806323783269346</v>
      </c>
      <c r="E62" s="34"/>
      <c r="F62" s="33"/>
    </row>
    <row r="63" spans="1:6" x14ac:dyDescent="0.2">
      <c r="A63" s="28">
        <v>1998.06</v>
      </c>
      <c r="B63" s="61">
        <v>3.3250000000000002</v>
      </c>
      <c r="C63" s="62">
        <v>3.4609549854791521</v>
      </c>
      <c r="E63" s="34"/>
      <c r="F63" s="33"/>
    </row>
    <row r="64" spans="1:6" x14ac:dyDescent="0.2">
      <c r="A64" s="28">
        <v>1998.07</v>
      </c>
      <c r="B64" s="61">
        <v>3.6909999999999998</v>
      </c>
      <c r="C64" s="62">
        <v>3.3778591323583633</v>
      </c>
      <c r="E64" s="34"/>
      <c r="F64" s="33"/>
    </row>
    <row r="65" spans="1:6" x14ac:dyDescent="0.2">
      <c r="A65" s="28">
        <v>1998.08</v>
      </c>
      <c r="B65" s="61">
        <v>3.419</v>
      </c>
      <c r="C65" s="62">
        <v>3.2149528873896998</v>
      </c>
      <c r="E65" s="34"/>
      <c r="F65" s="33"/>
    </row>
    <row r="66" spans="1:6" x14ac:dyDescent="0.2">
      <c r="A66" s="28">
        <v>1998.09</v>
      </c>
      <c r="B66" s="61">
        <v>3.22</v>
      </c>
      <c r="C66" s="62">
        <v>2.9625895583233985</v>
      </c>
      <c r="E66" s="34"/>
      <c r="F66" s="33"/>
    </row>
    <row r="67" spans="1:6" x14ac:dyDescent="0.2">
      <c r="A67" s="28">
        <v>1998.1</v>
      </c>
      <c r="B67" s="61">
        <v>2.5739999999999998</v>
      </c>
      <c r="C67" s="62">
        <v>2.7228595383681267</v>
      </c>
      <c r="E67" s="34"/>
      <c r="F67" s="33"/>
    </row>
    <row r="68" spans="1:6" x14ac:dyDescent="0.2">
      <c r="A68" s="28">
        <v>1998.11</v>
      </c>
      <c r="B68" s="61">
        <v>1.976</v>
      </c>
      <c r="C68" s="62">
        <v>2.612866488174634</v>
      </c>
      <c r="E68" s="34"/>
      <c r="F68" s="33"/>
    </row>
    <row r="69" spans="1:6" x14ac:dyDescent="0.2">
      <c r="A69" s="28">
        <v>1998.12</v>
      </c>
      <c r="B69" s="61">
        <v>1.2470000000000001</v>
      </c>
      <c r="C69" s="62">
        <v>2.6678474215124313</v>
      </c>
      <c r="E69" s="34"/>
      <c r="F69" s="33"/>
    </row>
    <row r="70" spans="1:6" x14ac:dyDescent="0.2">
      <c r="A70" s="28">
        <v>1999.01</v>
      </c>
      <c r="B70" s="61">
        <v>5.0890000000000004</v>
      </c>
      <c r="C70" s="62">
        <v>2.7870064448394265</v>
      </c>
      <c r="E70" s="34"/>
      <c r="F70" s="33"/>
    </row>
    <row r="71" spans="1:6" x14ac:dyDescent="0.2">
      <c r="A71" s="28">
        <v>1999.02</v>
      </c>
      <c r="B71" s="61">
        <v>2.5390000000000001</v>
      </c>
      <c r="C71" s="62">
        <v>2.7781301711495172</v>
      </c>
      <c r="E71" s="34"/>
      <c r="F71" s="33"/>
    </row>
    <row r="72" spans="1:6" x14ac:dyDescent="0.2">
      <c r="A72" s="28">
        <v>1999.03</v>
      </c>
      <c r="B72" s="61">
        <v>2.5880000000000001</v>
      </c>
      <c r="C72" s="62">
        <v>2.6634568818836772</v>
      </c>
      <c r="E72" s="34"/>
      <c r="F72" s="33"/>
    </row>
    <row r="73" spans="1:6" x14ac:dyDescent="0.2">
      <c r="A73" s="28">
        <v>1999.04</v>
      </c>
      <c r="B73" s="61">
        <v>2.0409999999999999</v>
      </c>
      <c r="C73" s="62">
        <v>2.5603554034603371</v>
      </c>
      <c r="E73" s="34"/>
      <c r="F73" s="33"/>
    </row>
    <row r="74" spans="1:6" x14ac:dyDescent="0.2">
      <c r="A74" s="28">
        <v>1999.05</v>
      </c>
      <c r="B74" s="61">
        <v>1.7809999999999999</v>
      </c>
      <c r="C74" s="62">
        <v>2.5197171054005101</v>
      </c>
      <c r="E74" s="34"/>
      <c r="F74" s="33"/>
    </row>
    <row r="75" spans="1:6" x14ac:dyDescent="0.2">
      <c r="A75" s="28">
        <v>1999.06</v>
      </c>
      <c r="B75" s="61">
        <v>2.379</v>
      </c>
      <c r="C75" s="62">
        <v>2.5818840523654942</v>
      </c>
      <c r="E75" s="34"/>
      <c r="F75" s="33"/>
    </row>
    <row r="76" spans="1:6" x14ac:dyDescent="0.2">
      <c r="A76" s="28">
        <v>1999.07</v>
      </c>
      <c r="B76" s="61">
        <v>2.9390000000000001</v>
      </c>
      <c r="C76" s="62">
        <v>2.7925162619380099</v>
      </c>
      <c r="E76" s="34"/>
      <c r="F76" s="33"/>
    </row>
    <row r="77" spans="1:6" x14ac:dyDescent="0.2">
      <c r="A77" s="28">
        <v>1999.08</v>
      </c>
      <c r="B77" s="61">
        <v>3.3580000000000001</v>
      </c>
      <c r="C77" s="62">
        <v>3.0825477278615425</v>
      </c>
      <c r="E77" s="34"/>
      <c r="F77" s="33"/>
    </row>
    <row r="78" spans="1:6" x14ac:dyDescent="0.2">
      <c r="A78" s="28">
        <v>1999.09</v>
      </c>
      <c r="B78" s="61">
        <v>3.645</v>
      </c>
      <c r="C78" s="62">
        <v>3.2665036139423451</v>
      </c>
      <c r="E78" s="34"/>
      <c r="F78" s="33"/>
    </row>
    <row r="79" spans="1:6" x14ac:dyDescent="0.2">
      <c r="A79" s="28">
        <v>1999.1</v>
      </c>
      <c r="B79" s="61">
        <v>3.0510000000000002</v>
      </c>
      <c r="C79" s="62">
        <v>3.3681688769045093</v>
      </c>
      <c r="E79" s="34"/>
      <c r="F79" s="33"/>
    </row>
    <row r="80" spans="1:6" x14ac:dyDescent="0.2">
      <c r="A80" s="28">
        <v>1999.11</v>
      </c>
      <c r="B80" s="61">
        <v>2.95</v>
      </c>
      <c r="C80" s="62">
        <v>3.4052071519180851</v>
      </c>
      <c r="E80" s="34"/>
      <c r="F80" s="33"/>
    </row>
    <row r="81" spans="1:6" x14ac:dyDescent="0.2">
      <c r="A81" s="28">
        <v>1999.12</v>
      </c>
      <c r="B81" s="61">
        <v>2.0230000000000001</v>
      </c>
      <c r="C81" s="62">
        <v>3.161002621384394</v>
      </c>
      <c r="E81" s="34"/>
      <c r="F81" s="33"/>
    </row>
    <row r="82" spans="1:6" x14ac:dyDescent="0.2">
      <c r="A82" s="28">
        <v>2000.01</v>
      </c>
      <c r="B82" s="61">
        <v>4.5199999999999996</v>
      </c>
      <c r="C82" s="62">
        <v>2.8766153974785613</v>
      </c>
      <c r="E82" s="34"/>
      <c r="F82" s="33"/>
    </row>
    <row r="83" spans="1:6" x14ac:dyDescent="0.2">
      <c r="A83" s="28">
        <v>2000.02</v>
      </c>
      <c r="B83" s="61">
        <v>2.7160000000000002</v>
      </c>
      <c r="C83" s="62">
        <v>2.8265326666418593</v>
      </c>
      <c r="E83" s="34"/>
      <c r="F83" s="33"/>
    </row>
    <row r="84" spans="1:6" x14ac:dyDescent="0.2">
      <c r="A84" s="28">
        <v>2000.03</v>
      </c>
      <c r="B84" s="61">
        <v>2.7789999999999999</v>
      </c>
      <c r="C84" s="62">
        <v>2.737396768684552</v>
      </c>
      <c r="E84" s="34"/>
      <c r="F84" s="33"/>
    </row>
    <row r="85" spans="1:6" x14ac:dyDescent="0.2">
      <c r="A85" s="28">
        <v>2000.04</v>
      </c>
      <c r="B85" s="61">
        <v>2.2679999999999998</v>
      </c>
      <c r="C85" s="62">
        <v>2.5627914352674264</v>
      </c>
      <c r="E85" s="34"/>
      <c r="F85" s="33"/>
    </row>
    <row r="86" spans="1:6" x14ac:dyDescent="0.2">
      <c r="A86" s="28">
        <v>2000.05</v>
      </c>
      <c r="B86" s="61">
        <v>2.3490000000000002</v>
      </c>
      <c r="C86" s="62">
        <v>2.5055354483224446</v>
      </c>
      <c r="E86" s="34"/>
      <c r="F86" s="33"/>
    </row>
    <row r="87" spans="1:6" x14ac:dyDescent="0.2">
      <c r="A87" s="28">
        <v>2000.06</v>
      </c>
      <c r="B87" s="61">
        <v>2.456</v>
      </c>
      <c r="C87" s="62">
        <v>2.4984828521541838</v>
      </c>
      <c r="E87" s="34"/>
      <c r="F87" s="33"/>
    </row>
    <row r="88" spans="1:6" x14ac:dyDescent="0.2">
      <c r="A88" s="28">
        <v>2000.07</v>
      </c>
      <c r="B88" s="61">
        <v>2.4049999999999998</v>
      </c>
      <c r="C88" s="62">
        <v>2.3613766960722149</v>
      </c>
      <c r="E88" s="34"/>
      <c r="F88" s="33"/>
    </row>
    <row r="89" spans="1:6" x14ac:dyDescent="0.2">
      <c r="A89" s="28">
        <v>2000.08</v>
      </c>
      <c r="B89" s="61">
        <v>2.375</v>
      </c>
      <c r="C89" s="62">
        <v>2.1890120593821072</v>
      </c>
      <c r="E89" s="34"/>
      <c r="F89" s="33"/>
    </row>
    <row r="90" spans="1:6" x14ac:dyDescent="0.2">
      <c r="A90" s="28">
        <v>2000.09</v>
      </c>
      <c r="B90" s="61">
        <v>2.2240000000000002</v>
      </c>
      <c r="C90" s="62">
        <v>2.1296121985310572</v>
      </c>
      <c r="E90" s="34"/>
      <c r="F90" s="33"/>
    </row>
    <row r="91" spans="1:6" x14ac:dyDescent="0.2">
      <c r="A91" s="28">
        <v>2000.1</v>
      </c>
      <c r="B91" s="61">
        <v>2.782</v>
      </c>
      <c r="C91" s="62">
        <v>2.126366323965577</v>
      </c>
      <c r="E91" s="34"/>
      <c r="F91" s="33"/>
    </row>
    <row r="92" spans="1:6" x14ac:dyDescent="0.2">
      <c r="A92" s="28">
        <v>2000.11</v>
      </c>
      <c r="B92" s="61">
        <v>1.7969999999999999</v>
      </c>
      <c r="C92" s="62">
        <v>2.1192179430145681</v>
      </c>
      <c r="E92" s="34"/>
      <c r="F92" s="33"/>
    </row>
    <row r="93" spans="1:6" x14ac:dyDescent="0.2">
      <c r="A93" s="28">
        <v>2000.12</v>
      </c>
      <c r="B93" s="61">
        <v>0.97699999999999998</v>
      </c>
      <c r="C93" s="62">
        <v>2.0117259707373654</v>
      </c>
      <c r="E93" s="34"/>
      <c r="F93" s="33"/>
    </row>
    <row r="94" spans="1:6" x14ac:dyDescent="0.2">
      <c r="A94" s="28">
        <v>2001.01</v>
      </c>
      <c r="B94" s="61">
        <v>3.2810000000000001</v>
      </c>
      <c r="C94" s="62">
        <v>1.7851220385981525</v>
      </c>
      <c r="E94" s="34"/>
      <c r="F94" s="33"/>
    </row>
    <row r="95" spans="1:6" x14ac:dyDescent="0.2">
      <c r="A95" s="28">
        <v>2001.02</v>
      </c>
      <c r="B95" s="61">
        <v>1.37</v>
      </c>
      <c r="C95" s="62">
        <v>1.6036347913242013</v>
      </c>
      <c r="E95" s="34"/>
      <c r="F95" s="33"/>
    </row>
    <row r="96" spans="1:6" x14ac:dyDescent="0.2">
      <c r="A96" s="28">
        <v>2001.03</v>
      </c>
      <c r="B96" s="61">
        <v>1.4350000000000001</v>
      </c>
      <c r="C96" s="62">
        <v>1.524710431610373</v>
      </c>
      <c r="E96" s="34"/>
      <c r="F96" s="33"/>
    </row>
    <row r="97" spans="1:6" x14ac:dyDescent="0.2">
      <c r="A97" s="28">
        <v>2001.04</v>
      </c>
      <c r="B97" s="61">
        <v>1.444</v>
      </c>
      <c r="C97" s="62">
        <v>1.4830445333729867</v>
      </c>
      <c r="E97" s="34"/>
      <c r="F97" s="33"/>
    </row>
    <row r="98" spans="1:6" x14ac:dyDescent="0.2">
      <c r="A98" s="28">
        <v>2001.05</v>
      </c>
      <c r="B98" s="61">
        <v>1.381</v>
      </c>
      <c r="C98" s="62">
        <v>1.4206062625918823</v>
      </c>
      <c r="E98" s="34"/>
      <c r="F98" s="33"/>
    </row>
    <row r="99" spans="1:6" x14ac:dyDescent="0.2">
      <c r="A99" s="28">
        <v>2001.06</v>
      </c>
      <c r="B99" s="61">
        <v>1.24</v>
      </c>
      <c r="C99" s="62">
        <v>1.4151973405397502</v>
      </c>
      <c r="E99" s="34"/>
      <c r="F99" s="33"/>
    </row>
    <row r="100" spans="1:6" x14ac:dyDescent="0.2">
      <c r="A100" s="28">
        <v>2001.07</v>
      </c>
      <c r="B100" s="61">
        <v>1.6439999999999999</v>
      </c>
      <c r="C100" s="62">
        <v>1.466510422683085</v>
      </c>
      <c r="E100" s="34"/>
      <c r="F100" s="33"/>
    </row>
    <row r="101" spans="1:6" x14ac:dyDescent="0.2">
      <c r="A101" s="28">
        <v>2001.08</v>
      </c>
      <c r="B101" s="61">
        <v>1.5349999999999999</v>
      </c>
      <c r="C101" s="62">
        <v>1.4272022988770685</v>
      </c>
      <c r="E101" s="34"/>
      <c r="F101" s="33"/>
    </row>
    <row r="102" spans="1:6" x14ac:dyDescent="0.2">
      <c r="A102" s="28">
        <v>2001.09</v>
      </c>
      <c r="B102" s="61">
        <v>1.333</v>
      </c>
      <c r="C102" s="62">
        <v>1.3412857708557784</v>
      </c>
      <c r="E102" s="34"/>
      <c r="F102" s="33"/>
    </row>
    <row r="103" spans="1:6" x14ac:dyDescent="0.2">
      <c r="A103" s="28">
        <v>2001.1</v>
      </c>
      <c r="B103" s="61">
        <v>1.276</v>
      </c>
      <c r="C103" s="62">
        <v>1.2691057776605752</v>
      </c>
      <c r="E103" s="34"/>
      <c r="F103" s="33"/>
    </row>
    <row r="104" spans="1:6" x14ac:dyDescent="0.2">
      <c r="A104" s="28">
        <v>2001.11</v>
      </c>
      <c r="B104" s="61">
        <v>1.0129999999999999</v>
      </c>
      <c r="C104" s="62">
        <v>1.1742950886330026</v>
      </c>
      <c r="E104" s="34"/>
      <c r="F104" s="33"/>
    </row>
    <row r="105" spans="1:6" x14ac:dyDescent="0.2">
      <c r="A105" s="28">
        <v>2001.12</v>
      </c>
      <c r="B105" s="61">
        <v>0.48699999999999999</v>
      </c>
      <c r="C105" s="62">
        <v>1.078320054250246</v>
      </c>
      <c r="E105" s="34"/>
      <c r="F105" s="33"/>
    </row>
    <row r="106" spans="1:6" x14ac:dyDescent="0.2">
      <c r="A106" s="28">
        <v>2002.01</v>
      </c>
      <c r="B106" s="61">
        <v>1.472</v>
      </c>
      <c r="C106" s="62">
        <v>1.0029872160580475</v>
      </c>
      <c r="E106" s="34"/>
      <c r="F106" s="33"/>
    </row>
    <row r="107" spans="1:6" x14ac:dyDescent="0.2">
      <c r="A107" s="28">
        <v>2002.02</v>
      </c>
      <c r="B107" s="61">
        <v>0.75600000000000001</v>
      </c>
      <c r="C107" s="62">
        <v>0.94890106599417334</v>
      </c>
      <c r="E107" s="34"/>
      <c r="F107" s="33"/>
    </row>
    <row r="108" spans="1:6" x14ac:dyDescent="0.2">
      <c r="A108" s="28">
        <v>2002.03</v>
      </c>
      <c r="B108" s="61">
        <v>1.2729999999999999</v>
      </c>
      <c r="C108" s="62">
        <v>0.96735802082306255</v>
      </c>
      <c r="E108" s="34"/>
      <c r="F108" s="33"/>
    </row>
    <row r="109" spans="1:6" x14ac:dyDescent="0.2">
      <c r="A109" s="28">
        <v>2002.04</v>
      </c>
      <c r="B109" s="61">
        <v>1.236</v>
      </c>
      <c r="C109" s="62">
        <v>0.97758487174963138</v>
      </c>
      <c r="E109" s="34"/>
      <c r="F109" s="33"/>
    </row>
    <row r="110" spans="1:6" x14ac:dyDescent="0.2">
      <c r="A110" s="28">
        <v>2002.05</v>
      </c>
      <c r="B110" s="61">
        <v>0.85299999999999998</v>
      </c>
      <c r="C110" s="62">
        <v>0.88131878033802002</v>
      </c>
      <c r="E110" s="34"/>
      <c r="F110" s="33"/>
    </row>
    <row r="111" spans="1:6" x14ac:dyDescent="0.2">
      <c r="A111" s="28">
        <v>2002.06</v>
      </c>
      <c r="B111" s="61">
        <v>0.41</v>
      </c>
      <c r="C111" s="62">
        <v>0.74646840119146729</v>
      </c>
      <c r="E111" s="34"/>
      <c r="F111" s="33"/>
    </row>
    <row r="112" spans="1:6" x14ac:dyDescent="0.2">
      <c r="A112" s="28">
        <v>2002.07</v>
      </c>
      <c r="B112" s="61">
        <v>0.64100000000000001</v>
      </c>
      <c r="C112" s="62">
        <v>0.66432290769552971</v>
      </c>
      <c r="E112" s="34"/>
      <c r="F112" s="33"/>
    </row>
    <row r="113" spans="1:6" x14ac:dyDescent="0.2">
      <c r="A113" s="28">
        <v>2002.08</v>
      </c>
      <c r="B113" s="61">
        <v>0.73699999999999999</v>
      </c>
      <c r="C113" s="62">
        <v>0.65776084344766406</v>
      </c>
      <c r="E113" s="34"/>
      <c r="F113" s="33"/>
    </row>
    <row r="114" spans="1:6" x14ac:dyDescent="0.2">
      <c r="A114" s="28">
        <v>2002.09</v>
      </c>
      <c r="B114" s="61">
        <v>0.63200000000000001</v>
      </c>
      <c r="C114" s="62">
        <v>0.67086270970496553</v>
      </c>
      <c r="E114" s="34"/>
      <c r="F114" s="33"/>
    </row>
    <row r="115" spans="1:6" x14ac:dyDescent="0.2">
      <c r="A115" s="28">
        <v>2002.1</v>
      </c>
      <c r="B115" s="61">
        <v>0.72399999999999998</v>
      </c>
      <c r="C115" s="62">
        <v>0.6903475167799904</v>
      </c>
      <c r="E115" s="34"/>
      <c r="F115" s="33"/>
    </row>
    <row r="116" spans="1:6" x14ac:dyDescent="0.2">
      <c r="A116" s="28">
        <v>2002.11</v>
      </c>
      <c r="B116" s="61">
        <v>0.51100000000000001</v>
      </c>
      <c r="C116" s="62">
        <v>0.72555531243248605</v>
      </c>
      <c r="E116" s="34"/>
      <c r="F116" s="33"/>
    </row>
    <row r="117" spans="1:6" x14ac:dyDescent="0.2">
      <c r="A117" s="28">
        <v>2002.12</v>
      </c>
      <c r="B117" s="61">
        <v>0.623</v>
      </c>
      <c r="C117" s="62">
        <v>0.81012880976201507</v>
      </c>
      <c r="E117" s="34"/>
      <c r="F117" s="33"/>
    </row>
    <row r="118" spans="1:6" x14ac:dyDescent="0.2">
      <c r="A118" s="28">
        <v>2003.01</v>
      </c>
      <c r="B118" s="61">
        <v>1.8420000000000001</v>
      </c>
      <c r="C118" s="62">
        <v>0.89824748924667175</v>
      </c>
      <c r="E118" s="34"/>
      <c r="F118" s="33"/>
    </row>
    <row r="119" spans="1:6" x14ac:dyDescent="0.2">
      <c r="A119" s="28">
        <v>2003.02</v>
      </c>
      <c r="B119" s="61">
        <v>0.75</v>
      </c>
      <c r="C119" s="62">
        <v>0.89848710761115269</v>
      </c>
      <c r="E119" s="34"/>
      <c r="F119" s="33"/>
    </row>
    <row r="120" spans="1:6" x14ac:dyDescent="0.2">
      <c r="A120" s="28">
        <v>2003.03</v>
      </c>
      <c r="B120" s="61">
        <v>0.79</v>
      </c>
      <c r="C120" s="62">
        <v>0.90529038860250699</v>
      </c>
      <c r="E120" s="34"/>
      <c r="F120" s="33"/>
    </row>
    <row r="121" spans="1:6" x14ac:dyDescent="0.2">
      <c r="A121" s="28">
        <v>2003.04</v>
      </c>
      <c r="B121" s="61">
        <v>1.016</v>
      </c>
      <c r="C121" s="62">
        <v>1.0156855626435697</v>
      </c>
      <c r="E121" s="34"/>
      <c r="F121" s="33"/>
    </row>
    <row r="122" spans="1:6" x14ac:dyDescent="0.2">
      <c r="A122" s="28">
        <v>2003.05</v>
      </c>
      <c r="B122" s="61">
        <v>1.175</v>
      </c>
      <c r="C122" s="62">
        <v>1.2116292020501382</v>
      </c>
      <c r="E122" s="34"/>
      <c r="F122" s="33"/>
    </row>
    <row r="123" spans="1:6" x14ac:dyDescent="0.2">
      <c r="A123" s="28">
        <v>2003.06</v>
      </c>
      <c r="B123" s="61">
        <v>1.397</v>
      </c>
      <c r="C123" s="62">
        <v>1.413233441710636</v>
      </c>
      <c r="E123" s="34"/>
      <c r="F123" s="33"/>
    </row>
    <row r="124" spans="1:6" x14ac:dyDescent="0.2">
      <c r="A124" s="28">
        <v>2003.07</v>
      </c>
      <c r="B124" s="61">
        <v>1.677</v>
      </c>
      <c r="C124" s="62">
        <v>1.540390615386737</v>
      </c>
      <c r="E124" s="34"/>
      <c r="F124" s="33"/>
    </row>
    <row r="125" spans="1:6" x14ac:dyDescent="0.2">
      <c r="A125" s="28">
        <v>2003.08</v>
      </c>
      <c r="B125" s="61">
        <v>1.61</v>
      </c>
      <c r="C125" s="62">
        <v>1.6409658719685642</v>
      </c>
      <c r="E125" s="34"/>
      <c r="F125" s="33"/>
    </row>
    <row r="126" spans="1:6" x14ac:dyDescent="0.2">
      <c r="A126" s="28">
        <v>2003.09</v>
      </c>
      <c r="B126" s="61">
        <v>1.8420000000000001</v>
      </c>
      <c r="C126" s="62">
        <v>1.8098620366781604</v>
      </c>
      <c r="E126" s="34"/>
      <c r="F126" s="33"/>
    </row>
    <row r="127" spans="1:6" x14ac:dyDescent="0.2">
      <c r="A127" s="28">
        <v>2003.1</v>
      </c>
      <c r="B127" s="61">
        <v>2.0339999999999998</v>
      </c>
      <c r="C127" s="62">
        <v>2.0353227523853166</v>
      </c>
      <c r="E127" s="34"/>
      <c r="F127" s="33"/>
    </row>
    <row r="128" spans="1:6" x14ac:dyDescent="0.2">
      <c r="A128" s="28">
        <v>2003.11</v>
      </c>
      <c r="B128" s="61">
        <v>1.639</v>
      </c>
      <c r="C128" s="62">
        <v>2.2628975820746242</v>
      </c>
      <c r="E128" s="34"/>
      <c r="F128" s="33"/>
    </row>
    <row r="129" spans="1:6" x14ac:dyDescent="0.2">
      <c r="A129" s="28">
        <v>2003.12</v>
      </c>
      <c r="B129" s="61">
        <v>1.329</v>
      </c>
      <c r="C129" s="62">
        <v>2.3552005134185561</v>
      </c>
      <c r="E129" s="34"/>
      <c r="F129" s="33"/>
    </row>
    <row r="130" spans="1:6" x14ac:dyDescent="0.2">
      <c r="A130" s="28">
        <v>2004.01</v>
      </c>
      <c r="B130" s="61">
        <v>4.1230000000000002</v>
      </c>
      <c r="C130" s="62">
        <v>2.3892684547017229</v>
      </c>
      <c r="E130" s="34"/>
      <c r="F130" s="33"/>
    </row>
    <row r="131" spans="1:6" x14ac:dyDescent="0.2">
      <c r="A131" s="28">
        <v>2004.02</v>
      </c>
      <c r="B131" s="61">
        <v>2.3460000000000001</v>
      </c>
      <c r="C131" s="62">
        <v>2.5958860481905743</v>
      </c>
      <c r="E131" s="34"/>
      <c r="F131" s="33"/>
    </row>
    <row r="132" spans="1:6" x14ac:dyDescent="0.2">
      <c r="A132" s="28">
        <v>2004.03</v>
      </c>
      <c r="B132" s="61">
        <v>2.8180000000000001</v>
      </c>
      <c r="C132" s="62">
        <v>2.7833084931469765</v>
      </c>
      <c r="E132" s="34"/>
      <c r="F132" s="33"/>
    </row>
    <row r="133" spans="1:6" x14ac:dyDescent="0.2">
      <c r="A133" s="28">
        <v>2004.04</v>
      </c>
      <c r="B133" s="61">
        <v>2.827</v>
      </c>
      <c r="C133" s="62">
        <v>2.8835797066711226</v>
      </c>
      <c r="E133" s="34"/>
      <c r="F133" s="33"/>
    </row>
    <row r="134" spans="1:6" x14ac:dyDescent="0.2">
      <c r="A134" s="28">
        <v>2004.05</v>
      </c>
      <c r="B134" s="61">
        <v>2.944</v>
      </c>
      <c r="C134" s="62">
        <v>2.9458042216144875</v>
      </c>
      <c r="E134" s="34"/>
      <c r="F134" s="33"/>
    </row>
    <row r="135" spans="1:6" x14ac:dyDescent="0.2">
      <c r="A135" s="28">
        <v>2004.06</v>
      </c>
      <c r="B135" s="61">
        <v>2.8109999999999999</v>
      </c>
      <c r="C135" s="62">
        <v>2.9429592885539311</v>
      </c>
      <c r="E135" s="34"/>
      <c r="F135" s="33"/>
    </row>
    <row r="136" spans="1:6" x14ac:dyDescent="0.2">
      <c r="A136" s="28">
        <v>2004.07</v>
      </c>
      <c r="B136" s="61">
        <v>3.2240000000000002</v>
      </c>
      <c r="C136" s="62">
        <v>2.948482815438831</v>
      </c>
      <c r="E136" s="34"/>
      <c r="F136" s="33"/>
    </row>
    <row r="137" spans="1:6" x14ac:dyDescent="0.2">
      <c r="A137" s="28">
        <v>2004.08</v>
      </c>
      <c r="B137" s="61">
        <v>2.9239999999999999</v>
      </c>
      <c r="C137" s="62">
        <v>2.918952929851268</v>
      </c>
      <c r="E137" s="34"/>
      <c r="F137" s="33"/>
    </row>
    <row r="138" spans="1:6" x14ac:dyDescent="0.2">
      <c r="A138" s="28">
        <v>2004.09</v>
      </c>
      <c r="B138" s="61">
        <v>3.0670000000000002</v>
      </c>
      <c r="C138" s="62">
        <v>2.8611936555149504</v>
      </c>
      <c r="E138" s="34"/>
      <c r="F138" s="33"/>
    </row>
    <row r="139" spans="1:6" x14ac:dyDescent="0.2">
      <c r="A139" s="28">
        <v>2004.1</v>
      </c>
      <c r="B139" s="61">
        <v>2.4830000000000001</v>
      </c>
      <c r="C139" s="62">
        <v>2.8224412312241611</v>
      </c>
      <c r="E139" s="34"/>
      <c r="F139" s="33"/>
    </row>
    <row r="140" spans="1:6" x14ac:dyDescent="0.2">
      <c r="A140" s="28">
        <v>2004.11</v>
      </c>
      <c r="B140" s="61">
        <v>2.198</v>
      </c>
      <c r="C140" s="62">
        <v>2.8618496798832096</v>
      </c>
      <c r="E140" s="34"/>
      <c r="F140" s="33"/>
    </row>
    <row r="141" spans="1:6" x14ac:dyDescent="0.2">
      <c r="A141" s="28">
        <v>2004.12</v>
      </c>
      <c r="B141" s="61">
        <v>0.90900000000000003</v>
      </c>
      <c r="C141" s="62">
        <v>2.9939764404195048</v>
      </c>
      <c r="E141" s="34"/>
      <c r="F141" s="33"/>
    </row>
    <row r="142" spans="1:6" x14ac:dyDescent="0.2">
      <c r="A142" s="28">
        <v>2005.01</v>
      </c>
      <c r="B142" s="61">
        <v>5.8280000000000003</v>
      </c>
      <c r="C142" s="62">
        <v>3.1226361020698987</v>
      </c>
      <c r="E142" s="34"/>
      <c r="F142" s="33"/>
    </row>
    <row r="143" spans="1:6" x14ac:dyDescent="0.2">
      <c r="A143" s="28">
        <v>2005.02</v>
      </c>
      <c r="B143" s="61">
        <v>2.7679999999999998</v>
      </c>
      <c r="C143" s="62">
        <v>3.21672683722797</v>
      </c>
      <c r="E143" s="34"/>
      <c r="F143" s="33"/>
    </row>
    <row r="144" spans="1:6" x14ac:dyDescent="0.2">
      <c r="A144" s="28">
        <v>2005.03</v>
      </c>
      <c r="B144" s="61">
        <v>3.085</v>
      </c>
      <c r="C144" s="62">
        <v>3.2227409021854845</v>
      </c>
      <c r="E144" s="34"/>
      <c r="F144" s="33"/>
    </row>
    <row r="145" spans="1:6" x14ac:dyDescent="0.2">
      <c r="A145" s="28">
        <v>2005.04</v>
      </c>
      <c r="B145" s="61">
        <v>3.1749999999999998</v>
      </c>
      <c r="C145" s="62">
        <v>3.1702649487275107</v>
      </c>
      <c r="E145" s="34"/>
      <c r="F145" s="33"/>
    </row>
    <row r="146" spans="1:6" x14ac:dyDescent="0.2">
      <c r="A146" s="28">
        <v>2005.05</v>
      </c>
      <c r="B146" s="61">
        <v>3.3340000000000001</v>
      </c>
      <c r="C146" s="62">
        <v>3.2273739152441325</v>
      </c>
      <c r="E146" s="34"/>
      <c r="F146" s="33"/>
    </row>
    <row r="147" spans="1:6" x14ac:dyDescent="0.2">
      <c r="A147" s="28">
        <v>2005.06</v>
      </c>
      <c r="B147" s="61">
        <v>3.2549999999999999</v>
      </c>
      <c r="C147" s="62">
        <v>3.3325796290839209</v>
      </c>
      <c r="E147" s="34"/>
      <c r="F147" s="33"/>
    </row>
    <row r="148" spans="1:6" x14ac:dyDescent="0.2">
      <c r="A148" s="28">
        <v>2005.07</v>
      </c>
      <c r="B148" s="61">
        <v>3.4769999999999999</v>
      </c>
      <c r="C148" s="62">
        <v>3.2985679377047692</v>
      </c>
      <c r="E148" s="34"/>
      <c r="F148" s="33"/>
    </row>
    <row r="149" spans="1:6" x14ac:dyDescent="0.2">
      <c r="A149" s="28">
        <v>2005.08</v>
      </c>
      <c r="B149" s="61">
        <v>3.2690000000000001</v>
      </c>
      <c r="C149" s="62">
        <v>3.2191730365710027</v>
      </c>
      <c r="E149" s="34"/>
      <c r="F149" s="33"/>
    </row>
    <row r="150" spans="1:6" x14ac:dyDescent="0.2">
      <c r="A150" s="28">
        <v>2005.09</v>
      </c>
      <c r="B150" s="61">
        <v>3.617</v>
      </c>
      <c r="C150" s="62">
        <v>3.2433255721380498</v>
      </c>
      <c r="E150" s="34"/>
      <c r="F150" s="33"/>
    </row>
    <row r="151" spans="1:6" x14ac:dyDescent="0.2">
      <c r="A151" s="28">
        <v>2005.1</v>
      </c>
      <c r="B151" s="61">
        <v>2.8639999999999999</v>
      </c>
      <c r="C151" s="62">
        <v>3.2491956796338752</v>
      </c>
      <c r="E151" s="34"/>
      <c r="F151" s="33"/>
    </row>
    <row r="152" spans="1:6" x14ac:dyDescent="0.2">
      <c r="A152" s="28">
        <v>2005.11</v>
      </c>
      <c r="B152" s="61">
        <v>2.4500000000000002</v>
      </c>
      <c r="C152" s="62">
        <v>3.256360528712404</v>
      </c>
      <c r="E152" s="34"/>
      <c r="F152" s="33"/>
    </row>
    <row r="153" spans="1:6" x14ac:dyDescent="0.2">
      <c r="A153" s="28">
        <v>2005.12</v>
      </c>
      <c r="B153" s="61">
        <v>0.95199999999999996</v>
      </c>
      <c r="C153" s="62">
        <v>3.3640952966661768</v>
      </c>
      <c r="E153" s="34"/>
      <c r="F153" s="33"/>
    </row>
    <row r="154" spans="1:6" x14ac:dyDescent="0.2">
      <c r="A154" s="28">
        <v>2006.01</v>
      </c>
      <c r="B154" s="61">
        <v>6.7450000000000001</v>
      </c>
      <c r="C154" s="62">
        <v>3.4630022155265192</v>
      </c>
      <c r="E154" s="34"/>
      <c r="F154" s="33"/>
    </row>
    <row r="155" spans="1:6" x14ac:dyDescent="0.2">
      <c r="A155" s="28">
        <v>2006.02</v>
      </c>
      <c r="B155" s="61">
        <v>3.0470000000000002</v>
      </c>
      <c r="C155" s="62">
        <v>3.4628280451067415</v>
      </c>
      <c r="E155" s="34"/>
      <c r="F155" s="33"/>
    </row>
    <row r="156" spans="1:6" x14ac:dyDescent="0.2">
      <c r="A156" s="28">
        <v>2006.03</v>
      </c>
      <c r="B156" s="61">
        <v>3.5619999999999998</v>
      </c>
      <c r="C156" s="62">
        <v>3.4846619245470336</v>
      </c>
      <c r="E156" s="34"/>
      <c r="F156" s="33"/>
    </row>
    <row r="157" spans="1:6" x14ac:dyDescent="0.2">
      <c r="A157" s="28">
        <v>2006.04</v>
      </c>
      <c r="B157" s="61">
        <v>3.222</v>
      </c>
      <c r="C157" s="62">
        <v>3.5164158770458656</v>
      </c>
      <c r="E157" s="34"/>
      <c r="F157" s="33"/>
    </row>
    <row r="158" spans="1:6" x14ac:dyDescent="0.2">
      <c r="A158" s="28">
        <v>2006.05</v>
      </c>
      <c r="B158" s="61">
        <v>3.5169999999999999</v>
      </c>
      <c r="C158" s="62">
        <v>3.4246215021760484</v>
      </c>
      <c r="E158" s="34"/>
      <c r="F158" s="33"/>
    </row>
    <row r="159" spans="1:6" x14ac:dyDescent="0.2">
      <c r="A159" s="28">
        <v>2006.06</v>
      </c>
      <c r="B159" s="61">
        <v>3.2890000000000001</v>
      </c>
      <c r="C159" s="62">
        <v>3.3336093606038721</v>
      </c>
      <c r="E159" s="34"/>
      <c r="F159" s="33"/>
    </row>
    <row r="160" spans="1:6" x14ac:dyDescent="0.2">
      <c r="A160" s="28">
        <v>2006.07</v>
      </c>
      <c r="B160" s="61">
        <v>3.343</v>
      </c>
      <c r="C160" s="62">
        <v>3.3361061877229821</v>
      </c>
      <c r="E160" s="34"/>
      <c r="F160" s="33"/>
    </row>
    <row r="161" spans="1:6" x14ac:dyDescent="0.2">
      <c r="A161" s="28">
        <v>2006.08</v>
      </c>
      <c r="B161" s="61">
        <v>3.76</v>
      </c>
      <c r="C161" s="62">
        <v>3.38667914186132</v>
      </c>
      <c r="E161" s="34"/>
      <c r="F161" s="33"/>
    </row>
    <row r="162" spans="1:6" x14ac:dyDescent="0.2">
      <c r="A162" s="28">
        <v>2006.09</v>
      </c>
      <c r="B162" s="61">
        <v>3.5819999999999999</v>
      </c>
      <c r="C162" s="62">
        <v>3.4457713741068012</v>
      </c>
      <c r="E162" s="34"/>
      <c r="F162" s="33"/>
    </row>
    <row r="163" spans="1:6" x14ac:dyDescent="0.2">
      <c r="A163" s="28">
        <v>2006.1</v>
      </c>
      <c r="B163" s="61">
        <v>3.3330000000000002</v>
      </c>
      <c r="C163" s="62">
        <v>3.4803482354523343</v>
      </c>
      <c r="E163" s="34"/>
      <c r="F163" s="33"/>
    </row>
    <row r="164" spans="1:6" x14ac:dyDescent="0.2">
      <c r="A164" s="28">
        <v>2006.11</v>
      </c>
      <c r="B164" s="61">
        <v>2.569</v>
      </c>
      <c r="C164" s="62">
        <v>3.5224851863705062</v>
      </c>
      <c r="E164" s="34"/>
      <c r="F164" s="33"/>
    </row>
    <row r="165" spans="1:6" x14ac:dyDescent="0.2">
      <c r="A165" s="28">
        <v>2006.12</v>
      </c>
      <c r="B165" s="61">
        <v>1.155</v>
      </c>
      <c r="C165" s="62">
        <v>3.6968433738080688</v>
      </c>
      <c r="E165" s="34"/>
      <c r="F165" s="33"/>
    </row>
    <row r="166" spans="1:6" x14ac:dyDescent="0.2">
      <c r="A166" s="28">
        <v>2007.01</v>
      </c>
      <c r="B166" s="61">
        <v>7.6980000000000004</v>
      </c>
      <c r="C166" s="62">
        <v>3.9028730662526381</v>
      </c>
      <c r="E166" s="34"/>
      <c r="F166" s="33"/>
    </row>
    <row r="167" spans="1:6" x14ac:dyDescent="0.2">
      <c r="A167" s="28">
        <v>2007.02</v>
      </c>
      <c r="B167" s="61">
        <v>3.5150000000000001</v>
      </c>
      <c r="C167" s="62">
        <v>3.9895057059118497</v>
      </c>
      <c r="E167" s="34"/>
      <c r="F167" s="33"/>
    </row>
    <row r="168" spans="1:6" x14ac:dyDescent="0.2">
      <c r="A168" s="28">
        <v>2007.03</v>
      </c>
      <c r="B168" s="61">
        <v>4.0229999999999997</v>
      </c>
      <c r="C168" s="62">
        <v>3.9951871684085898</v>
      </c>
      <c r="E168" s="34"/>
      <c r="F168" s="33"/>
    </row>
    <row r="169" spans="1:6" x14ac:dyDescent="0.2">
      <c r="A169" s="28">
        <v>2007.04</v>
      </c>
      <c r="B169" s="61">
        <v>3.6280000000000001</v>
      </c>
      <c r="C169" s="62">
        <v>3.9774756119675887</v>
      </c>
      <c r="E169" s="34"/>
      <c r="F169" s="33"/>
    </row>
    <row r="170" spans="1:6" x14ac:dyDescent="0.2">
      <c r="A170" s="28">
        <v>2007.05</v>
      </c>
      <c r="B170" s="61">
        <v>4.2</v>
      </c>
      <c r="C170" s="62">
        <v>4.0425207566463488</v>
      </c>
      <c r="E170" s="34"/>
      <c r="F170" s="33"/>
    </row>
    <row r="171" spans="1:6" x14ac:dyDescent="0.2">
      <c r="A171" s="28">
        <v>2007.06</v>
      </c>
      <c r="B171" s="61">
        <v>3.9580000000000002</v>
      </c>
      <c r="C171" s="62">
        <v>4.1732036888803439</v>
      </c>
      <c r="E171" s="34"/>
      <c r="F171" s="33"/>
    </row>
    <row r="172" spans="1:6" x14ac:dyDescent="0.2">
      <c r="A172" s="28">
        <v>2007.07</v>
      </c>
      <c r="B172" s="61">
        <v>4.5049999999999999</v>
      </c>
      <c r="C172" s="62">
        <v>4.4025482539968497</v>
      </c>
      <c r="E172" s="34"/>
      <c r="F172" s="33"/>
    </row>
    <row r="173" spans="1:6" x14ac:dyDescent="0.2">
      <c r="A173" s="28">
        <v>2007.08</v>
      </c>
      <c r="B173" s="61">
        <v>5.4359999999999999</v>
      </c>
      <c r="C173" s="62">
        <v>4.6901684172136413</v>
      </c>
      <c r="E173" s="34"/>
      <c r="F173" s="33"/>
    </row>
    <row r="174" spans="1:6" x14ac:dyDescent="0.2">
      <c r="A174" s="28">
        <v>2007.09</v>
      </c>
      <c r="B174" s="61">
        <v>4.8819999999999997</v>
      </c>
      <c r="C174" s="62">
        <v>4.8104388290095104</v>
      </c>
      <c r="E174" s="34"/>
      <c r="F174" s="33"/>
    </row>
    <row r="175" spans="1:6" x14ac:dyDescent="0.2">
      <c r="A175" s="28">
        <v>2007.1</v>
      </c>
      <c r="B175" s="61">
        <v>4.7969999999999997</v>
      </c>
      <c r="C175" s="62">
        <v>4.8390069232692667</v>
      </c>
      <c r="E175" s="34"/>
      <c r="F175" s="33"/>
    </row>
    <row r="176" spans="1:6" x14ac:dyDescent="0.2">
      <c r="A176" s="28">
        <v>2007.11</v>
      </c>
      <c r="B176" s="61">
        <v>3.6779999999999999</v>
      </c>
      <c r="C176" s="62">
        <v>4.8476060121909024</v>
      </c>
      <c r="E176" s="34"/>
      <c r="F176" s="33"/>
    </row>
    <row r="177" spans="1:6" x14ac:dyDescent="0.2">
      <c r="A177" s="28">
        <v>2007.12</v>
      </c>
      <c r="B177" s="61">
        <v>1.986</v>
      </c>
      <c r="C177" s="62">
        <v>4.7739219997440987</v>
      </c>
      <c r="E177" s="35"/>
      <c r="F177" s="33"/>
    </row>
    <row r="178" spans="1:6" x14ac:dyDescent="0.2">
      <c r="A178" s="28">
        <f t="shared" ref="A178:A241" si="0">A166+1</f>
        <v>2008.01</v>
      </c>
      <c r="B178" s="61">
        <v>8.1839999999999993</v>
      </c>
      <c r="C178" s="62">
        <v>4.703396967879133</v>
      </c>
      <c r="E178" s="34"/>
      <c r="F178" s="33"/>
    </row>
    <row r="179" spans="1:6" x14ac:dyDescent="0.2">
      <c r="A179" s="28">
        <f t="shared" si="0"/>
        <v>2008.02</v>
      </c>
      <c r="B179" s="61">
        <v>4.3810000000000002</v>
      </c>
      <c r="C179" s="62">
        <v>4.7406561907290605</v>
      </c>
      <c r="E179" s="34"/>
      <c r="F179" s="33"/>
    </row>
    <row r="180" spans="1:6" x14ac:dyDescent="0.2">
      <c r="A180" s="28">
        <f t="shared" si="0"/>
        <v>2008.03</v>
      </c>
      <c r="B180" s="61">
        <v>4.1840000000000002</v>
      </c>
      <c r="C180" s="62">
        <v>4.8521949434287386</v>
      </c>
      <c r="E180" s="34"/>
      <c r="F180" s="33"/>
    </row>
    <row r="181" spans="1:6" x14ac:dyDescent="0.2">
      <c r="A181" s="28">
        <f t="shared" si="0"/>
        <v>2008.04</v>
      </c>
      <c r="B181" s="61">
        <v>5.226</v>
      </c>
      <c r="C181" s="62">
        <v>4.9860735325232568</v>
      </c>
      <c r="E181" s="34"/>
      <c r="F181" s="33"/>
    </row>
    <row r="182" spans="1:6" x14ac:dyDescent="0.2">
      <c r="A182" s="28">
        <f t="shared" si="0"/>
        <v>2008.05</v>
      </c>
      <c r="B182" s="61">
        <v>5.2270000000000003</v>
      </c>
      <c r="C182" s="62">
        <v>4.9567265606070663</v>
      </c>
      <c r="E182" s="34"/>
      <c r="F182" s="33"/>
    </row>
    <row r="183" spans="1:6" x14ac:dyDescent="0.2">
      <c r="A183" s="28">
        <f t="shared" si="0"/>
        <v>2008.06</v>
      </c>
      <c r="B183" s="61">
        <v>4.2560000000000002</v>
      </c>
      <c r="C183" s="62">
        <v>4.7606896644425021</v>
      </c>
      <c r="E183" s="34"/>
      <c r="F183" s="33"/>
    </row>
    <row r="184" spans="1:6" x14ac:dyDescent="0.2">
      <c r="A184" s="28">
        <f t="shared" si="0"/>
        <v>2008.07</v>
      </c>
      <c r="B184" s="61">
        <v>5.2350000000000003</v>
      </c>
      <c r="C184" s="62">
        <v>4.730034915164528</v>
      </c>
      <c r="E184" s="34"/>
      <c r="F184" s="33"/>
    </row>
    <row r="185" spans="1:6" x14ac:dyDescent="0.2">
      <c r="A185" s="28">
        <f t="shared" si="0"/>
        <v>2008.08</v>
      </c>
      <c r="B185" s="61">
        <v>5.0220000000000002</v>
      </c>
      <c r="C185" s="62">
        <v>4.7533774183278767</v>
      </c>
      <c r="E185" s="34"/>
      <c r="F185" s="33"/>
    </row>
    <row r="186" spans="1:6" x14ac:dyDescent="0.2">
      <c r="A186" s="28">
        <f t="shared" si="0"/>
        <v>2008.09</v>
      </c>
      <c r="B186" s="61">
        <v>5.1870000000000003</v>
      </c>
      <c r="C186" s="62">
        <v>4.6444346145378645</v>
      </c>
      <c r="E186" s="34"/>
      <c r="F186" s="33"/>
    </row>
    <row r="187" spans="1:6" x14ac:dyDescent="0.2">
      <c r="A187" s="28">
        <f t="shared" si="0"/>
        <v>2008.1</v>
      </c>
      <c r="B187" s="61">
        <v>4.5609999999999999</v>
      </c>
      <c r="C187" s="62">
        <v>4.3825928686961229</v>
      </c>
      <c r="E187" s="34"/>
      <c r="F187" s="33"/>
    </row>
    <row r="188" spans="1:6" x14ac:dyDescent="0.2">
      <c r="A188" s="28">
        <f t="shared" si="0"/>
        <v>2008.11</v>
      </c>
      <c r="B188" s="61">
        <v>2.7869999999999999</v>
      </c>
      <c r="C188" s="62">
        <v>4.0203584483281549</v>
      </c>
      <c r="E188" s="34"/>
      <c r="F188" s="33"/>
    </row>
    <row r="189" spans="1:6" x14ac:dyDescent="0.2">
      <c r="A189" s="28">
        <f t="shared" si="0"/>
        <v>2008.12</v>
      </c>
      <c r="B189" s="61">
        <v>1.34</v>
      </c>
      <c r="C189" s="62">
        <v>3.7926974049836035</v>
      </c>
      <c r="E189" s="35"/>
      <c r="F189" s="33"/>
    </row>
    <row r="190" spans="1:6" x14ac:dyDescent="0.2">
      <c r="A190" s="28">
        <f t="shared" si="0"/>
        <v>2009.01</v>
      </c>
      <c r="B190" s="61">
        <v>6.4809999999999999</v>
      </c>
      <c r="C190" s="62">
        <v>3.6910375425359194</v>
      </c>
      <c r="E190" s="34"/>
      <c r="F190" s="33"/>
    </row>
    <row r="191" spans="1:6" x14ac:dyDescent="0.2">
      <c r="A191" s="28">
        <f t="shared" si="0"/>
        <v>2009.02</v>
      </c>
      <c r="B191" s="61">
        <v>3.1840000000000002</v>
      </c>
      <c r="C191" s="62">
        <v>3.558607675650344</v>
      </c>
      <c r="E191" s="34"/>
      <c r="F191" s="33"/>
    </row>
    <row r="192" spans="1:6" x14ac:dyDescent="0.2">
      <c r="A192" s="28">
        <f t="shared" si="0"/>
        <v>2009.03</v>
      </c>
      <c r="B192" s="61">
        <v>3.3050000000000002</v>
      </c>
      <c r="C192" s="62">
        <v>3.4711068265645677</v>
      </c>
      <c r="E192" s="34"/>
      <c r="F192" s="33"/>
    </row>
    <row r="193" spans="1:6" x14ac:dyDescent="0.2">
      <c r="A193" s="28">
        <f t="shared" si="0"/>
        <v>2009.04</v>
      </c>
      <c r="B193" s="61">
        <v>3.375</v>
      </c>
      <c r="C193" s="62">
        <v>3.5481956972568445</v>
      </c>
      <c r="E193" s="34"/>
      <c r="F193" s="33"/>
    </row>
    <row r="194" spans="1:6" x14ac:dyDescent="0.2">
      <c r="A194" s="28">
        <f t="shared" si="0"/>
        <v>2009.05</v>
      </c>
      <c r="B194" s="61">
        <v>3.4279999999999999</v>
      </c>
      <c r="C194" s="62">
        <v>3.6630378799667245</v>
      </c>
      <c r="E194" s="34"/>
      <c r="F194" s="33"/>
    </row>
    <row r="195" spans="1:6" x14ac:dyDescent="0.2">
      <c r="A195" s="28">
        <f t="shared" si="0"/>
        <v>2009.06</v>
      </c>
      <c r="B195" s="61">
        <v>3.8519999999999999</v>
      </c>
      <c r="C195" s="62">
        <v>3.693981358697433</v>
      </c>
      <c r="E195" s="34"/>
      <c r="F195" s="33"/>
    </row>
    <row r="196" spans="1:6" x14ac:dyDescent="0.2">
      <c r="A196" s="28">
        <f t="shared" si="0"/>
        <v>2009.07</v>
      </c>
      <c r="B196" s="61">
        <v>3.9460000000000002</v>
      </c>
      <c r="C196" s="62">
        <v>3.6005530593962023</v>
      </c>
      <c r="E196" s="34"/>
      <c r="F196" s="33"/>
    </row>
    <row r="197" spans="1:6" x14ac:dyDescent="0.2">
      <c r="A197" s="28">
        <f t="shared" si="0"/>
        <v>2009.08</v>
      </c>
      <c r="B197" s="61">
        <v>3.617</v>
      </c>
      <c r="C197" s="62">
        <v>3.4872959798891112</v>
      </c>
      <c r="E197" s="34"/>
      <c r="F197" s="33"/>
    </row>
    <row r="198" spans="1:6" x14ac:dyDescent="0.2">
      <c r="A198" s="28">
        <f t="shared" si="0"/>
        <v>2009.09</v>
      </c>
      <c r="B198" s="61">
        <v>3.9020000000000001</v>
      </c>
      <c r="C198" s="62">
        <v>3.4377353292876442</v>
      </c>
      <c r="E198" s="34"/>
      <c r="F198" s="33"/>
    </row>
    <row r="199" spans="1:6" x14ac:dyDescent="0.2">
      <c r="A199" s="28">
        <f t="shared" si="0"/>
        <v>2009.1</v>
      </c>
      <c r="B199" s="61">
        <v>3.2290000000000001</v>
      </c>
      <c r="C199" s="62">
        <v>3.5108567084592761</v>
      </c>
      <c r="E199" s="34"/>
      <c r="F199" s="33"/>
    </row>
    <row r="200" spans="1:6" x14ac:dyDescent="0.2">
      <c r="A200" s="28">
        <f t="shared" si="0"/>
        <v>2009.11</v>
      </c>
      <c r="B200" s="61">
        <v>2.9660000000000002</v>
      </c>
      <c r="C200" s="62">
        <v>3.7497409271918127</v>
      </c>
      <c r="E200" s="34"/>
      <c r="F200" s="33"/>
    </row>
    <row r="201" spans="1:6" x14ac:dyDescent="0.2">
      <c r="A201" s="28">
        <f t="shared" si="0"/>
        <v>2009.12</v>
      </c>
      <c r="B201" s="61">
        <v>1.47</v>
      </c>
      <c r="C201" s="62">
        <v>3.9797136134676974</v>
      </c>
      <c r="E201" s="35"/>
      <c r="F201" s="33"/>
    </row>
    <row r="202" spans="1:6" x14ac:dyDescent="0.2">
      <c r="A202" s="28">
        <f t="shared" si="0"/>
        <v>2010.01</v>
      </c>
      <c r="B202" s="61">
        <v>6.9740000000000002</v>
      </c>
      <c r="C202" s="62">
        <v>4.1414563725873617</v>
      </c>
      <c r="E202" s="34"/>
      <c r="F202" s="33"/>
    </row>
    <row r="203" spans="1:6" x14ac:dyDescent="0.2">
      <c r="A203" s="28">
        <f t="shared" si="0"/>
        <v>2010.02</v>
      </c>
      <c r="B203" s="61">
        <v>3.6339999999999999</v>
      </c>
      <c r="C203" s="62">
        <v>4.2783604491133325</v>
      </c>
      <c r="E203" s="34"/>
      <c r="F203" s="33"/>
    </row>
    <row r="204" spans="1:6" x14ac:dyDescent="0.2">
      <c r="A204" s="28">
        <f t="shared" si="0"/>
        <v>2010.03</v>
      </c>
      <c r="B204" s="61">
        <v>4.4649999999999999</v>
      </c>
      <c r="C204" s="62">
        <v>4.3054240372965324</v>
      </c>
      <c r="E204" s="34"/>
      <c r="F204" s="33"/>
    </row>
    <row r="205" spans="1:6" x14ac:dyDescent="0.2">
      <c r="A205" s="28">
        <f t="shared" si="0"/>
        <v>2010.04</v>
      </c>
      <c r="B205" s="61">
        <v>3.9950000000000001</v>
      </c>
      <c r="C205" s="62">
        <v>4.1836837475611039</v>
      </c>
      <c r="E205" s="34"/>
      <c r="F205" s="33"/>
    </row>
    <row r="206" spans="1:6" x14ac:dyDescent="0.2">
      <c r="A206" s="28">
        <f t="shared" si="0"/>
        <v>2010.05</v>
      </c>
      <c r="B206" s="61">
        <v>3.9390000000000001</v>
      </c>
      <c r="C206" s="62">
        <v>4.1464309524409897</v>
      </c>
      <c r="E206" s="34"/>
      <c r="F206" s="33"/>
    </row>
    <row r="207" spans="1:6" x14ac:dyDescent="0.2">
      <c r="A207" s="28">
        <f t="shared" si="0"/>
        <v>2010.06</v>
      </c>
      <c r="B207" s="61">
        <v>4.4160000000000004</v>
      </c>
      <c r="C207" s="62">
        <v>4.3155816364561401</v>
      </c>
      <c r="E207" s="34"/>
      <c r="F207" s="33"/>
    </row>
    <row r="208" spans="1:6" x14ac:dyDescent="0.2">
      <c r="A208" s="28">
        <f t="shared" si="0"/>
        <v>2010.07</v>
      </c>
      <c r="B208" s="61">
        <v>4.915</v>
      </c>
      <c r="C208" s="62">
        <v>4.5090096414988352</v>
      </c>
      <c r="E208" s="34"/>
      <c r="F208" s="33"/>
    </row>
    <row r="209" spans="1:6" x14ac:dyDescent="0.2">
      <c r="A209" s="28">
        <f t="shared" si="0"/>
        <v>2010.08</v>
      </c>
      <c r="B209" s="61">
        <v>4.9260000000000002</v>
      </c>
      <c r="C209" s="62">
        <v>4.6513390052216401</v>
      </c>
      <c r="E209" s="34"/>
      <c r="F209" s="33"/>
    </row>
    <row r="210" spans="1:6" x14ac:dyDescent="0.2">
      <c r="A210" s="28">
        <f t="shared" si="0"/>
        <v>2010.09</v>
      </c>
      <c r="B210" s="61">
        <v>5.4710000000000001</v>
      </c>
      <c r="C210" s="62">
        <v>4.8148177182973422</v>
      </c>
      <c r="E210" s="34"/>
      <c r="F210" s="33"/>
    </row>
    <row r="211" spans="1:6" x14ac:dyDescent="0.2">
      <c r="A211" s="28">
        <f t="shared" si="0"/>
        <v>2010.1</v>
      </c>
      <c r="B211" s="61">
        <v>4.6340000000000003</v>
      </c>
      <c r="C211" s="62">
        <v>5.0338564927678098</v>
      </c>
      <c r="E211" s="34"/>
      <c r="F211" s="33"/>
    </row>
    <row r="212" spans="1:6" x14ac:dyDescent="0.2">
      <c r="A212" s="28">
        <f t="shared" si="0"/>
        <v>2010.11</v>
      </c>
      <c r="B212" s="61">
        <v>4.375</v>
      </c>
      <c r="C212" s="62">
        <v>5.2844529287333595</v>
      </c>
      <c r="E212" s="34"/>
      <c r="F212" s="33"/>
    </row>
    <row r="213" spans="1:6" x14ac:dyDescent="0.2">
      <c r="A213" s="28">
        <f t="shared" si="0"/>
        <v>2010.12</v>
      </c>
      <c r="B213" s="61">
        <v>3.0649999999999999</v>
      </c>
      <c r="C213" s="62">
        <v>5.4753303880196595</v>
      </c>
      <c r="E213" s="35"/>
      <c r="F213" s="33"/>
    </row>
    <row r="214" spans="1:6" x14ac:dyDescent="0.2">
      <c r="A214" s="28">
        <f t="shared" si="0"/>
        <v>2011.01</v>
      </c>
      <c r="B214" s="61">
        <v>9.0510000000000002</v>
      </c>
      <c r="C214" s="62">
        <v>5.6305449773859113</v>
      </c>
      <c r="E214" s="34"/>
      <c r="F214" s="33"/>
    </row>
    <row r="215" spans="1:6" x14ac:dyDescent="0.2">
      <c r="A215" s="28">
        <f t="shared" si="0"/>
        <v>2011.02</v>
      </c>
      <c r="B215" s="61">
        <v>4.93</v>
      </c>
      <c r="C215" s="62">
        <v>5.651023265680525</v>
      </c>
      <c r="E215" s="34"/>
      <c r="F215" s="33"/>
    </row>
    <row r="216" spans="1:6" x14ac:dyDescent="0.2">
      <c r="A216" s="28">
        <f t="shared" si="0"/>
        <v>2011.03</v>
      </c>
      <c r="B216" s="61">
        <v>5.899</v>
      </c>
      <c r="C216" s="62">
        <v>5.6041272185871129</v>
      </c>
      <c r="E216" s="34"/>
      <c r="F216" s="33"/>
    </row>
    <row r="217" spans="1:6" x14ac:dyDescent="0.2">
      <c r="A217" s="28">
        <f t="shared" si="0"/>
        <v>2011.04</v>
      </c>
      <c r="B217" s="61">
        <v>5.8620000000000001</v>
      </c>
      <c r="C217" s="62">
        <v>5.7031861257137475</v>
      </c>
      <c r="E217" s="34"/>
      <c r="F217" s="33"/>
    </row>
    <row r="218" spans="1:6" x14ac:dyDescent="0.2">
      <c r="A218" s="28">
        <f t="shared" si="0"/>
        <v>2011.05</v>
      </c>
      <c r="B218" s="61">
        <v>5.66</v>
      </c>
      <c r="C218" s="62">
        <v>5.949390607175963</v>
      </c>
      <c r="E218" s="34"/>
      <c r="F218" s="33"/>
    </row>
    <row r="219" spans="1:6" x14ac:dyDescent="0.2">
      <c r="A219" s="28">
        <f t="shared" si="0"/>
        <v>2011.06</v>
      </c>
      <c r="B219" s="61">
        <v>7.1150000000000002</v>
      </c>
      <c r="C219" s="62">
        <v>6.2400254422771084</v>
      </c>
      <c r="E219" s="34"/>
      <c r="F219" s="33"/>
    </row>
    <row r="220" spans="1:6" x14ac:dyDescent="0.2">
      <c r="A220" s="28">
        <f t="shared" si="0"/>
        <v>2011.07</v>
      </c>
      <c r="B220" s="61">
        <v>6.36</v>
      </c>
      <c r="C220" s="62">
        <v>6.3063327452924369</v>
      </c>
      <c r="E220" s="34"/>
      <c r="F220" s="33"/>
    </row>
    <row r="221" spans="1:6" x14ac:dyDescent="0.2">
      <c r="A221" s="28">
        <f t="shared" si="0"/>
        <v>2011.08</v>
      </c>
      <c r="B221" s="61">
        <v>7.1050000000000004</v>
      </c>
      <c r="C221" s="62">
        <v>6.3394926536329637</v>
      </c>
      <c r="E221" s="34"/>
      <c r="F221" s="33"/>
    </row>
    <row r="222" spans="1:6" x14ac:dyDescent="0.2">
      <c r="A222" s="28">
        <f t="shared" si="0"/>
        <v>2011.09</v>
      </c>
      <c r="B222" s="61">
        <v>7.2869999999999999</v>
      </c>
      <c r="C222" s="62">
        <v>6.4550145288454877</v>
      </c>
      <c r="E222" s="34"/>
      <c r="F222" s="33"/>
    </row>
    <row r="223" spans="1:6" x14ac:dyDescent="0.2">
      <c r="A223" s="28">
        <f t="shared" si="0"/>
        <v>2011.1</v>
      </c>
      <c r="B223" s="61">
        <v>6.1769999999999996</v>
      </c>
      <c r="C223" s="62">
        <v>6.4934939133415703</v>
      </c>
      <c r="E223" s="34"/>
      <c r="F223" s="33"/>
    </row>
    <row r="224" spans="1:6" x14ac:dyDescent="0.2">
      <c r="A224" s="28">
        <f t="shared" si="0"/>
        <v>2011.11</v>
      </c>
      <c r="B224" s="61">
        <v>5.3639999999999999</v>
      </c>
      <c r="C224" s="62">
        <v>6.3629409466590729</v>
      </c>
      <c r="E224" s="34"/>
      <c r="F224" s="33"/>
    </row>
    <row r="225" spans="1:6" x14ac:dyDescent="0.2">
      <c r="A225" s="28">
        <f t="shared" si="0"/>
        <v>2011.12</v>
      </c>
      <c r="B225" s="61">
        <v>2.8679999999999999</v>
      </c>
      <c r="C225" s="62">
        <v>6.0467062483116472</v>
      </c>
      <c r="E225" s="35"/>
      <c r="F225" s="33"/>
    </row>
    <row r="226" spans="1:6" x14ac:dyDescent="0.2">
      <c r="A226" s="28">
        <f t="shared" si="0"/>
        <v>2012.01</v>
      </c>
      <c r="B226" s="61">
        <v>9.4220000000000006</v>
      </c>
      <c r="C226" s="62">
        <v>5.7636267759473583</v>
      </c>
      <c r="E226" s="34"/>
      <c r="F226" s="33"/>
    </row>
    <row r="227" spans="1:6" x14ac:dyDescent="0.2">
      <c r="A227" s="28">
        <f t="shared" si="0"/>
        <v>2012.02</v>
      </c>
      <c r="B227" s="61">
        <v>4.7389999999999999</v>
      </c>
      <c r="C227" s="62">
        <v>5.7402791783553386</v>
      </c>
      <c r="E227" s="34"/>
      <c r="F227" s="33"/>
    </row>
    <row r="228" spans="1:6" x14ac:dyDescent="0.2">
      <c r="A228" s="28">
        <f t="shared" si="0"/>
        <v>2012.03</v>
      </c>
      <c r="B228" s="61">
        <v>6.6710000000000003</v>
      </c>
      <c r="C228" s="62">
        <v>5.8930160751612641</v>
      </c>
      <c r="E228" s="34"/>
      <c r="F228" s="33"/>
    </row>
    <row r="229" spans="1:6" x14ac:dyDescent="0.2">
      <c r="A229" s="28">
        <f t="shared" si="0"/>
        <v>2012.04</v>
      </c>
      <c r="B229" s="61">
        <v>5.0110000000000001</v>
      </c>
      <c r="C229" s="62">
        <v>5.9485958915426949</v>
      </c>
      <c r="E229" s="34"/>
      <c r="F229" s="33"/>
    </row>
    <row r="230" spans="1:6" x14ac:dyDescent="0.2">
      <c r="A230" s="28">
        <f t="shared" si="0"/>
        <v>2012.05</v>
      </c>
      <c r="B230" s="61">
        <v>6.3710000000000004</v>
      </c>
      <c r="C230" s="62">
        <v>5.9855798264354236</v>
      </c>
      <c r="E230" s="34"/>
      <c r="F230" s="33"/>
    </row>
    <row r="231" spans="1:6" x14ac:dyDescent="0.2">
      <c r="A231" s="28">
        <f t="shared" si="0"/>
        <v>2012.06</v>
      </c>
      <c r="B231" s="61">
        <v>5.9370000000000003</v>
      </c>
      <c r="C231" s="62">
        <v>5.9486486206396449</v>
      </c>
      <c r="E231" s="34"/>
      <c r="F231" s="33"/>
    </row>
    <row r="232" spans="1:6" x14ac:dyDescent="0.2">
      <c r="A232" s="28">
        <f t="shared" si="0"/>
        <v>2012.07</v>
      </c>
      <c r="B232" s="61">
        <v>6.2190000000000003</v>
      </c>
      <c r="C232" s="62">
        <v>5.8024227129644643</v>
      </c>
      <c r="E232" s="34"/>
      <c r="F232" s="33"/>
    </row>
    <row r="233" spans="1:6" x14ac:dyDescent="0.2">
      <c r="A233" s="28">
        <f t="shared" si="0"/>
        <v>2012.08</v>
      </c>
      <c r="B233" s="61">
        <v>6.383</v>
      </c>
      <c r="C233" s="62">
        <v>5.5866166454481938</v>
      </c>
      <c r="E233" s="34"/>
      <c r="F233" s="33"/>
    </row>
    <row r="234" spans="1:6" x14ac:dyDescent="0.2">
      <c r="A234" s="28">
        <f t="shared" si="0"/>
        <v>2012.09</v>
      </c>
      <c r="B234" s="61">
        <v>5.4009999999999998</v>
      </c>
      <c r="C234" s="62">
        <v>5.3538560169328751</v>
      </c>
      <c r="E234" s="34"/>
      <c r="F234" s="33"/>
    </row>
    <row r="235" spans="1:6" x14ac:dyDescent="0.2">
      <c r="A235" s="28">
        <f t="shared" si="0"/>
        <v>2012.1</v>
      </c>
      <c r="B235" s="61">
        <v>5.6859999999999999</v>
      </c>
      <c r="C235" s="62">
        <v>5.3645622165881068</v>
      </c>
      <c r="E235" s="34"/>
      <c r="F235" s="33"/>
    </row>
    <row r="236" spans="1:6" x14ac:dyDescent="0.2">
      <c r="A236" s="28">
        <f t="shared" si="0"/>
        <v>2012.11</v>
      </c>
      <c r="B236" s="61">
        <v>4.5419999999999998</v>
      </c>
      <c r="C236" s="62">
        <v>5.6253421379930231</v>
      </c>
      <c r="E236" s="34"/>
      <c r="F236" s="33"/>
    </row>
    <row r="237" spans="1:6" x14ac:dyDescent="0.2">
      <c r="A237" s="28">
        <f t="shared" si="0"/>
        <v>2012.12</v>
      </c>
      <c r="B237" s="61">
        <v>2.9430000000000001</v>
      </c>
      <c r="C237" s="62">
        <v>5.886340619022814</v>
      </c>
      <c r="E237" s="35"/>
      <c r="F237" s="33"/>
    </row>
    <row r="238" spans="1:6" x14ac:dyDescent="0.2">
      <c r="A238" s="28">
        <f t="shared" si="0"/>
        <v>2013.01</v>
      </c>
      <c r="B238" s="61">
        <v>9.484</v>
      </c>
      <c r="C238" s="62">
        <v>6.0595477468155643</v>
      </c>
      <c r="E238" s="34"/>
      <c r="F238" s="33"/>
    </row>
    <row r="239" spans="1:6" x14ac:dyDescent="0.2">
      <c r="A239" s="28">
        <f t="shared" si="0"/>
        <v>2013.02</v>
      </c>
      <c r="B239" s="61">
        <v>5.4139999999999997</v>
      </c>
      <c r="C239" s="62">
        <v>6.4608852811252744</v>
      </c>
      <c r="E239" s="34"/>
      <c r="F239" s="33"/>
    </row>
    <row r="240" spans="1:6" x14ac:dyDescent="0.2">
      <c r="A240" s="28">
        <f t="shared" si="0"/>
        <v>2013.03</v>
      </c>
      <c r="B240" s="61">
        <v>6.61</v>
      </c>
      <c r="C240" s="62">
        <v>6.8920670780769901</v>
      </c>
      <c r="E240" s="34"/>
      <c r="F240" s="33"/>
    </row>
    <row r="241" spans="1:6" x14ac:dyDescent="0.2">
      <c r="A241" s="28">
        <f t="shared" si="0"/>
        <v>2013.04</v>
      </c>
      <c r="B241" s="61">
        <v>6.92</v>
      </c>
      <c r="C241" s="62">
        <v>7.0680810601771871</v>
      </c>
      <c r="E241" s="34"/>
      <c r="F241" s="33"/>
    </row>
    <row r="242" spans="1:6" x14ac:dyDescent="0.2">
      <c r="A242" s="28">
        <f t="shared" ref="A242:A305" si="1">A230+1</f>
        <v>2013.05</v>
      </c>
      <c r="B242" s="61">
        <v>7.6890000000000001</v>
      </c>
      <c r="C242" s="62">
        <v>7.0535418863771184</v>
      </c>
      <c r="E242" s="34"/>
      <c r="F242" s="33"/>
    </row>
    <row r="243" spans="1:6" x14ac:dyDescent="0.2">
      <c r="A243" s="28">
        <f t="shared" si="1"/>
        <v>2013.06</v>
      </c>
      <c r="B243" s="61">
        <v>6.2629999999999999</v>
      </c>
      <c r="C243" s="62">
        <v>6.7863812293590735</v>
      </c>
      <c r="E243" s="34"/>
      <c r="F243" s="33"/>
    </row>
    <row r="244" spans="1:6" x14ac:dyDescent="0.2">
      <c r="A244" s="28">
        <f t="shared" si="1"/>
        <v>2013.07</v>
      </c>
      <c r="B244" s="61">
        <v>7.375</v>
      </c>
      <c r="C244" s="62">
        <v>6.494105055844333</v>
      </c>
      <c r="E244" s="34"/>
      <c r="F244" s="33"/>
    </row>
    <row r="245" spans="1:6" x14ac:dyDescent="0.2">
      <c r="A245" s="28">
        <f t="shared" si="1"/>
        <v>2013.08</v>
      </c>
      <c r="B245" s="61">
        <v>6.7649999999999997</v>
      </c>
      <c r="C245" s="62">
        <v>6.3905040332586811</v>
      </c>
      <c r="E245" s="34"/>
      <c r="F245" s="33"/>
    </row>
    <row r="246" spans="1:6" x14ac:dyDescent="0.2">
      <c r="A246" s="28">
        <f t="shared" si="1"/>
        <v>2013.09</v>
      </c>
      <c r="B246" s="61">
        <v>7.2240000000000002</v>
      </c>
      <c r="C246" s="62">
        <v>6.6277462209126803</v>
      </c>
      <c r="E246" s="34"/>
      <c r="F246" s="33"/>
    </row>
    <row r="247" spans="1:6" x14ac:dyDescent="0.2">
      <c r="A247" s="28">
        <f t="shared" si="1"/>
        <v>2013.1</v>
      </c>
      <c r="B247" s="61">
        <v>7.6420000000000003</v>
      </c>
      <c r="C247" s="62">
        <v>6.7465808056708978</v>
      </c>
      <c r="E247" s="34"/>
      <c r="F247" s="33"/>
    </row>
    <row r="248" spans="1:6" x14ac:dyDescent="0.2">
      <c r="A248" s="28">
        <f t="shared" si="1"/>
        <v>2013.11</v>
      </c>
      <c r="B248" s="61">
        <v>4.8499999999999996</v>
      </c>
      <c r="C248" s="62">
        <v>6.4282844524341165</v>
      </c>
      <c r="E248" s="34"/>
      <c r="F248" s="33"/>
    </row>
    <row r="249" spans="1:6" x14ac:dyDescent="0.2">
      <c r="A249" s="28">
        <f t="shared" si="1"/>
        <v>2013.12</v>
      </c>
      <c r="B249" s="61">
        <v>3.8260000000000001</v>
      </c>
      <c r="C249" s="62">
        <v>6.2834008952206259</v>
      </c>
      <c r="E249" s="35"/>
      <c r="F249" s="33"/>
    </row>
    <row r="250" spans="1:6" x14ac:dyDescent="0.2">
      <c r="A250" s="28">
        <f t="shared" si="1"/>
        <v>2014.01</v>
      </c>
      <c r="B250" s="61">
        <v>9.83</v>
      </c>
      <c r="C250" s="62">
        <v>6.1758841541197995</v>
      </c>
      <c r="E250" s="34"/>
      <c r="F250" s="33"/>
    </row>
    <row r="251" spans="1:6" x14ac:dyDescent="0.2">
      <c r="A251" s="28">
        <f t="shared" si="1"/>
        <v>2014.02</v>
      </c>
      <c r="B251" s="61">
        <v>4.8289999999999997</v>
      </c>
      <c r="C251" s="62">
        <v>5.7512901448409801</v>
      </c>
      <c r="E251" s="34"/>
      <c r="F251" s="33"/>
    </row>
    <row r="252" spans="1:6" x14ac:dyDescent="0.2">
      <c r="A252" s="28">
        <f t="shared" si="1"/>
        <v>2014.03</v>
      </c>
      <c r="B252" s="61">
        <v>4.0529999999999999</v>
      </c>
      <c r="C252" s="62">
        <v>5.2541411770021522</v>
      </c>
      <c r="E252" s="34"/>
      <c r="F252" s="33"/>
    </row>
    <row r="253" spans="1:6" x14ac:dyDescent="0.2">
      <c r="A253" s="28">
        <f t="shared" si="1"/>
        <v>2014.04</v>
      </c>
      <c r="B253" s="61">
        <v>4.3609999999999998</v>
      </c>
      <c r="C253" s="62">
        <v>4.8554546766175974</v>
      </c>
      <c r="E253" s="34"/>
      <c r="F253" s="33"/>
    </row>
    <row r="254" spans="1:6" x14ac:dyDescent="0.2">
      <c r="A254" s="28">
        <f t="shared" si="1"/>
        <v>2014.05</v>
      </c>
      <c r="B254" s="61">
        <v>4.6210000000000004</v>
      </c>
      <c r="C254" s="62">
        <v>4.6239917025689081</v>
      </c>
      <c r="E254" s="34"/>
      <c r="F254" s="33"/>
    </row>
    <row r="255" spans="1:6" x14ac:dyDescent="0.2">
      <c r="A255" s="28">
        <f t="shared" si="1"/>
        <v>2014.06</v>
      </c>
      <c r="B255" s="61">
        <v>4.4560000000000004</v>
      </c>
      <c r="C255" s="62">
        <v>4.5819215648603357</v>
      </c>
      <c r="E255" s="34"/>
      <c r="F255" s="33"/>
    </row>
    <row r="256" spans="1:6" x14ac:dyDescent="0.2">
      <c r="A256" s="28">
        <f t="shared" si="1"/>
        <v>2014.07</v>
      </c>
      <c r="B256" s="61">
        <v>5.226</v>
      </c>
      <c r="C256" s="62">
        <v>4.6798142784337253</v>
      </c>
      <c r="E256" s="34"/>
      <c r="F256" s="33"/>
    </row>
    <row r="257" spans="1:6" x14ac:dyDescent="0.2">
      <c r="A257" s="28">
        <f t="shared" si="1"/>
        <v>2014.08</v>
      </c>
      <c r="B257" s="61">
        <v>5.133</v>
      </c>
      <c r="C257" s="62">
        <v>4.7405129613910013</v>
      </c>
      <c r="E257" s="34"/>
      <c r="F257" s="33"/>
    </row>
    <row r="258" spans="1:6" x14ac:dyDescent="0.2">
      <c r="A258" s="28">
        <f t="shared" si="1"/>
        <v>2014.09</v>
      </c>
      <c r="B258" s="61">
        <v>5.2850000000000001</v>
      </c>
      <c r="C258" s="62">
        <v>4.6175961679196682</v>
      </c>
      <c r="E258" s="34"/>
      <c r="F258" s="33"/>
    </row>
    <row r="259" spans="1:6" x14ac:dyDescent="0.2">
      <c r="A259" s="28">
        <f t="shared" si="1"/>
        <v>2014.1</v>
      </c>
      <c r="B259" s="61">
        <v>4.7069999999999999</v>
      </c>
      <c r="C259" s="62">
        <v>4.4427942812552441</v>
      </c>
      <c r="E259" s="34"/>
      <c r="F259" s="33"/>
    </row>
    <row r="260" spans="1:6" x14ac:dyDescent="0.2">
      <c r="A260" s="28">
        <f t="shared" si="1"/>
        <v>2014.11</v>
      </c>
      <c r="B260" s="61">
        <v>3.3479999999999999</v>
      </c>
      <c r="C260" s="62">
        <v>4.3610775713405623</v>
      </c>
      <c r="E260" s="34"/>
      <c r="F260" s="33"/>
    </row>
    <row r="261" spans="1:6" x14ac:dyDescent="0.2">
      <c r="A261" s="28">
        <f t="shared" si="1"/>
        <v>2014.12</v>
      </c>
      <c r="B261" s="61">
        <v>2.391</v>
      </c>
      <c r="C261" s="62">
        <v>4.2607171489924411</v>
      </c>
      <c r="E261" s="35"/>
      <c r="F261" s="33"/>
    </row>
    <row r="262" spans="1:6" x14ac:dyDescent="0.2">
      <c r="A262" s="28">
        <f t="shared" si="1"/>
        <v>2015.01</v>
      </c>
      <c r="B262" s="61">
        <v>5.8710000000000004</v>
      </c>
      <c r="C262" s="62">
        <v>4.2180471640225932</v>
      </c>
      <c r="E262" s="34"/>
      <c r="F262" s="33"/>
    </row>
    <row r="263" spans="1:6" x14ac:dyDescent="0.2">
      <c r="A263" s="28">
        <f t="shared" si="1"/>
        <v>2015.02</v>
      </c>
      <c r="B263" s="61">
        <v>3.806</v>
      </c>
      <c r="C263" s="62">
        <v>4.3093620080620187</v>
      </c>
      <c r="E263" s="34"/>
      <c r="F263" s="33"/>
    </row>
    <row r="264" spans="1:6" x14ac:dyDescent="0.2">
      <c r="A264" s="28">
        <f t="shared" si="1"/>
        <v>2015.03</v>
      </c>
      <c r="B264" s="61">
        <v>4.2709999999999999</v>
      </c>
      <c r="C264" s="62">
        <v>4.3451287809492216</v>
      </c>
      <c r="E264" s="34"/>
      <c r="F264" s="33"/>
    </row>
    <row r="265" spans="1:6" x14ac:dyDescent="0.2">
      <c r="A265" s="28">
        <f t="shared" si="1"/>
        <v>2015.04</v>
      </c>
      <c r="B265" s="61">
        <v>4.3460000000000001</v>
      </c>
      <c r="C265" s="62">
        <v>4.3503115230335823</v>
      </c>
      <c r="E265" s="34"/>
      <c r="F265" s="33"/>
    </row>
    <row r="266" spans="1:6" x14ac:dyDescent="0.2">
      <c r="A266" s="28">
        <f t="shared" si="1"/>
        <v>2015.05</v>
      </c>
      <c r="B266" s="61">
        <v>4.03</v>
      </c>
      <c r="C266" s="62">
        <v>4.4719547102939199</v>
      </c>
      <c r="E266" s="34"/>
      <c r="F266" s="33"/>
    </row>
    <row r="267" spans="1:6" x14ac:dyDescent="0.2">
      <c r="A267" s="28">
        <f t="shared" si="1"/>
        <v>2015.06</v>
      </c>
      <c r="B267" s="61">
        <v>4.9370000000000003</v>
      </c>
      <c r="C267" s="62">
        <v>4.6567442863824118</v>
      </c>
      <c r="E267" s="34"/>
      <c r="F267" s="33"/>
    </row>
    <row r="268" spans="1:6" x14ac:dyDescent="0.2">
      <c r="A268" s="28">
        <f t="shared" si="1"/>
        <v>2015.07</v>
      </c>
      <c r="B268" s="61">
        <v>5.17</v>
      </c>
      <c r="C268" s="62">
        <v>4.6815482041179086</v>
      </c>
      <c r="E268" s="34"/>
      <c r="F268" s="33"/>
    </row>
    <row r="269" spans="1:6" x14ac:dyDescent="0.2">
      <c r="A269" s="28">
        <f t="shared" si="1"/>
        <v>2015.08</v>
      </c>
      <c r="B269" s="61">
        <v>4.9930000000000003</v>
      </c>
      <c r="C269" s="62">
        <v>4.6888562557518902</v>
      </c>
      <c r="E269" s="34"/>
      <c r="F269" s="33"/>
    </row>
    <row r="270" spans="1:6" x14ac:dyDescent="0.2">
      <c r="A270" s="28">
        <f t="shared" si="1"/>
        <v>2015.09</v>
      </c>
      <c r="B270" s="61">
        <v>5.5549999999999997</v>
      </c>
      <c r="C270" s="62">
        <v>4.7896262613999889</v>
      </c>
      <c r="E270" s="34"/>
      <c r="F270" s="33"/>
    </row>
    <row r="271" spans="1:6" x14ac:dyDescent="0.2">
      <c r="A271" s="28">
        <f t="shared" si="1"/>
        <v>2015.1</v>
      </c>
      <c r="B271" s="61">
        <v>4.8559999999999999</v>
      </c>
      <c r="C271" s="62">
        <v>4.7567035046394635</v>
      </c>
      <c r="E271" s="34"/>
      <c r="F271" s="33"/>
    </row>
    <row r="272" spans="1:6" x14ac:dyDescent="0.2">
      <c r="A272" s="28">
        <f t="shared" si="1"/>
        <v>2015.11</v>
      </c>
      <c r="B272" s="61">
        <v>4.2110000000000003</v>
      </c>
      <c r="C272" s="62">
        <v>4.6025767568630798</v>
      </c>
      <c r="E272" s="34"/>
      <c r="F272" s="33"/>
    </row>
    <row r="273" spans="1:6" x14ac:dyDescent="0.2">
      <c r="A273" s="28">
        <f t="shared" si="1"/>
        <v>2015.12</v>
      </c>
      <c r="B273" s="61">
        <v>2.5099999999999998</v>
      </c>
      <c r="C273" s="62">
        <v>4.5011016748919737</v>
      </c>
      <c r="E273" s="34"/>
      <c r="F273" s="33"/>
    </row>
    <row r="274" spans="1:6" x14ac:dyDescent="0.2">
      <c r="A274" s="28">
        <f t="shared" si="1"/>
        <v>2016.01</v>
      </c>
      <c r="B274" s="61">
        <v>4.9359999999999999</v>
      </c>
      <c r="C274" s="62">
        <v>4.4898142343618899</v>
      </c>
      <c r="E274" s="34"/>
      <c r="F274" s="33"/>
    </row>
    <row r="275" spans="1:6" x14ac:dyDescent="0.2">
      <c r="A275" s="28">
        <f t="shared" si="1"/>
        <v>2016.02</v>
      </c>
      <c r="B275" s="61">
        <v>3.9990000000000001</v>
      </c>
      <c r="C275" s="62">
        <v>4.5104654660478349</v>
      </c>
      <c r="E275" s="34"/>
      <c r="F275" s="33"/>
    </row>
    <row r="276" spans="1:6" x14ac:dyDescent="0.2">
      <c r="A276" s="28">
        <f t="shared" si="1"/>
        <v>2016.03</v>
      </c>
      <c r="B276" s="61">
        <v>4.5069999999999997</v>
      </c>
      <c r="C276" s="62">
        <v>4.6379310598219217</v>
      </c>
      <c r="E276" s="34"/>
      <c r="F276" s="33"/>
    </row>
    <row r="277" spans="1:6" x14ac:dyDescent="0.2">
      <c r="A277" s="28">
        <f t="shared" si="1"/>
        <v>2016.04</v>
      </c>
      <c r="B277" s="61">
        <v>4.9550000000000001</v>
      </c>
      <c r="C277" s="62">
        <v>4.8219053397150979</v>
      </c>
      <c r="E277" s="34"/>
      <c r="F277" s="33"/>
    </row>
    <row r="278" spans="1:6" x14ac:dyDescent="0.2">
      <c r="A278" s="28">
        <f t="shared" si="1"/>
        <v>2016.05</v>
      </c>
      <c r="B278" s="61">
        <v>4.8970000000000002</v>
      </c>
      <c r="C278" s="62">
        <v>4.8170216598388311</v>
      </c>
      <c r="E278" s="35"/>
      <c r="F278" s="33"/>
    </row>
    <row r="279" spans="1:6" x14ac:dyDescent="0.2">
      <c r="A279" s="28">
        <f t="shared" si="1"/>
        <v>2016.06</v>
      </c>
      <c r="B279" s="61">
        <v>4.7</v>
      </c>
      <c r="C279" s="62">
        <v>4.7362405247652699</v>
      </c>
      <c r="E279" s="34"/>
      <c r="F279" s="33"/>
    </row>
    <row r="280" spans="1:6" x14ac:dyDescent="0.2">
      <c r="A280" s="28">
        <f t="shared" si="1"/>
        <v>2016.07</v>
      </c>
      <c r="B280" s="61">
        <v>5.08</v>
      </c>
      <c r="C280" s="62">
        <v>4.9094883441069319</v>
      </c>
      <c r="E280" s="35"/>
      <c r="F280" s="33"/>
    </row>
    <row r="281" spans="1:6" x14ac:dyDescent="0.2">
      <c r="A281" s="28">
        <f t="shared" si="1"/>
        <v>2016.08</v>
      </c>
      <c r="B281" s="61">
        <v>6.2690000000000001</v>
      </c>
      <c r="C281" s="62">
        <v>5.219368346709965</v>
      </c>
      <c r="E281" s="34"/>
      <c r="F281" s="33"/>
    </row>
    <row r="282" spans="1:6" x14ac:dyDescent="0.2">
      <c r="A282" s="28">
        <f t="shared" si="1"/>
        <v>2016.09</v>
      </c>
      <c r="B282" s="61">
        <v>6.0819999999999999</v>
      </c>
      <c r="C282" s="62">
        <v>5.3816465846468269</v>
      </c>
      <c r="E282" s="34"/>
      <c r="F282" s="33"/>
    </row>
    <row r="283" spans="1:6" x14ac:dyDescent="0.2">
      <c r="A283" s="28">
        <f t="shared" si="1"/>
        <v>2016.1</v>
      </c>
      <c r="B283" s="61">
        <v>5.2130000000000001</v>
      </c>
      <c r="C283" s="62">
        <v>5.517131780146447</v>
      </c>
      <c r="E283" s="34"/>
      <c r="F283" s="33"/>
    </row>
    <row r="284" spans="1:6" x14ac:dyDescent="0.2">
      <c r="A284" s="28">
        <f t="shared" si="1"/>
        <v>2016.11</v>
      </c>
      <c r="B284" s="61">
        <v>4.9059999999999997</v>
      </c>
      <c r="C284" s="62">
        <v>5.6875940877768567</v>
      </c>
      <c r="E284" s="34"/>
      <c r="F284" s="33"/>
    </row>
    <row r="285" spans="1:6" x14ac:dyDescent="0.2">
      <c r="A285" s="28">
        <f t="shared" si="1"/>
        <v>2016.12</v>
      </c>
      <c r="B285" s="61">
        <v>3.1469999999999998</v>
      </c>
      <c r="C285" s="62">
        <v>5.7497223174442089</v>
      </c>
      <c r="E285" s="34"/>
      <c r="F285" s="33"/>
    </row>
    <row r="286" spans="1:6" x14ac:dyDescent="0.2">
      <c r="A286" s="28">
        <f t="shared" si="1"/>
        <v>2017.01</v>
      </c>
      <c r="B286" s="61">
        <v>8.2569999999999997</v>
      </c>
      <c r="C286" s="62">
        <v>5.7926418696623552</v>
      </c>
      <c r="E286" s="34"/>
      <c r="F286" s="33"/>
    </row>
    <row r="287" spans="1:6" x14ac:dyDescent="0.2">
      <c r="A287" s="28">
        <f t="shared" si="1"/>
        <v>2017.02</v>
      </c>
      <c r="B287" s="61">
        <v>5.0449999999999999</v>
      </c>
      <c r="C287" s="62">
        <v>5.8966073531797214</v>
      </c>
      <c r="E287" s="34"/>
      <c r="F287" s="33"/>
    </row>
    <row r="288" spans="1:6" x14ac:dyDescent="0.2">
      <c r="A288" s="28">
        <f t="shared" si="1"/>
        <v>2017.03</v>
      </c>
      <c r="B288" s="61">
        <v>6.5679999999999996</v>
      </c>
      <c r="C288" s="62">
        <v>6.1128809144646734</v>
      </c>
      <c r="E288" s="34"/>
      <c r="F288" s="33"/>
    </row>
    <row r="289" spans="1:6" x14ac:dyDescent="0.2">
      <c r="A289" s="28">
        <f t="shared" si="1"/>
        <v>2017.04</v>
      </c>
      <c r="B289" s="61">
        <v>5.6349999999999998</v>
      </c>
      <c r="C289" s="62">
        <v>6.2912320800655781</v>
      </c>
      <c r="E289" s="34"/>
      <c r="F289" s="33"/>
    </row>
    <row r="290" spans="1:6" x14ac:dyDescent="0.2">
      <c r="A290" s="28">
        <f t="shared" si="1"/>
        <v>2017.05</v>
      </c>
      <c r="B290" s="61">
        <v>6.37</v>
      </c>
      <c r="C290" s="62">
        <v>6.3475674586751012</v>
      </c>
      <c r="E290" s="34"/>
      <c r="F290" s="33"/>
    </row>
    <row r="291" spans="1:6" x14ac:dyDescent="0.2">
      <c r="A291" s="28">
        <f t="shared" si="1"/>
        <v>2017.06</v>
      </c>
      <c r="B291" s="61">
        <v>6.8070000000000004</v>
      </c>
      <c r="C291" s="62">
        <v>6.4657687072458518</v>
      </c>
      <c r="E291" s="34"/>
      <c r="F291" s="33"/>
    </row>
    <row r="292" spans="1:6" x14ac:dyDescent="0.2">
      <c r="A292" s="28">
        <f t="shared" si="1"/>
        <v>2017.07</v>
      </c>
      <c r="B292" s="61">
        <v>6.8339999999999996</v>
      </c>
      <c r="C292" s="62">
        <v>6.4740536297824969</v>
      </c>
      <c r="E292" s="34"/>
      <c r="F292" s="33"/>
    </row>
    <row r="293" spans="1:6" x14ac:dyDescent="0.2">
      <c r="A293" s="28">
        <f t="shared" si="1"/>
        <v>2017.08</v>
      </c>
      <c r="B293" s="61">
        <v>7.5890000000000004</v>
      </c>
      <c r="C293" s="62">
        <v>6.3907223196346585</v>
      </c>
      <c r="E293" s="34"/>
      <c r="F293" s="33"/>
    </row>
    <row r="294" spans="1:6" x14ac:dyDescent="0.2">
      <c r="A294" s="28">
        <f t="shared" si="1"/>
        <v>2017.09</v>
      </c>
      <c r="B294" s="61">
        <v>6.82</v>
      </c>
      <c r="C294" s="62">
        <v>6.4484360135106105</v>
      </c>
      <c r="E294" s="34"/>
      <c r="F294" s="33"/>
    </row>
    <row r="295" spans="1:6" x14ac:dyDescent="0.2">
      <c r="A295" s="28">
        <f t="shared" si="1"/>
        <v>2017.1</v>
      </c>
      <c r="B295" s="61">
        <v>6.5179999999999998</v>
      </c>
      <c r="C295" s="62">
        <v>6.6705672127253957</v>
      </c>
      <c r="E295" s="34"/>
      <c r="F295" s="33"/>
    </row>
    <row r="296" spans="1:6" x14ac:dyDescent="0.2">
      <c r="A296" s="28">
        <f t="shared" si="1"/>
        <v>2017.11</v>
      </c>
      <c r="B296" s="61">
        <v>6.0430000000000001</v>
      </c>
      <c r="C296" s="62">
        <v>7.0715879734750384</v>
      </c>
      <c r="E296" s="34"/>
      <c r="F296" s="33"/>
    </row>
    <row r="297" spans="1:6" x14ac:dyDescent="0.2">
      <c r="A297" s="28">
        <f t="shared" si="1"/>
        <v>2017.12</v>
      </c>
      <c r="B297" s="61">
        <v>4.0640000000000001</v>
      </c>
      <c r="C297" s="62">
        <v>7.3166317444996452</v>
      </c>
      <c r="E297" s="34"/>
      <c r="F297" s="33"/>
    </row>
    <row r="298" spans="1:6" x14ac:dyDescent="0.2">
      <c r="A298" s="28">
        <f t="shared" si="1"/>
        <v>2018.01</v>
      </c>
      <c r="B298" s="61">
        <v>10.382999999999999</v>
      </c>
      <c r="C298" s="62">
        <v>7.1536036319962273</v>
      </c>
      <c r="E298" s="34"/>
      <c r="F298" s="33"/>
    </row>
    <row r="299" spans="1:6" x14ac:dyDescent="0.2">
      <c r="A299" s="28">
        <f t="shared" si="1"/>
        <v>2018.02</v>
      </c>
      <c r="B299" s="61">
        <v>5.99</v>
      </c>
      <c r="C299" s="62">
        <v>7.155912647361804</v>
      </c>
      <c r="E299" s="34"/>
      <c r="F299" s="33"/>
    </row>
    <row r="300" spans="1:6" x14ac:dyDescent="0.2">
      <c r="A300" s="28">
        <f t="shared" si="1"/>
        <v>2018.03</v>
      </c>
      <c r="B300" s="61">
        <v>7.4359999999999999</v>
      </c>
      <c r="C300" s="62">
        <v>7.1815474144147471</v>
      </c>
      <c r="E300" s="34"/>
      <c r="F300" s="33"/>
    </row>
    <row r="301" spans="1:6" x14ac:dyDescent="0.2">
      <c r="A301" s="28">
        <f t="shared" si="1"/>
        <v>2018.04</v>
      </c>
      <c r="B301" s="61">
        <v>6.4050000000000002</v>
      </c>
      <c r="C301" s="62">
        <v>6.8349290614633569</v>
      </c>
      <c r="E301" s="34"/>
      <c r="F301" s="33"/>
    </row>
    <row r="302" spans="1:6" x14ac:dyDescent="0.2">
      <c r="A302" s="28">
        <f t="shared" si="1"/>
        <v>2018.05</v>
      </c>
      <c r="B302" s="61">
        <v>7.0940000000000003</v>
      </c>
      <c r="C302" s="62">
        <v>6.3823238205992885</v>
      </c>
      <c r="E302" s="34"/>
      <c r="F302" s="33"/>
    </row>
    <row r="303" spans="1:6" x14ac:dyDescent="0.2">
      <c r="A303" s="28">
        <f t="shared" si="1"/>
        <v>2018.06</v>
      </c>
      <c r="B303" s="61">
        <v>5.4379999999999997</v>
      </c>
      <c r="C303" s="62">
        <v>5.6712148044130304</v>
      </c>
      <c r="E303" s="34"/>
      <c r="F303" s="33"/>
    </row>
    <row r="304" spans="1:6" x14ac:dyDescent="0.2">
      <c r="A304" s="28">
        <f t="shared" si="1"/>
        <v>2018.07</v>
      </c>
      <c r="B304" s="61">
        <v>5.5720000000000001</v>
      </c>
      <c r="C304" s="62">
        <v>4.9770451559505275</v>
      </c>
      <c r="E304" s="34"/>
      <c r="F304" s="33"/>
    </row>
    <row r="305" spans="1:7" x14ac:dyDescent="0.2">
      <c r="A305" s="28">
        <f t="shared" si="1"/>
        <v>2018.08</v>
      </c>
      <c r="B305" s="61">
        <v>5.3920000000000003</v>
      </c>
      <c r="C305" s="62">
        <v>4.5769856997947773</v>
      </c>
      <c r="E305" s="34"/>
      <c r="F305" s="33"/>
    </row>
    <row r="306" spans="1:7" x14ac:dyDescent="0.2">
      <c r="A306" s="28">
        <f t="shared" ref="A306:A369" si="2">A294+1</f>
        <v>2018.09</v>
      </c>
      <c r="B306" s="61">
        <v>4.298</v>
      </c>
      <c r="C306" s="62">
        <v>4.2221444092559013</v>
      </c>
      <c r="E306" s="34"/>
      <c r="F306" s="33"/>
    </row>
    <row r="307" spans="1:7" x14ac:dyDescent="0.2">
      <c r="A307" s="28">
        <f t="shared" si="2"/>
        <v>2018.1</v>
      </c>
      <c r="B307" s="61">
        <v>3.87</v>
      </c>
      <c r="C307" s="62">
        <v>3.8560126587261836</v>
      </c>
      <c r="E307" s="34"/>
      <c r="F307" s="33"/>
    </row>
    <row r="308" spans="1:7" x14ac:dyDescent="0.2">
      <c r="A308" s="28">
        <f t="shared" si="2"/>
        <v>2018.11</v>
      </c>
      <c r="B308" s="61">
        <v>3.1179999999999999</v>
      </c>
      <c r="C308" s="62">
        <v>3.6496927036322258</v>
      </c>
      <c r="E308" s="34"/>
      <c r="F308" s="33"/>
    </row>
    <row r="309" spans="1:7" x14ac:dyDescent="0.2">
      <c r="A309" s="28">
        <f t="shared" si="2"/>
        <v>2018.12</v>
      </c>
      <c r="B309" s="61">
        <v>1.9690000000000001</v>
      </c>
      <c r="C309" s="62">
        <v>3.6062450029142061</v>
      </c>
      <c r="E309" s="35"/>
      <c r="F309" s="33"/>
      <c r="G309" s="30"/>
    </row>
    <row r="310" spans="1:7" ht="14.25" x14ac:dyDescent="0.2">
      <c r="A310" s="28">
        <f t="shared" si="2"/>
        <v>2019.01</v>
      </c>
      <c r="B310" s="61">
        <v>5.1719999999999997</v>
      </c>
      <c r="C310" s="62">
        <v>3.6172920534616781</v>
      </c>
      <c r="E310" s="37"/>
      <c r="F310" s="38"/>
    </row>
    <row r="311" spans="1:7" ht="14.25" x14ac:dyDescent="0.2">
      <c r="A311" s="28">
        <f t="shared" si="2"/>
        <v>2019.02</v>
      </c>
      <c r="B311" s="61">
        <v>3.278</v>
      </c>
      <c r="C311" s="62">
        <v>3.6008802338431485</v>
      </c>
      <c r="E311" s="37"/>
      <c r="F311" s="38"/>
    </row>
    <row r="312" spans="1:7" ht="14.25" x14ac:dyDescent="0.2">
      <c r="A312" s="28">
        <f t="shared" si="2"/>
        <v>2019.03</v>
      </c>
      <c r="B312" s="61">
        <v>3.2240000000000002</v>
      </c>
      <c r="C312" s="62">
        <v>3.4751596354667438</v>
      </c>
      <c r="E312" s="37"/>
      <c r="F312" s="38"/>
    </row>
    <row r="313" spans="1:7" ht="14.25" x14ac:dyDescent="0.2">
      <c r="A313" s="28">
        <f t="shared" si="2"/>
        <v>2019.04</v>
      </c>
      <c r="B313" s="61">
        <v>3.1930000000000001</v>
      </c>
      <c r="C313" s="62">
        <v>3.3796321037606782</v>
      </c>
      <c r="E313" s="37"/>
      <c r="F313" s="38"/>
    </row>
    <row r="314" spans="1:7" ht="14.25" x14ac:dyDescent="0.2">
      <c r="A314" s="28">
        <f t="shared" si="2"/>
        <v>2019.05</v>
      </c>
      <c r="B314" s="61">
        <v>3.327</v>
      </c>
      <c r="C314" s="62">
        <v>3.3244954082345504</v>
      </c>
      <c r="E314" s="37"/>
      <c r="F314" s="38"/>
    </row>
    <row r="315" spans="1:7" ht="14.25" x14ac:dyDescent="0.2">
      <c r="A315" s="28">
        <f t="shared" si="2"/>
        <v>2019.06</v>
      </c>
      <c r="B315" s="61">
        <v>3.302</v>
      </c>
      <c r="C315" s="62">
        <v>3.404977150534763</v>
      </c>
      <c r="E315" s="37"/>
      <c r="F315" s="38"/>
    </row>
    <row r="316" spans="1:7" ht="14.25" x14ac:dyDescent="0.2">
      <c r="A316" s="28">
        <f t="shared" si="2"/>
        <v>2019.07</v>
      </c>
      <c r="B316" s="61">
        <v>4.3369999999999997</v>
      </c>
      <c r="C316" s="62">
        <v>3.6258133968957429</v>
      </c>
      <c r="E316" s="37"/>
      <c r="F316" s="38"/>
    </row>
    <row r="317" spans="1:7" ht="14.25" x14ac:dyDescent="0.2">
      <c r="A317" s="28">
        <f t="shared" si="2"/>
        <v>2019.08</v>
      </c>
      <c r="B317" s="61">
        <v>4.2990000000000004</v>
      </c>
      <c r="C317" s="62">
        <v>3.633050400020156</v>
      </c>
      <c r="E317" s="37"/>
      <c r="F317" s="38"/>
    </row>
    <row r="318" spans="1:7" ht="14.25" x14ac:dyDescent="0.2">
      <c r="A318" s="28">
        <f t="shared" si="2"/>
        <v>2019.09</v>
      </c>
      <c r="B318" s="61">
        <v>3.3639999999999999</v>
      </c>
      <c r="C318" s="62">
        <v>3.3115094100462974</v>
      </c>
      <c r="E318" s="37"/>
      <c r="F318" s="38"/>
    </row>
    <row r="319" spans="1:7" ht="14.25" x14ac:dyDescent="0.2">
      <c r="A319" s="28">
        <f t="shared" si="2"/>
        <v>2019.1</v>
      </c>
      <c r="B319" s="61">
        <v>2.9750000000000001</v>
      </c>
      <c r="C319" s="62">
        <v>2.9299430179473824</v>
      </c>
      <c r="E319" s="37"/>
      <c r="F319" s="38"/>
    </row>
    <row r="320" spans="1:7" ht="14.25" x14ac:dyDescent="0.2">
      <c r="A320" s="28">
        <f t="shared" si="2"/>
        <v>2019.11</v>
      </c>
      <c r="B320" s="61">
        <v>2.3109999999999999</v>
      </c>
      <c r="C320" s="62">
        <v>2.7187873090984551</v>
      </c>
      <c r="E320" s="37"/>
      <c r="F320" s="38"/>
    </row>
    <row r="321" spans="1:7" ht="14.25" x14ac:dyDescent="0.2">
      <c r="A321" s="28">
        <f t="shared" si="2"/>
        <v>2019.12</v>
      </c>
      <c r="B321" s="61">
        <v>1.897</v>
      </c>
      <c r="C321" s="62">
        <v>2.6925722479254315</v>
      </c>
      <c r="E321" s="40"/>
      <c r="F321" s="38"/>
      <c r="G321" s="36"/>
    </row>
    <row r="322" spans="1:7" x14ac:dyDescent="0.2">
      <c r="A322" s="28">
        <f t="shared" si="2"/>
        <v>2020.01</v>
      </c>
      <c r="B322" s="61">
        <v>4.1349999999999998</v>
      </c>
      <c r="C322" s="62">
        <v>2.6576088542674072</v>
      </c>
      <c r="E322" s="39"/>
      <c r="F322" s="39"/>
    </row>
    <row r="323" spans="1:7" x14ac:dyDescent="0.2">
      <c r="A323" s="28">
        <f t="shared" si="2"/>
        <v>2020.02</v>
      </c>
      <c r="B323" s="61">
        <v>2.5030000000000001</v>
      </c>
      <c r="C323" s="62">
        <v>2.489306620413521</v>
      </c>
    </row>
    <row r="324" spans="1:7" x14ac:dyDescent="0.2">
      <c r="A324" s="28">
        <f t="shared" si="2"/>
        <v>2020.03</v>
      </c>
      <c r="B324" s="61">
        <v>1.633</v>
      </c>
      <c r="C324" s="62">
        <v>2.3737288147025728</v>
      </c>
    </row>
    <row r="325" spans="1:7" x14ac:dyDescent="0.2">
      <c r="A325" s="28">
        <f t="shared" si="2"/>
        <v>2020.04</v>
      </c>
      <c r="B325" s="61">
        <v>0.38100000000000001</v>
      </c>
      <c r="C325" s="62">
        <v>2.3725171820146</v>
      </c>
    </row>
    <row r="326" spans="1:7" x14ac:dyDescent="0.2">
      <c r="A326" s="28">
        <f t="shared" si="2"/>
        <v>2020.05</v>
      </c>
      <c r="B326" s="61">
        <v>2.3069999999999999</v>
      </c>
      <c r="C326" s="62">
        <v>2.4452566458183869</v>
      </c>
    </row>
    <row r="327" spans="1:7" x14ac:dyDescent="0.2">
      <c r="A327" s="28">
        <f t="shared" si="2"/>
        <v>2020.06</v>
      </c>
      <c r="B327" s="61">
        <v>4.1360000000000001</v>
      </c>
      <c r="C327" s="62">
        <v>2.6405107298792201</v>
      </c>
    </row>
    <row r="328" spans="1:7" x14ac:dyDescent="0.2">
      <c r="A328" s="28">
        <f t="shared" si="2"/>
        <v>2020.07</v>
      </c>
      <c r="B328" s="61">
        <v>3.5259999999999998</v>
      </c>
      <c r="C328" s="62">
        <v>2.8916268988510208</v>
      </c>
    </row>
    <row r="329" spans="1:7" x14ac:dyDescent="0.2">
      <c r="A329" s="28">
        <f t="shared" si="2"/>
        <v>2020.08</v>
      </c>
      <c r="B329" s="61">
        <v>3.3250000000000002</v>
      </c>
      <c r="C329" s="62">
        <v>3.0829759755525621</v>
      </c>
    </row>
    <row r="330" spans="1:7" x14ac:dyDescent="0.2">
      <c r="A330" s="28">
        <f t="shared" si="2"/>
        <v>2020.09</v>
      </c>
      <c r="B330" s="61">
        <v>3.38</v>
      </c>
      <c r="C330" s="62">
        <v>3.3443452835943015</v>
      </c>
    </row>
    <row r="331" spans="1:7" x14ac:dyDescent="0.2">
      <c r="A331" s="28">
        <f t="shared" si="2"/>
        <v>2020.1</v>
      </c>
      <c r="B331" s="61">
        <v>3.87</v>
      </c>
      <c r="C331" s="62">
        <v>3.7175622841498854</v>
      </c>
    </row>
    <row r="332" spans="1:7" x14ac:dyDescent="0.2">
      <c r="A332" s="28">
        <f t="shared" si="2"/>
        <v>2020.11</v>
      </c>
      <c r="B332" s="61">
        <v>3.5110000000000001</v>
      </c>
      <c r="C332" s="62">
        <v>3.8004858640995729</v>
      </c>
    </row>
    <row r="333" spans="1:7" x14ac:dyDescent="0.2">
      <c r="A333" s="28">
        <f t="shared" si="2"/>
        <v>2020.12</v>
      </c>
      <c r="B333" s="61">
        <v>1.9179999999999999</v>
      </c>
      <c r="C333" s="62">
        <v>3.5886006781844957</v>
      </c>
    </row>
    <row r="334" spans="1:7" x14ac:dyDescent="0.2">
      <c r="A334" s="28">
        <f t="shared" si="2"/>
        <v>2021.01</v>
      </c>
      <c r="B334" s="61">
        <v>4.83</v>
      </c>
      <c r="C334" s="62">
        <v>3.4926774277106336</v>
      </c>
      <c r="E334" s="30"/>
    </row>
    <row r="335" spans="1:7" x14ac:dyDescent="0.2">
      <c r="A335" s="28">
        <f t="shared" si="2"/>
        <v>2021.02</v>
      </c>
      <c r="B335" s="61">
        <v>2.9380000000000002</v>
      </c>
      <c r="C335" s="62">
        <v>3.5139918034312418</v>
      </c>
      <c r="E335" s="30"/>
      <c r="F335" s="30"/>
    </row>
    <row r="336" spans="1:7" x14ac:dyDescent="0.2">
      <c r="A336" s="28">
        <f t="shared" si="2"/>
        <v>2021.03</v>
      </c>
      <c r="B336" s="61">
        <v>3.399</v>
      </c>
      <c r="C336" s="62">
        <v>3.4574974984447069</v>
      </c>
      <c r="E336" s="30"/>
      <c r="F336" s="30"/>
    </row>
    <row r="337" spans="1:6" x14ac:dyDescent="0.2">
      <c r="A337" s="28">
        <f t="shared" si="2"/>
        <v>2021.04</v>
      </c>
      <c r="B337" s="61">
        <v>3.0939999999999999</v>
      </c>
      <c r="C337" s="62">
        <v>3.3214298768295358</v>
      </c>
      <c r="E337" s="30"/>
      <c r="F337" s="30"/>
    </row>
    <row r="338" spans="1:6" x14ac:dyDescent="0.2">
      <c r="A338" s="28">
        <f t="shared" si="2"/>
        <v>2021.05</v>
      </c>
      <c r="B338" s="61">
        <v>2.2120000000000002</v>
      </c>
      <c r="C338" s="62">
        <v>3.3049630901608089</v>
      </c>
    </row>
    <row r="339" spans="1:6" x14ac:dyDescent="0.2">
      <c r="A339" s="28">
        <f t="shared" si="2"/>
        <v>2021.06</v>
      </c>
      <c r="B339" s="61">
        <v>3.7909999999999999</v>
      </c>
      <c r="C339" s="62">
        <v>3.2473881764264148</v>
      </c>
    </row>
    <row r="340" spans="1:6" x14ac:dyDescent="0.2">
      <c r="A340" s="28">
        <f t="shared" si="2"/>
        <v>2021.07</v>
      </c>
      <c r="B340" s="61">
        <v>3.3119999999999998</v>
      </c>
      <c r="C340" s="62">
        <v>2.9801879626777614</v>
      </c>
    </row>
    <row r="341" spans="1:6" x14ac:dyDescent="0.2">
      <c r="A341" s="28">
        <f t="shared" si="2"/>
        <v>2021.08</v>
      </c>
      <c r="B341" s="61">
        <v>3.1240000000000001</v>
      </c>
      <c r="C341" s="62">
        <v>2.8608716494976689</v>
      </c>
    </row>
    <row r="342" spans="1:6" x14ac:dyDescent="0.2">
      <c r="A342" s="28">
        <f t="shared" si="2"/>
        <v>2021.09</v>
      </c>
      <c r="B342" s="61">
        <v>3.07</v>
      </c>
      <c r="C342" s="62">
        <v>2.8932303938891644</v>
      </c>
    </row>
    <row r="343" spans="1:6" x14ac:dyDescent="0.2">
      <c r="A343" s="28">
        <f t="shared" si="2"/>
        <v>2021.1</v>
      </c>
      <c r="B343" s="61">
        <v>2.798</v>
      </c>
      <c r="C343" s="62">
        <v>2.9148869225050325</v>
      </c>
    </row>
    <row r="344" spans="1:6" x14ac:dyDescent="0.2">
      <c r="A344" s="28">
        <f t="shared" si="2"/>
        <v>2021.11</v>
      </c>
      <c r="B344" s="61">
        <v>2.8330000000000002</v>
      </c>
      <c r="C344" s="62">
        <v>3.0094510067357865</v>
      </c>
    </row>
    <row r="345" spans="1:6" x14ac:dyDescent="0.2">
      <c r="A345" s="28">
        <f t="shared" si="2"/>
        <v>2021.12</v>
      </c>
      <c r="B345" s="61">
        <v>1.7070000000000001</v>
      </c>
      <c r="C345" s="62">
        <v>3.1336633761680406</v>
      </c>
    </row>
    <row r="346" spans="1:6" x14ac:dyDescent="0.2">
      <c r="A346" s="28">
        <f t="shared" si="2"/>
        <v>2022.01</v>
      </c>
      <c r="B346" s="61">
        <v>4.399</v>
      </c>
      <c r="C346" s="62">
        <v>3.2615202041380962</v>
      </c>
    </row>
    <row r="347" spans="1:6" x14ac:dyDescent="0.2">
      <c r="A347" s="28">
        <f t="shared" si="2"/>
        <v>2022.02</v>
      </c>
      <c r="B347" s="61">
        <v>2.8479999999999999</v>
      </c>
      <c r="C347" s="62">
        <v>3.3698144327767774</v>
      </c>
    </row>
    <row r="348" spans="1:6" x14ac:dyDescent="0.2">
      <c r="A348" s="28">
        <f t="shared" si="2"/>
        <v>2022.03</v>
      </c>
      <c r="B348" s="61">
        <v>3.4430000000000001</v>
      </c>
      <c r="C348" s="62">
        <v>3.4121942932908946</v>
      </c>
    </row>
    <row r="349" spans="1:6" x14ac:dyDescent="0.2">
      <c r="A349" s="28">
        <f t="shared" si="2"/>
        <v>2022.04</v>
      </c>
      <c r="B349" s="61">
        <v>2.99</v>
      </c>
      <c r="C349" s="62">
        <v>3.4614962825526923</v>
      </c>
    </row>
    <row r="350" spans="1:6" x14ac:dyDescent="0.2">
      <c r="A350" s="28">
        <f t="shared" si="2"/>
        <v>2022.05</v>
      </c>
      <c r="B350" s="61">
        <v>3.6150000000000002</v>
      </c>
      <c r="C350" s="62">
        <v>3.4946015858693258</v>
      </c>
    </row>
    <row r="351" spans="1:6" x14ac:dyDescent="0.2">
      <c r="A351" s="28">
        <f t="shared" si="2"/>
        <v>2022.06</v>
      </c>
      <c r="B351" s="61">
        <v>3.7879999999999998</v>
      </c>
      <c r="C351" s="62">
        <v>3.4448868493260267</v>
      </c>
    </row>
    <row r="352" spans="1:6" x14ac:dyDescent="0.2">
      <c r="A352" s="28">
        <f t="shared" si="2"/>
        <v>2022.07</v>
      </c>
      <c r="B352" s="61">
        <v>3.8889999999999998</v>
      </c>
      <c r="C352" s="62">
        <v>3.343586349707901</v>
      </c>
    </row>
    <row r="353" spans="1:3" x14ac:dyDescent="0.2">
      <c r="A353" s="28">
        <f t="shared" si="2"/>
        <v>2022.08</v>
      </c>
      <c r="B353" s="61">
        <v>3.5819999999999999</v>
      </c>
      <c r="C353" s="62">
        <v>3.2385112584547624</v>
      </c>
    </row>
    <row r="354" spans="1:3" x14ac:dyDescent="0.2">
      <c r="A354" s="28">
        <f t="shared" si="2"/>
        <v>2022.09</v>
      </c>
      <c r="B354" s="61">
        <v>3.351</v>
      </c>
      <c r="C354" s="62">
        <v>3.2330551759282136</v>
      </c>
    </row>
    <row r="355" spans="1:3" x14ac:dyDescent="0.2">
      <c r="A355" s="28">
        <f t="shared" si="2"/>
        <v>2022.1</v>
      </c>
      <c r="B355" s="61">
        <v>3.3149999999999999</v>
      </c>
      <c r="C355" s="62">
        <v>3.341791268846027</v>
      </c>
    </row>
    <row r="356" spans="1:3" x14ac:dyDescent="0.2">
      <c r="A356" s="28">
        <f t="shared" si="2"/>
        <v>2022.11</v>
      </c>
      <c r="B356" s="61">
        <v>3.2080000000000002</v>
      </c>
      <c r="C356" s="62">
        <v>3.4408343097037259</v>
      </c>
    </row>
    <row r="357" spans="1:3" x14ac:dyDescent="0.2">
      <c r="A357" s="28">
        <f t="shared" si="2"/>
        <v>2022.12</v>
      </c>
      <c r="B357" s="61">
        <v>1.7929999999999999</v>
      </c>
      <c r="C357" s="62">
        <v>3.4336480843322459</v>
      </c>
    </row>
    <row r="358" spans="1:3" x14ac:dyDescent="0.2">
      <c r="A358" s="28">
        <f t="shared" si="2"/>
        <v>2023.01</v>
      </c>
      <c r="B358" s="61">
        <v>4.6150000000000002</v>
      </c>
      <c r="C358" s="62">
        <v>3.3356984228426318</v>
      </c>
    </row>
    <row r="359" spans="1:3" x14ac:dyDescent="0.2">
      <c r="A359" s="28">
        <f t="shared" si="2"/>
        <v>2023.02</v>
      </c>
      <c r="B359" s="61">
        <v>2.6779999999999999</v>
      </c>
      <c r="C359" s="62">
        <v>3.2999149411924149</v>
      </c>
    </row>
    <row r="360" spans="1:3" x14ac:dyDescent="0.2">
      <c r="A360" s="28">
        <f t="shared" si="2"/>
        <v>2023.03</v>
      </c>
      <c r="B360" s="61">
        <v>3.4860000000000002</v>
      </c>
      <c r="C360" s="62">
        <v>3.3798452316973702</v>
      </c>
    </row>
    <row r="361" spans="1:3" x14ac:dyDescent="0.2">
      <c r="A361" s="28">
        <f t="shared" si="2"/>
        <v>2023.04</v>
      </c>
      <c r="B361" s="61">
        <v>2.9279999999999999</v>
      </c>
      <c r="C361" s="62">
        <v>3.4441489001456236</v>
      </c>
    </row>
    <row r="362" spans="1:3" x14ac:dyDescent="0.2">
      <c r="A362" s="28">
        <f t="shared" si="2"/>
        <v>2023.05</v>
      </c>
      <c r="B362" s="61">
        <v>3.6960000000000002</v>
      </c>
      <c r="C362" s="62">
        <v>3.3834084068470935</v>
      </c>
    </row>
    <row r="363" spans="1:3" x14ac:dyDescent="0.2">
      <c r="A363" s="28">
        <f t="shared" si="2"/>
        <v>2023.06</v>
      </c>
      <c r="B363" s="61">
        <v>3.5139999999999998</v>
      </c>
      <c r="C363" s="62">
        <v>3.3091026095839986</v>
      </c>
    </row>
    <row r="364" spans="1:3" x14ac:dyDescent="0.2">
      <c r="A364" s="28">
        <f t="shared" si="2"/>
        <v>2023.07</v>
      </c>
      <c r="B364" s="61">
        <v>3.9590000000000001</v>
      </c>
      <c r="C364" s="62">
        <v>3.2663253236364147</v>
      </c>
    </row>
    <row r="365" spans="1:3" x14ac:dyDescent="0.2">
      <c r="A365" s="28">
        <f t="shared" si="2"/>
        <v>2023.08</v>
      </c>
      <c r="B365" s="61">
        <v>3.371</v>
      </c>
      <c r="C365" s="62">
        <v>3.1012872769640598</v>
      </c>
    </row>
    <row r="366" spans="1:3" x14ac:dyDescent="0.2">
      <c r="A366" s="28">
        <f t="shared" si="2"/>
        <v>2023.09</v>
      </c>
      <c r="B366" s="61">
        <v>2.802</v>
      </c>
      <c r="C366" s="62">
        <v>2.9690666537732535</v>
      </c>
    </row>
    <row r="367" spans="1:3" x14ac:dyDescent="0.2">
      <c r="A367" s="28">
        <f t="shared" si="2"/>
        <v>2023.1</v>
      </c>
      <c r="B367" s="61">
        <v>3.5289999999999999</v>
      </c>
      <c r="C367" s="62">
        <v>3.0060169527624496</v>
      </c>
    </row>
    <row r="368" spans="1:3" x14ac:dyDescent="0.2">
      <c r="A368" s="28">
        <f t="shared" si="2"/>
        <v>2023.11</v>
      </c>
      <c r="B368" s="61">
        <v>2.9580000000000002</v>
      </c>
      <c r="C368" s="62">
        <v>2.9681729424988075</v>
      </c>
    </row>
    <row r="369" spans="1:3" x14ac:dyDescent="0.2">
      <c r="A369" s="28">
        <f t="shared" si="2"/>
        <v>2023.12</v>
      </c>
      <c r="B369" s="61">
        <v>1.3260000000000001</v>
      </c>
      <c r="C369" s="62">
        <v>2.785047049874009</v>
      </c>
    </row>
    <row r="370" spans="1:3" x14ac:dyDescent="0.2">
      <c r="A370" s="28">
        <f t="shared" ref="A370:A405" si="3">A358+1</f>
        <v>2024.01</v>
      </c>
      <c r="B370" s="61">
        <v>2.5169999999999999</v>
      </c>
      <c r="C370" s="62">
        <v>2.6303569092738837</v>
      </c>
    </row>
    <row r="371" spans="1:3" x14ac:dyDescent="0.2">
      <c r="A371" s="28">
        <f t="shared" si="3"/>
        <v>2024.02</v>
      </c>
      <c r="B371" s="61">
        <v>2.1749999999999998</v>
      </c>
      <c r="C371" s="62">
        <v>2.5649378478293139</v>
      </c>
    </row>
    <row r="372" spans="1:3" x14ac:dyDescent="0.2">
      <c r="A372" s="28">
        <f t="shared" si="3"/>
        <v>2024.03</v>
      </c>
      <c r="B372" s="61">
        <v>2.2170000000000001</v>
      </c>
      <c r="C372" s="62">
        <v>2.5617192253163918</v>
      </c>
    </row>
    <row r="373" spans="1:3" x14ac:dyDescent="0.2">
      <c r="A373" s="28">
        <f t="shared" si="3"/>
        <v>2024.04</v>
      </c>
      <c r="B373" s="61">
        <v>2.6539999999999999</v>
      </c>
      <c r="C373" s="62">
        <v>2.6591722929355135</v>
      </c>
    </row>
    <row r="374" spans="1:3" x14ac:dyDescent="0.2">
      <c r="A374" s="28">
        <f t="shared" si="3"/>
        <v>2024.05</v>
      </c>
      <c r="B374" s="61">
        <v>3.1789999999999998</v>
      </c>
      <c r="C374" s="62">
        <v>2.8846945532436639</v>
      </c>
    </row>
    <row r="375" spans="1:3" x14ac:dyDescent="0.2">
      <c r="A375" s="28">
        <f t="shared" si="3"/>
        <v>2024.06</v>
      </c>
      <c r="B375" s="61">
        <v>3.1419999999999999</v>
      </c>
      <c r="C375" s="62">
        <v>3.1802345558367016</v>
      </c>
    </row>
    <row r="376" spans="1:3" x14ac:dyDescent="0.2">
      <c r="A376" s="28">
        <f t="shared" si="3"/>
        <v>2024.07</v>
      </c>
      <c r="B376" s="61">
        <v>4.46</v>
      </c>
      <c r="C376" s="62">
        <v>3.4340994055288796</v>
      </c>
    </row>
    <row r="377" spans="1:3" x14ac:dyDescent="0.2">
      <c r="A377" s="28">
        <f t="shared" si="3"/>
        <v>2024.08</v>
      </c>
      <c r="B377" s="61">
        <v>3.7330000000000001</v>
      </c>
      <c r="C377" s="62">
        <v>3.6242115414474303</v>
      </c>
    </row>
    <row r="378" spans="1:3" x14ac:dyDescent="0.2">
      <c r="A378" s="28">
        <f t="shared" si="3"/>
        <v>2024.09</v>
      </c>
      <c r="B378" s="61">
        <v>4.1020000000000003</v>
      </c>
      <c r="C378" s="62">
        <v>3.7701194567451184</v>
      </c>
    </row>
    <row r="379" spans="1:3" x14ac:dyDescent="0.2">
      <c r="A379" s="28">
        <f>A367+1</f>
        <v>2024.1</v>
      </c>
      <c r="B379" s="61">
        <v>3.9079999999999999</v>
      </c>
      <c r="C379" s="62">
        <v>3.7969428169793336</v>
      </c>
    </row>
    <row r="380" spans="1:3" x14ac:dyDescent="0.2">
      <c r="A380" s="28">
        <f t="shared" si="3"/>
        <v>2024.11</v>
      </c>
      <c r="B380" s="61">
        <v>3.25</v>
      </c>
      <c r="C380" s="62">
        <v>3.9002626514985623</v>
      </c>
    </row>
    <row r="381" spans="1:3" x14ac:dyDescent="0.2">
      <c r="A381" s="28">
        <f t="shared" si="3"/>
        <v>2024.12</v>
      </c>
      <c r="B381" s="61">
        <v>1.7549999999999999</v>
      </c>
      <c r="C381" s="62">
        <v>4.2024023207131354</v>
      </c>
    </row>
    <row r="382" spans="1:3" x14ac:dyDescent="0.2">
      <c r="A382" s="28">
        <f t="shared" si="3"/>
        <v>2025.01</v>
      </c>
      <c r="B382" s="61">
        <v>6.5309999999999997</v>
      </c>
      <c r="C382" s="62">
        <v>4.530797229473885</v>
      </c>
    </row>
    <row r="383" spans="1:3" x14ac:dyDescent="0.2">
      <c r="A383" s="28">
        <f t="shared" si="3"/>
        <v>2025.02</v>
      </c>
      <c r="B383" s="61">
        <v>4.0439999999999996</v>
      </c>
      <c r="C383" s="62">
        <v>4.7093536731619636</v>
      </c>
    </row>
    <row r="384" spans="1:3" x14ac:dyDescent="0.2">
      <c r="A384" s="28">
        <f t="shared" si="3"/>
        <v>2025.03</v>
      </c>
      <c r="B384" s="61">
        <v>4.4710000000000001</v>
      </c>
      <c r="C384" s="62">
        <v>4.8203911448191086</v>
      </c>
    </row>
    <row r="385" spans="1:3" x14ac:dyDescent="0.2">
      <c r="A385" s="28">
        <f t="shared" si="3"/>
        <v>2025.04</v>
      </c>
      <c r="B385" s="61">
        <v>5.04</v>
      </c>
      <c r="C385" s="62">
        <v>5.0109354891650462</v>
      </c>
    </row>
    <row r="386" spans="1:3" x14ac:dyDescent="0.2">
      <c r="A386" s="28">
        <f t="shared" si="3"/>
        <v>2025.05</v>
      </c>
      <c r="B386" s="61">
        <v>5.2009999999999996</v>
      </c>
      <c r="C386" s="62">
        <v>4.965177234487558</v>
      </c>
    </row>
    <row r="387" spans="1:3" x14ac:dyDescent="0.2">
      <c r="A387" s="28">
        <f t="shared" si="3"/>
        <v>2025.06</v>
      </c>
      <c r="B387" s="61">
        <v>4.83</v>
      </c>
      <c r="C387" s="62">
        <v>4.7124963082823896</v>
      </c>
    </row>
    <row r="388" spans="1:3" x14ac:dyDescent="0.2">
      <c r="A388" s="28">
        <f t="shared" si="3"/>
        <v>2025.07</v>
      </c>
      <c r="B388" s="61">
        <v>5.7190000000000003</v>
      </c>
      <c r="C388" s="62">
        <v>4.6912767727572415</v>
      </c>
    </row>
    <row r="389" spans="1:3" x14ac:dyDescent="0.2">
      <c r="A389" s="28">
        <f t="shared" si="3"/>
        <v>2025.08</v>
      </c>
      <c r="B389" s="61">
        <v>5.1079999999999997</v>
      </c>
      <c r="C389" s="62">
        <v>4.8279000843599977</v>
      </c>
    </row>
    <row r="390" spans="1:3" x14ac:dyDescent="0.2">
      <c r="A390" s="28">
        <f t="shared" si="3"/>
        <v>2025.09</v>
      </c>
      <c r="B390" s="61">
        <v>5.274</v>
      </c>
      <c r="C390" s="62">
        <v>4.7975313511085735</v>
      </c>
    </row>
    <row r="391" spans="1:3" x14ac:dyDescent="0.2">
      <c r="A391" s="28">
        <f t="shared" si="3"/>
        <v>2025.1</v>
      </c>
      <c r="B391" s="61">
        <v>4.8449999999999998</v>
      </c>
      <c r="C391" s="62">
        <v>4.5683934295523727</v>
      </c>
    </row>
    <row r="392" spans="1:3" x14ac:dyDescent="0.2">
      <c r="A392" s="28">
        <f t="shared" si="3"/>
        <v>2025.11</v>
      </c>
      <c r="B392" s="61">
        <v>3.3410000000000002</v>
      </c>
      <c r="C392" s="62">
        <v>4.3309453608498227</v>
      </c>
    </row>
    <row r="393" spans="1:3" x14ac:dyDescent="0.2">
      <c r="A393" s="28">
        <f t="shared" si="3"/>
        <v>2025.12</v>
      </c>
      <c r="B393" s="61">
        <v>2.2149999999999999</v>
      </c>
      <c r="C393" s="62">
        <v>4.3226581290149166</v>
      </c>
    </row>
    <row r="394" spans="1:3" x14ac:dyDescent="0.2">
      <c r="A394" s="28">
        <f t="shared" si="3"/>
        <v>2026.01</v>
      </c>
      <c r="B394" s="61">
        <v>6.35</v>
      </c>
      <c r="C394" s="62">
        <v>4.4529800370825949</v>
      </c>
    </row>
    <row r="395" spans="1:3" x14ac:dyDescent="0.2">
      <c r="A395" s="28">
        <f t="shared" si="3"/>
        <v>2026.02</v>
      </c>
      <c r="B395" s="61">
        <v>3.7330000000000001</v>
      </c>
      <c r="C395" s="62">
        <v>4.5485914854054883</v>
      </c>
    </row>
    <row r="396" spans="1:3" x14ac:dyDescent="0.2">
      <c r="A396" s="28">
        <f t="shared" si="3"/>
        <v>2026.03</v>
      </c>
      <c r="B396" s="61">
        <v>4.593</v>
      </c>
      <c r="C396" s="62">
        <v>4.6192324470704662</v>
      </c>
    </row>
    <row r="397" spans="1:3" x14ac:dyDescent="0.2">
      <c r="A397" s="28">
        <f t="shared" si="3"/>
        <v>2026.04</v>
      </c>
      <c r="B397" s="61">
        <v>4.5019999999999998</v>
      </c>
      <c r="C397" s="62">
        <v>4.465453248301019</v>
      </c>
    </row>
    <row r="398" spans="1:3" x14ac:dyDescent="0.2">
      <c r="A398" s="28">
        <f t="shared" si="3"/>
        <v>2026.05</v>
      </c>
      <c r="B398" s="61">
        <v>4.0190000000000001</v>
      </c>
      <c r="C398" s="62">
        <v>4.2084088807318238</v>
      </c>
    </row>
    <row r="399" spans="1:3" x14ac:dyDescent="0.2">
      <c r="A399" s="28">
        <f t="shared" si="3"/>
        <v>2026.06</v>
      </c>
      <c r="B399" s="61">
        <v>4.5819999999999999</v>
      </c>
      <c r="C399" s="62">
        <v>4.1076042534487156</v>
      </c>
    </row>
    <row r="400" spans="1:3" x14ac:dyDescent="0.2">
      <c r="A400" s="28">
        <f t="shared" si="3"/>
        <v>2026.07</v>
      </c>
      <c r="B400" s="61">
        <v>4.4219999999999997</v>
      </c>
      <c r="C400" s="62">
        <v>4.0466149447254365</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94</v>
      </c>
      <c r="C2" s="25"/>
    </row>
    <row r="3" spans="1:6" s="3" customFormat="1" ht="33.75" x14ac:dyDescent="0.2">
      <c r="A3" s="76" t="s">
        <v>8</v>
      </c>
      <c r="B3" s="16" t="s">
        <v>50</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75</v>
      </c>
      <c r="C8" s="91" t="s">
        <v>76</v>
      </c>
    </row>
    <row r="9" spans="1:6" s="4" customFormat="1" ht="13.5" thickBot="1" x14ac:dyDescent="0.25">
      <c r="A9" s="82"/>
      <c r="B9" s="27"/>
      <c r="C9" s="49"/>
    </row>
    <row r="10" spans="1:6" s="4" customFormat="1" x14ac:dyDescent="0.2">
      <c r="A10" s="28">
        <v>1992.01</v>
      </c>
      <c r="B10" s="59">
        <v>146.17031371180801</v>
      </c>
      <c r="C10" s="60">
        <v>151.16530295161465</v>
      </c>
      <c r="E10" s="33"/>
      <c r="F10" s="33"/>
    </row>
    <row r="11" spans="1:6" s="4" customFormat="1" x14ac:dyDescent="0.2">
      <c r="A11" s="28">
        <v>1992.02</v>
      </c>
      <c r="B11" s="61">
        <v>141.06962149103441</v>
      </c>
      <c r="C11" s="62">
        <v>150.78018865738971</v>
      </c>
      <c r="E11" s="33"/>
      <c r="F11" s="33"/>
    </row>
    <row r="12" spans="1:6" s="4" customFormat="1" x14ac:dyDescent="0.2">
      <c r="A12" s="28">
        <v>1992.03</v>
      </c>
      <c r="B12" s="61">
        <v>137.86283696296829</v>
      </c>
      <c r="C12" s="62">
        <v>152.4253136930281</v>
      </c>
      <c r="E12" s="33"/>
      <c r="F12" s="33"/>
    </row>
    <row r="13" spans="1:6" s="4" customFormat="1" x14ac:dyDescent="0.2">
      <c r="A13" s="28">
        <v>1992.04</v>
      </c>
      <c r="B13" s="61">
        <v>139.4285513078155</v>
      </c>
      <c r="C13" s="62">
        <v>155.69760188937661</v>
      </c>
      <c r="E13" s="33"/>
      <c r="F13" s="33"/>
    </row>
    <row r="14" spans="1:6" s="4" customFormat="1" x14ac:dyDescent="0.2">
      <c r="A14" s="28">
        <v>1992.05</v>
      </c>
      <c r="B14" s="61">
        <v>188.66713004194162</v>
      </c>
      <c r="C14" s="62">
        <v>159.52085822663622</v>
      </c>
      <c r="E14" s="33"/>
      <c r="F14" s="33"/>
    </row>
    <row r="15" spans="1:6" s="4" customFormat="1" x14ac:dyDescent="0.2">
      <c r="A15" s="28">
        <v>1992.06</v>
      </c>
      <c r="B15" s="61">
        <v>199.9479739880754</v>
      </c>
      <c r="C15" s="62">
        <v>160.43809917160073</v>
      </c>
      <c r="E15" s="33"/>
      <c r="F15" s="33"/>
    </row>
    <row r="16" spans="1:6" s="4" customFormat="1" x14ac:dyDescent="0.2">
      <c r="A16" s="28">
        <v>1992.07</v>
      </c>
      <c r="B16" s="61">
        <v>157.40557307609211</v>
      </c>
      <c r="C16" s="62">
        <v>159.92518603664433</v>
      </c>
      <c r="E16" s="33"/>
      <c r="F16" s="33"/>
    </row>
    <row r="17" spans="1:6" s="4" customFormat="1" x14ac:dyDescent="0.2">
      <c r="A17" s="28">
        <v>1992.08</v>
      </c>
      <c r="B17" s="61">
        <v>156.7428620190579</v>
      </c>
      <c r="C17" s="62">
        <v>161.66309277566995</v>
      </c>
      <c r="E17" s="33"/>
      <c r="F17" s="33"/>
    </row>
    <row r="18" spans="1:6" s="4" customFormat="1" x14ac:dyDescent="0.2">
      <c r="A18" s="28">
        <v>1992.09</v>
      </c>
      <c r="B18" s="61">
        <v>161.35962604511758</v>
      </c>
      <c r="C18" s="62">
        <v>161.44981281260291</v>
      </c>
      <c r="E18" s="33"/>
      <c r="F18" s="33"/>
    </row>
    <row r="19" spans="1:6" s="4" customFormat="1" x14ac:dyDescent="0.2">
      <c r="A19" s="28">
        <v>1992.1</v>
      </c>
      <c r="B19" s="61">
        <v>144.6691408216856</v>
      </c>
      <c r="C19" s="62">
        <v>156.90011986835918</v>
      </c>
      <c r="E19" s="33"/>
      <c r="F19" s="33"/>
    </row>
    <row r="20" spans="1:6" s="4" customFormat="1" x14ac:dyDescent="0.2">
      <c r="A20" s="28">
        <v>1992.11</v>
      </c>
      <c r="B20" s="61">
        <v>155.79225579697521</v>
      </c>
      <c r="C20" s="62">
        <v>154.24113275766132</v>
      </c>
      <c r="E20" s="33"/>
      <c r="F20" s="33"/>
    </row>
    <row r="21" spans="1:6" s="4" customFormat="1" x14ac:dyDescent="0.2">
      <c r="A21" s="28">
        <v>1992.12</v>
      </c>
      <c r="B21" s="61">
        <v>162.8710676514695</v>
      </c>
      <c r="C21" s="62">
        <v>156.64966134647585</v>
      </c>
      <c r="E21" s="33"/>
      <c r="F21" s="33"/>
    </row>
    <row r="22" spans="1:6" x14ac:dyDescent="0.2">
      <c r="A22" s="28">
        <v>1993.01</v>
      </c>
      <c r="B22" s="61">
        <v>163.15764889088172</v>
      </c>
      <c r="C22" s="62">
        <v>158.63363384799942</v>
      </c>
      <c r="E22" s="34"/>
      <c r="F22" s="33"/>
    </row>
    <row r="23" spans="1:6" x14ac:dyDescent="0.2">
      <c r="A23" s="28">
        <v>1993.02</v>
      </c>
      <c r="B23" s="61">
        <v>148.8110553852716</v>
      </c>
      <c r="C23" s="62">
        <v>159.86225005409943</v>
      </c>
      <c r="E23" s="34"/>
      <c r="F23" s="33"/>
    </row>
    <row r="24" spans="1:6" x14ac:dyDescent="0.2">
      <c r="A24" s="28">
        <v>1993.03</v>
      </c>
      <c r="B24" s="61">
        <v>147.79941288477889</v>
      </c>
      <c r="C24" s="62">
        <v>161.63666106847324</v>
      </c>
      <c r="E24" s="34"/>
      <c r="F24" s="33"/>
    </row>
    <row r="25" spans="1:6" x14ac:dyDescent="0.2">
      <c r="A25" s="28">
        <v>1993.04</v>
      </c>
      <c r="B25" s="61">
        <v>145.71636756084018</v>
      </c>
      <c r="C25" s="62">
        <v>159.06807650970802</v>
      </c>
      <c r="E25" s="34"/>
      <c r="F25" s="33"/>
    </row>
    <row r="26" spans="1:6" x14ac:dyDescent="0.2">
      <c r="A26" s="28">
        <v>1993.05</v>
      </c>
      <c r="B26" s="61">
        <v>178.40233607690288</v>
      </c>
      <c r="C26" s="62">
        <v>153.29048995859833</v>
      </c>
      <c r="E26" s="34"/>
      <c r="F26" s="33"/>
    </row>
    <row r="27" spans="1:6" x14ac:dyDescent="0.2">
      <c r="A27" s="28">
        <v>1993.06</v>
      </c>
      <c r="B27" s="61">
        <v>161.83700553975279</v>
      </c>
      <c r="C27" s="62">
        <v>152.27594723729209</v>
      </c>
      <c r="E27" s="34"/>
      <c r="F27" s="33"/>
    </row>
    <row r="28" spans="1:6" x14ac:dyDescent="0.2">
      <c r="A28" s="28">
        <v>1993.07</v>
      </c>
      <c r="B28" s="61">
        <v>158.12607826600339</v>
      </c>
      <c r="C28" s="62">
        <v>155.58333744024927</v>
      </c>
      <c r="E28" s="34"/>
      <c r="F28" s="33"/>
    </row>
    <row r="29" spans="1:6" x14ac:dyDescent="0.2">
      <c r="A29" s="28">
        <v>1993.08</v>
      </c>
      <c r="B29" s="61">
        <v>151.84345953692301</v>
      </c>
      <c r="C29" s="62">
        <v>158.08225236949716</v>
      </c>
      <c r="E29" s="34"/>
      <c r="F29" s="33"/>
    </row>
    <row r="30" spans="1:6" x14ac:dyDescent="0.2">
      <c r="A30" s="28">
        <v>1993.09</v>
      </c>
      <c r="B30" s="61">
        <v>159.5663537987671</v>
      </c>
      <c r="C30" s="62">
        <v>161.24150610755456</v>
      </c>
      <c r="E30" s="34"/>
      <c r="F30" s="33"/>
    </row>
    <row r="31" spans="1:6" x14ac:dyDescent="0.2">
      <c r="A31" s="28">
        <v>1993.1</v>
      </c>
      <c r="B31" s="61">
        <v>168.3287698236272</v>
      </c>
      <c r="C31" s="62">
        <v>166.35080959062327</v>
      </c>
      <c r="E31" s="34"/>
      <c r="F31" s="33"/>
    </row>
    <row r="32" spans="1:6" x14ac:dyDescent="0.2">
      <c r="A32" s="28">
        <v>1993.11</v>
      </c>
      <c r="B32" s="61">
        <v>181.77910885462882</v>
      </c>
      <c r="C32" s="62">
        <v>172.30190965623348</v>
      </c>
      <c r="E32" s="34"/>
      <c r="F32" s="33"/>
    </row>
    <row r="33" spans="1:6" x14ac:dyDescent="0.2">
      <c r="A33" s="28">
        <v>1993.12</v>
      </c>
      <c r="B33" s="61">
        <v>180.7326574381062</v>
      </c>
      <c r="C33" s="62">
        <v>173.55999114549911</v>
      </c>
      <c r="E33" s="34"/>
      <c r="F33" s="33"/>
    </row>
    <row r="34" spans="1:6" x14ac:dyDescent="0.2">
      <c r="A34" s="28">
        <v>1994.01</v>
      </c>
      <c r="B34" s="61">
        <v>155.93906177700831</v>
      </c>
      <c r="C34" s="62">
        <v>170.36758204004786</v>
      </c>
      <c r="E34" s="34"/>
      <c r="F34" s="33"/>
    </row>
    <row r="35" spans="1:6" x14ac:dyDescent="0.2">
      <c r="A35" s="28">
        <v>1994.02</v>
      </c>
      <c r="B35" s="61">
        <v>163.32715310004841</v>
      </c>
      <c r="C35" s="62">
        <v>169.57916982455191</v>
      </c>
      <c r="E35" s="34"/>
      <c r="F35" s="33"/>
    </row>
    <row r="36" spans="1:6" x14ac:dyDescent="0.2">
      <c r="A36" s="28">
        <v>1994.03</v>
      </c>
      <c r="B36" s="61">
        <v>151.28952862730961</v>
      </c>
      <c r="C36" s="62">
        <v>169.72535451874688</v>
      </c>
      <c r="E36" s="34"/>
      <c r="F36" s="33"/>
    </row>
    <row r="37" spans="1:6" x14ac:dyDescent="0.2">
      <c r="A37" s="28">
        <v>1994.04</v>
      </c>
      <c r="B37" s="61">
        <v>155.81484952576199</v>
      </c>
      <c r="C37" s="62">
        <v>170.08752880525327</v>
      </c>
      <c r="E37" s="34"/>
      <c r="F37" s="33"/>
    </row>
    <row r="38" spans="1:6" x14ac:dyDescent="0.2">
      <c r="A38" s="28">
        <v>1994.05</v>
      </c>
      <c r="B38" s="61">
        <v>200.51781763293428</v>
      </c>
      <c r="C38" s="62">
        <v>171.68610784920045</v>
      </c>
      <c r="E38" s="34"/>
      <c r="F38" s="33"/>
    </row>
    <row r="39" spans="1:6" x14ac:dyDescent="0.2">
      <c r="A39" s="28">
        <v>1994.06</v>
      </c>
      <c r="B39" s="61">
        <v>188.6177809286323</v>
      </c>
      <c r="C39" s="62">
        <v>169.60643569103325</v>
      </c>
      <c r="E39" s="34"/>
      <c r="F39" s="33"/>
    </row>
    <row r="40" spans="1:6" x14ac:dyDescent="0.2">
      <c r="A40" s="28">
        <v>1994.07</v>
      </c>
      <c r="B40" s="61">
        <v>159.5449583882322</v>
      </c>
      <c r="C40" s="62">
        <v>163.05263356358014</v>
      </c>
      <c r="E40" s="34"/>
      <c r="F40" s="33"/>
    </row>
    <row r="41" spans="1:6" x14ac:dyDescent="0.2">
      <c r="A41" s="28">
        <v>1994.08</v>
      </c>
      <c r="B41" s="61">
        <v>157.98737344533168</v>
      </c>
      <c r="C41" s="62">
        <v>162.07274753561913</v>
      </c>
      <c r="E41" s="34"/>
      <c r="F41" s="33"/>
    </row>
    <row r="42" spans="1:6" x14ac:dyDescent="0.2">
      <c r="A42" s="28">
        <v>1994.09</v>
      </c>
      <c r="B42" s="61">
        <v>165.91632434611648</v>
      </c>
      <c r="C42" s="62">
        <v>166.53115460989221</v>
      </c>
      <c r="E42" s="34"/>
      <c r="F42" s="33"/>
    </row>
    <row r="43" spans="1:6" x14ac:dyDescent="0.2">
      <c r="A43" s="28">
        <v>1994.1</v>
      </c>
      <c r="B43" s="61">
        <v>169.65136906920151</v>
      </c>
      <c r="C43" s="62">
        <v>167.44648648072564</v>
      </c>
      <c r="E43" s="34"/>
      <c r="F43" s="33"/>
    </row>
    <row r="44" spans="1:6" x14ac:dyDescent="0.2">
      <c r="A44" s="28">
        <v>1994.11</v>
      </c>
      <c r="B44" s="61">
        <v>156.30569572821159</v>
      </c>
      <c r="C44" s="62">
        <v>166.22563503941618</v>
      </c>
      <c r="E44" s="34"/>
      <c r="F44" s="33"/>
    </row>
    <row r="45" spans="1:6" x14ac:dyDescent="0.2">
      <c r="A45" s="28">
        <v>1994.12</v>
      </c>
      <c r="B45" s="61">
        <v>203.1571643042839</v>
      </c>
      <c r="C45" s="62">
        <v>165.04872595816136</v>
      </c>
      <c r="E45" s="34"/>
      <c r="F45" s="33"/>
    </row>
    <row r="46" spans="1:6" x14ac:dyDescent="0.2">
      <c r="A46" s="28">
        <v>1995.01</v>
      </c>
      <c r="B46" s="61">
        <v>150.13489997183399</v>
      </c>
      <c r="C46" s="62">
        <v>163.19008687536643</v>
      </c>
      <c r="E46" s="34"/>
      <c r="F46" s="33"/>
    </row>
    <row r="47" spans="1:6" x14ac:dyDescent="0.2">
      <c r="A47" s="28">
        <v>1995.02</v>
      </c>
      <c r="B47" s="61">
        <v>152.35061665172421</v>
      </c>
      <c r="C47" s="62">
        <v>159.02312054475595</v>
      </c>
      <c r="E47" s="34"/>
      <c r="F47" s="33"/>
    </row>
    <row r="48" spans="1:6" x14ac:dyDescent="0.2">
      <c r="A48" s="28">
        <v>1995.03</v>
      </c>
      <c r="B48" s="61">
        <v>135.17750440050401</v>
      </c>
      <c r="C48" s="62">
        <v>152.62012860452705</v>
      </c>
      <c r="E48" s="34"/>
      <c r="F48" s="33"/>
    </row>
    <row r="49" spans="1:6" x14ac:dyDescent="0.2">
      <c r="A49" s="28">
        <v>1995.04</v>
      </c>
      <c r="B49" s="61">
        <v>136.24443206925389</v>
      </c>
      <c r="C49" s="62">
        <v>149.80338998896974</v>
      </c>
      <c r="E49" s="34"/>
      <c r="F49" s="33"/>
    </row>
    <row r="50" spans="1:6" x14ac:dyDescent="0.2">
      <c r="A50" s="28">
        <v>1995.05</v>
      </c>
      <c r="B50" s="61">
        <v>180.95260902477429</v>
      </c>
      <c r="C50" s="62">
        <v>150.52112967227765</v>
      </c>
      <c r="E50" s="34"/>
      <c r="F50" s="33"/>
    </row>
    <row r="51" spans="1:6" x14ac:dyDescent="0.2">
      <c r="A51" s="28">
        <v>1995.06</v>
      </c>
      <c r="B51" s="61">
        <v>163.8757300021355</v>
      </c>
      <c r="C51" s="62">
        <v>152.37497404531399</v>
      </c>
      <c r="E51" s="34"/>
      <c r="F51" s="33"/>
    </row>
    <row r="52" spans="1:6" x14ac:dyDescent="0.2">
      <c r="A52" s="28">
        <v>1995.07</v>
      </c>
      <c r="B52" s="61">
        <v>162.5708339203108</v>
      </c>
      <c r="C52" s="62">
        <v>154.18725694147378</v>
      </c>
      <c r="E52" s="34"/>
      <c r="F52" s="33"/>
    </row>
    <row r="53" spans="1:6" x14ac:dyDescent="0.2">
      <c r="A53" s="28">
        <v>1995.08</v>
      </c>
      <c r="B53" s="61">
        <v>151.1861917549991</v>
      </c>
      <c r="C53" s="62">
        <v>150.72877117445682</v>
      </c>
      <c r="E53" s="34"/>
      <c r="F53" s="33"/>
    </row>
    <row r="54" spans="1:6" x14ac:dyDescent="0.2">
      <c r="A54" s="28">
        <v>1995.09</v>
      </c>
      <c r="B54" s="61">
        <v>138.51873616103688</v>
      </c>
      <c r="C54" s="62">
        <v>147.60052002610081</v>
      </c>
      <c r="E54" s="34"/>
      <c r="F54" s="33"/>
    </row>
    <row r="55" spans="1:6" x14ac:dyDescent="0.2">
      <c r="A55" s="28">
        <v>1995.1</v>
      </c>
      <c r="B55" s="61">
        <v>155.35964680068719</v>
      </c>
      <c r="C55" s="62">
        <v>148.63736671825319</v>
      </c>
      <c r="E55" s="34"/>
      <c r="F55" s="33"/>
    </row>
    <row r="56" spans="1:6" x14ac:dyDescent="0.2">
      <c r="A56" s="28">
        <v>1995.11</v>
      </c>
      <c r="B56" s="61">
        <v>151.2334223024414</v>
      </c>
      <c r="C56" s="62">
        <v>146.92548085701091</v>
      </c>
      <c r="E56" s="34"/>
      <c r="F56" s="33"/>
    </row>
    <row r="57" spans="1:6" x14ac:dyDescent="0.2">
      <c r="A57" s="28">
        <v>1995.12</v>
      </c>
      <c r="B57" s="61">
        <v>139.08374628041591</v>
      </c>
      <c r="C57" s="62">
        <v>145.88800305009829</v>
      </c>
      <c r="E57" s="34"/>
      <c r="F57" s="33"/>
    </row>
    <row r="58" spans="1:6" x14ac:dyDescent="0.2">
      <c r="A58" s="28">
        <v>1996.01</v>
      </c>
      <c r="B58" s="61">
        <v>140.7109154655279</v>
      </c>
      <c r="C58" s="62">
        <v>149.21122276648759</v>
      </c>
      <c r="E58" s="34"/>
      <c r="F58" s="33"/>
    </row>
    <row r="59" spans="1:6" x14ac:dyDescent="0.2">
      <c r="A59" s="28">
        <v>1996.02</v>
      </c>
      <c r="B59" s="61">
        <v>145.9735678049058</v>
      </c>
      <c r="C59" s="62">
        <v>152.43655952024801</v>
      </c>
      <c r="E59" s="34"/>
      <c r="F59" s="33"/>
    </row>
    <row r="60" spans="1:6" x14ac:dyDescent="0.2">
      <c r="A60" s="28">
        <v>1996.03</v>
      </c>
      <c r="B60" s="61">
        <v>137.02847392934808</v>
      </c>
      <c r="C60" s="62">
        <v>154.91581292740091</v>
      </c>
      <c r="E60" s="34"/>
      <c r="F60" s="33"/>
    </row>
    <row r="61" spans="1:6" x14ac:dyDescent="0.2">
      <c r="A61" s="28">
        <v>1996.04</v>
      </c>
      <c r="B61" s="61">
        <v>147.49333280224459</v>
      </c>
      <c r="C61" s="62">
        <v>157.83320715557835</v>
      </c>
      <c r="E61" s="34"/>
      <c r="F61" s="33"/>
    </row>
    <row r="62" spans="1:6" x14ac:dyDescent="0.2">
      <c r="A62" s="28">
        <v>1996.05</v>
      </c>
      <c r="B62" s="61">
        <v>191.01171060198379</v>
      </c>
      <c r="C62" s="62">
        <v>159.27222357378722</v>
      </c>
      <c r="E62" s="34"/>
      <c r="F62" s="33"/>
    </row>
    <row r="63" spans="1:6" x14ac:dyDescent="0.2">
      <c r="A63" s="28">
        <v>1996.06</v>
      </c>
      <c r="B63" s="61">
        <v>172.7118589942759</v>
      </c>
      <c r="C63" s="62">
        <v>158.25084749369753</v>
      </c>
      <c r="E63" s="34"/>
      <c r="F63" s="33"/>
    </row>
    <row r="64" spans="1:6" x14ac:dyDescent="0.2">
      <c r="A64" s="28">
        <v>1996.07</v>
      </c>
      <c r="B64" s="61">
        <v>160.89431537595908</v>
      </c>
      <c r="C64" s="62">
        <v>158.93056087850681</v>
      </c>
      <c r="E64" s="34"/>
      <c r="F64" s="33"/>
    </row>
    <row r="65" spans="1:6" x14ac:dyDescent="0.2">
      <c r="A65" s="28">
        <v>1996.08</v>
      </c>
      <c r="B65" s="61">
        <v>167.4704424078609</v>
      </c>
      <c r="C65" s="62">
        <v>160.99010101593245</v>
      </c>
      <c r="E65" s="34"/>
      <c r="F65" s="33"/>
    </row>
    <row r="66" spans="1:6" x14ac:dyDescent="0.2">
      <c r="A66" s="28">
        <v>1996.09</v>
      </c>
      <c r="B66" s="61">
        <v>150.62034547184359</v>
      </c>
      <c r="C66" s="62">
        <v>159.91327433086923</v>
      </c>
      <c r="E66" s="34"/>
      <c r="F66" s="33"/>
    </row>
    <row r="67" spans="1:6" x14ac:dyDescent="0.2">
      <c r="A67" s="28">
        <v>1996.1</v>
      </c>
      <c r="B67" s="61">
        <v>149.18750632169889</v>
      </c>
      <c r="C67" s="62">
        <v>160.01719558028367</v>
      </c>
      <c r="E67" s="34"/>
      <c r="F67" s="33"/>
    </row>
    <row r="68" spans="1:6" x14ac:dyDescent="0.2">
      <c r="A68" s="28">
        <v>1996.11</v>
      </c>
      <c r="B68" s="61">
        <v>171.94052129994452</v>
      </c>
      <c r="C68" s="62">
        <v>162.23620862947757</v>
      </c>
      <c r="E68" s="34"/>
      <c r="F68" s="33"/>
    </row>
    <row r="69" spans="1:6" x14ac:dyDescent="0.2">
      <c r="A69" s="28">
        <v>1996.12</v>
      </c>
      <c r="B69" s="61">
        <v>154.72986380630681</v>
      </c>
      <c r="C69" s="62">
        <v>163.33790865483235</v>
      </c>
      <c r="E69" s="34"/>
      <c r="F69" s="33"/>
    </row>
    <row r="70" spans="1:6" x14ac:dyDescent="0.2">
      <c r="A70" s="28">
        <v>1997.01</v>
      </c>
      <c r="B70" s="61">
        <v>152.39236956633852</v>
      </c>
      <c r="C70" s="62">
        <v>166.15062429708698</v>
      </c>
      <c r="E70" s="34"/>
      <c r="F70" s="33"/>
    </row>
    <row r="71" spans="1:6" x14ac:dyDescent="0.2">
      <c r="A71" s="28">
        <v>1997.02</v>
      </c>
      <c r="B71" s="61">
        <v>157.2294489052683</v>
      </c>
      <c r="C71" s="62">
        <v>171.36540809721561</v>
      </c>
      <c r="E71" s="34"/>
      <c r="F71" s="33"/>
    </row>
    <row r="72" spans="1:6" x14ac:dyDescent="0.2">
      <c r="A72" s="28">
        <v>1997.03</v>
      </c>
      <c r="B72" s="61">
        <v>179.52329199270162</v>
      </c>
      <c r="C72" s="62">
        <v>177.88825948447266</v>
      </c>
      <c r="E72" s="34"/>
      <c r="F72" s="33"/>
    </row>
    <row r="73" spans="1:6" x14ac:dyDescent="0.2">
      <c r="A73" s="28">
        <v>1997.04</v>
      </c>
      <c r="B73" s="61">
        <v>174.99233231002182</v>
      </c>
      <c r="C73" s="62">
        <v>182.28634408210826</v>
      </c>
      <c r="E73" s="34"/>
      <c r="F73" s="33"/>
    </row>
    <row r="74" spans="1:6" x14ac:dyDescent="0.2">
      <c r="A74" s="28">
        <v>1997.05</v>
      </c>
      <c r="B74" s="61">
        <v>214.64892846278769</v>
      </c>
      <c r="C74" s="62">
        <v>183.08984048813647</v>
      </c>
      <c r="E74" s="34"/>
      <c r="F74" s="33"/>
    </row>
    <row r="75" spans="1:6" x14ac:dyDescent="0.2">
      <c r="A75" s="28">
        <v>1997.06</v>
      </c>
      <c r="B75" s="61">
        <v>204.1366416654642</v>
      </c>
      <c r="C75" s="62">
        <v>184.14657427795132</v>
      </c>
      <c r="E75" s="34"/>
      <c r="F75" s="33"/>
    </row>
    <row r="76" spans="1:6" x14ac:dyDescent="0.2">
      <c r="A76" s="28">
        <v>1997.07</v>
      </c>
      <c r="B76" s="61">
        <v>190.72580896973778</v>
      </c>
      <c r="C76" s="62">
        <v>185.70272994488113</v>
      </c>
      <c r="E76" s="34"/>
      <c r="F76" s="33"/>
    </row>
    <row r="77" spans="1:6" x14ac:dyDescent="0.2">
      <c r="A77" s="28">
        <v>1997.08</v>
      </c>
      <c r="B77" s="61">
        <v>191.4781823100607</v>
      </c>
      <c r="C77" s="62">
        <v>186.92890279359816</v>
      </c>
      <c r="E77" s="34"/>
      <c r="F77" s="33"/>
    </row>
    <row r="78" spans="1:6" x14ac:dyDescent="0.2">
      <c r="A78" s="28">
        <v>1997.09</v>
      </c>
      <c r="B78" s="61">
        <v>178.76190619294351</v>
      </c>
      <c r="C78" s="62">
        <v>187.41910813994491</v>
      </c>
      <c r="E78" s="34"/>
      <c r="F78" s="33"/>
    </row>
    <row r="79" spans="1:6" x14ac:dyDescent="0.2">
      <c r="A79" s="28">
        <v>1997.1</v>
      </c>
      <c r="B79" s="61">
        <v>189.5737094431633</v>
      </c>
      <c r="C79" s="62">
        <v>187.55145554099295</v>
      </c>
      <c r="E79" s="34"/>
      <c r="F79" s="33"/>
    </row>
    <row r="80" spans="1:6" x14ac:dyDescent="0.2">
      <c r="A80" s="28">
        <v>1997.11</v>
      </c>
      <c r="B80" s="61">
        <v>190.01731399676859</v>
      </c>
      <c r="C80" s="62">
        <v>187.41926403564787</v>
      </c>
      <c r="E80" s="34"/>
      <c r="F80" s="33"/>
    </row>
    <row r="81" spans="1:6" x14ac:dyDescent="0.2">
      <c r="A81" s="28">
        <v>1997.12</v>
      </c>
      <c r="B81" s="61">
        <v>178.51945465779812</v>
      </c>
      <c r="C81" s="62">
        <v>186.46947053850394</v>
      </c>
      <c r="E81" s="34"/>
      <c r="F81" s="33"/>
    </row>
    <row r="82" spans="1:6" x14ac:dyDescent="0.2">
      <c r="A82" s="28">
        <v>1998.01</v>
      </c>
      <c r="B82" s="61">
        <v>174.59090396101948</v>
      </c>
      <c r="C82" s="62">
        <v>186.90507686003917</v>
      </c>
      <c r="E82" s="34"/>
      <c r="F82" s="33"/>
    </row>
    <row r="83" spans="1:6" x14ac:dyDescent="0.2">
      <c r="A83" s="28">
        <v>1998.02</v>
      </c>
      <c r="B83" s="61">
        <v>176.6455105617888</v>
      </c>
      <c r="C83" s="62">
        <v>188.9676963177962</v>
      </c>
      <c r="E83" s="34"/>
      <c r="F83" s="33"/>
    </row>
    <row r="84" spans="1:6" x14ac:dyDescent="0.2">
      <c r="A84" s="28">
        <v>1998.03</v>
      </c>
      <c r="B84" s="61">
        <v>174.0577591963885</v>
      </c>
      <c r="C84" s="62">
        <v>190.11365592610673</v>
      </c>
      <c r="E84" s="34"/>
      <c r="F84" s="33"/>
    </row>
    <row r="85" spans="1:6" x14ac:dyDescent="0.2">
      <c r="A85" s="28">
        <v>1998.04</v>
      </c>
      <c r="B85" s="61">
        <v>180.61596462508641</v>
      </c>
      <c r="C85" s="62">
        <v>191.71509425851909</v>
      </c>
      <c r="E85" s="34"/>
      <c r="F85" s="33"/>
    </row>
    <row r="86" spans="1:6" x14ac:dyDescent="0.2">
      <c r="A86" s="28">
        <v>1998.05</v>
      </c>
      <c r="B86" s="61">
        <v>231.36275267721911</v>
      </c>
      <c r="C86" s="62">
        <v>195.98807659030351</v>
      </c>
      <c r="E86" s="34"/>
      <c r="F86" s="33"/>
    </row>
    <row r="87" spans="1:6" x14ac:dyDescent="0.2">
      <c r="A87" s="28">
        <v>1998.06</v>
      </c>
      <c r="B87" s="61">
        <v>220.3294466089888</v>
      </c>
      <c r="C87" s="62">
        <v>199.45803782899495</v>
      </c>
      <c r="E87" s="34"/>
      <c r="F87" s="33"/>
    </row>
    <row r="88" spans="1:6" x14ac:dyDescent="0.2">
      <c r="A88" s="28">
        <v>1998.07</v>
      </c>
      <c r="B88" s="61">
        <v>207.01002726834679</v>
      </c>
      <c r="C88" s="62">
        <v>201.22164940026579</v>
      </c>
      <c r="E88" s="34"/>
      <c r="F88" s="33"/>
    </row>
    <row r="89" spans="1:6" x14ac:dyDescent="0.2">
      <c r="A89" s="28">
        <v>1998.08</v>
      </c>
      <c r="B89" s="61">
        <v>208.44817460314738</v>
      </c>
      <c r="C89" s="62">
        <v>202.53524868991713</v>
      </c>
      <c r="E89" s="34"/>
      <c r="F89" s="33"/>
    </row>
    <row r="90" spans="1:6" x14ac:dyDescent="0.2">
      <c r="A90" s="28">
        <v>1998.09</v>
      </c>
      <c r="B90" s="61">
        <v>192.26806178629471</v>
      </c>
      <c r="C90" s="62">
        <v>201.64590230883849</v>
      </c>
      <c r="E90" s="34"/>
      <c r="F90" s="33"/>
    </row>
    <row r="91" spans="1:6" x14ac:dyDescent="0.2">
      <c r="A91" s="28">
        <v>1998.1</v>
      </c>
      <c r="B91" s="61">
        <v>199.35202444404669</v>
      </c>
      <c r="C91" s="62">
        <v>200.44494244918747</v>
      </c>
      <c r="E91" s="34"/>
      <c r="F91" s="33"/>
    </row>
    <row r="92" spans="1:6" x14ac:dyDescent="0.2">
      <c r="A92" s="28">
        <v>1998.11</v>
      </c>
      <c r="B92" s="61">
        <v>201.926866534716</v>
      </c>
      <c r="C92" s="62">
        <v>200.41866562209748</v>
      </c>
      <c r="E92" s="34"/>
      <c r="F92" s="33"/>
    </row>
    <row r="93" spans="1:6" x14ac:dyDescent="0.2">
      <c r="A93" s="28">
        <v>1998.12</v>
      </c>
      <c r="B93" s="61">
        <v>191.27897196486211</v>
      </c>
      <c r="C93" s="62">
        <v>196.67611834234873</v>
      </c>
      <c r="E93" s="34"/>
      <c r="F93" s="33"/>
    </row>
    <row r="94" spans="1:6" x14ac:dyDescent="0.2">
      <c r="A94" s="28">
        <v>1999.01</v>
      </c>
      <c r="B94" s="61">
        <v>175.6386918041373</v>
      </c>
      <c r="C94" s="62">
        <v>190.65346314344293</v>
      </c>
      <c r="E94" s="34"/>
      <c r="F94" s="33"/>
    </row>
    <row r="95" spans="1:6" x14ac:dyDescent="0.2">
      <c r="A95" s="28">
        <v>1999.02</v>
      </c>
      <c r="B95" s="61">
        <v>177.4879300176913</v>
      </c>
      <c r="C95" s="62">
        <v>187.62437993960657</v>
      </c>
      <c r="E95" s="34"/>
      <c r="F95" s="33"/>
    </row>
    <row r="96" spans="1:6" x14ac:dyDescent="0.2">
      <c r="A96" s="28">
        <v>1999.03</v>
      </c>
      <c r="B96" s="61">
        <v>171.91559745450209</v>
      </c>
      <c r="C96" s="62">
        <v>185.64517862207711</v>
      </c>
      <c r="E96" s="34"/>
      <c r="F96" s="33"/>
    </row>
    <row r="97" spans="1:6" x14ac:dyDescent="0.2">
      <c r="A97" s="28">
        <v>1999.04</v>
      </c>
      <c r="B97" s="61">
        <v>178.37454140901542</v>
      </c>
      <c r="C97" s="62">
        <v>186.93698138957927</v>
      </c>
      <c r="E97" s="34"/>
      <c r="F97" s="33"/>
    </row>
    <row r="98" spans="1:6" x14ac:dyDescent="0.2">
      <c r="A98" s="28">
        <v>1999.05</v>
      </c>
      <c r="B98" s="61">
        <v>227.22306015193897</v>
      </c>
      <c r="C98" s="62">
        <v>194.14495738608696</v>
      </c>
      <c r="E98" s="34"/>
      <c r="F98" s="33"/>
    </row>
    <row r="99" spans="1:6" x14ac:dyDescent="0.2">
      <c r="A99" s="28">
        <v>1999.06</v>
      </c>
      <c r="B99" s="61">
        <v>220.94639693754038</v>
      </c>
      <c r="C99" s="62">
        <v>199.22079360823432</v>
      </c>
      <c r="E99" s="34"/>
      <c r="F99" s="33"/>
    </row>
    <row r="100" spans="1:6" x14ac:dyDescent="0.2">
      <c r="A100" s="28">
        <v>1999.07</v>
      </c>
      <c r="B100" s="61">
        <v>199.74226011485331</v>
      </c>
      <c r="C100" s="62">
        <v>198.85983668913792</v>
      </c>
      <c r="E100" s="34"/>
      <c r="F100" s="33"/>
    </row>
    <row r="101" spans="1:6" x14ac:dyDescent="0.2">
      <c r="A101" s="28">
        <v>1999.08</v>
      </c>
      <c r="B101" s="61">
        <v>204.60394403252459</v>
      </c>
      <c r="C101" s="62">
        <v>198.50913124299404</v>
      </c>
      <c r="E101" s="34"/>
      <c r="F101" s="33"/>
    </row>
    <row r="102" spans="1:6" x14ac:dyDescent="0.2">
      <c r="A102" s="28">
        <v>1999.09</v>
      </c>
      <c r="B102" s="61">
        <v>189.41570309251932</v>
      </c>
      <c r="C102" s="62">
        <v>200.91602295120398</v>
      </c>
      <c r="E102" s="34"/>
      <c r="F102" s="33"/>
    </row>
    <row r="103" spans="1:6" x14ac:dyDescent="0.2">
      <c r="A103" s="28">
        <v>1999.1</v>
      </c>
      <c r="B103" s="61">
        <v>197.2796098556897</v>
      </c>
      <c r="C103" s="62">
        <v>205.16386594586783</v>
      </c>
      <c r="E103" s="34"/>
      <c r="F103" s="33"/>
    </row>
    <row r="104" spans="1:6" x14ac:dyDescent="0.2">
      <c r="A104" s="28">
        <v>1999.11</v>
      </c>
      <c r="B104" s="61">
        <v>205.05621064653531</v>
      </c>
      <c r="C104" s="62">
        <v>208.28715894160578</v>
      </c>
      <c r="E104" s="34"/>
      <c r="F104" s="33"/>
    </row>
    <row r="105" spans="1:6" x14ac:dyDescent="0.2">
      <c r="A105" s="28">
        <v>1999.12</v>
      </c>
      <c r="B105" s="61">
        <v>224.7804757879843</v>
      </c>
      <c r="C105" s="62">
        <v>212.646945623362</v>
      </c>
      <c r="E105" s="34"/>
      <c r="F105" s="33"/>
    </row>
    <row r="106" spans="1:6" x14ac:dyDescent="0.2">
      <c r="A106" s="28">
        <v>2000.01</v>
      </c>
      <c r="B106" s="61">
        <v>210.7657427552351</v>
      </c>
      <c r="C106" s="62">
        <v>217.88186393717456</v>
      </c>
      <c r="E106" s="34"/>
      <c r="F106" s="33"/>
    </row>
    <row r="107" spans="1:6" x14ac:dyDescent="0.2">
      <c r="A107" s="28">
        <v>2000.02</v>
      </c>
      <c r="B107" s="61">
        <v>207.79152170390631</v>
      </c>
      <c r="C107" s="62">
        <v>218.01354919848529</v>
      </c>
      <c r="E107" s="34"/>
      <c r="F107" s="33"/>
    </row>
    <row r="108" spans="1:6" x14ac:dyDescent="0.2">
      <c r="A108" s="28">
        <v>2000.03</v>
      </c>
      <c r="B108" s="61">
        <v>193.68470028360508</v>
      </c>
      <c r="C108" s="62">
        <v>216.82367646667797</v>
      </c>
      <c r="E108" s="34"/>
      <c r="F108" s="33"/>
    </row>
    <row r="109" spans="1:6" x14ac:dyDescent="0.2">
      <c r="A109" s="28">
        <v>2000.04</v>
      </c>
      <c r="B109" s="61">
        <v>211.00844209328949</v>
      </c>
      <c r="C109" s="62">
        <v>214.51294198600849</v>
      </c>
      <c r="E109" s="34"/>
      <c r="F109" s="33"/>
    </row>
    <row r="110" spans="1:6" x14ac:dyDescent="0.2">
      <c r="A110" s="28">
        <v>2000.05</v>
      </c>
      <c r="B110" s="61">
        <v>206.96938377842758</v>
      </c>
      <c r="C110" s="62">
        <v>205.62136744822692</v>
      </c>
      <c r="E110" s="34"/>
      <c r="F110" s="33"/>
    </row>
    <row r="111" spans="1:6" x14ac:dyDescent="0.2">
      <c r="A111" s="28">
        <v>2000.06</v>
      </c>
      <c r="B111" s="61">
        <v>209.12853836620991</v>
      </c>
      <c r="C111" s="62">
        <v>202.13623412937642</v>
      </c>
      <c r="E111" s="34"/>
      <c r="F111" s="33"/>
    </row>
    <row r="112" spans="1:6" x14ac:dyDescent="0.2">
      <c r="A112" s="28">
        <v>2000.07</v>
      </c>
      <c r="B112" s="61">
        <v>216.12959173592719</v>
      </c>
      <c r="C112" s="62">
        <v>205.46723358245657</v>
      </c>
      <c r="E112" s="34"/>
      <c r="F112" s="33"/>
    </row>
    <row r="113" spans="1:6" x14ac:dyDescent="0.2">
      <c r="A113" s="28">
        <v>2000.08</v>
      </c>
      <c r="B113" s="61">
        <v>202.08732089280448</v>
      </c>
      <c r="C113" s="62">
        <v>205.4655609790932</v>
      </c>
      <c r="E113" s="34"/>
      <c r="F113" s="33"/>
    </row>
    <row r="114" spans="1:6" x14ac:dyDescent="0.2">
      <c r="A114" s="28">
        <v>2000.09</v>
      </c>
      <c r="B114" s="61">
        <v>201.8163999078715</v>
      </c>
      <c r="C114" s="62">
        <v>207.42232913447276</v>
      </c>
      <c r="E114" s="34"/>
      <c r="F114" s="33"/>
    </row>
    <row r="115" spans="1:6" x14ac:dyDescent="0.2">
      <c r="A115" s="28">
        <v>2000.1</v>
      </c>
      <c r="B115" s="61">
        <v>207.61304575227632</v>
      </c>
      <c r="C115" s="62">
        <v>209.30631424284576</v>
      </c>
      <c r="E115" s="34"/>
      <c r="F115" s="33"/>
    </row>
    <row r="116" spans="1:6" x14ac:dyDescent="0.2">
      <c r="A116" s="28">
        <v>2000.11</v>
      </c>
      <c r="B116" s="61">
        <v>207.72047863692558</v>
      </c>
      <c r="C116" s="62">
        <v>207.83632990472327</v>
      </c>
      <c r="E116" s="34"/>
      <c r="F116" s="33"/>
    </row>
    <row r="117" spans="1:6" x14ac:dyDescent="0.2">
      <c r="A117" s="28">
        <v>2000.12</v>
      </c>
      <c r="B117" s="61">
        <v>197.18930717241011</v>
      </c>
      <c r="C117" s="62">
        <v>206.89939875652004</v>
      </c>
      <c r="E117" s="34"/>
      <c r="F117" s="33"/>
    </row>
    <row r="118" spans="1:6" x14ac:dyDescent="0.2">
      <c r="A118" s="28">
        <v>2001.01</v>
      </c>
      <c r="B118" s="61">
        <v>204.04971612925982</v>
      </c>
      <c r="C118" s="62">
        <v>208.07434292823251</v>
      </c>
      <c r="E118" s="34"/>
      <c r="F118" s="33"/>
    </row>
    <row r="119" spans="1:6" x14ac:dyDescent="0.2">
      <c r="A119" s="28">
        <v>2001.02</v>
      </c>
      <c r="B119" s="61">
        <v>194.03031166710599</v>
      </c>
      <c r="C119" s="62">
        <v>210.96876701576687</v>
      </c>
      <c r="E119" s="34"/>
      <c r="F119" s="33"/>
    </row>
    <row r="120" spans="1:6" x14ac:dyDescent="0.2">
      <c r="A120" s="28">
        <v>2001.03</v>
      </c>
      <c r="B120" s="61">
        <v>201.18761626374788</v>
      </c>
      <c r="C120" s="62">
        <v>211.451141502029</v>
      </c>
      <c r="E120" s="34"/>
      <c r="F120" s="33"/>
    </row>
    <row r="121" spans="1:6" x14ac:dyDescent="0.2">
      <c r="A121" s="28">
        <v>2001.04</v>
      </c>
      <c r="B121" s="61">
        <v>198.83208326627948</v>
      </c>
      <c r="C121" s="62">
        <v>204.47279372692395</v>
      </c>
      <c r="E121" s="34"/>
      <c r="F121" s="33"/>
    </row>
    <row r="122" spans="1:6" x14ac:dyDescent="0.2">
      <c r="A122" s="28">
        <v>2001.05</v>
      </c>
      <c r="B122" s="61">
        <v>227.95213664313781</v>
      </c>
      <c r="C122" s="62">
        <v>196.65936640147868</v>
      </c>
      <c r="E122" s="34"/>
      <c r="F122" s="33"/>
    </row>
    <row r="123" spans="1:6" x14ac:dyDescent="0.2">
      <c r="A123" s="28">
        <v>2001.06</v>
      </c>
      <c r="B123" s="61">
        <v>209.74661162045609</v>
      </c>
      <c r="C123" s="62">
        <v>193.46572997313217</v>
      </c>
      <c r="E123" s="34"/>
      <c r="F123" s="33"/>
    </row>
    <row r="124" spans="1:6" x14ac:dyDescent="0.2">
      <c r="A124" s="28">
        <v>2001.07</v>
      </c>
      <c r="B124" s="61">
        <v>187.3954276791348</v>
      </c>
      <c r="C124" s="62">
        <v>190.39250173462676</v>
      </c>
      <c r="E124" s="34"/>
      <c r="F124" s="33"/>
    </row>
    <row r="125" spans="1:6" x14ac:dyDescent="0.2">
      <c r="A125" s="28">
        <v>2001.08</v>
      </c>
      <c r="B125" s="61">
        <v>205.31259984064172</v>
      </c>
      <c r="C125" s="62">
        <v>187.13465253610013</v>
      </c>
      <c r="E125" s="34"/>
      <c r="F125" s="33"/>
    </row>
    <row r="126" spans="1:6" x14ac:dyDescent="0.2">
      <c r="A126" s="28">
        <v>2001.09</v>
      </c>
      <c r="B126" s="61">
        <v>170.2521448128465</v>
      </c>
      <c r="C126" s="62">
        <v>179.48834761103842</v>
      </c>
      <c r="E126" s="34"/>
      <c r="F126" s="33"/>
    </row>
    <row r="127" spans="1:6" x14ac:dyDescent="0.2">
      <c r="A127" s="28">
        <v>2001.1</v>
      </c>
      <c r="B127" s="61">
        <v>168.19816853488982</v>
      </c>
      <c r="C127" s="62">
        <v>167.14171697178134</v>
      </c>
      <c r="E127" s="34"/>
      <c r="F127" s="33"/>
    </row>
    <row r="128" spans="1:6" x14ac:dyDescent="0.2">
      <c r="A128" s="28">
        <v>2001.11</v>
      </c>
      <c r="B128" s="61">
        <v>155.47970243785861</v>
      </c>
      <c r="C128" s="62">
        <v>159.40939836080918</v>
      </c>
      <c r="E128" s="34"/>
      <c r="F128" s="33"/>
    </row>
    <row r="129" spans="1:6" x14ac:dyDescent="0.2">
      <c r="A129" s="28">
        <v>2001.12</v>
      </c>
      <c r="B129" s="61">
        <v>104.71366470009849</v>
      </c>
      <c r="C129" s="62">
        <v>158.74458952425928</v>
      </c>
      <c r="E129" s="34"/>
      <c r="F129" s="33"/>
    </row>
    <row r="130" spans="1:6" x14ac:dyDescent="0.2">
      <c r="A130" s="28">
        <v>2002.01</v>
      </c>
      <c r="B130" s="61">
        <v>178.27035655041101</v>
      </c>
      <c r="C130" s="62">
        <v>159.01147306710121</v>
      </c>
      <c r="E130" s="34"/>
      <c r="F130" s="33"/>
    </row>
    <row r="131" spans="1:6" x14ac:dyDescent="0.2">
      <c r="A131" s="28">
        <v>2002.02</v>
      </c>
      <c r="B131" s="61">
        <v>172.29448525295851</v>
      </c>
      <c r="C131" s="62">
        <v>160.95267680674891</v>
      </c>
      <c r="E131" s="34"/>
      <c r="F131" s="33"/>
    </row>
    <row r="132" spans="1:6" x14ac:dyDescent="0.2">
      <c r="A132" s="28">
        <v>2002.03</v>
      </c>
      <c r="B132" s="61">
        <v>158.97325260695811</v>
      </c>
      <c r="C132" s="62">
        <v>161.65049706714439</v>
      </c>
      <c r="E132" s="34"/>
      <c r="F132" s="33"/>
    </row>
    <row r="133" spans="1:6" x14ac:dyDescent="0.2">
      <c r="A133" s="28">
        <v>2002.04</v>
      </c>
      <c r="B133" s="61">
        <v>145.7369056387613</v>
      </c>
      <c r="C133" s="62">
        <v>154.19269575296579</v>
      </c>
      <c r="E133" s="34"/>
      <c r="F133" s="33"/>
    </row>
    <row r="134" spans="1:6" x14ac:dyDescent="0.2">
      <c r="A134" s="28">
        <v>2002.05</v>
      </c>
      <c r="B134" s="61">
        <v>145.55565341091111</v>
      </c>
      <c r="C134" s="62">
        <v>143.20457179307436</v>
      </c>
      <c r="E134" s="34"/>
      <c r="F134" s="33"/>
    </row>
    <row r="135" spans="1:6" x14ac:dyDescent="0.2">
      <c r="A135" s="28">
        <v>2002.06</v>
      </c>
      <c r="B135" s="61">
        <v>136.8050771896493</v>
      </c>
      <c r="C135" s="62">
        <v>135.6624484515755</v>
      </c>
      <c r="E135" s="34"/>
      <c r="F135" s="33"/>
    </row>
    <row r="136" spans="1:6" x14ac:dyDescent="0.2">
      <c r="A136" s="28">
        <v>2002.07</v>
      </c>
      <c r="B136" s="61">
        <v>138.1816665114701</v>
      </c>
      <c r="C136" s="62">
        <v>133.4736306055627</v>
      </c>
      <c r="E136" s="34"/>
      <c r="F136" s="33"/>
    </row>
    <row r="137" spans="1:6" x14ac:dyDescent="0.2">
      <c r="A137" s="28">
        <v>2002.08</v>
      </c>
      <c r="B137" s="61">
        <v>129.4366898586286</v>
      </c>
      <c r="C137" s="62">
        <v>131.92162692251344</v>
      </c>
      <c r="E137" s="34"/>
      <c r="F137" s="33"/>
    </row>
    <row r="138" spans="1:6" x14ac:dyDescent="0.2">
      <c r="A138" s="28">
        <v>2002.09</v>
      </c>
      <c r="B138" s="61">
        <v>125.69960418807699</v>
      </c>
      <c r="C138" s="62">
        <v>131.13562990991954</v>
      </c>
      <c r="E138" s="34"/>
      <c r="F138" s="33"/>
    </row>
    <row r="139" spans="1:6" x14ac:dyDescent="0.2">
      <c r="A139" s="28">
        <v>2002.1</v>
      </c>
      <c r="B139" s="61">
        <v>133.26455891344921</v>
      </c>
      <c r="C139" s="62">
        <v>132.50350550836097</v>
      </c>
      <c r="E139" s="34"/>
      <c r="F139" s="33"/>
    </row>
    <row r="140" spans="1:6" x14ac:dyDescent="0.2">
      <c r="A140" s="28">
        <v>2002.11</v>
      </c>
      <c r="B140" s="61">
        <v>133.91632191193838</v>
      </c>
      <c r="C140" s="62">
        <v>132.57374568735204</v>
      </c>
      <c r="E140" s="34"/>
      <c r="F140" s="33"/>
    </row>
    <row r="141" spans="1:6" x14ac:dyDescent="0.2">
      <c r="A141" s="28">
        <v>2002.12</v>
      </c>
      <c r="B141" s="61">
        <v>127.06043742662212</v>
      </c>
      <c r="C141" s="62">
        <v>131.98013270227003</v>
      </c>
      <c r="E141" s="34"/>
      <c r="F141" s="33"/>
    </row>
    <row r="142" spans="1:6" x14ac:dyDescent="0.2">
      <c r="A142" s="28">
        <v>2003.01</v>
      </c>
      <c r="B142" s="61">
        <v>141.31066630384939</v>
      </c>
      <c r="C142" s="62">
        <v>129.7902723505189</v>
      </c>
      <c r="E142" s="34"/>
      <c r="F142" s="33"/>
    </row>
    <row r="143" spans="1:6" x14ac:dyDescent="0.2">
      <c r="A143" s="28">
        <v>2003.02</v>
      </c>
      <c r="B143" s="61">
        <v>111.56070497248899</v>
      </c>
      <c r="C143" s="62">
        <v>124.40839865493295</v>
      </c>
      <c r="E143" s="34"/>
      <c r="F143" s="33"/>
    </row>
    <row r="144" spans="1:6" x14ac:dyDescent="0.2">
      <c r="A144" s="28">
        <v>2003.03</v>
      </c>
      <c r="B144" s="61">
        <v>108.8249441640625</v>
      </c>
      <c r="C144" s="62">
        <v>123.62706830527983</v>
      </c>
      <c r="E144" s="34"/>
      <c r="F144" s="33"/>
    </row>
    <row r="145" spans="1:6" x14ac:dyDescent="0.2">
      <c r="A145" s="28">
        <v>2003.04</v>
      </c>
      <c r="B145" s="61">
        <v>125.53752779349571</v>
      </c>
      <c r="C145" s="62">
        <v>132.29030355823807</v>
      </c>
      <c r="E145" s="34"/>
      <c r="F145" s="33"/>
    </row>
    <row r="146" spans="1:6" x14ac:dyDescent="0.2">
      <c r="A146" s="28">
        <v>2003.05</v>
      </c>
      <c r="B146" s="61">
        <v>177.5326348598777</v>
      </c>
      <c r="C146" s="62">
        <v>139.93737284207492</v>
      </c>
      <c r="E146" s="34"/>
      <c r="F146" s="33"/>
    </row>
    <row r="147" spans="1:6" x14ac:dyDescent="0.2">
      <c r="A147" s="28">
        <v>2003.06</v>
      </c>
      <c r="B147" s="61">
        <v>148.3467831074033</v>
      </c>
      <c r="C147" s="62">
        <v>140.64044887078001</v>
      </c>
      <c r="E147" s="34"/>
      <c r="F147" s="33"/>
    </row>
    <row r="148" spans="1:6" x14ac:dyDescent="0.2">
      <c r="A148" s="28">
        <v>2003.07</v>
      </c>
      <c r="B148" s="61">
        <v>138.50192293718811</v>
      </c>
      <c r="C148" s="62">
        <v>144.88292764809037</v>
      </c>
      <c r="E148" s="34"/>
      <c r="F148" s="33"/>
    </row>
    <row r="149" spans="1:6" x14ac:dyDescent="0.2">
      <c r="A149" s="28">
        <v>2003.08</v>
      </c>
      <c r="B149" s="61">
        <v>153.82248742443829</v>
      </c>
      <c r="C149" s="62">
        <v>153.20204236230936</v>
      </c>
      <c r="E149" s="34"/>
      <c r="F149" s="33"/>
    </row>
    <row r="150" spans="1:6" x14ac:dyDescent="0.2">
      <c r="A150" s="28">
        <v>2003.09</v>
      </c>
      <c r="B150" s="61">
        <v>162.55808362955059</v>
      </c>
      <c r="C150" s="62">
        <v>158.53553584853324</v>
      </c>
      <c r="E150" s="34"/>
      <c r="F150" s="33"/>
    </row>
    <row r="151" spans="1:6" x14ac:dyDescent="0.2">
      <c r="A151" s="28">
        <v>2003.1</v>
      </c>
      <c r="B151" s="61">
        <v>165.86934562587271</v>
      </c>
      <c r="C151" s="62">
        <v>165.75641558633615</v>
      </c>
      <c r="E151" s="34"/>
      <c r="F151" s="33"/>
    </row>
    <row r="152" spans="1:6" x14ac:dyDescent="0.2">
      <c r="A152" s="28">
        <v>2003.11</v>
      </c>
      <c r="B152" s="61">
        <v>178.92373378298208</v>
      </c>
      <c r="C152" s="62">
        <v>175.56064968046363</v>
      </c>
      <c r="E152" s="34"/>
      <c r="F152" s="33"/>
    </row>
    <row r="153" spans="1:6" x14ac:dyDescent="0.2">
      <c r="A153" s="28">
        <v>2003.12</v>
      </c>
      <c r="B153" s="61">
        <v>181.0699191069757</v>
      </c>
      <c r="C153" s="62">
        <v>178.88055688923248</v>
      </c>
      <c r="E153" s="34"/>
      <c r="F153" s="33"/>
    </row>
    <row r="154" spans="1:6" x14ac:dyDescent="0.2">
      <c r="A154" s="28">
        <v>2004.01</v>
      </c>
      <c r="B154" s="61">
        <v>164.06021305826181</v>
      </c>
      <c r="C154" s="62">
        <v>175.25205387537</v>
      </c>
      <c r="E154" s="34"/>
      <c r="F154" s="33"/>
    </row>
    <row r="155" spans="1:6" x14ac:dyDescent="0.2">
      <c r="A155" s="28">
        <v>2004.02</v>
      </c>
      <c r="B155" s="61">
        <v>157.86385477155301</v>
      </c>
      <c r="C155" s="62">
        <v>174.8556150186804</v>
      </c>
      <c r="E155" s="34"/>
      <c r="F155" s="33"/>
    </row>
    <row r="156" spans="1:6" x14ac:dyDescent="0.2">
      <c r="A156" s="28">
        <v>2004.03</v>
      </c>
      <c r="B156" s="61">
        <v>179.1580335970946</v>
      </c>
      <c r="C156" s="62">
        <v>179.62919977236254</v>
      </c>
      <c r="E156" s="34"/>
      <c r="F156" s="33"/>
    </row>
    <row r="157" spans="1:6" x14ac:dyDescent="0.2">
      <c r="A157" s="28">
        <v>2004.04</v>
      </c>
      <c r="B157" s="61">
        <v>168.02780220226998</v>
      </c>
      <c r="C157" s="62">
        <v>185.44748944875658</v>
      </c>
      <c r="E157" s="34"/>
      <c r="F157" s="33"/>
    </row>
    <row r="158" spans="1:6" x14ac:dyDescent="0.2">
      <c r="A158" s="28">
        <v>2004.05</v>
      </c>
      <c r="B158" s="61">
        <v>288.13656825187991</v>
      </c>
      <c r="C158" s="62">
        <v>194.19356933174569</v>
      </c>
      <c r="E158" s="34"/>
      <c r="F158" s="33"/>
    </row>
    <row r="159" spans="1:6" x14ac:dyDescent="0.2">
      <c r="A159" s="28">
        <v>2004.06</v>
      </c>
      <c r="B159" s="61">
        <v>233.72422943496809</v>
      </c>
      <c r="C159" s="62">
        <v>201.26958174479489</v>
      </c>
      <c r="E159" s="34"/>
      <c r="F159" s="33"/>
    </row>
    <row r="160" spans="1:6" x14ac:dyDescent="0.2">
      <c r="A160" s="28">
        <v>2004.07</v>
      </c>
      <c r="B160" s="61">
        <v>191.87731280550122</v>
      </c>
      <c r="C160" s="62">
        <v>199.71388322344552</v>
      </c>
      <c r="E160" s="34"/>
      <c r="F160" s="33"/>
    </row>
    <row r="161" spans="1:6" x14ac:dyDescent="0.2">
      <c r="A161" s="28">
        <v>2004.08</v>
      </c>
      <c r="B161" s="61">
        <v>209.10574494974912</v>
      </c>
      <c r="C161" s="62">
        <v>196.38848364346981</v>
      </c>
      <c r="E161" s="34"/>
      <c r="F161" s="33"/>
    </row>
    <row r="162" spans="1:6" x14ac:dyDescent="0.2">
      <c r="A162" s="28">
        <v>2004.09</v>
      </c>
      <c r="B162" s="61">
        <v>189.90014536911229</v>
      </c>
      <c r="C162" s="62">
        <v>197.98041567827275</v>
      </c>
      <c r="E162" s="34"/>
      <c r="F162" s="33"/>
    </row>
    <row r="163" spans="1:6" x14ac:dyDescent="0.2">
      <c r="A163" s="28">
        <v>2004.1</v>
      </c>
      <c r="B163" s="61">
        <v>201.13642423663072</v>
      </c>
      <c r="C163" s="62">
        <v>200.97116906274624</v>
      </c>
      <c r="E163" s="34"/>
      <c r="F163" s="33"/>
    </row>
    <row r="164" spans="1:6" x14ac:dyDescent="0.2">
      <c r="A164" s="28">
        <v>2004.11</v>
      </c>
      <c r="B164" s="61">
        <v>192.99539189949968</v>
      </c>
      <c r="C164" s="62">
        <v>200.80187554688158</v>
      </c>
      <c r="E164" s="34"/>
      <c r="F164" s="33"/>
    </row>
    <row r="165" spans="1:6" x14ac:dyDescent="0.2">
      <c r="A165" s="28">
        <v>2004.12</v>
      </c>
      <c r="B165" s="61">
        <v>183.57930702286481</v>
      </c>
      <c r="C165" s="62">
        <v>202.06476765461991</v>
      </c>
      <c r="E165" s="34"/>
      <c r="F165" s="33"/>
    </row>
    <row r="166" spans="1:6" x14ac:dyDescent="0.2">
      <c r="A166" s="28">
        <v>2005.01</v>
      </c>
      <c r="B166" s="61">
        <v>201.72504160540279</v>
      </c>
      <c r="C166" s="62">
        <v>208.64922606303119</v>
      </c>
      <c r="E166" s="34"/>
      <c r="F166" s="33"/>
    </row>
    <row r="167" spans="1:6" x14ac:dyDescent="0.2">
      <c r="A167" s="28">
        <v>2005.02</v>
      </c>
      <c r="B167" s="61">
        <v>201.04651204262331</v>
      </c>
      <c r="C167" s="62">
        <v>212.53106508833577</v>
      </c>
      <c r="E167" s="34"/>
      <c r="F167" s="33"/>
    </row>
    <row r="168" spans="1:6" x14ac:dyDescent="0.2">
      <c r="A168" s="28">
        <v>2005.03</v>
      </c>
      <c r="B168" s="61">
        <v>181.6382264119861</v>
      </c>
      <c r="C168" s="62">
        <v>213.89988326610455</v>
      </c>
      <c r="E168" s="34"/>
      <c r="F168" s="33"/>
    </row>
    <row r="169" spans="1:6" x14ac:dyDescent="0.2">
      <c r="A169" s="28">
        <v>2005.04</v>
      </c>
      <c r="B169" s="61">
        <v>204.63773742343699</v>
      </c>
      <c r="C169" s="62">
        <v>218.18601313080597</v>
      </c>
      <c r="E169" s="34"/>
      <c r="F169" s="33"/>
    </row>
    <row r="170" spans="1:6" x14ac:dyDescent="0.2">
      <c r="A170" s="28">
        <v>2005.05</v>
      </c>
      <c r="B170" s="61">
        <v>267.43104018292269</v>
      </c>
      <c r="C170" s="62">
        <v>220.82351623617467</v>
      </c>
      <c r="E170" s="34"/>
      <c r="F170" s="33"/>
    </row>
    <row r="171" spans="1:6" x14ac:dyDescent="0.2">
      <c r="A171" s="28">
        <v>2005.06</v>
      </c>
      <c r="B171" s="61">
        <v>255.30703123499899</v>
      </c>
      <c r="C171" s="62">
        <v>220.32232033360427</v>
      </c>
      <c r="E171" s="34"/>
      <c r="F171" s="33"/>
    </row>
    <row r="172" spans="1:6" x14ac:dyDescent="0.2">
      <c r="A172" s="28">
        <v>2005.07</v>
      </c>
      <c r="B172" s="61">
        <v>216.04230873475771</v>
      </c>
      <c r="C172" s="62">
        <v>217.78037923721899</v>
      </c>
      <c r="E172" s="34"/>
      <c r="F172" s="33"/>
    </row>
    <row r="173" spans="1:6" x14ac:dyDescent="0.2">
      <c r="A173" s="28">
        <v>2005.08</v>
      </c>
      <c r="B173" s="61">
        <v>215.2644857453644</v>
      </c>
      <c r="C173" s="62">
        <v>217.73661589837138</v>
      </c>
      <c r="E173" s="34"/>
      <c r="F173" s="33"/>
    </row>
    <row r="174" spans="1:6" x14ac:dyDescent="0.2">
      <c r="A174" s="28">
        <v>2005.09</v>
      </c>
      <c r="B174" s="61">
        <v>218.7108403770786</v>
      </c>
      <c r="C174" s="62">
        <v>221.4935926578319</v>
      </c>
      <c r="E174" s="34"/>
      <c r="F174" s="33"/>
    </row>
    <row r="175" spans="1:6" x14ac:dyDescent="0.2">
      <c r="A175" s="28">
        <v>2005.1</v>
      </c>
      <c r="B175" s="61">
        <v>217.5727911192823</v>
      </c>
      <c r="C175" s="62">
        <v>222.01681911334521</v>
      </c>
      <c r="E175" s="34"/>
      <c r="F175" s="33"/>
    </row>
    <row r="176" spans="1:6" x14ac:dyDescent="0.2">
      <c r="A176" s="28">
        <v>2005.11</v>
      </c>
      <c r="B176" s="61">
        <v>220.95303683401409</v>
      </c>
      <c r="C176" s="62">
        <v>222.84567757179059</v>
      </c>
      <c r="E176" s="34"/>
      <c r="F176" s="33"/>
    </row>
    <row r="177" spans="1:6" x14ac:dyDescent="0.2">
      <c r="A177" s="28">
        <v>2005.12</v>
      </c>
      <c r="B177" s="61">
        <v>226.40109120818539</v>
      </c>
      <c r="C177" s="62">
        <v>224.65041923992931</v>
      </c>
      <c r="E177" s="34"/>
      <c r="F177" s="33"/>
    </row>
    <row r="178" spans="1:6" x14ac:dyDescent="0.2">
      <c r="A178" s="28">
        <v>2006.01</v>
      </c>
      <c r="B178" s="61">
        <v>210.93537831703341</v>
      </c>
      <c r="C178" s="62">
        <v>226.57698374442933</v>
      </c>
      <c r="E178" s="34"/>
      <c r="F178" s="33"/>
    </row>
    <row r="179" spans="1:6" x14ac:dyDescent="0.2">
      <c r="A179" s="28">
        <v>2006.02</v>
      </c>
      <c r="B179" s="61">
        <v>228.56156031863651</v>
      </c>
      <c r="C179" s="62">
        <v>232.36845695065875</v>
      </c>
      <c r="E179" s="34"/>
      <c r="F179" s="33"/>
    </row>
    <row r="180" spans="1:6" x14ac:dyDescent="0.2">
      <c r="A180" s="28">
        <v>2006.03</v>
      </c>
      <c r="B180" s="61">
        <v>201.184103546968</v>
      </c>
      <c r="C180" s="62">
        <v>235.03456811877879</v>
      </c>
      <c r="E180" s="34"/>
      <c r="F180" s="33"/>
    </row>
    <row r="181" spans="1:6" x14ac:dyDescent="0.2">
      <c r="A181" s="28">
        <v>2006.04</v>
      </c>
      <c r="B181" s="61">
        <v>193.90269806034519</v>
      </c>
      <c r="C181" s="62">
        <v>234.0959798899278</v>
      </c>
      <c r="E181" s="34"/>
      <c r="F181" s="33"/>
    </row>
    <row r="182" spans="1:6" x14ac:dyDescent="0.2">
      <c r="A182" s="28">
        <v>2006.05</v>
      </c>
      <c r="B182" s="61">
        <v>282.30770554193111</v>
      </c>
      <c r="C182" s="62">
        <v>237.3709662724921</v>
      </c>
      <c r="E182" s="34"/>
      <c r="F182" s="33"/>
    </row>
    <row r="183" spans="1:6" x14ac:dyDescent="0.2">
      <c r="A183" s="28">
        <v>2006.06</v>
      </c>
      <c r="B183" s="61">
        <v>289.00682249900859</v>
      </c>
      <c r="C183" s="62">
        <v>243.11012329296153</v>
      </c>
      <c r="E183" s="34"/>
      <c r="F183" s="33"/>
    </row>
    <row r="184" spans="1:6" x14ac:dyDescent="0.2">
      <c r="A184" s="28">
        <v>2006.07</v>
      </c>
      <c r="B184" s="61">
        <v>244.07968775721582</v>
      </c>
      <c r="C184" s="62">
        <v>244.8387256008927</v>
      </c>
      <c r="E184" s="34"/>
      <c r="F184" s="33"/>
    </row>
    <row r="185" spans="1:6" x14ac:dyDescent="0.2">
      <c r="A185" s="28">
        <v>2006.08</v>
      </c>
      <c r="B185" s="61">
        <v>248.03848150785808</v>
      </c>
      <c r="C185" s="62">
        <v>245.55557462271366</v>
      </c>
      <c r="E185" s="34"/>
      <c r="F185" s="33"/>
    </row>
    <row r="186" spans="1:6" x14ac:dyDescent="0.2">
      <c r="A186" s="28">
        <v>2006.09</v>
      </c>
      <c r="B186" s="61">
        <v>241.90404720984179</v>
      </c>
      <c r="C186" s="62">
        <v>249.01901629988274</v>
      </c>
      <c r="E186" s="34"/>
      <c r="F186" s="33"/>
    </row>
    <row r="187" spans="1:6" x14ac:dyDescent="0.2">
      <c r="A187" s="28">
        <v>2006.1</v>
      </c>
      <c r="B187" s="61">
        <v>249.01427111284733</v>
      </c>
      <c r="C187" s="62">
        <v>252.43331973145075</v>
      </c>
      <c r="E187" s="34"/>
      <c r="F187" s="33"/>
    </row>
    <row r="188" spans="1:6" x14ac:dyDescent="0.2">
      <c r="A188" s="28">
        <v>2006.11</v>
      </c>
      <c r="B188" s="61">
        <v>252.83989798916289</v>
      </c>
      <c r="C188" s="62">
        <v>253.04609170906807</v>
      </c>
      <c r="E188" s="34"/>
      <c r="F188" s="33"/>
    </row>
    <row r="189" spans="1:6" x14ac:dyDescent="0.2">
      <c r="A189" s="28">
        <v>2006.12</v>
      </c>
      <c r="B189" s="61">
        <v>244.04094748225083</v>
      </c>
      <c r="C189" s="62">
        <v>253.25892931466899</v>
      </c>
      <c r="E189" s="34"/>
      <c r="F189" s="33"/>
    </row>
    <row r="190" spans="1:6" x14ac:dyDescent="0.2">
      <c r="A190" s="28">
        <v>2007.01</v>
      </c>
      <c r="B190" s="61">
        <v>248.92014619404489</v>
      </c>
      <c r="C190" s="62">
        <v>257.09393485353252</v>
      </c>
      <c r="E190" s="34"/>
      <c r="F190" s="33"/>
    </row>
    <row r="191" spans="1:6" x14ac:dyDescent="0.2">
      <c r="A191" s="28">
        <v>2007.02</v>
      </c>
      <c r="B191" s="61">
        <v>250.44616594231101</v>
      </c>
      <c r="C191" s="62">
        <v>260.92364811375649</v>
      </c>
      <c r="E191" s="34"/>
      <c r="F191" s="33"/>
    </row>
    <row r="192" spans="1:6" x14ac:dyDescent="0.2">
      <c r="A192" s="28">
        <v>2007.03</v>
      </c>
      <c r="B192" s="61">
        <v>225.95946651976368</v>
      </c>
      <c r="C192" s="62">
        <v>262.98505596135794</v>
      </c>
      <c r="E192" s="34"/>
      <c r="F192" s="33"/>
    </row>
    <row r="193" spans="1:6" x14ac:dyDescent="0.2">
      <c r="A193" s="28">
        <v>2007.04</v>
      </c>
      <c r="B193" s="61">
        <v>220.76239887263762</v>
      </c>
      <c r="C193" s="62">
        <v>264.99968569591039</v>
      </c>
      <c r="E193" s="34"/>
      <c r="F193" s="33"/>
    </row>
    <row r="194" spans="1:6" x14ac:dyDescent="0.2">
      <c r="A194" s="28">
        <v>2007.05</v>
      </c>
      <c r="B194" s="61">
        <v>319.66938084504369</v>
      </c>
      <c r="C194" s="62">
        <v>269.04812193652981</v>
      </c>
      <c r="E194" s="34"/>
      <c r="F194" s="33"/>
    </row>
    <row r="195" spans="1:6" x14ac:dyDescent="0.2">
      <c r="A195" s="28">
        <v>2007.06</v>
      </c>
      <c r="B195" s="61">
        <v>322.57596985379803</v>
      </c>
      <c r="C195" s="62">
        <v>274.75128185407004</v>
      </c>
      <c r="E195" s="34"/>
      <c r="F195" s="33"/>
    </row>
    <row r="196" spans="1:6" x14ac:dyDescent="0.2">
      <c r="A196" s="28">
        <v>2007.07</v>
      </c>
      <c r="B196" s="61">
        <v>281.90591000643889</v>
      </c>
      <c r="C196" s="62">
        <v>280.08485893445004</v>
      </c>
      <c r="E196" s="34"/>
      <c r="F196" s="33"/>
    </row>
    <row r="197" spans="1:6" x14ac:dyDescent="0.2">
      <c r="A197" s="28">
        <v>2007.08</v>
      </c>
      <c r="B197" s="61">
        <v>294.41457018889042</v>
      </c>
      <c r="C197" s="62">
        <v>284.20619558555296</v>
      </c>
      <c r="E197" s="34"/>
      <c r="F197" s="33"/>
    </row>
    <row r="198" spans="1:6" x14ac:dyDescent="0.2">
      <c r="A198" s="28">
        <v>2007.09</v>
      </c>
      <c r="B198" s="61">
        <v>273.70143004722479</v>
      </c>
      <c r="C198" s="62">
        <v>284.46835681247779</v>
      </c>
      <c r="E198" s="34"/>
      <c r="F198" s="33"/>
    </row>
    <row r="199" spans="1:6" x14ac:dyDescent="0.2">
      <c r="A199" s="28">
        <v>2007.1</v>
      </c>
      <c r="B199" s="61">
        <v>281.08726019336001</v>
      </c>
      <c r="C199" s="62">
        <v>286.76646439465799</v>
      </c>
      <c r="E199" s="34"/>
      <c r="F199" s="33"/>
    </row>
    <row r="200" spans="1:6" x14ac:dyDescent="0.2">
      <c r="A200" s="28">
        <v>2007.11</v>
      </c>
      <c r="B200" s="61">
        <v>291.90474641602299</v>
      </c>
      <c r="C200" s="62">
        <v>294.98390970100695</v>
      </c>
      <c r="E200" s="34"/>
      <c r="F200" s="33"/>
    </row>
    <row r="201" spans="1:6" x14ac:dyDescent="0.2">
      <c r="A201" s="28">
        <v>2007.12</v>
      </c>
      <c r="B201" s="61">
        <v>295.45491068097829</v>
      </c>
      <c r="C201" s="62">
        <v>302.233830697489</v>
      </c>
      <c r="E201" s="35"/>
      <c r="F201" s="33"/>
    </row>
    <row r="202" spans="1:6" x14ac:dyDescent="0.2">
      <c r="A202" s="28">
        <f t="shared" ref="A202:A265" si="0">A190+1</f>
        <v>2008.01</v>
      </c>
      <c r="B202" s="61">
        <v>294.15335918462301</v>
      </c>
      <c r="C202" s="62">
        <v>304.13794578670695</v>
      </c>
      <c r="E202" s="34"/>
      <c r="F202" s="33"/>
    </row>
    <row r="203" spans="1:6" x14ac:dyDescent="0.2">
      <c r="A203" s="28">
        <f t="shared" si="0"/>
        <v>2008.02</v>
      </c>
      <c r="B203" s="61">
        <v>297.19219034853302</v>
      </c>
      <c r="C203" s="62">
        <v>300.50633204574319</v>
      </c>
      <c r="E203" s="34"/>
      <c r="F203" s="33"/>
    </row>
    <row r="204" spans="1:6" x14ac:dyDescent="0.2">
      <c r="A204" s="28">
        <f t="shared" si="0"/>
        <v>2008.03</v>
      </c>
      <c r="B204" s="61">
        <v>236.98829896639569</v>
      </c>
      <c r="C204" s="62">
        <v>295.92258952743884</v>
      </c>
      <c r="E204" s="34"/>
      <c r="F204" s="33"/>
    </row>
    <row r="205" spans="1:6" x14ac:dyDescent="0.2">
      <c r="A205" s="28">
        <f t="shared" si="0"/>
        <v>2008.04</v>
      </c>
      <c r="B205" s="61">
        <v>267.13064652973452</v>
      </c>
      <c r="C205" s="62">
        <v>292.30632205358745</v>
      </c>
      <c r="E205" s="34"/>
      <c r="F205" s="33"/>
    </row>
    <row r="206" spans="1:6" x14ac:dyDescent="0.2">
      <c r="A206" s="28">
        <f t="shared" si="0"/>
        <v>2008.05</v>
      </c>
      <c r="B206" s="61">
        <v>335.23442066468999</v>
      </c>
      <c r="C206" s="62">
        <v>288.5915367220947</v>
      </c>
      <c r="E206" s="34"/>
      <c r="F206" s="33"/>
    </row>
    <row r="207" spans="1:6" x14ac:dyDescent="0.2">
      <c r="A207" s="28">
        <f t="shared" si="0"/>
        <v>2008.06</v>
      </c>
      <c r="B207" s="61">
        <v>333.136098046109</v>
      </c>
      <c r="C207" s="62">
        <v>290.11468430918484</v>
      </c>
      <c r="E207" s="34"/>
      <c r="F207" s="33"/>
    </row>
    <row r="208" spans="1:6" x14ac:dyDescent="0.2">
      <c r="A208" s="28">
        <f t="shared" si="0"/>
        <v>2008.07</v>
      </c>
      <c r="B208" s="61">
        <v>307.02842960866798</v>
      </c>
      <c r="C208" s="62">
        <v>295.85274034567061</v>
      </c>
      <c r="E208" s="34"/>
      <c r="F208" s="33"/>
    </row>
    <row r="209" spans="1:6" x14ac:dyDescent="0.2">
      <c r="A209" s="28">
        <f t="shared" si="0"/>
        <v>2008.08</v>
      </c>
      <c r="B209" s="61">
        <v>301.79363745160902</v>
      </c>
      <c r="C209" s="62">
        <v>296.33975322888432</v>
      </c>
      <c r="E209" s="34"/>
      <c r="F209" s="33"/>
    </row>
    <row r="210" spans="1:6" x14ac:dyDescent="0.2">
      <c r="A210" s="28">
        <f t="shared" si="0"/>
        <v>2008.09</v>
      </c>
      <c r="B210" s="61">
        <v>285.39593347070002</v>
      </c>
      <c r="C210" s="62">
        <v>293.92095803846337</v>
      </c>
      <c r="E210" s="34"/>
      <c r="F210" s="33"/>
    </row>
    <row r="211" spans="1:6" x14ac:dyDescent="0.2">
      <c r="A211" s="28">
        <f t="shared" si="0"/>
        <v>2008.1</v>
      </c>
      <c r="B211" s="61">
        <v>293.00572091759602</v>
      </c>
      <c r="C211" s="62">
        <v>290.70458228391158</v>
      </c>
      <c r="E211" s="34"/>
      <c r="F211" s="33"/>
    </row>
    <row r="212" spans="1:6" x14ac:dyDescent="0.2">
      <c r="A212" s="28">
        <f t="shared" si="0"/>
        <v>2008.11</v>
      </c>
      <c r="B212" s="61">
        <v>269.59498828654819</v>
      </c>
      <c r="C212" s="62">
        <v>284.15681943255163</v>
      </c>
      <c r="E212" s="34"/>
      <c r="F212" s="33"/>
    </row>
    <row r="213" spans="1:6" x14ac:dyDescent="0.2">
      <c r="A213" s="28">
        <f t="shared" si="0"/>
        <v>2008.12</v>
      </c>
      <c r="B213" s="61">
        <v>279.65516578665893</v>
      </c>
      <c r="C213" s="62">
        <v>280.03602553401055</v>
      </c>
      <c r="E213" s="35"/>
      <c r="F213" s="33"/>
    </row>
    <row r="214" spans="1:6" x14ac:dyDescent="0.2">
      <c r="A214" s="28">
        <f t="shared" si="0"/>
        <v>2009.01</v>
      </c>
      <c r="B214" s="61">
        <v>263.91268318790998</v>
      </c>
      <c r="C214" s="62">
        <v>280.38042897397617</v>
      </c>
      <c r="E214" s="34"/>
      <c r="F214" s="33"/>
    </row>
    <row r="215" spans="1:6" x14ac:dyDescent="0.2">
      <c r="A215" s="28">
        <f t="shared" si="0"/>
        <v>2009.02</v>
      </c>
      <c r="B215" s="61">
        <v>275.37159679372803</v>
      </c>
      <c r="C215" s="62">
        <v>280.62992536014241</v>
      </c>
      <c r="E215" s="34"/>
      <c r="F215" s="33"/>
    </row>
    <row r="216" spans="1:6" x14ac:dyDescent="0.2">
      <c r="A216" s="28">
        <f t="shared" si="0"/>
        <v>2009.03</v>
      </c>
      <c r="B216" s="61">
        <v>239.16502936195758</v>
      </c>
      <c r="C216" s="62">
        <v>278.10842100202456</v>
      </c>
      <c r="E216" s="34"/>
      <c r="F216" s="33"/>
    </row>
    <row r="217" spans="1:6" x14ac:dyDescent="0.2">
      <c r="A217" s="28">
        <f t="shared" si="0"/>
        <v>2009.04</v>
      </c>
      <c r="B217" s="61">
        <v>252.26111329053708</v>
      </c>
      <c r="C217" s="62">
        <v>276.44827099694226</v>
      </c>
      <c r="E217" s="34"/>
      <c r="F217" s="33"/>
    </row>
    <row r="218" spans="1:6" x14ac:dyDescent="0.2">
      <c r="A218" s="28">
        <f t="shared" si="0"/>
        <v>2009.05</v>
      </c>
      <c r="B218" s="61">
        <v>314.66485316064183</v>
      </c>
      <c r="C218" s="62">
        <v>276.15921239517502</v>
      </c>
      <c r="E218" s="34"/>
      <c r="F218" s="33"/>
    </row>
    <row r="219" spans="1:6" x14ac:dyDescent="0.2">
      <c r="A219" s="28">
        <f t="shared" si="0"/>
        <v>2009.06</v>
      </c>
      <c r="B219" s="61">
        <v>319.203845066844</v>
      </c>
      <c r="C219" s="62">
        <v>276.03365622343273</v>
      </c>
      <c r="E219" s="34"/>
      <c r="F219" s="33"/>
    </row>
    <row r="220" spans="1:6" x14ac:dyDescent="0.2">
      <c r="A220" s="28">
        <f t="shared" si="0"/>
        <v>2009.07</v>
      </c>
      <c r="B220" s="61">
        <v>285.55020355033503</v>
      </c>
      <c r="C220" s="62">
        <v>278.20956105848592</v>
      </c>
      <c r="E220" s="34"/>
      <c r="F220" s="33"/>
    </row>
    <row r="221" spans="1:6" x14ac:dyDescent="0.2">
      <c r="A221" s="28">
        <f t="shared" si="0"/>
        <v>2009.08</v>
      </c>
      <c r="B221" s="61">
        <v>285.85108844482801</v>
      </c>
      <c r="C221" s="62">
        <v>281.39809728183536</v>
      </c>
      <c r="E221" s="34"/>
      <c r="F221" s="33"/>
    </row>
    <row r="222" spans="1:6" x14ac:dyDescent="0.2">
      <c r="A222" s="28">
        <f t="shared" si="0"/>
        <v>2009.09</v>
      </c>
      <c r="B222" s="61">
        <v>288.62699519886098</v>
      </c>
      <c r="C222" s="62">
        <v>283.49180457383409</v>
      </c>
      <c r="E222" s="34"/>
      <c r="F222" s="33"/>
    </row>
    <row r="223" spans="1:6" x14ac:dyDescent="0.2">
      <c r="A223" s="28">
        <f t="shared" si="0"/>
        <v>2009.1</v>
      </c>
      <c r="B223" s="61">
        <v>292.037525878689</v>
      </c>
      <c r="C223" s="62">
        <v>284.40486490555202</v>
      </c>
      <c r="E223" s="34"/>
      <c r="F223" s="33"/>
    </row>
    <row r="224" spans="1:6" x14ac:dyDescent="0.2">
      <c r="A224" s="28">
        <f t="shared" si="0"/>
        <v>2009.11</v>
      </c>
      <c r="B224" s="61">
        <v>276.83557089439199</v>
      </c>
      <c r="C224" s="62">
        <v>285.5363271205668</v>
      </c>
      <c r="E224" s="34"/>
      <c r="F224" s="33"/>
    </row>
    <row r="225" spans="1:6" x14ac:dyDescent="0.2">
      <c r="A225" s="28">
        <f t="shared" si="0"/>
        <v>2009.12</v>
      </c>
      <c r="B225" s="61">
        <v>280.6644506593401</v>
      </c>
      <c r="C225" s="62">
        <v>287.11085610027749</v>
      </c>
      <c r="E225" s="35"/>
      <c r="F225" s="33"/>
    </row>
    <row r="226" spans="1:6" x14ac:dyDescent="0.2">
      <c r="A226" s="28">
        <f t="shared" si="0"/>
        <v>2010.01</v>
      </c>
      <c r="B226" s="61">
        <v>260.38406823155424</v>
      </c>
      <c r="C226" s="62">
        <v>289.85456716600794</v>
      </c>
      <c r="E226" s="34"/>
      <c r="F226" s="33"/>
    </row>
    <row r="227" spans="1:6" x14ac:dyDescent="0.2">
      <c r="A227" s="28">
        <f t="shared" si="0"/>
        <v>2010.02</v>
      </c>
      <c r="B227" s="61">
        <v>286.48666546386301</v>
      </c>
      <c r="C227" s="62">
        <v>297.74280002461194</v>
      </c>
      <c r="E227" s="34"/>
      <c r="F227" s="33"/>
    </row>
    <row r="228" spans="1:6" x14ac:dyDescent="0.2">
      <c r="A228" s="28">
        <f t="shared" si="0"/>
        <v>2010.03</v>
      </c>
      <c r="B228" s="61">
        <v>275.89283255791003</v>
      </c>
      <c r="C228" s="62">
        <v>307.86106800836046</v>
      </c>
      <c r="E228" s="34"/>
      <c r="F228" s="33"/>
    </row>
    <row r="229" spans="1:6" x14ac:dyDescent="0.2">
      <c r="A229" s="28">
        <f t="shared" si="0"/>
        <v>2010.04</v>
      </c>
      <c r="B229" s="61">
        <v>296.97990980465499</v>
      </c>
      <c r="C229" s="62">
        <v>314.81488065354517</v>
      </c>
      <c r="E229" s="34"/>
      <c r="F229" s="33"/>
    </row>
    <row r="230" spans="1:6" x14ac:dyDescent="0.2">
      <c r="A230" s="28">
        <f t="shared" si="0"/>
        <v>2010.05</v>
      </c>
      <c r="B230" s="61">
        <v>393.46929619117401</v>
      </c>
      <c r="C230" s="62">
        <v>319.98359200221768</v>
      </c>
      <c r="E230" s="34"/>
      <c r="F230" s="33"/>
    </row>
    <row r="231" spans="1:6" x14ac:dyDescent="0.2">
      <c r="A231" s="28">
        <f t="shared" si="0"/>
        <v>2010.06</v>
      </c>
      <c r="B231" s="61">
        <v>372.545715857446</v>
      </c>
      <c r="C231" s="62">
        <v>322.95277484000451</v>
      </c>
      <c r="E231" s="34"/>
      <c r="F231" s="33"/>
    </row>
    <row r="232" spans="1:6" x14ac:dyDescent="0.2">
      <c r="A232" s="28">
        <f t="shared" si="0"/>
        <v>2010.07</v>
      </c>
      <c r="B232" s="61">
        <v>329.97151255509095</v>
      </c>
      <c r="C232" s="62">
        <v>323.38765957689884</v>
      </c>
      <c r="E232" s="34"/>
      <c r="F232" s="33"/>
    </row>
    <row r="233" spans="1:6" x14ac:dyDescent="0.2">
      <c r="A233" s="28">
        <f t="shared" si="0"/>
        <v>2010.08</v>
      </c>
      <c r="B233" s="61">
        <v>327.45615036378501</v>
      </c>
      <c r="C233" s="62">
        <v>323.11488481968377</v>
      </c>
      <c r="E233" s="34"/>
      <c r="F233" s="33"/>
    </row>
    <row r="234" spans="1:6" x14ac:dyDescent="0.2">
      <c r="A234" s="28">
        <f t="shared" si="0"/>
        <v>2010.09</v>
      </c>
      <c r="B234" s="61">
        <v>317.49960805357802</v>
      </c>
      <c r="C234" s="62">
        <v>320.97942592282266</v>
      </c>
      <c r="E234" s="34"/>
      <c r="F234" s="33"/>
    </row>
    <row r="235" spans="1:6" x14ac:dyDescent="0.2">
      <c r="A235" s="28">
        <f t="shared" si="0"/>
        <v>2010.1</v>
      </c>
      <c r="B235" s="61">
        <v>306.73287605381404</v>
      </c>
      <c r="C235" s="62">
        <v>319.38849367530025</v>
      </c>
      <c r="E235" s="34"/>
      <c r="F235" s="33"/>
    </row>
    <row r="236" spans="1:6" x14ac:dyDescent="0.2">
      <c r="A236" s="28">
        <f t="shared" si="0"/>
        <v>2010.11</v>
      </c>
      <c r="B236" s="61">
        <v>318.994408664709</v>
      </c>
      <c r="C236" s="62">
        <v>325.15562538982977</v>
      </c>
      <c r="E236" s="34"/>
      <c r="F236" s="33"/>
    </row>
    <row r="237" spans="1:6" x14ac:dyDescent="0.2">
      <c r="A237" s="28">
        <f t="shared" si="0"/>
        <v>2010.12</v>
      </c>
      <c r="B237" s="61">
        <v>332.33124558625695</v>
      </c>
      <c r="C237" s="62">
        <v>332.49176129990315</v>
      </c>
      <c r="E237" s="35"/>
      <c r="F237" s="33"/>
    </row>
    <row r="238" spans="1:6" x14ac:dyDescent="0.2">
      <c r="A238" s="28">
        <f t="shared" si="0"/>
        <v>2011.01</v>
      </c>
      <c r="B238" s="61">
        <v>316.16599024972203</v>
      </c>
      <c r="C238" s="62">
        <v>332.95300349130309</v>
      </c>
      <c r="E238" s="34"/>
      <c r="F238" s="33"/>
    </row>
    <row r="239" spans="1:6" x14ac:dyDescent="0.2">
      <c r="A239" s="28">
        <f t="shared" si="0"/>
        <v>2011.02</v>
      </c>
      <c r="B239" s="61">
        <v>321.26538722103896</v>
      </c>
      <c r="C239" s="62">
        <v>333.58841305835097</v>
      </c>
      <c r="E239" s="34"/>
      <c r="F239" s="33"/>
    </row>
    <row r="240" spans="1:6" x14ac:dyDescent="0.2">
      <c r="A240" s="28">
        <f t="shared" si="0"/>
        <v>2011.03</v>
      </c>
      <c r="B240" s="61">
        <v>303.05288637794297</v>
      </c>
      <c r="C240" s="62">
        <v>338.81128480451218</v>
      </c>
      <c r="E240" s="34"/>
      <c r="F240" s="33"/>
    </row>
    <row r="241" spans="1:6" x14ac:dyDescent="0.2">
      <c r="A241" s="28">
        <f t="shared" si="0"/>
        <v>2011.04</v>
      </c>
      <c r="B241" s="61">
        <v>310.91900181091899</v>
      </c>
      <c r="C241" s="62">
        <v>345.84716848787798</v>
      </c>
      <c r="E241" s="34"/>
      <c r="F241" s="33"/>
    </row>
    <row r="242" spans="1:6" x14ac:dyDescent="0.2">
      <c r="A242" s="28">
        <f t="shared" si="0"/>
        <v>2011.05</v>
      </c>
      <c r="B242" s="61">
        <v>418.24327232839698</v>
      </c>
      <c r="C242" s="62">
        <v>350.93036472969527</v>
      </c>
      <c r="E242" s="34"/>
      <c r="F242" s="33"/>
    </row>
    <row r="243" spans="1:6" x14ac:dyDescent="0.2">
      <c r="A243" s="28">
        <f t="shared" si="0"/>
        <v>2011.06</v>
      </c>
      <c r="B243" s="61">
        <v>399.67405765791898</v>
      </c>
      <c r="C243" s="62">
        <v>352.18829845604409</v>
      </c>
      <c r="E243" s="34"/>
      <c r="F243" s="33"/>
    </row>
    <row r="244" spans="1:6" x14ac:dyDescent="0.2">
      <c r="A244" s="28">
        <f t="shared" si="0"/>
        <v>2011.07</v>
      </c>
      <c r="B244" s="61">
        <v>357.73039410737397</v>
      </c>
      <c r="C244" s="62">
        <v>350.97769617317471</v>
      </c>
      <c r="E244" s="34"/>
      <c r="F244" s="33"/>
    </row>
    <row r="245" spans="1:6" x14ac:dyDescent="0.2">
      <c r="A245" s="28">
        <f t="shared" si="0"/>
        <v>2011.08</v>
      </c>
      <c r="B245" s="61">
        <v>348.27247659245597</v>
      </c>
      <c r="C245" s="62">
        <v>350.65343674296332</v>
      </c>
      <c r="E245" s="34"/>
      <c r="F245" s="33"/>
    </row>
    <row r="246" spans="1:6" x14ac:dyDescent="0.2">
      <c r="A246" s="28">
        <f t="shared" si="0"/>
        <v>2011.09</v>
      </c>
      <c r="B246" s="61">
        <v>354.023760178911</v>
      </c>
      <c r="C246" s="62">
        <v>353.81117912010581</v>
      </c>
      <c r="E246" s="34"/>
      <c r="F246" s="33"/>
    </row>
    <row r="247" spans="1:6" x14ac:dyDescent="0.2">
      <c r="A247" s="28">
        <f t="shared" si="0"/>
        <v>2011.1</v>
      </c>
      <c r="B247" s="61">
        <v>342.573413584462</v>
      </c>
      <c r="C247" s="62">
        <v>355.18812235196333</v>
      </c>
      <c r="E247" s="34"/>
      <c r="F247" s="33"/>
    </row>
    <row r="248" spans="1:6" x14ac:dyDescent="0.2">
      <c r="A248" s="28">
        <f t="shared" si="0"/>
        <v>2011.11</v>
      </c>
      <c r="B248" s="61">
        <v>357.579386826068</v>
      </c>
      <c r="C248" s="62">
        <v>352.04581403673649</v>
      </c>
      <c r="E248" s="34"/>
      <c r="F248" s="33"/>
    </row>
    <row r="249" spans="1:6" x14ac:dyDescent="0.2">
      <c r="A249" s="28">
        <f t="shared" si="0"/>
        <v>2011.12</v>
      </c>
      <c r="B249" s="61">
        <v>336.53916673219197</v>
      </c>
      <c r="C249" s="62">
        <v>347.93589256277767</v>
      </c>
      <c r="E249" s="35"/>
      <c r="F249" s="33"/>
    </row>
    <row r="250" spans="1:6" x14ac:dyDescent="0.2">
      <c r="A250" s="28">
        <f t="shared" si="0"/>
        <v>2012.01</v>
      </c>
      <c r="B250" s="61">
        <v>337.60590127190801</v>
      </c>
      <c r="C250" s="62">
        <v>345.15159694098787</v>
      </c>
      <c r="E250" s="34"/>
      <c r="F250" s="33"/>
    </row>
    <row r="251" spans="1:6" x14ac:dyDescent="0.2">
      <c r="A251" s="28">
        <f t="shared" si="0"/>
        <v>2012.02</v>
      </c>
      <c r="B251" s="61">
        <v>337.77787803972103</v>
      </c>
      <c r="C251" s="62">
        <v>343.51387707264087</v>
      </c>
      <c r="E251" s="34"/>
      <c r="F251" s="33"/>
    </row>
    <row r="252" spans="1:6" x14ac:dyDescent="0.2">
      <c r="A252" s="28">
        <f t="shared" si="0"/>
        <v>2012.03</v>
      </c>
      <c r="B252" s="61">
        <v>317.00240663398097</v>
      </c>
      <c r="C252" s="62">
        <v>341.52975549520977</v>
      </c>
      <c r="E252" s="34"/>
      <c r="F252" s="33"/>
    </row>
    <row r="253" spans="1:6" x14ac:dyDescent="0.2">
      <c r="A253" s="28">
        <f t="shared" si="0"/>
        <v>2012.04</v>
      </c>
      <c r="B253" s="61">
        <v>300.17803254642104</v>
      </c>
      <c r="C253" s="62">
        <v>339.72988441170526</v>
      </c>
      <c r="E253" s="34"/>
      <c r="F253" s="33"/>
    </row>
    <row r="254" spans="1:6" x14ac:dyDescent="0.2">
      <c r="A254" s="28">
        <f t="shared" si="0"/>
        <v>2012.05</v>
      </c>
      <c r="B254" s="61">
        <v>408.11688353257199</v>
      </c>
      <c r="C254" s="62">
        <v>342.2377186422749</v>
      </c>
      <c r="E254" s="34"/>
      <c r="F254" s="33"/>
    </row>
    <row r="255" spans="1:6" x14ac:dyDescent="0.2">
      <c r="A255" s="28">
        <f t="shared" si="0"/>
        <v>2012.06</v>
      </c>
      <c r="B255" s="61">
        <v>393.05199217760594</v>
      </c>
      <c r="C255" s="62">
        <v>344.74777362251598</v>
      </c>
      <c r="E255" s="34"/>
      <c r="F255" s="33"/>
    </row>
    <row r="256" spans="1:6" x14ac:dyDescent="0.2">
      <c r="A256" s="28">
        <f t="shared" si="0"/>
        <v>2012.07</v>
      </c>
      <c r="B256" s="61">
        <v>343.70049075809698</v>
      </c>
      <c r="C256" s="62">
        <v>346.47406422341186</v>
      </c>
      <c r="E256" s="34"/>
      <c r="F256" s="33"/>
    </row>
    <row r="257" spans="1:6" x14ac:dyDescent="0.2">
      <c r="A257" s="28">
        <f t="shared" si="0"/>
        <v>2012.08</v>
      </c>
      <c r="B257" s="61">
        <v>357.43172494069501</v>
      </c>
      <c r="C257" s="62">
        <v>350.29210181865449</v>
      </c>
      <c r="E257" s="34"/>
      <c r="F257" s="33"/>
    </row>
    <row r="258" spans="1:6" x14ac:dyDescent="0.2">
      <c r="A258" s="28">
        <f t="shared" si="0"/>
        <v>2012.09</v>
      </c>
      <c r="B258" s="61">
        <v>337.85651124863898</v>
      </c>
      <c r="C258" s="62">
        <v>356.38004809675408</v>
      </c>
      <c r="E258" s="34"/>
      <c r="F258" s="33"/>
    </row>
    <row r="259" spans="1:6" x14ac:dyDescent="0.2">
      <c r="A259" s="28">
        <f t="shared" si="0"/>
        <v>2012.1</v>
      </c>
      <c r="B259" s="61">
        <v>366.09296866543798</v>
      </c>
      <c r="C259" s="62">
        <v>365.89227285840315</v>
      </c>
      <c r="E259" s="34"/>
      <c r="F259" s="33"/>
    </row>
    <row r="260" spans="1:6" x14ac:dyDescent="0.2">
      <c r="A260" s="28">
        <f t="shared" si="0"/>
        <v>2012.11</v>
      </c>
      <c r="B260" s="61">
        <v>368.41291507877895</v>
      </c>
      <c r="C260" s="62">
        <v>370.67782835753451</v>
      </c>
      <c r="E260" s="34"/>
      <c r="F260" s="33"/>
    </row>
    <row r="261" spans="1:6" x14ac:dyDescent="0.2">
      <c r="A261" s="28">
        <f t="shared" si="0"/>
        <v>2012.12</v>
      </c>
      <c r="B261" s="61">
        <v>363.53555766313701</v>
      </c>
      <c r="C261" s="62">
        <v>372.84460081426289</v>
      </c>
      <c r="E261" s="35"/>
      <c r="F261" s="33"/>
    </row>
    <row r="262" spans="1:6" x14ac:dyDescent="0.2">
      <c r="A262" s="28">
        <f t="shared" si="0"/>
        <v>2013.01</v>
      </c>
      <c r="B262" s="61">
        <v>350.04389149706901</v>
      </c>
      <c r="C262" s="62">
        <v>378.33714493770651</v>
      </c>
      <c r="E262" s="34"/>
      <c r="F262" s="33"/>
    </row>
    <row r="263" spans="1:6" x14ac:dyDescent="0.2">
      <c r="A263" s="28">
        <f t="shared" si="0"/>
        <v>2013.02</v>
      </c>
      <c r="B263" s="61">
        <v>375.92104428789099</v>
      </c>
      <c r="C263" s="62">
        <v>383.22460327897971</v>
      </c>
      <c r="E263" s="34"/>
      <c r="F263" s="33"/>
    </row>
    <row r="264" spans="1:6" x14ac:dyDescent="0.2">
      <c r="A264" s="28">
        <f t="shared" si="0"/>
        <v>2013.03</v>
      </c>
      <c r="B264" s="61">
        <v>341.10227477144304</v>
      </c>
      <c r="C264" s="62">
        <v>384.97391329670717</v>
      </c>
      <c r="E264" s="34"/>
      <c r="F264" s="33"/>
    </row>
    <row r="265" spans="1:6" x14ac:dyDescent="0.2">
      <c r="A265" s="28">
        <f t="shared" si="0"/>
        <v>2013.04</v>
      </c>
      <c r="B265" s="61">
        <v>353.641256186117</v>
      </c>
      <c r="C265" s="62">
        <v>383.40438393447704</v>
      </c>
      <c r="E265" s="34"/>
      <c r="F265" s="33"/>
    </row>
    <row r="266" spans="1:6" x14ac:dyDescent="0.2">
      <c r="A266" s="28">
        <f t="shared" ref="A266:A329" si="1">A254+1</f>
        <v>2013.05</v>
      </c>
      <c r="B266" s="61">
        <v>439.069857617465</v>
      </c>
      <c r="C266" s="62">
        <v>382.85503413289905</v>
      </c>
      <c r="E266" s="34"/>
      <c r="F266" s="33"/>
    </row>
    <row r="267" spans="1:6" x14ac:dyDescent="0.2">
      <c r="A267" s="28">
        <f t="shared" si="1"/>
        <v>2013.06</v>
      </c>
      <c r="B267" s="61">
        <v>434.208800234975</v>
      </c>
      <c r="C267" s="62">
        <v>384.24954357159584</v>
      </c>
      <c r="E267" s="34"/>
      <c r="F267" s="33"/>
    </row>
    <row r="268" spans="1:6" x14ac:dyDescent="0.2">
      <c r="A268" s="28">
        <f t="shared" si="1"/>
        <v>2013.07</v>
      </c>
      <c r="B268" s="61">
        <v>380.151213528173</v>
      </c>
      <c r="C268" s="62">
        <v>385.01320694944991</v>
      </c>
      <c r="E268" s="34"/>
      <c r="F268" s="33"/>
    </row>
    <row r="269" spans="1:6" x14ac:dyDescent="0.2">
      <c r="A269" s="28">
        <f t="shared" si="1"/>
        <v>2013.08</v>
      </c>
      <c r="B269" s="61">
        <v>387.62088104503499</v>
      </c>
      <c r="C269" s="62">
        <v>384.20130341417263</v>
      </c>
      <c r="E269" s="34"/>
      <c r="F269" s="33"/>
    </row>
    <row r="270" spans="1:6" x14ac:dyDescent="0.2">
      <c r="A270" s="28">
        <f t="shared" si="1"/>
        <v>2013.09</v>
      </c>
      <c r="B270" s="61">
        <v>371.26403877203097</v>
      </c>
      <c r="C270" s="62">
        <v>380.6775028484081</v>
      </c>
      <c r="E270" s="34"/>
      <c r="F270" s="33"/>
    </row>
    <row r="271" spans="1:6" x14ac:dyDescent="0.2">
      <c r="A271" s="28">
        <f t="shared" si="1"/>
        <v>2013.1</v>
      </c>
      <c r="B271" s="61">
        <v>371.812275950725</v>
      </c>
      <c r="C271" s="62">
        <v>378.66760940487376</v>
      </c>
      <c r="E271" s="34"/>
      <c r="F271" s="33"/>
    </row>
    <row r="272" spans="1:6" x14ac:dyDescent="0.2">
      <c r="A272" s="28">
        <f t="shared" si="1"/>
        <v>2013.11</v>
      </c>
      <c r="B272" s="61">
        <v>377.60322348966997</v>
      </c>
      <c r="C272" s="62">
        <v>378.05864124010475</v>
      </c>
      <c r="E272" s="34"/>
      <c r="F272" s="33"/>
    </row>
    <row r="273" spans="1:6" x14ac:dyDescent="0.2">
      <c r="A273" s="28">
        <f t="shared" si="1"/>
        <v>2013.12</v>
      </c>
      <c r="B273" s="61">
        <v>369.84631645311697</v>
      </c>
      <c r="C273" s="62">
        <v>377.45068361792346</v>
      </c>
      <c r="E273" s="35"/>
      <c r="F273" s="33"/>
    </row>
    <row r="274" spans="1:6" x14ac:dyDescent="0.2">
      <c r="A274" s="28">
        <f t="shared" si="1"/>
        <v>2014.01</v>
      </c>
      <c r="B274" s="61">
        <v>379.06018311408798</v>
      </c>
      <c r="C274" s="62">
        <v>379.52797607330683</v>
      </c>
      <c r="E274" s="34"/>
      <c r="F274" s="33"/>
    </row>
    <row r="275" spans="1:6" x14ac:dyDescent="0.2">
      <c r="A275" s="28">
        <f t="shared" si="1"/>
        <v>2014.02</v>
      </c>
      <c r="B275" s="61">
        <v>389.34009935536903</v>
      </c>
      <c r="C275" s="62">
        <v>377.61693790128697</v>
      </c>
      <c r="E275" s="34"/>
      <c r="F275" s="33"/>
    </row>
    <row r="276" spans="1:6" x14ac:dyDescent="0.2">
      <c r="A276" s="28">
        <f t="shared" si="1"/>
        <v>2014.03</v>
      </c>
      <c r="B276" s="61">
        <v>320.821060877805</v>
      </c>
      <c r="C276" s="62">
        <v>371.85212656864428</v>
      </c>
      <c r="E276" s="34"/>
      <c r="F276" s="33"/>
    </row>
    <row r="277" spans="1:6" x14ac:dyDescent="0.2">
      <c r="A277" s="28">
        <f t="shared" si="1"/>
        <v>2014.04</v>
      </c>
      <c r="B277" s="61">
        <v>345.52467434589005</v>
      </c>
      <c r="C277" s="62">
        <v>369.80015445651429</v>
      </c>
      <c r="E277" s="34"/>
      <c r="F277" s="33"/>
    </row>
    <row r="278" spans="1:6" x14ac:dyDescent="0.2">
      <c r="A278" s="28">
        <f t="shared" si="1"/>
        <v>2014.05</v>
      </c>
      <c r="B278" s="61">
        <v>413.45023075443498</v>
      </c>
      <c r="C278" s="62">
        <v>368.73390923028586</v>
      </c>
      <c r="E278" s="34"/>
      <c r="F278" s="33"/>
    </row>
    <row r="279" spans="1:6" x14ac:dyDescent="0.2">
      <c r="A279" s="28">
        <f t="shared" si="1"/>
        <v>2014.06</v>
      </c>
      <c r="B279" s="61">
        <v>413.22970312019697</v>
      </c>
      <c r="C279" s="62">
        <v>367.48136069089753</v>
      </c>
      <c r="E279" s="34"/>
      <c r="F279" s="33"/>
    </row>
    <row r="280" spans="1:6" x14ac:dyDescent="0.2">
      <c r="A280" s="28">
        <f t="shared" si="1"/>
        <v>2014.07</v>
      </c>
      <c r="B280" s="61">
        <v>366.725400312327</v>
      </c>
      <c r="C280" s="62">
        <v>368.30463301356542</v>
      </c>
      <c r="E280" s="34"/>
      <c r="F280" s="33"/>
    </row>
    <row r="281" spans="1:6" x14ac:dyDescent="0.2">
      <c r="A281" s="28">
        <f t="shared" si="1"/>
        <v>2014.08</v>
      </c>
      <c r="B281" s="61">
        <v>368.63011404045801</v>
      </c>
      <c r="C281" s="62">
        <v>372.38078516791063</v>
      </c>
      <c r="E281" s="34"/>
      <c r="F281" s="33"/>
    </row>
    <row r="282" spans="1:6" x14ac:dyDescent="0.2">
      <c r="A282" s="28">
        <f t="shared" si="1"/>
        <v>2014.09</v>
      </c>
      <c r="B282" s="61">
        <v>378.03203221634499</v>
      </c>
      <c r="C282" s="62">
        <v>377.23740465988658</v>
      </c>
      <c r="E282" s="34"/>
      <c r="F282" s="33"/>
    </row>
    <row r="283" spans="1:6" x14ac:dyDescent="0.2">
      <c r="A283" s="28">
        <f t="shared" si="1"/>
        <v>2014.1</v>
      </c>
      <c r="B283" s="61">
        <v>370.65316101416198</v>
      </c>
      <c r="C283" s="62">
        <v>377.15164533884354</v>
      </c>
      <c r="E283" s="34"/>
      <c r="F283" s="33"/>
    </row>
    <row r="284" spans="1:6" x14ac:dyDescent="0.2">
      <c r="A284" s="28">
        <f t="shared" si="1"/>
        <v>2014.11</v>
      </c>
      <c r="B284" s="61">
        <v>368.66037902145797</v>
      </c>
      <c r="C284" s="62">
        <v>373.87996966678446</v>
      </c>
      <c r="E284" s="34"/>
      <c r="F284" s="33"/>
    </row>
    <row r="285" spans="1:6" x14ac:dyDescent="0.2">
      <c r="A285" s="28">
        <f t="shared" si="1"/>
        <v>2014.12</v>
      </c>
      <c r="B285" s="61">
        <v>375.41253966691204</v>
      </c>
      <c r="C285" s="62">
        <v>369.9810564701155</v>
      </c>
      <c r="E285" s="35"/>
      <c r="F285" s="33"/>
    </row>
    <row r="286" spans="1:6" x14ac:dyDescent="0.2">
      <c r="A286" s="28">
        <f t="shared" si="1"/>
        <v>2015.01</v>
      </c>
      <c r="B286" s="61">
        <v>361.94883183059</v>
      </c>
      <c r="C286" s="62">
        <v>369.57169037133269</v>
      </c>
      <c r="E286" s="34"/>
      <c r="F286" s="33"/>
    </row>
    <row r="287" spans="1:6" x14ac:dyDescent="0.2">
      <c r="A287" s="28">
        <f t="shared" si="1"/>
        <v>2015.02</v>
      </c>
      <c r="B287" s="61">
        <v>381.45398180434699</v>
      </c>
      <c r="C287" s="62">
        <v>374.45986475831376</v>
      </c>
      <c r="E287" s="34"/>
      <c r="F287" s="33"/>
    </row>
    <row r="288" spans="1:6" x14ac:dyDescent="0.2">
      <c r="A288" s="28">
        <f t="shared" si="1"/>
        <v>2015.03</v>
      </c>
      <c r="B288" s="61">
        <v>329.48814683017804</v>
      </c>
      <c r="C288" s="62">
        <v>382.17221929981417</v>
      </c>
      <c r="E288" s="34"/>
      <c r="F288" s="33"/>
    </row>
    <row r="289" spans="1:6" x14ac:dyDescent="0.2">
      <c r="A289" s="28">
        <f t="shared" si="1"/>
        <v>2015.04</v>
      </c>
      <c r="B289" s="61">
        <v>375.16498313317197</v>
      </c>
      <c r="C289" s="62">
        <v>393.3767953042028</v>
      </c>
      <c r="E289" s="34"/>
      <c r="F289" s="33"/>
    </row>
    <row r="290" spans="1:6" x14ac:dyDescent="0.2">
      <c r="A290" s="28">
        <f t="shared" si="1"/>
        <v>2015.05</v>
      </c>
      <c r="B290" s="61">
        <v>438.26211495446103</v>
      </c>
      <c r="C290" s="62">
        <v>398.65587264848057</v>
      </c>
      <c r="E290" s="34"/>
      <c r="F290" s="33"/>
    </row>
    <row r="291" spans="1:6" x14ac:dyDescent="0.2">
      <c r="A291" s="28">
        <f t="shared" si="1"/>
        <v>2015.06</v>
      </c>
      <c r="B291" s="61">
        <v>446.37460175214596</v>
      </c>
      <c r="C291" s="62">
        <v>396.16900741147185</v>
      </c>
      <c r="E291" s="34"/>
      <c r="F291" s="33"/>
    </row>
    <row r="292" spans="1:6" x14ac:dyDescent="0.2">
      <c r="A292" s="28">
        <f t="shared" si="1"/>
        <v>2015.07</v>
      </c>
      <c r="B292" s="61">
        <v>394.27444274479501</v>
      </c>
      <c r="C292" s="62">
        <v>395.18563203150774</v>
      </c>
      <c r="E292" s="34"/>
      <c r="F292" s="33"/>
    </row>
    <row r="293" spans="1:6" x14ac:dyDescent="0.2">
      <c r="A293" s="28">
        <f t="shared" si="1"/>
        <v>2015.08</v>
      </c>
      <c r="B293" s="61">
        <v>394.86069379377705</v>
      </c>
      <c r="C293" s="62">
        <v>393.4833223335105</v>
      </c>
      <c r="E293" s="34"/>
      <c r="F293" s="33"/>
    </row>
    <row r="294" spans="1:6" x14ac:dyDescent="0.2">
      <c r="A294" s="28">
        <f t="shared" si="1"/>
        <v>2015.09</v>
      </c>
      <c r="B294" s="61">
        <v>388.41696905415102</v>
      </c>
      <c r="C294" s="62">
        <v>392.74603087058063</v>
      </c>
      <c r="E294" s="34"/>
      <c r="F294" s="33"/>
    </row>
    <row r="295" spans="1:6" x14ac:dyDescent="0.2">
      <c r="A295" s="28">
        <f t="shared" si="1"/>
        <v>2015.1</v>
      </c>
      <c r="B295" s="61">
        <v>390.356051284665</v>
      </c>
      <c r="C295" s="62">
        <v>399.74307545704124</v>
      </c>
      <c r="E295" s="34"/>
      <c r="F295" s="33"/>
    </row>
    <row r="296" spans="1:6" x14ac:dyDescent="0.2">
      <c r="A296" s="28">
        <f t="shared" si="1"/>
        <v>2015.11</v>
      </c>
      <c r="B296" s="61">
        <v>386.48927873823499</v>
      </c>
      <c r="C296" s="62">
        <v>407.94644891312117</v>
      </c>
      <c r="E296" s="34"/>
      <c r="F296" s="33"/>
    </row>
    <row r="297" spans="1:6" x14ac:dyDescent="0.2">
      <c r="A297" s="28">
        <f t="shared" si="1"/>
        <v>2015.12</v>
      </c>
      <c r="B297" s="61">
        <v>456.92305920099602</v>
      </c>
      <c r="C297" s="62">
        <v>410.9102398108771</v>
      </c>
      <c r="E297" s="34"/>
      <c r="F297" s="33"/>
    </row>
    <row r="298" spans="1:6" x14ac:dyDescent="0.2">
      <c r="A298" s="28">
        <f t="shared" si="1"/>
        <v>2016.01</v>
      </c>
      <c r="B298" s="61">
        <v>437.84625734991397</v>
      </c>
      <c r="C298" s="62">
        <v>411.9114719172307</v>
      </c>
      <c r="E298" s="34"/>
      <c r="F298" s="33"/>
    </row>
    <row r="299" spans="1:6" x14ac:dyDescent="0.2">
      <c r="A299" s="28">
        <f t="shared" si="1"/>
        <v>2016.02</v>
      </c>
      <c r="B299" s="61">
        <v>418.06097073417101</v>
      </c>
      <c r="C299" s="62">
        <v>413.14101978455636</v>
      </c>
      <c r="E299" s="34"/>
      <c r="F299" s="33"/>
    </row>
    <row r="300" spans="1:6" x14ac:dyDescent="0.2">
      <c r="A300" s="28">
        <f t="shared" si="1"/>
        <v>2016.03</v>
      </c>
      <c r="B300" s="61">
        <v>377.55094973357404</v>
      </c>
      <c r="C300" s="62">
        <v>410.49462569686671</v>
      </c>
      <c r="E300" s="34"/>
      <c r="F300" s="33"/>
    </row>
    <row r="301" spans="1:6" x14ac:dyDescent="0.2">
      <c r="A301" s="28">
        <f t="shared" si="1"/>
        <v>2016.04</v>
      </c>
      <c r="B301" s="61">
        <v>382.13524040036498</v>
      </c>
      <c r="C301" s="62">
        <v>400.10299213038638</v>
      </c>
      <c r="E301" s="34"/>
      <c r="F301" s="33"/>
    </row>
    <row r="302" spans="1:6" x14ac:dyDescent="0.2">
      <c r="A302" s="28">
        <f t="shared" si="1"/>
        <v>2016.05</v>
      </c>
      <c r="B302" s="61">
        <v>417.84450291248004</v>
      </c>
      <c r="C302" s="62">
        <v>390.37878809870494</v>
      </c>
      <c r="E302" s="35"/>
      <c r="F302" s="33"/>
    </row>
    <row r="303" spans="1:6" x14ac:dyDescent="0.2">
      <c r="A303" s="28">
        <f t="shared" si="1"/>
        <v>2016.06</v>
      </c>
      <c r="B303" s="61">
        <v>442.18766613733294</v>
      </c>
      <c r="C303" s="62">
        <v>390.26977159136584</v>
      </c>
      <c r="E303" s="34"/>
      <c r="F303" s="33"/>
    </row>
    <row r="304" spans="1:6" x14ac:dyDescent="0.2">
      <c r="A304" s="28">
        <f t="shared" si="1"/>
        <v>2016.07</v>
      </c>
      <c r="B304" s="61">
        <v>390.12861551445997</v>
      </c>
      <c r="C304" s="62">
        <v>392.88230684203745</v>
      </c>
      <c r="E304" s="35"/>
      <c r="F304" s="33"/>
    </row>
    <row r="305" spans="1:6" x14ac:dyDescent="0.2">
      <c r="A305" s="28">
        <f t="shared" si="1"/>
        <v>2016.08</v>
      </c>
      <c r="B305" s="61">
        <v>397.33306387138498</v>
      </c>
      <c r="C305" s="62">
        <v>395.70367342502516</v>
      </c>
      <c r="E305" s="34"/>
      <c r="F305" s="33"/>
    </row>
    <row r="306" spans="1:6" x14ac:dyDescent="0.2">
      <c r="A306" s="28">
        <f t="shared" si="1"/>
        <v>2016.09</v>
      </c>
      <c r="B306" s="61">
        <v>411.22774452802298</v>
      </c>
      <c r="C306" s="62">
        <v>398.70251248903656</v>
      </c>
      <c r="E306" s="34"/>
      <c r="F306" s="33"/>
    </row>
    <row r="307" spans="1:6" x14ac:dyDescent="0.2">
      <c r="A307" s="28">
        <f t="shared" si="1"/>
        <v>2016.1</v>
      </c>
      <c r="B307" s="61">
        <v>378.08089965259296</v>
      </c>
      <c r="C307" s="62">
        <v>396.33361336923349</v>
      </c>
      <c r="E307" s="34"/>
      <c r="F307" s="33"/>
    </row>
    <row r="308" spans="1:6" x14ac:dyDescent="0.2">
      <c r="A308" s="28">
        <f t="shared" si="1"/>
        <v>2016.11</v>
      </c>
      <c r="B308" s="61">
        <v>394.83822061871103</v>
      </c>
      <c r="C308" s="62">
        <v>400.00463757590677</v>
      </c>
      <c r="E308" s="34"/>
      <c r="F308" s="33"/>
    </row>
    <row r="309" spans="1:6" x14ac:dyDescent="0.2">
      <c r="A309" s="28">
        <f t="shared" si="1"/>
        <v>2016.12</v>
      </c>
      <c r="B309" s="61">
        <v>422.67106582463498</v>
      </c>
      <c r="C309" s="62">
        <v>412.13188330068743</v>
      </c>
      <c r="E309" s="34"/>
      <c r="F309" s="33"/>
    </row>
    <row r="310" spans="1:6" x14ac:dyDescent="0.2">
      <c r="A310" s="28">
        <f t="shared" si="1"/>
        <v>2017.01</v>
      </c>
      <c r="B310" s="61">
        <v>421.34771292106598</v>
      </c>
      <c r="C310" s="62">
        <v>415.63401659607922</v>
      </c>
      <c r="E310" s="34"/>
      <c r="F310" s="33"/>
    </row>
    <row r="311" spans="1:6" x14ac:dyDescent="0.2">
      <c r="A311" s="28">
        <f t="shared" si="1"/>
        <v>2017.02</v>
      </c>
      <c r="B311" s="61">
        <v>403.896508596111</v>
      </c>
      <c r="C311" s="62">
        <v>409.20167937056613</v>
      </c>
      <c r="E311" s="34"/>
      <c r="F311" s="33"/>
    </row>
    <row r="312" spans="1:6" x14ac:dyDescent="0.2">
      <c r="A312" s="28">
        <f t="shared" si="1"/>
        <v>2017.03</v>
      </c>
      <c r="B312" s="61">
        <v>352.58640641120303</v>
      </c>
      <c r="C312" s="62">
        <v>406.86024560262348</v>
      </c>
      <c r="E312" s="34"/>
      <c r="F312" s="33"/>
    </row>
    <row r="313" spans="1:6" x14ac:dyDescent="0.2">
      <c r="A313" s="28">
        <f t="shared" si="1"/>
        <v>2017.04</v>
      </c>
      <c r="B313" s="61">
        <v>377.50429876730101</v>
      </c>
      <c r="C313" s="62">
        <v>410.94010605757444</v>
      </c>
      <c r="E313" s="34"/>
      <c r="F313" s="33"/>
    </row>
    <row r="314" spans="1:6" x14ac:dyDescent="0.2">
      <c r="A314" s="28">
        <f t="shared" si="1"/>
        <v>2017.05</v>
      </c>
      <c r="B314" s="61">
        <v>414.95369113934601</v>
      </c>
      <c r="C314" s="62">
        <v>413.27233859055696</v>
      </c>
      <c r="E314" s="34"/>
      <c r="F314" s="33"/>
    </row>
    <row r="315" spans="1:6" x14ac:dyDescent="0.2">
      <c r="A315" s="28">
        <f t="shared" si="1"/>
        <v>2017.06</v>
      </c>
      <c r="B315" s="61">
        <v>471.23676899579601</v>
      </c>
      <c r="C315" s="62">
        <v>418.39353613217622</v>
      </c>
      <c r="E315" s="34"/>
      <c r="F315" s="33"/>
    </row>
    <row r="316" spans="1:6" x14ac:dyDescent="0.2">
      <c r="A316" s="28">
        <f t="shared" si="1"/>
        <v>2017.07</v>
      </c>
      <c r="B316" s="61">
        <v>431.45705086668897</v>
      </c>
      <c r="C316" s="62">
        <v>424.72381500738197</v>
      </c>
      <c r="E316" s="34"/>
      <c r="F316" s="33"/>
    </row>
    <row r="317" spans="1:6" x14ac:dyDescent="0.2">
      <c r="A317" s="28">
        <f t="shared" si="1"/>
        <v>2017.08</v>
      </c>
      <c r="B317" s="61">
        <v>433.00487991797098</v>
      </c>
      <c r="C317" s="62">
        <v>427.42548261762767</v>
      </c>
      <c r="E317" s="34"/>
      <c r="F317" s="33"/>
    </row>
    <row r="318" spans="1:6" x14ac:dyDescent="0.2">
      <c r="A318" s="28">
        <f t="shared" si="1"/>
        <v>2017.09</v>
      </c>
      <c r="B318" s="61">
        <v>441.54904299029801</v>
      </c>
      <c r="C318" s="62">
        <v>431.2562541148086</v>
      </c>
      <c r="E318" s="34"/>
      <c r="F318" s="33"/>
    </row>
    <row r="319" spans="1:6" x14ac:dyDescent="0.2">
      <c r="A319" s="28">
        <f t="shared" si="1"/>
        <v>2017.1</v>
      </c>
      <c r="B319" s="61">
        <v>419.23255178180801</v>
      </c>
      <c r="C319" s="62">
        <v>430.83963358067132</v>
      </c>
      <c r="E319" s="34"/>
      <c r="F319" s="33"/>
    </row>
    <row r="320" spans="1:6" x14ac:dyDescent="0.2">
      <c r="A320" s="28">
        <f t="shared" si="1"/>
        <v>2017.11</v>
      </c>
      <c r="B320" s="61">
        <v>425.78125729648298</v>
      </c>
      <c r="C320" s="62">
        <v>426.7602646472875</v>
      </c>
      <c r="E320" s="34"/>
      <c r="F320" s="33"/>
    </row>
    <row r="321" spans="1:7" x14ac:dyDescent="0.2">
      <c r="A321" s="28">
        <f t="shared" si="1"/>
        <v>2017.12</v>
      </c>
      <c r="B321" s="61">
        <v>426.69163042360094</v>
      </c>
      <c r="C321" s="62">
        <v>424.59911568846087</v>
      </c>
      <c r="E321" s="34"/>
      <c r="F321" s="33"/>
    </row>
    <row r="322" spans="1:7" x14ac:dyDescent="0.2">
      <c r="A322" s="28">
        <f t="shared" si="1"/>
        <v>2018.01</v>
      </c>
      <c r="B322" s="61">
        <v>427.56869320209296</v>
      </c>
      <c r="C322" s="62">
        <v>421.98045835246694</v>
      </c>
      <c r="E322" s="34"/>
      <c r="F322" s="33"/>
    </row>
    <row r="323" spans="1:7" x14ac:dyDescent="0.2">
      <c r="A323" s="28">
        <f t="shared" si="1"/>
        <v>2018.02</v>
      </c>
      <c r="B323" s="61">
        <v>410.21301243091398</v>
      </c>
      <c r="C323" s="62">
        <v>422.40395843734564</v>
      </c>
      <c r="E323" s="34"/>
      <c r="F323" s="33"/>
    </row>
    <row r="324" spans="1:7" x14ac:dyDescent="0.2">
      <c r="A324" s="28">
        <f t="shared" si="1"/>
        <v>2018.03</v>
      </c>
      <c r="B324" s="61">
        <v>410.59104098985699</v>
      </c>
      <c r="C324" s="62">
        <v>428.06241874961029</v>
      </c>
      <c r="E324" s="34"/>
      <c r="F324" s="33"/>
    </row>
    <row r="325" spans="1:7" x14ac:dyDescent="0.2">
      <c r="A325" s="28">
        <f t="shared" si="1"/>
        <v>2018.04</v>
      </c>
      <c r="B325" s="61">
        <v>391.13035611461203</v>
      </c>
      <c r="C325" s="62">
        <v>432.95442515890528</v>
      </c>
      <c r="E325" s="34"/>
      <c r="F325" s="33"/>
    </row>
    <row r="326" spans="1:7" x14ac:dyDescent="0.2">
      <c r="A326" s="28">
        <f t="shared" si="1"/>
        <v>2018.05</v>
      </c>
      <c r="B326" s="61">
        <v>480.78115383422403</v>
      </c>
      <c r="C326" s="62">
        <v>439.91778480363297</v>
      </c>
      <c r="E326" s="34"/>
      <c r="F326" s="33"/>
    </row>
    <row r="327" spans="1:7" x14ac:dyDescent="0.2">
      <c r="A327" s="28">
        <f t="shared" si="1"/>
        <v>2018.06</v>
      </c>
      <c r="B327" s="61">
        <v>515.14624810480802</v>
      </c>
      <c r="C327" s="62">
        <v>442.33515367336048</v>
      </c>
      <c r="E327" s="34"/>
      <c r="F327" s="33"/>
    </row>
    <row r="328" spans="1:7" x14ac:dyDescent="0.2">
      <c r="A328" s="28">
        <f t="shared" si="1"/>
        <v>2018.07</v>
      </c>
      <c r="B328" s="61">
        <v>420.14904969280298</v>
      </c>
      <c r="C328" s="62">
        <v>432.24279202157896</v>
      </c>
      <c r="E328" s="34"/>
      <c r="F328" s="33"/>
    </row>
    <row r="329" spans="1:7" x14ac:dyDescent="0.2">
      <c r="A329" s="28">
        <f t="shared" si="1"/>
        <v>2018.08</v>
      </c>
      <c r="B329" s="61">
        <v>446.55605538596603</v>
      </c>
      <c r="C329" s="62">
        <v>423.2078479598793</v>
      </c>
      <c r="E329" s="34"/>
      <c r="F329" s="33"/>
    </row>
    <row r="330" spans="1:7" x14ac:dyDescent="0.2">
      <c r="A330" s="28">
        <f t="shared" ref="A330:A393" si="2">A318+1</f>
        <v>2018.09</v>
      </c>
      <c r="B330" s="61">
        <v>418.01794343386803</v>
      </c>
      <c r="C330" s="62">
        <v>416.78344915082812</v>
      </c>
      <c r="E330" s="34"/>
      <c r="F330" s="33"/>
    </row>
    <row r="331" spans="1:7" x14ac:dyDescent="0.2">
      <c r="A331" s="28">
        <f t="shared" si="2"/>
        <v>2018.1</v>
      </c>
      <c r="B331" s="61">
        <v>403.92523777211898</v>
      </c>
      <c r="C331" s="62">
        <v>406.68256602514157</v>
      </c>
      <c r="E331" s="34"/>
      <c r="F331" s="33"/>
    </row>
    <row r="332" spans="1:7" x14ac:dyDescent="0.2">
      <c r="A332" s="28">
        <f t="shared" si="2"/>
        <v>2018.11</v>
      </c>
      <c r="B332" s="61">
        <v>394.81636254443197</v>
      </c>
      <c r="C332" s="62">
        <v>397.42578590702743</v>
      </c>
      <c r="E332" s="34"/>
      <c r="F332" s="33"/>
    </row>
    <row r="333" spans="1:7" x14ac:dyDescent="0.2">
      <c r="A333" s="28">
        <f t="shared" si="2"/>
        <v>2018.12</v>
      </c>
      <c r="B333" s="61">
        <v>395.99278916753201</v>
      </c>
      <c r="C333" s="62">
        <v>395.17200846342524</v>
      </c>
      <c r="E333" s="35"/>
      <c r="F333" s="33"/>
      <c r="G333" s="30"/>
    </row>
    <row r="334" spans="1:7" ht="14.25" x14ac:dyDescent="0.2">
      <c r="A334" s="28">
        <f t="shared" si="2"/>
        <v>2019.01</v>
      </c>
      <c r="B334" s="61">
        <v>399.78718413949599</v>
      </c>
      <c r="C334" s="62">
        <v>398.43864067406565</v>
      </c>
      <c r="E334" s="37"/>
      <c r="F334" s="38"/>
    </row>
    <row r="335" spans="1:7" ht="14.25" x14ac:dyDescent="0.2">
      <c r="A335" s="28">
        <f t="shared" si="2"/>
        <v>2019.02</v>
      </c>
      <c r="B335" s="61">
        <v>397.05077242456002</v>
      </c>
      <c r="C335" s="62">
        <v>400.05991783632896</v>
      </c>
      <c r="E335" s="37"/>
      <c r="F335" s="38"/>
    </row>
    <row r="336" spans="1:7" ht="14.25" x14ac:dyDescent="0.2">
      <c r="A336" s="28">
        <f t="shared" si="2"/>
        <v>2019.03</v>
      </c>
      <c r="B336" s="61">
        <v>343.59820961280502</v>
      </c>
      <c r="C336" s="62">
        <v>398.21579291850981</v>
      </c>
      <c r="E336" s="37"/>
      <c r="F336" s="38"/>
    </row>
    <row r="337" spans="1:7" ht="14.25" x14ac:dyDescent="0.2">
      <c r="A337" s="28">
        <f t="shared" si="2"/>
        <v>2019.04</v>
      </c>
      <c r="B337" s="61">
        <v>361.72071282664501</v>
      </c>
      <c r="C337" s="62">
        <v>398.31583950294078</v>
      </c>
      <c r="E337" s="37"/>
      <c r="F337" s="38"/>
    </row>
    <row r="338" spans="1:7" ht="14.25" x14ac:dyDescent="0.2">
      <c r="A338" s="28">
        <f t="shared" si="2"/>
        <v>2019.05</v>
      </c>
      <c r="B338" s="61">
        <v>447.61963919365098</v>
      </c>
      <c r="C338" s="62">
        <v>399.33154167868042</v>
      </c>
      <c r="E338" s="37"/>
      <c r="F338" s="38"/>
    </row>
    <row r="339" spans="1:7" ht="14.25" x14ac:dyDescent="0.2">
      <c r="A339" s="28">
        <f t="shared" si="2"/>
        <v>2019.06</v>
      </c>
      <c r="B339" s="61">
        <v>442.97392837679899</v>
      </c>
      <c r="C339" s="62">
        <v>397.32549092133581</v>
      </c>
      <c r="E339" s="37"/>
      <c r="F339" s="38"/>
    </row>
    <row r="340" spans="1:7" ht="14.25" x14ac:dyDescent="0.2">
      <c r="A340" s="28">
        <f t="shared" si="2"/>
        <v>2019.07</v>
      </c>
      <c r="B340" s="61">
        <v>393.89145607437104</v>
      </c>
      <c r="C340" s="62">
        <v>393.86068510828846</v>
      </c>
      <c r="E340" s="37"/>
      <c r="F340" s="38"/>
    </row>
    <row r="341" spans="1:7" ht="14.25" x14ac:dyDescent="0.2">
      <c r="A341" s="28">
        <f t="shared" si="2"/>
        <v>2019.08</v>
      </c>
      <c r="B341" s="61">
        <v>408.28631236739602</v>
      </c>
      <c r="C341" s="62">
        <v>386.19870616831622</v>
      </c>
      <c r="E341" s="37"/>
      <c r="F341" s="38"/>
    </row>
    <row r="342" spans="1:7" ht="14.25" x14ac:dyDescent="0.2">
      <c r="A342" s="28">
        <f t="shared" si="2"/>
        <v>2019.09</v>
      </c>
      <c r="B342" s="61">
        <v>377.54902853707301</v>
      </c>
      <c r="C342" s="62">
        <v>377.06420412196917</v>
      </c>
      <c r="E342" s="37"/>
      <c r="F342" s="38"/>
    </row>
    <row r="343" spans="1:7" ht="14.25" x14ac:dyDescent="0.2">
      <c r="A343" s="28">
        <f t="shared" si="2"/>
        <v>2019.1</v>
      </c>
      <c r="B343" s="61">
        <v>372.186173989461</v>
      </c>
      <c r="C343" s="62">
        <v>374.1219602014516</v>
      </c>
      <c r="E343" s="37"/>
      <c r="F343" s="38"/>
    </row>
    <row r="344" spans="1:7" ht="14.25" x14ac:dyDescent="0.2">
      <c r="A344" s="28">
        <f t="shared" si="2"/>
        <v>2019.11</v>
      </c>
      <c r="B344" s="61">
        <v>375.89332475909299</v>
      </c>
      <c r="C344" s="62">
        <v>373.19787883109109</v>
      </c>
      <c r="E344" s="37"/>
      <c r="F344" s="38"/>
    </row>
    <row r="345" spans="1:7" ht="14.25" x14ac:dyDescent="0.2">
      <c r="A345" s="28">
        <f t="shared" si="2"/>
        <v>2019.12</v>
      </c>
      <c r="B345" s="61">
        <v>370.59038451140202</v>
      </c>
      <c r="C345" s="62">
        <v>370.07465267686598</v>
      </c>
      <c r="E345" s="40"/>
      <c r="F345" s="38"/>
      <c r="G345" s="36"/>
    </row>
    <row r="346" spans="1:7" x14ac:dyDescent="0.2">
      <c r="A346" s="28">
        <f t="shared" si="2"/>
        <v>2020.01</v>
      </c>
      <c r="B346" s="61">
        <v>367.29358914510999</v>
      </c>
      <c r="C346" s="62">
        <v>368.23195530287762</v>
      </c>
      <c r="E346" s="39"/>
      <c r="F346" s="39"/>
    </row>
    <row r="347" spans="1:7" x14ac:dyDescent="0.2">
      <c r="A347" s="28">
        <f t="shared" si="2"/>
        <v>2020.02</v>
      </c>
      <c r="B347" s="61">
        <v>382.18292888928204</v>
      </c>
      <c r="C347" s="62">
        <v>362.78320714183246</v>
      </c>
    </row>
    <row r="348" spans="1:7" x14ac:dyDescent="0.2">
      <c r="A348" s="28">
        <f t="shared" si="2"/>
        <v>2020.03</v>
      </c>
      <c r="B348" s="61">
        <v>303.84088959496501</v>
      </c>
      <c r="C348" s="62">
        <v>352.02263018482023</v>
      </c>
    </row>
    <row r="349" spans="1:7" x14ac:dyDescent="0.2">
      <c r="A349" s="28">
        <f t="shared" si="2"/>
        <v>2020.04</v>
      </c>
      <c r="B349" s="61">
        <v>285.56255171414</v>
      </c>
      <c r="C349" s="62">
        <v>345.58311235245105</v>
      </c>
    </row>
    <row r="350" spans="1:7" x14ac:dyDescent="0.2">
      <c r="A350" s="28">
        <f t="shared" si="2"/>
        <v>2020.05</v>
      </c>
      <c r="B350" s="61">
        <v>356.36523833681304</v>
      </c>
      <c r="C350" s="62">
        <v>349.50135380033294</v>
      </c>
    </row>
    <row r="351" spans="1:7" x14ac:dyDescent="0.2">
      <c r="A351" s="28">
        <f t="shared" si="2"/>
        <v>2020.06</v>
      </c>
      <c r="B351" s="61">
        <v>410.64065907493398</v>
      </c>
      <c r="C351" s="62">
        <v>358.75901515984555</v>
      </c>
    </row>
    <row r="352" spans="1:7" x14ac:dyDescent="0.2">
      <c r="A352" s="28">
        <f t="shared" si="2"/>
        <v>2020.07</v>
      </c>
      <c r="B352" s="61">
        <v>370.60366432817602</v>
      </c>
      <c r="C352" s="62">
        <v>371.47817278649302</v>
      </c>
    </row>
    <row r="353" spans="1:6" x14ac:dyDescent="0.2">
      <c r="A353" s="28">
        <f t="shared" si="2"/>
        <v>2020.08</v>
      </c>
      <c r="B353" s="61">
        <v>419.71226658293199</v>
      </c>
      <c r="C353" s="62">
        <v>385.73079610954341</v>
      </c>
    </row>
    <row r="354" spans="1:6" x14ac:dyDescent="0.2">
      <c r="A354" s="28">
        <f t="shared" si="2"/>
        <v>2020.09</v>
      </c>
      <c r="B354" s="61">
        <v>390.30214084741897</v>
      </c>
      <c r="C354" s="62">
        <v>395.16764499691584</v>
      </c>
    </row>
    <row r="355" spans="1:6" x14ac:dyDescent="0.2">
      <c r="A355" s="28">
        <f t="shared" si="2"/>
        <v>2020.1</v>
      </c>
      <c r="B355" s="61">
        <v>412.207748131389</v>
      </c>
      <c r="C355" s="62">
        <v>406.27789603125325</v>
      </c>
    </row>
    <row r="356" spans="1:6" x14ac:dyDescent="0.2">
      <c r="A356" s="28">
        <f t="shared" si="2"/>
        <v>2020.11</v>
      </c>
      <c r="B356" s="61">
        <v>415.47775860186198</v>
      </c>
      <c r="C356" s="62">
        <v>411.36027739668316</v>
      </c>
    </row>
    <row r="357" spans="1:6" x14ac:dyDescent="0.2">
      <c r="A357" s="28">
        <f t="shared" si="2"/>
        <v>2020.12</v>
      </c>
      <c r="B357" s="61">
        <v>408.50014324787696</v>
      </c>
      <c r="C357" s="62">
        <v>405.0605469783211</v>
      </c>
    </row>
    <row r="358" spans="1:6" x14ac:dyDescent="0.2">
      <c r="A358" s="28">
        <f t="shared" si="2"/>
        <v>2021.01</v>
      </c>
      <c r="B358" s="61">
        <v>390.04781536087</v>
      </c>
      <c r="C358" s="62">
        <v>402.87263829335552</v>
      </c>
      <c r="E358" s="30"/>
    </row>
    <row r="359" spans="1:6" x14ac:dyDescent="0.2">
      <c r="A359" s="28">
        <f t="shared" si="2"/>
        <v>2021.02</v>
      </c>
      <c r="B359" s="61">
        <v>401.95482690814197</v>
      </c>
      <c r="C359" s="62">
        <v>410.22794084632051</v>
      </c>
      <c r="E359" s="30"/>
      <c r="F359" s="30"/>
    </row>
    <row r="360" spans="1:6" x14ac:dyDescent="0.2">
      <c r="A360" s="28">
        <f t="shared" si="2"/>
        <v>2021.03</v>
      </c>
      <c r="B360" s="61">
        <v>370.75176287435704</v>
      </c>
      <c r="C360" s="62">
        <v>416.31349991434422</v>
      </c>
      <c r="E360" s="30"/>
      <c r="F360" s="30"/>
    </row>
    <row r="361" spans="1:6" x14ac:dyDescent="0.2">
      <c r="A361" s="28">
        <f t="shared" si="2"/>
        <v>2021.04</v>
      </c>
      <c r="B361" s="61">
        <v>399.07478283127301</v>
      </c>
      <c r="C361" s="62">
        <v>412.30747922229705</v>
      </c>
      <c r="E361" s="30"/>
      <c r="F361" s="30"/>
    </row>
    <row r="362" spans="1:6" x14ac:dyDescent="0.2">
      <c r="A362" s="28">
        <f t="shared" si="2"/>
        <v>2021.05</v>
      </c>
      <c r="B362" s="61">
        <v>398.152959426753</v>
      </c>
      <c r="C362" s="62">
        <v>404.08296727343674</v>
      </c>
    </row>
    <row r="363" spans="1:6" x14ac:dyDescent="0.2">
      <c r="A363" s="28">
        <f t="shared" si="2"/>
        <v>2021.06</v>
      </c>
      <c r="B363" s="61">
        <v>443.06770141899403</v>
      </c>
      <c r="C363" s="62">
        <v>395.96809377397926</v>
      </c>
    </row>
    <row r="364" spans="1:6" x14ac:dyDescent="0.2">
      <c r="A364" s="28">
        <f t="shared" si="2"/>
        <v>2021.07</v>
      </c>
      <c r="B364" s="61">
        <v>384.95034288457401</v>
      </c>
      <c r="C364" s="62">
        <v>398.1638112219963</v>
      </c>
    </row>
    <row r="365" spans="1:6" x14ac:dyDescent="0.2">
      <c r="A365" s="28">
        <f t="shared" si="2"/>
        <v>2021.08</v>
      </c>
      <c r="B365" s="61">
        <v>446.50246038126102</v>
      </c>
      <c r="C365" s="62">
        <v>410.7874096607776</v>
      </c>
    </row>
    <row r="366" spans="1:6" x14ac:dyDescent="0.2">
      <c r="A366" s="28">
        <f t="shared" si="2"/>
        <v>2021.09</v>
      </c>
      <c r="B366" s="61">
        <v>418.65209675378196</v>
      </c>
      <c r="C366" s="62">
        <v>413.69598218193522</v>
      </c>
    </row>
    <row r="367" spans="1:6" x14ac:dyDescent="0.2">
      <c r="A367" s="28">
        <f t="shared" si="2"/>
        <v>2021.1</v>
      </c>
      <c r="B367" s="61">
        <v>406.86084100474602</v>
      </c>
      <c r="C367" s="62">
        <v>410.12294641659844</v>
      </c>
    </row>
    <row r="368" spans="1:6" x14ac:dyDescent="0.2">
      <c r="A368" s="28">
        <f t="shared" si="2"/>
        <v>2021.11</v>
      </c>
      <c r="B368" s="61">
        <v>415.52463427778605</v>
      </c>
      <c r="C368" s="62">
        <v>417.75351450070207</v>
      </c>
    </row>
    <row r="369" spans="1:3" x14ac:dyDescent="0.2">
      <c r="A369" s="28">
        <f t="shared" si="2"/>
        <v>2021.12</v>
      </c>
      <c r="B369" s="61">
        <v>444.85101923523496</v>
      </c>
      <c r="C369" s="62">
        <v>427.55560572923542</v>
      </c>
    </row>
    <row r="370" spans="1:3" x14ac:dyDescent="0.2">
      <c r="A370" s="28">
        <f t="shared" si="2"/>
        <v>2022.01</v>
      </c>
      <c r="B370" s="61">
        <v>407.79075722066602</v>
      </c>
      <c r="C370" s="62">
        <v>428.17054144475003</v>
      </c>
    </row>
    <row r="371" spans="1:3" x14ac:dyDescent="0.2">
      <c r="A371" s="28">
        <f t="shared" si="2"/>
        <v>2022.02</v>
      </c>
      <c r="B371" s="61">
        <v>429.74703315821898</v>
      </c>
      <c r="C371" s="62">
        <v>429.03804156365828</v>
      </c>
    </row>
    <row r="372" spans="1:3" x14ac:dyDescent="0.2">
      <c r="A372" s="28">
        <f t="shared" si="2"/>
        <v>2022.03</v>
      </c>
      <c r="B372" s="61">
        <v>373.827989263794</v>
      </c>
      <c r="C372" s="62">
        <v>436.58741041897235</v>
      </c>
    </row>
    <row r="373" spans="1:3" x14ac:dyDescent="0.2">
      <c r="A373" s="28">
        <f t="shared" si="2"/>
        <v>2022.04</v>
      </c>
      <c r="B373" s="61">
        <v>416.81120975270198</v>
      </c>
      <c r="C373" s="62">
        <v>442.61643929459012</v>
      </c>
    </row>
    <row r="374" spans="1:3" x14ac:dyDescent="0.2">
      <c r="A374" s="28">
        <f t="shared" si="2"/>
        <v>2022.05</v>
      </c>
      <c r="B374" s="61">
        <v>449.65141345269899</v>
      </c>
      <c r="C374" s="62">
        <v>440.15421942823878</v>
      </c>
    </row>
    <row r="375" spans="1:3" x14ac:dyDescent="0.2">
      <c r="A375" s="28">
        <f t="shared" si="2"/>
        <v>2022.06</v>
      </c>
      <c r="B375" s="61">
        <v>495.633745066193</v>
      </c>
      <c r="C375" s="62">
        <v>439.47302629249771</v>
      </c>
    </row>
    <row r="376" spans="1:3" x14ac:dyDescent="0.2">
      <c r="A376" s="28">
        <f t="shared" si="2"/>
        <v>2022.07</v>
      </c>
      <c r="B376" s="61">
        <v>435.99819572503702</v>
      </c>
      <c r="C376" s="62">
        <v>433.03364849265364</v>
      </c>
    </row>
    <row r="377" spans="1:3" x14ac:dyDescent="0.2">
      <c r="A377" s="28">
        <f t="shared" si="2"/>
        <v>2022.08</v>
      </c>
      <c r="B377" s="61">
        <v>427.87176151077995</v>
      </c>
      <c r="C377" s="62">
        <v>418.10400080456657</v>
      </c>
    </row>
    <row r="378" spans="1:3" x14ac:dyDescent="0.2">
      <c r="A378" s="28">
        <f t="shared" si="2"/>
        <v>2022.09</v>
      </c>
      <c r="B378" s="61">
        <v>422.11045208336702</v>
      </c>
      <c r="C378" s="62">
        <v>417.75265133582622</v>
      </c>
    </row>
    <row r="379" spans="1:3" x14ac:dyDescent="0.2">
      <c r="A379" s="28">
        <f t="shared" si="2"/>
        <v>2022.1</v>
      </c>
      <c r="B379" s="61">
        <v>430.73600619772901</v>
      </c>
      <c r="C379" s="62">
        <v>423.73502409351192</v>
      </c>
    </row>
    <row r="380" spans="1:3" x14ac:dyDescent="0.2">
      <c r="A380" s="28">
        <f t="shared" si="2"/>
        <v>2022.11</v>
      </c>
      <c r="B380" s="61">
        <v>419.19006475789695</v>
      </c>
      <c r="C380" s="62">
        <v>424.19947926968956</v>
      </c>
    </row>
    <row r="381" spans="1:3" x14ac:dyDescent="0.2">
      <c r="A381" s="28">
        <f t="shared" si="2"/>
        <v>2022.12</v>
      </c>
      <c r="B381" s="61">
        <v>433.44556074859099</v>
      </c>
      <c r="C381" s="62">
        <v>421.89114857275035</v>
      </c>
    </row>
    <row r="382" spans="1:3" x14ac:dyDescent="0.2">
      <c r="A382" s="28">
        <f t="shared" si="2"/>
        <v>2023.01</v>
      </c>
      <c r="B382" s="61">
        <v>409.61593366151396</v>
      </c>
      <c r="C382" s="62">
        <v>414.82448293822148</v>
      </c>
    </row>
    <row r="383" spans="1:3" x14ac:dyDescent="0.2">
      <c r="A383" s="28">
        <f t="shared" si="2"/>
        <v>2023.02</v>
      </c>
      <c r="B383" s="61">
        <v>401.47149662042699</v>
      </c>
      <c r="C383" s="62">
        <v>415.8265327293571</v>
      </c>
    </row>
    <row r="384" spans="1:3" x14ac:dyDescent="0.2">
      <c r="A384" s="28">
        <f t="shared" si="2"/>
        <v>2023.03</v>
      </c>
      <c r="B384" s="61">
        <v>370.53310067954396</v>
      </c>
      <c r="C384" s="62">
        <v>424.76749713821937</v>
      </c>
    </row>
    <row r="385" spans="1:3" x14ac:dyDescent="0.2">
      <c r="A385" s="28">
        <f t="shared" si="2"/>
        <v>2023.04</v>
      </c>
      <c r="B385" s="61">
        <v>387.90382674536204</v>
      </c>
      <c r="C385" s="62">
        <v>422.54573345577955</v>
      </c>
    </row>
    <row r="386" spans="1:3" x14ac:dyDescent="0.2">
      <c r="A386" s="28">
        <f t="shared" si="2"/>
        <v>2023.05</v>
      </c>
      <c r="B386" s="61">
        <v>429.21247067089996</v>
      </c>
      <c r="C386" s="62">
        <v>417.60389996956178</v>
      </c>
    </row>
    <row r="387" spans="1:3" x14ac:dyDescent="0.2">
      <c r="A387" s="28">
        <f t="shared" si="2"/>
        <v>2023.06</v>
      </c>
      <c r="B387" s="61">
        <v>478.54363026321499</v>
      </c>
      <c r="C387" s="62">
        <v>421.92728871387476</v>
      </c>
    </row>
    <row r="388" spans="1:3" x14ac:dyDescent="0.2">
      <c r="A388" s="28">
        <f t="shared" si="2"/>
        <v>2023.07</v>
      </c>
      <c r="B388" s="61">
        <v>420.91499804180501</v>
      </c>
      <c r="C388" s="62">
        <v>423.76344129878345</v>
      </c>
    </row>
    <row r="389" spans="1:3" x14ac:dyDescent="0.2">
      <c r="A389" s="28">
        <f t="shared" si="2"/>
        <v>2023.08</v>
      </c>
      <c r="B389" s="61">
        <v>444.80987606134602</v>
      </c>
      <c r="C389" s="62">
        <v>419.53591114712771</v>
      </c>
    </row>
    <row r="390" spans="1:3" x14ac:dyDescent="0.2">
      <c r="A390" s="28">
        <f t="shared" si="2"/>
        <v>2023.09</v>
      </c>
      <c r="B390" s="61">
        <v>415.08891132727604</v>
      </c>
      <c r="C390" s="62">
        <v>412.32528242992453</v>
      </c>
    </row>
    <row r="391" spans="1:3" x14ac:dyDescent="0.2">
      <c r="A391" s="28">
        <f t="shared" si="2"/>
        <v>2023.1</v>
      </c>
      <c r="B391" s="61">
        <v>410.09148699682999</v>
      </c>
      <c r="C391" s="62">
        <v>399.46352844917129</v>
      </c>
    </row>
    <row r="392" spans="1:3" x14ac:dyDescent="0.2">
      <c r="A392" s="28">
        <f t="shared" si="2"/>
        <v>2023.11</v>
      </c>
      <c r="B392" s="61">
        <v>380.15893997271201</v>
      </c>
      <c r="C392" s="62">
        <v>382.82095952097933</v>
      </c>
    </row>
    <row r="393" spans="1:3" x14ac:dyDescent="0.2">
      <c r="A393" s="28">
        <f t="shared" si="2"/>
        <v>2023.12</v>
      </c>
      <c r="B393" s="61">
        <v>355.18053734934801</v>
      </c>
      <c r="C393" s="62">
        <v>371.37485843103116</v>
      </c>
    </row>
    <row r="394" spans="1:3" x14ac:dyDescent="0.2">
      <c r="A394" s="28">
        <f t="shared" ref="A394:A429" si="3">A382+1</f>
        <v>2024.01</v>
      </c>
      <c r="B394" s="61">
        <v>365.84893312039003</v>
      </c>
      <c r="C394" s="62">
        <v>363.43227980294932</v>
      </c>
    </row>
    <row r="395" spans="1:3" x14ac:dyDescent="0.2">
      <c r="A395" s="28">
        <f t="shared" si="3"/>
        <v>2024.02</v>
      </c>
      <c r="B395" s="61">
        <v>359.73230600387501</v>
      </c>
      <c r="C395" s="62">
        <v>353.41910935721529</v>
      </c>
    </row>
    <row r="396" spans="1:3" x14ac:dyDescent="0.2">
      <c r="A396" s="28">
        <f t="shared" si="3"/>
        <v>2024.03</v>
      </c>
      <c r="B396" s="61">
        <v>305.09180235815802</v>
      </c>
      <c r="C396" s="62">
        <v>349.85790827960943</v>
      </c>
    </row>
    <row r="397" spans="1:3" x14ac:dyDescent="0.2">
      <c r="A397" s="28">
        <f t="shared" si="3"/>
        <v>2024.04</v>
      </c>
      <c r="B397" s="61">
        <v>325.52445497541601</v>
      </c>
      <c r="C397" s="62">
        <v>353.09794683547653</v>
      </c>
    </row>
    <row r="398" spans="1:3" x14ac:dyDescent="0.2">
      <c r="A398" s="28">
        <f t="shared" si="3"/>
        <v>2024.05</v>
      </c>
      <c r="B398" s="61">
        <v>488.08610221203901</v>
      </c>
      <c r="C398" s="62">
        <v>355.07826304318644</v>
      </c>
    </row>
    <row r="399" spans="1:3" x14ac:dyDescent="0.2">
      <c r="A399" s="28">
        <f t="shared" si="3"/>
        <v>2024.06</v>
      </c>
      <c r="B399" s="61">
        <v>385.26060901028302</v>
      </c>
      <c r="C399" s="62">
        <v>355.05801976031501</v>
      </c>
    </row>
    <row r="400" spans="1:3" x14ac:dyDescent="0.2">
      <c r="A400" s="28">
        <f t="shared" si="3"/>
        <v>2024.07</v>
      </c>
      <c r="B400" s="61">
        <v>345.35753368174403</v>
      </c>
      <c r="C400" s="62">
        <v>355.4590420655984</v>
      </c>
    </row>
    <row r="401" spans="1:3" x14ac:dyDescent="0.2">
      <c r="A401" s="28">
        <f t="shared" si="3"/>
        <v>2024.08</v>
      </c>
      <c r="B401" s="61">
        <v>371.01506302235703</v>
      </c>
      <c r="C401" s="62">
        <v>358.95669617796125</v>
      </c>
    </row>
    <row r="402" spans="1:3" x14ac:dyDescent="0.2">
      <c r="A402" s="28">
        <f t="shared" si="3"/>
        <v>2024.09</v>
      </c>
      <c r="B402" s="61">
        <v>399.61836470486003</v>
      </c>
      <c r="C402" s="62">
        <v>365.33182737136224</v>
      </c>
    </row>
    <row r="403" spans="1:3" x14ac:dyDescent="0.2">
      <c r="A403" s="28">
        <f>A391+1</f>
        <v>2024.1</v>
      </c>
      <c r="B403" s="61">
        <v>373.18658708492302</v>
      </c>
      <c r="C403" s="62">
        <v>372.97266358765086</v>
      </c>
    </row>
    <row r="404" spans="1:3" x14ac:dyDescent="0.2">
      <c r="A404" s="28">
        <f t="shared" si="3"/>
        <v>2024.11</v>
      </c>
      <c r="B404" s="61">
        <v>380.66642936726601</v>
      </c>
      <c r="C404" s="62">
        <v>377.54738057164747</v>
      </c>
    </row>
    <row r="405" spans="1:3" x14ac:dyDescent="0.2">
      <c r="A405" s="28">
        <f t="shared" si="3"/>
        <v>2024.12</v>
      </c>
      <c r="B405" s="61">
        <v>368.63905700645199</v>
      </c>
      <c r="C405" s="62">
        <v>380.11957684309863</v>
      </c>
    </row>
    <row r="406" spans="1:3" x14ac:dyDescent="0.2">
      <c r="A406" s="28">
        <f t="shared" si="3"/>
        <v>2025.01</v>
      </c>
      <c r="B406" s="61">
        <v>394.43114372145101</v>
      </c>
      <c r="C406" s="62">
        <v>388.93599316738198</v>
      </c>
    </row>
    <row r="407" spans="1:3" x14ac:dyDescent="0.2">
      <c r="A407" s="28">
        <f t="shared" si="3"/>
        <v>2025.02</v>
      </c>
      <c r="B407" s="61">
        <v>429.04176348622298</v>
      </c>
      <c r="C407" s="62">
        <v>394.01745759332368</v>
      </c>
    </row>
    <row r="408" spans="1:3" x14ac:dyDescent="0.2">
      <c r="A408" s="28">
        <f t="shared" si="3"/>
        <v>2025.03</v>
      </c>
      <c r="B408" s="61">
        <v>323.54710965247102</v>
      </c>
      <c r="C408" s="62">
        <v>387.80341580076674</v>
      </c>
    </row>
    <row r="409" spans="1:3" x14ac:dyDescent="0.2">
      <c r="A409" s="28">
        <f t="shared" si="3"/>
        <v>2025.04</v>
      </c>
      <c r="B409" s="61">
        <v>346.45517197965398</v>
      </c>
      <c r="C409" s="62">
        <v>381.31453664657033</v>
      </c>
    </row>
    <row r="410" spans="1:3" x14ac:dyDescent="0.2">
      <c r="A410" s="28">
        <f t="shared" si="3"/>
        <v>2025.05</v>
      </c>
      <c r="B410" s="61">
        <v>408.36227934726401</v>
      </c>
      <c r="C410" s="62">
        <v>380.28113978925001</v>
      </c>
    </row>
    <row r="411" spans="1:3" x14ac:dyDescent="0.2">
      <c r="A411" s="28">
        <f t="shared" si="3"/>
        <v>2025.06</v>
      </c>
      <c r="B411" s="61">
        <v>414.444146904842</v>
      </c>
      <c r="C411" s="62">
        <v>380.25206088651692</v>
      </c>
    </row>
    <row r="412" spans="1:3" x14ac:dyDescent="0.2">
      <c r="A412" s="28">
        <f t="shared" si="3"/>
        <v>2025.07</v>
      </c>
      <c r="B412" s="61">
        <v>384.37748276683703</v>
      </c>
      <c r="C412" s="62">
        <v>378.13275034484548</v>
      </c>
    </row>
    <row r="413" spans="1:3" x14ac:dyDescent="0.2">
      <c r="A413" s="28">
        <f t="shared" si="3"/>
        <v>2025.08</v>
      </c>
      <c r="B413" s="61">
        <v>388.70960223265899</v>
      </c>
      <c r="C413" s="62">
        <v>376.19867360829949</v>
      </c>
    </row>
    <row r="414" spans="1:3" x14ac:dyDescent="0.2">
      <c r="A414" s="28">
        <f t="shared" si="3"/>
        <v>2025.09</v>
      </c>
      <c r="B414" s="61">
        <v>379.49692472934203</v>
      </c>
      <c r="C414" s="62">
        <v>373.07852185939271</v>
      </c>
    </row>
    <row r="415" spans="1:3" x14ac:dyDescent="0.2">
      <c r="A415" s="28">
        <f t="shared" si="3"/>
        <v>2025.1</v>
      </c>
      <c r="B415" s="61">
        <v>368.84573734764797</v>
      </c>
      <c r="C415" s="62">
        <v>372.72836969533176</v>
      </c>
    </row>
    <row r="416" spans="1:3" x14ac:dyDescent="0.2">
      <c r="A416" s="28">
        <f t="shared" si="3"/>
        <v>2025.11</v>
      </c>
      <c r="B416" s="61">
        <v>364.44820643943399</v>
      </c>
      <c r="C416" s="62">
        <v>379.17176837672486</v>
      </c>
    </row>
    <row r="417" spans="1:3" x14ac:dyDescent="0.2">
      <c r="A417" s="28">
        <f t="shared" si="3"/>
        <v>2025.12</v>
      </c>
      <c r="B417" s="61">
        <v>380.71193642347703</v>
      </c>
      <c r="C417" s="62">
        <v>384.38638013907894</v>
      </c>
    </row>
    <row r="418" spans="1:3" x14ac:dyDescent="0.2">
      <c r="A418" s="28">
        <f t="shared" si="3"/>
        <v>2026.01</v>
      </c>
      <c r="B418" s="61">
        <v>387.55640663434798</v>
      </c>
      <c r="C418" s="62">
        <v>386.1412693052639</v>
      </c>
    </row>
    <row r="419" spans="1:3" x14ac:dyDescent="0.2">
      <c r="A419" s="28">
        <f t="shared" si="3"/>
        <v>2026.02</v>
      </c>
      <c r="B419" s="61">
        <v>409.45484565197899</v>
      </c>
      <c r="C419" s="62">
        <v>383.50633385883037</v>
      </c>
    </row>
    <row r="420" spans="1:3" x14ac:dyDescent="0.2">
      <c r="A420" s="28">
        <f t="shared" si="3"/>
        <v>2026.03</v>
      </c>
      <c r="B420" s="61">
        <v>313.02036749298401</v>
      </c>
      <c r="C420" s="62">
        <v>377.54759479721275</v>
      </c>
    </row>
    <row r="421" spans="1:3" x14ac:dyDescent="0.2">
      <c r="A421" s="28">
        <f t="shared" si="3"/>
        <v>2026.04</v>
      </c>
      <c r="B421" s="61">
        <v>342.749662613412</v>
      </c>
      <c r="C421" s="62">
        <v>379.04285568267193</v>
      </c>
    </row>
    <row r="422" spans="1:3" x14ac:dyDescent="0.2">
      <c r="A422" s="28">
        <f t="shared" si="3"/>
        <v>2026.05</v>
      </c>
      <c r="B422" s="61">
        <v>426.50244869261701</v>
      </c>
      <c r="C422" s="62">
        <v>380.83839312418888</v>
      </c>
    </row>
    <row r="423" spans="1:3" x14ac:dyDescent="0.2">
      <c r="A423" s="28">
        <f t="shared" si="3"/>
        <v>2026.06</v>
      </c>
      <c r="B423" s="61">
        <v>390.67752618225001</v>
      </c>
      <c r="C423" s="62">
        <v>377.86222018092678</v>
      </c>
    </row>
    <row r="424" spans="1:3" x14ac:dyDescent="0.2">
      <c r="A424" s="28">
        <f t="shared" si="3"/>
        <v>2026.07</v>
      </c>
      <c r="B424" s="61" t="e">
        <v>#N/A</v>
      </c>
      <c r="C424" s="62" t="e">
        <v>#N/A</v>
      </c>
    </row>
    <row r="425" spans="1:3" x14ac:dyDescent="0.2">
      <c r="A425" s="28">
        <f t="shared" si="3"/>
        <v>2026.08</v>
      </c>
      <c r="B425" s="61" t="e">
        <v>#N/A</v>
      </c>
      <c r="C425" s="62" t="e">
        <v>#N/A</v>
      </c>
    </row>
    <row r="426" spans="1:3" x14ac:dyDescent="0.2">
      <c r="A426" s="28">
        <f t="shared" si="3"/>
        <v>2026.09</v>
      </c>
      <c r="B426" s="61" t="e">
        <v>#N/A</v>
      </c>
      <c r="C426" s="62" t="e">
        <v>#N/A</v>
      </c>
    </row>
    <row r="427" spans="1:3" x14ac:dyDescent="0.2">
      <c r="A427" s="28">
        <f t="shared" si="3"/>
        <v>2026.1</v>
      </c>
      <c r="B427" s="61" t="e">
        <v>#N/A</v>
      </c>
      <c r="C427" s="62" t="e">
        <v>#N/A</v>
      </c>
    </row>
    <row r="428" spans="1:3" x14ac:dyDescent="0.2">
      <c r="A428" s="28">
        <f t="shared" si="3"/>
        <v>2026.11</v>
      </c>
      <c r="B428" s="61" t="e">
        <v>#N/A</v>
      </c>
      <c r="C428" s="62" t="e">
        <v>#N/A</v>
      </c>
    </row>
    <row r="429" spans="1:3" x14ac:dyDescent="0.2">
      <c r="A429" s="28">
        <f t="shared" si="3"/>
        <v>2026.12</v>
      </c>
      <c r="B429" s="61" t="e">
        <v>#N/A</v>
      </c>
      <c r="C429" s="62" t="e">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2.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6895266-040D-4D25-A5FF-24D438B130B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2026-09-03T11:05:28Z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