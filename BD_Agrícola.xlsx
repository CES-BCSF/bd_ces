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flores\Downloads\Base agricola\"/>
    </mc:Choice>
  </mc:AlternateContent>
  <xr:revisionPtr revIDLastSave="0" documentId="13_ncr:1_{7C58C392-D914-486E-AEBD-0E279608DB96}" xr6:coauthVersionLast="47" xr6:coauthVersionMax="47" xr10:uidLastSave="{00000000-0000-0000-0000-000000000000}"/>
  <bookViews>
    <workbookView xWindow="5655" yWindow="1275" windowWidth="21600" windowHeight="13485" xr2:uid="{00000000-000D-0000-FFFF-FFFF00000000}"/>
  </bookViews>
  <sheets>
    <sheet name="Índice" sheetId="4" r:id="rId1"/>
    <sheet name="Alpiste" sheetId="6" r:id="rId2"/>
    <sheet name="Arroz" sheetId="23" r:id="rId3"/>
    <sheet name="Avena" sheetId="8" r:id="rId4"/>
    <sheet name="Cebada cervecera" sheetId="25" r:id="rId5"/>
    <sheet name="Cebada forrajera" sheetId="24" r:id="rId6"/>
    <sheet name="Cebada total" sheetId="31" r:id="rId7"/>
    <sheet name="Centeno" sheetId="27" r:id="rId8"/>
    <sheet name="Maíz" sheetId="30" r:id="rId9"/>
    <sheet name="Mijo" sheetId="29" r:id="rId10"/>
    <sheet name="Sorgo" sheetId="28" r:id="rId11"/>
    <sheet name="Trigo candeal" sheetId="26" r:id="rId12"/>
    <sheet name="Trigo total" sheetId="5" r:id="rId13"/>
    <sheet name="Cártamo" sheetId="34" r:id="rId14"/>
    <sheet name="Colza" sheetId="36" r:id="rId15"/>
    <sheet name="Girasol" sheetId="37" r:id="rId16"/>
    <sheet name="Lino" sheetId="38" r:id="rId17"/>
    <sheet name="Soja 1era" sheetId="39" r:id="rId18"/>
    <sheet name="Soja 2da" sheetId="40" r:id="rId19"/>
    <sheet name="Soja total" sheetId="41" r:id="rId20"/>
    <sheet name="Ajo" sheetId="42" r:id="rId21"/>
    <sheet name="Algodón" sheetId="33" r:id="rId22"/>
    <sheet name="Arveja" sheetId="43" r:id="rId23"/>
    <sheet name="Caña de azúcar" sheetId="44" r:id="rId24"/>
    <sheet name="Garbanzo" sheetId="45" r:id="rId25"/>
    <sheet name="Lenteja" sheetId="46" r:id="rId26"/>
    <sheet name="Limón" sheetId="47" r:id="rId27"/>
    <sheet name="Mandarina" sheetId="48" r:id="rId28"/>
    <sheet name="Maní" sheetId="49" r:id="rId29"/>
    <sheet name="Naranja" sheetId="50" r:id="rId30"/>
    <sheet name="Papa total" sheetId="51" r:id="rId31"/>
    <sheet name="Pomelo" sheetId="52" r:id="rId32"/>
    <sheet name="Poroto total" sheetId="54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47" l="1"/>
  <c r="K10" i="47"/>
  <c r="L10" i="47"/>
  <c r="F10" i="36"/>
  <c r="J10" i="36" s="1"/>
  <c r="J67" i="43"/>
  <c r="I67" i="43"/>
  <c r="E67" i="43"/>
  <c r="L67" i="54"/>
  <c r="K67" i="54"/>
  <c r="J67" i="54"/>
  <c r="L66" i="54"/>
  <c r="K66" i="54"/>
  <c r="J66" i="54"/>
  <c r="L67" i="52"/>
  <c r="K67" i="52"/>
  <c r="J67" i="52"/>
  <c r="L66" i="52"/>
  <c r="K66" i="52"/>
  <c r="J66" i="52"/>
  <c r="L67" i="51"/>
  <c r="K67" i="51"/>
  <c r="J67" i="51"/>
  <c r="L67" i="50"/>
  <c r="K67" i="50"/>
  <c r="J67" i="50"/>
  <c r="L67" i="49"/>
  <c r="K67" i="49"/>
  <c r="J67" i="49"/>
  <c r="L66" i="49"/>
  <c r="K66" i="49"/>
  <c r="J66" i="49"/>
  <c r="L67" i="48"/>
  <c r="K67" i="48"/>
  <c r="J67" i="48"/>
  <c r="L66" i="48"/>
  <c r="K66" i="48"/>
  <c r="J66" i="48"/>
  <c r="L67" i="47"/>
  <c r="K67" i="47"/>
  <c r="J67" i="47"/>
  <c r="L66" i="47"/>
  <c r="K66" i="47"/>
  <c r="J66" i="47"/>
  <c r="L67" i="46"/>
  <c r="K67" i="46"/>
  <c r="J67" i="46"/>
  <c r="L67" i="45"/>
  <c r="K67" i="45"/>
  <c r="J67" i="45"/>
  <c r="L67" i="44"/>
  <c r="K67" i="44"/>
  <c r="J67" i="44"/>
  <c r="L66" i="44"/>
  <c r="K66" i="44"/>
  <c r="J66" i="44"/>
  <c r="L67" i="43"/>
  <c r="K67" i="43"/>
  <c r="L67" i="42"/>
  <c r="K67" i="42"/>
  <c r="J67" i="42"/>
  <c r="L66" i="42"/>
  <c r="K66" i="42"/>
  <c r="J66" i="42"/>
  <c r="L67" i="41"/>
  <c r="K67" i="41"/>
  <c r="J67" i="41"/>
  <c r="L66" i="41"/>
  <c r="K66" i="41"/>
  <c r="J66" i="41"/>
  <c r="L67" i="40"/>
  <c r="K67" i="40"/>
  <c r="J67" i="40"/>
  <c r="L66" i="40"/>
  <c r="K66" i="40"/>
  <c r="J66" i="40"/>
  <c r="L67" i="39"/>
  <c r="K67" i="39"/>
  <c r="J67" i="39"/>
  <c r="L66" i="39"/>
  <c r="K66" i="39"/>
  <c r="J66" i="39"/>
  <c r="L67" i="38"/>
  <c r="K67" i="38"/>
  <c r="J67" i="38"/>
  <c r="L67" i="37"/>
  <c r="K67" i="37"/>
  <c r="J67" i="37"/>
  <c r="L66" i="37"/>
  <c r="K66" i="37"/>
  <c r="J66" i="37"/>
  <c r="L67" i="36"/>
  <c r="K67" i="36"/>
  <c r="J67" i="36"/>
  <c r="L67" i="34"/>
  <c r="K67" i="34"/>
  <c r="J67" i="34"/>
  <c r="L67" i="33"/>
  <c r="K67" i="33"/>
  <c r="J67" i="33"/>
  <c r="L66" i="33"/>
  <c r="K66" i="33"/>
  <c r="J66" i="33"/>
  <c r="L67" i="5"/>
  <c r="K67" i="5"/>
  <c r="J67" i="5"/>
  <c r="L67" i="26"/>
  <c r="K67" i="26"/>
  <c r="J67" i="26"/>
  <c r="L67" i="28"/>
  <c r="K67" i="28"/>
  <c r="J67" i="28"/>
  <c r="L66" i="28"/>
  <c r="K66" i="28"/>
  <c r="J66" i="28"/>
  <c r="L67" i="29"/>
  <c r="K67" i="29"/>
  <c r="J67" i="29"/>
  <c r="L66" i="29"/>
  <c r="K66" i="29"/>
  <c r="J66" i="29"/>
  <c r="L67" i="30"/>
  <c r="K67" i="30"/>
  <c r="J67" i="30"/>
  <c r="L66" i="30"/>
  <c r="K66" i="30"/>
  <c r="J66" i="30"/>
  <c r="L67" i="27"/>
  <c r="K67" i="27"/>
  <c r="J67" i="27"/>
  <c r="L67" i="31"/>
  <c r="K67" i="31"/>
  <c r="J67" i="31"/>
  <c r="L67" i="24"/>
  <c r="K67" i="24"/>
  <c r="J67" i="24"/>
  <c r="L67" i="25"/>
  <c r="K67" i="25"/>
  <c r="J67" i="25"/>
  <c r="L67" i="8"/>
  <c r="K67" i="8"/>
  <c r="J67" i="8"/>
  <c r="L67" i="23"/>
  <c r="K67" i="23"/>
  <c r="J67" i="23"/>
  <c r="L67" i="6"/>
  <c r="K67" i="6"/>
  <c r="J67" i="6"/>
  <c r="J10" i="48"/>
  <c r="K10" i="48"/>
  <c r="L10" i="48"/>
  <c r="J56" i="51"/>
  <c r="J11" i="52"/>
  <c r="L65" i="54"/>
  <c r="K65" i="54"/>
  <c r="J65" i="54"/>
  <c r="L64" i="54"/>
  <c r="K64" i="54"/>
  <c r="J64" i="54"/>
  <c r="L63" i="54"/>
  <c r="K63" i="54"/>
  <c r="J63" i="54"/>
  <c r="L62" i="54"/>
  <c r="K62" i="54"/>
  <c r="J62" i="54"/>
  <c r="L61" i="54"/>
  <c r="K61" i="54"/>
  <c r="J61" i="54"/>
  <c r="L60" i="54"/>
  <c r="K60" i="54"/>
  <c r="J60" i="54"/>
  <c r="L59" i="54"/>
  <c r="K59" i="54"/>
  <c r="J59" i="54"/>
  <c r="L58" i="54"/>
  <c r="K58" i="54"/>
  <c r="J58" i="54"/>
  <c r="L57" i="54"/>
  <c r="K57" i="54"/>
  <c r="J57" i="54"/>
  <c r="L56" i="54"/>
  <c r="K56" i="54"/>
  <c r="J56" i="54"/>
  <c r="L55" i="54"/>
  <c r="K55" i="54"/>
  <c r="J55" i="54"/>
  <c r="L54" i="54"/>
  <c r="K54" i="54"/>
  <c r="J54" i="54"/>
  <c r="L53" i="54"/>
  <c r="K53" i="54"/>
  <c r="J53" i="54"/>
  <c r="L52" i="54"/>
  <c r="K52" i="54"/>
  <c r="J52" i="54"/>
  <c r="L51" i="54"/>
  <c r="K51" i="54"/>
  <c r="J51" i="54"/>
  <c r="L50" i="54"/>
  <c r="K50" i="54"/>
  <c r="J50" i="54"/>
  <c r="L49" i="54"/>
  <c r="K49" i="54"/>
  <c r="J49" i="54"/>
  <c r="L48" i="54"/>
  <c r="K48" i="54"/>
  <c r="J48" i="54"/>
  <c r="L47" i="54"/>
  <c r="K47" i="54"/>
  <c r="J47" i="54"/>
  <c r="L46" i="54"/>
  <c r="K46" i="54"/>
  <c r="J46" i="54"/>
  <c r="L45" i="54"/>
  <c r="K45" i="54"/>
  <c r="J45" i="54"/>
  <c r="L44" i="54"/>
  <c r="K44" i="54"/>
  <c r="J44" i="54"/>
  <c r="L43" i="54"/>
  <c r="K43" i="54"/>
  <c r="J43" i="54"/>
  <c r="L42" i="54"/>
  <c r="K42" i="54"/>
  <c r="J42" i="54"/>
  <c r="L41" i="54"/>
  <c r="K41" i="54"/>
  <c r="J41" i="54"/>
  <c r="L40" i="54"/>
  <c r="K40" i="54"/>
  <c r="J40" i="54"/>
  <c r="L39" i="54"/>
  <c r="K39" i="54"/>
  <c r="J39" i="54"/>
  <c r="L38" i="54"/>
  <c r="K38" i="54"/>
  <c r="J38" i="54"/>
  <c r="L37" i="54"/>
  <c r="K37" i="54"/>
  <c r="J37" i="54"/>
  <c r="L36" i="54"/>
  <c r="K36" i="54"/>
  <c r="J36" i="54"/>
  <c r="L35" i="54"/>
  <c r="K35" i="54"/>
  <c r="J35" i="54"/>
  <c r="L34" i="54"/>
  <c r="K34" i="54"/>
  <c r="J34" i="54"/>
  <c r="L33" i="54"/>
  <c r="K33" i="54"/>
  <c r="J33" i="54"/>
  <c r="L32" i="54"/>
  <c r="K32" i="54"/>
  <c r="J32" i="54"/>
  <c r="L31" i="54"/>
  <c r="K31" i="54"/>
  <c r="J31" i="54"/>
  <c r="L30" i="54"/>
  <c r="K30" i="54"/>
  <c r="J30" i="54"/>
  <c r="L29" i="54"/>
  <c r="K29" i="54"/>
  <c r="J29" i="54"/>
  <c r="L28" i="54"/>
  <c r="K28" i="54"/>
  <c r="J28" i="54"/>
  <c r="L27" i="54"/>
  <c r="K27" i="54"/>
  <c r="J27" i="54"/>
  <c r="L26" i="54"/>
  <c r="K26" i="54"/>
  <c r="J26" i="54"/>
  <c r="L25" i="54"/>
  <c r="K25" i="54"/>
  <c r="J25" i="54"/>
  <c r="L24" i="54"/>
  <c r="K24" i="54"/>
  <c r="J24" i="54"/>
  <c r="L23" i="54"/>
  <c r="K23" i="54"/>
  <c r="J23" i="54"/>
  <c r="L22" i="54"/>
  <c r="K22" i="54"/>
  <c r="J22" i="54"/>
  <c r="L21" i="54"/>
  <c r="K21" i="54"/>
  <c r="J21" i="54"/>
  <c r="L20" i="54"/>
  <c r="K20" i="54"/>
  <c r="J20" i="54"/>
  <c r="L19" i="54"/>
  <c r="K19" i="54"/>
  <c r="J19" i="54"/>
  <c r="L18" i="54"/>
  <c r="K18" i="54"/>
  <c r="J18" i="54"/>
  <c r="L17" i="54"/>
  <c r="K17" i="54"/>
  <c r="J17" i="54"/>
  <c r="L16" i="54"/>
  <c r="K16" i="54"/>
  <c r="J16" i="54"/>
  <c r="L15" i="54"/>
  <c r="K15" i="54"/>
  <c r="J15" i="54"/>
  <c r="L14" i="54"/>
  <c r="K14" i="54"/>
  <c r="J14" i="54"/>
  <c r="L13" i="54"/>
  <c r="K13" i="54"/>
  <c r="J13" i="54"/>
  <c r="L12" i="54"/>
  <c r="K12" i="54"/>
  <c r="J12" i="54"/>
  <c r="L11" i="54"/>
  <c r="K11" i="54"/>
  <c r="J11" i="54"/>
  <c r="L10" i="54"/>
  <c r="K10" i="54"/>
  <c r="J10" i="54"/>
  <c r="L65" i="52"/>
  <c r="K65" i="52"/>
  <c r="J65" i="52"/>
  <c r="L64" i="52"/>
  <c r="K64" i="52"/>
  <c r="J64" i="52"/>
  <c r="L63" i="52"/>
  <c r="K63" i="52"/>
  <c r="J63" i="52"/>
  <c r="L62" i="52"/>
  <c r="K62" i="52"/>
  <c r="J62" i="52"/>
  <c r="L61" i="52"/>
  <c r="K61" i="52"/>
  <c r="J61" i="52"/>
  <c r="L60" i="52"/>
  <c r="K60" i="52"/>
  <c r="J60" i="52"/>
  <c r="L59" i="52"/>
  <c r="K59" i="52"/>
  <c r="J59" i="52"/>
  <c r="L58" i="52"/>
  <c r="K58" i="52"/>
  <c r="J58" i="52"/>
  <c r="L57" i="52"/>
  <c r="K57" i="52"/>
  <c r="J57" i="52"/>
  <c r="L56" i="52"/>
  <c r="K56" i="52"/>
  <c r="J56" i="52"/>
  <c r="L55" i="52"/>
  <c r="K55" i="52"/>
  <c r="J55" i="52"/>
  <c r="L54" i="52"/>
  <c r="K54" i="52"/>
  <c r="J54" i="52"/>
  <c r="L53" i="52"/>
  <c r="K53" i="52"/>
  <c r="J53" i="52"/>
  <c r="L52" i="52"/>
  <c r="K52" i="52"/>
  <c r="J52" i="52"/>
  <c r="L51" i="52"/>
  <c r="K51" i="52"/>
  <c r="J51" i="52"/>
  <c r="L50" i="52"/>
  <c r="K50" i="52"/>
  <c r="J50" i="52"/>
  <c r="L49" i="52"/>
  <c r="K49" i="52"/>
  <c r="J49" i="52"/>
  <c r="L48" i="52"/>
  <c r="K48" i="52"/>
  <c r="J48" i="52"/>
  <c r="L47" i="52"/>
  <c r="K47" i="52"/>
  <c r="J47" i="52"/>
  <c r="L46" i="52"/>
  <c r="K46" i="52"/>
  <c r="J46" i="52"/>
  <c r="L45" i="52"/>
  <c r="K45" i="52"/>
  <c r="J45" i="52"/>
  <c r="L44" i="52"/>
  <c r="K44" i="52"/>
  <c r="J44" i="52"/>
  <c r="L43" i="52"/>
  <c r="K43" i="52"/>
  <c r="J43" i="52"/>
  <c r="L42" i="52"/>
  <c r="K42" i="52"/>
  <c r="J42" i="52"/>
  <c r="L41" i="52"/>
  <c r="K41" i="52"/>
  <c r="J41" i="52"/>
  <c r="L40" i="52"/>
  <c r="K40" i="52"/>
  <c r="J40" i="52"/>
  <c r="L39" i="52"/>
  <c r="K39" i="52"/>
  <c r="J39" i="52"/>
  <c r="L38" i="52"/>
  <c r="K38" i="52"/>
  <c r="J38" i="52"/>
  <c r="L37" i="52"/>
  <c r="K37" i="52"/>
  <c r="J37" i="52"/>
  <c r="L36" i="52"/>
  <c r="K36" i="52"/>
  <c r="J36" i="52"/>
  <c r="L35" i="52"/>
  <c r="K35" i="52"/>
  <c r="J35" i="52"/>
  <c r="L34" i="52"/>
  <c r="K34" i="52"/>
  <c r="J34" i="52"/>
  <c r="L33" i="52"/>
  <c r="K33" i="52"/>
  <c r="J33" i="52"/>
  <c r="L32" i="52"/>
  <c r="K32" i="52"/>
  <c r="J32" i="52"/>
  <c r="L31" i="52"/>
  <c r="K31" i="52"/>
  <c r="J31" i="52"/>
  <c r="L30" i="52"/>
  <c r="K30" i="52"/>
  <c r="J30" i="52"/>
  <c r="L29" i="52"/>
  <c r="K29" i="52"/>
  <c r="J29" i="52"/>
  <c r="L28" i="52"/>
  <c r="K28" i="52"/>
  <c r="J28" i="52"/>
  <c r="L27" i="52"/>
  <c r="K27" i="52"/>
  <c r="J27" i="52"/>
  <c r="L26" i="52"/>
  <c r="K26" i="52"/>
  <c r="J26" i="52"/>
  <c r="L25" i="52"/>
  <c r="K25" i="52"/>
  <c r="J25" i="52"/>
  <c r="L24" i="52"/>
  <c r="K24" i="52"/>
  <c r="J24" i="52"/>
  <c r="L23" i="52"/>
  <c r="K23" i="52"/>
  <c r="J23" i="52"/>
  <c r="L22" i="52"/>
  <c r="K22" i="52"/>
  <c r="J22" i="52"/>
  <c r="L21" i="52"/>
  <c r="K21" i="52"/>
  <c r="J21" i="52"/>
  <c r="L20" i="52"/>
  <c r="K20" i="52"/>
  <c r="J20" i="52"/>
  <c r="L19" i="52"/>
  <c r="K19" i="52"/>
  <c r="J19" i="52"/>
  <c r="L18" i="52"/>
  <c r="K18" i="52"/>
  <c r="J18" i="52"/>
  <c r="L17" i="52"/>
  <c r="K17" i="52"/>
  <c r="J17" i="52"/>
  <c r="L16" i="52"/>
  <c r="K16" i="52"/>
  <c r="J16" i="52"/>
  <c r="L15" i="52"/>
  <c r="K15" i="52"/>
  <c r="J15" i="52"/>
  <c r="L14" i="52"/>
  <c r="K14" i="52"/>
  <c r="J14" i="52"/>
  <c r="L13" i="52"/>
  <c r="K13" i="52"/>
  <c r="J13" i="52"/>
  <c r="L12" i="52"/>
  <c r="K12" i="52"/>
  <c r="J12" i="52"/>
  <c r="L11" i="52"/>
  <c r="K11" i="52"/>
  <c r="L10" i="52"/>
  <c r="K10" i="52"/>
  <c r="J10" i="52"/>
  <c r="L66" i="51"/>
  <c r="K66" i="51"/>
  <c r="J66" i="51"/>
  <c r="L65" i="51"/>
  <c r="K65" i="51"/>
  <c r="J65" i="51"/>
  <c r="L64" i="51"/>
  <c r="K64" i="51"/>
  <c r="J64" i="51"/>
  <c r="L63" i="51"/>
  <c r="K63" i="51"/>
  <c r="J63" i="51"/>
  <c r="L62" i="51"/>
  <c r="K62" i="51"/>
  <c r="J62" i="51"/>
  <c r="L61" i="51"/>
  <c r="K61" i="51"/>
  <c r="J61" i="51"/>
  <c r="L60" i="51"/>
  <c r="K60" i="51"/>
  <c r="J60" i="51"/>
  <c r="L59" i="51"/>
  <c r="K59" i="51"/>
  <c r="J59" i="51"/>
  <c r="L58" i="51"/>
  <c r="K58" i="51"/>
  <c r="J58" i="51"/>
  <c r="L57" i="51"/>
  <c r="K57" i="51"/>
  <c r="J57" i="51"/>
  <c r="L56" i="51"/>
  <c r="K56" i="51"/>
  <c r="L55" i="51"/>
  <c r="K55" i="51"/>
  <c r="J55" i="51"/>
  <c r="L54" i="51"/>
  <c r="K54" i="51"/>
  <c r="J54" i="51"/>
  <c r="L53" i="51"/>
  <c r="K53" i="51"/>
  <c r="J53" i="51"/>
  <c r="L52" i="51"/>
  <c r="K52" i="51"/>
  <c r="J52" i="51"/>
  <c r="L51" i="51"/>
  <c r="K51" i="51"/>
  <c r="J51" i="51"/>
  <c r="L50" i="51"/>
  <c r="K50" i="51"/>
  <c r="J50" i="51"/>
  <c r="L49" i="51"/>
  <c r="K49" i="51"/>
  <c r="J49" i="51"/>
  <c r="L48" i="51"/>
  <c r="K48" i="51"/>
  <c r="J48" i="51"/>
  <c r="L47" i="51"/>
  <c r="K47" i="51"/>
  <c r="J47" i="51"/>
  <c r="L46" i="51"/>
  <c r="K46" i="51"/>
  <c r="J46" i="51"/>
  <c r="L45" i="51"/>
  <c r="K45" i="51"/>
  <c r="J45" i="51"/>
  <c r="L44" i="51"/>
  <c r="K44" i="51"/>
  <c r="J44" i="51"/>
  <c r="L43" i="51"/>
  <c r="K43" i="51"/>
  <c r="J43" i="51"/>
  <c r="L42" i="51"/>
  <c r="K42" i="51"/>
  <c r="J42" i="51"/>
  <c r="L41" i="51"/>
  <c r="K41" i="51"/>
  <c r="J41" i="51"/>
  <c r="L40" i="51"/>
  <c r="K40" i="51"/>
  <c r="J40" i="51"/>
  <c r="L39" i="51"/>
  <c r="K39" i="51"/>
  <c r="J39" i="51"/>
  <c r="L38" i="51"/>
  <c r="K38" i="51"/>
  <c r="J38" i="51"/>
  <c r="L37" i="51"/>
  <c r="K37" i="51"/>
  <c r="J37" i="51"/>
  <c r="L36" i="51"/>
  <c r="K36" i="51"/>
  <c r="J36" i="51"/>
  <c r="L35" i="51"/>
  <c r="K35" i="51"/>
  <c r="J35" i="51"/>
  <c r="L34" i="51"/>
  <c r="K34" i="51"/>
  <c r="J34" i="51"/>
  <c r="L33" i="51"/>
  <c r="K33" i="51"/>
  <c r="J33" i="51"/>
  <c r="L32" i="51"/>
  <c r="K32" i="51"/>
  <c r="J32" i="51"/>
  <c r="L31" i="51"/>
  <c r="K31" i="51"/>
  <c r="J31" i="51"/>
  <c r="L30" i="51"/>
  <c r="K30" i="51"/>
  <c r="J30" i="51"/>
  <c r="L29" i="51"/>
  <c r="K29" i="51"/>
  <c r="J29" i="51"/>
  <c r="L28" i="51"/>
  <c r="K28" i="51"/>
  <c r="J28" i="51"/>
  <c r="L27" i="51"/>
  <c r="K27" i="51"/>
  <c r="J27" i="51"/>
  <c r="L26" i="51"/>
  <c r="K26" i="51"/>
  <c r="J26" i="51"/>
  <c r="L25" i="51"/>
  <c r="K25" i="51"/>
  <c r="J25" i="51"/>
  <c r="L24" i="51"/>
  <c r="K24" i="51"/>
  <c r="J24" i="51"/>
  <c r="L23" i="51"/>
  <c r="K23" i="51"/>
  <c r="J23" i="51"/>
  <c r="L22" i="51"/>
  <c r="K22" i="51"/>
  <c r="J22" i="51"/>
  <c r="L21" i="51"/>
  <c r="K21" i="51"/>
  <c r="J21" i="51"/>
  <c r="L20" i="51"/>
  <c r="K20" i="51"/>
  <c r="J20" i="51"/>
  <c r="L19" i="51"/>
  <c r="K19" i="51"/>
  <c r="J19" i="51"/>
  <c r="L18" i="51"/>
  <c r="K18" i="51"/>
  <c r="J18" i="51"/>
  <c r="L17" i="51"/>
  <c r="K17" i="51"/>
  <c r="J17" i="51"/>
  <c r="L16" i="51"/>
  <c r="K16" i="51"/>
  <c r="J16" i="51"/>
  <c r="L15" i="51"/>
  <c r="K15" i="51"/>
  <c r="J15" i="51"/>
  <c r="L14" i="51"/>
  <c r="K14" i="51"/>
  <c r="J14" i="51"/>
  <c r="L13" i="51"/>
  <c r="K13" i="51"/>
  <c r="J13" i="51"/>
  <c r="L12" i="51"/>
  <c r="K12" i="51"/>
  <c r="J12" i="51"/>
  <c r="L11" i="51"/>
  <c r="K11" i="51"/>
  <c r="J11" i="51"/>
  <c r="L10" i="51"/>
  <c r="K10" i="51"/>
  <c r="J10" i="51"/>
  <c r="L66" i="50"/>
  <c r="K66" i="50"/>
  <c r="J66" i="50"/>
  <c r="L65" i="50"/>
  <c r="K65" i="50"/>
  <c r="J65" i="50"/>
  <c r="L64" i="50"/>
  <c r="K64" i="50"/>
  <c r="J64" i="50"/>
  <c r="L63" i="50"/>
  <c r="K63" i="50"/>
  <c r="J63" i="50"/>
  <c r="L62" i="50"/>
  <c r="K62" i="50"/>
  <c r="J62" i="50"/>
  <c r="L61" i="50"/>
  <c r="K61" i="50"/>
  <c r="J61" i="50"/>
  <c r="L60" i="50"/>
  <c r="K60" i="50"/>
  <c r="J60" i="50"/>
  <c r="L59" i="50"/>
  <c r="K59" i="50"/>
  <c r="J59" i="50"/>
  <c r="L58" i="50"/>
  <c r="K58" i="50"/>
  <c r="J58" i="50"/>
  <c r="L57" i="50"/>
  <c r="K57" i="50"/>
  <c r="J57" i="50"/>
  <c r="L56" i="50"/>
  <c r="K56" i="50"/>
  <c r="J56" i="50"/>
  <c r="L55" i="50"/>
  <c r="K55" i="50"/>
  <c r="J55" i="50"/>
  <c r="L54" i="50"/>
  <c r="K54" i="50"/>
  <c r="J54" i="50"/>
  <c r="L53" i="50"/>
  <c r="K53" i="50"/>
  <c r="J53" i="50"/>
  <c r="L52" i="50"/>
  <c r="K52" i="50"/>
  <c r="J52" i="50"/>
  <c r="L51" i="50"/>
  <c r="K51" i="50"/>
  <c r="J51" i="50"/>
  <c r="L50" i="50"/>
  <c r="K50" i="50"/>
  <c r="J50" i="50"/>
  <c r="L49" i="50"/>
  <c r="K49" i="50"/>
  <c r="J49" i="50"/>
  <c r="L48" i="50"/>
  <c r="K48" i="50"/>
  <c r="J48" i="50"/>
  <c r="L47" i="50"/>
  <c r="K47" i="50"/>
  <c r="J47" i="50"/>
  <c r="L46" i="50"/>
  <c r="K46" i="50"/>
  <c r="J46" i="50"/>
  <c r="L45" i="50"/>
  <c r="K45" i="50"/>
  <c r="J45" i="50"/>
  <c r="L44" i="50"/>
  <c r="K44" i="50"/>
  <c r="J44" i="50"/>
  <c r="L43" i="50"/>
  <c r="K43" i="50"/>
  <c r="J43" i="50"/>
  <c r="L42" i="50"/>
  <c r="K42" i="50"/>
  <c r="J42" i="50"/>
  <c r="L41" i="50"/>
  <c r="K41" i="50"/>
  <c r="J41" i="50"/>
  <c r="L40" i="50"/>
  <c r="K40" i="50"/>
  <c r="J40" i="50"/>
  <c r="L39" i="50"/>
  <c r="K39" i="50"/>
  <c r="J39" i="50"/>
  <c r="L38" i="50"/>
  <c r="K38" i="50"/>
  <c r="J38" i="50"/>
  <c r="L37" i="50"/>
  <c r="K37" i="50"/>
  <c r="J37" i="50"/>
  <c r="L36" i="50"/>
  <c r="K36" i="50"/>
  <c r="J36" i="50"/>
  <c r="L35" i="50"/>
  <c r="K35" i="50"/>
  <c r="J35" i="50"/>
  <c r="L34" i="50"/>
  <c r="K34" i="50"/>
  <c r="J34" i="50"/>
  <c r="L33" i="50"/>
  <c r="K33" i="50"/>
  <c r="J33" i="50"/>
  <c r="L32" i="50"/>
  <c r="K32" i="50"/>
  <c r="J32" i="50"/>
  <c r="L31" i="50"/>
  <c r="K31" i="50"/>
  <c r="J31" i="50"/>
  <c r="L30" i="50"/>
  <c r="K30" i="50"/>
  <c r="J30" i="50"/>
  <c r="L29" i="50"/>
  <c r="K29" i="50"/>
  <c r="J29" i="50"/>
  <c r="L28" i="50"/>
  <c r="K28" i="50"/>
  <c r="J28" i="50"/>
  <c r="L27" i="50"/>
  <c r="K27" i="50"/>
  <c r="J27" i="50"/>
  <c r="L26" i="50"/>
  <c r="K26" i="50"/>
  <c r="J26" i="50"/>
  <c r="L25" i="50"/>
  <c r="K25" i="50"/>
  <c r="J25" i="50"/>
  <c r="L24" i="50"/>
  <c r="K24" i="50"/>
  <c r="J24" i="50"/>
  <c r="L23" i="50"/>
  <c r="K23" i="50"/>
  <c r="J23" i="50"/>
  <c r="L22" i="50"/>
  <c r="K22" i="50"/>
  <c r="J22" i="50"/>
  <c r="L21" i="50"/>
  <c r="K21" i="50"/>
  <c r="J21" i="50"/>
  <c r="L20" i="50"/>
  <c r="K20" i="50"/>
  <c r="J20" i="50"/>
  <c r="L19" i="50"/>
  <c r="K19" i="50"/>
  <c r="J19" i="50"/>
  <c r="L18" i="50"/>
  <c r="K18" i="50"/>
  <c r="J18" i="50"/>
  <c r="L17" i="50"/>
  <c r="K17" i="50"/>
  <c r="J17" i="50"/>
  <c r="L16" i="50"/>
  <c r="K16" i="50"/>
  <c r="J16" i="50"/>
  <c r="L15" i="50"/>
  <c r="K15" i="50"/>
  <c r="J15" i="50"/>
  <c r="L14" i="50"/>
  <c r="K14" i="50"/>
  <c r="J14" i="50"/>
  <c r="L13" i="50"/>
  <c r="K13" i="50"/>
  <c r="J13" i="50"/>
  <c r="L12" i="50"/>
  <c r="K12" i="50"/>
  <c r="J12" i="50"/>
  <c r="L11" i="50"/>
  <c r="K11" i="50"/>
  <c r="J11" i="50"/>
  <c r="L10" i="50"/>
  <c r="K10" i="50"/>
  <c r="J10" i="50"/>
  <c r="L65" i="49"/>
  <c r="K65" i="49"/>
  <c r="J65" i="49"/>
  <c r="L64" i="49"/>
  <c r="K64" i="49"/>
  <c r="J64" i="49"/>
  <c r="L63" i="49"/>
  <c r="K63" i="49"/>
  <c r="J63" i="49"/>
  <c r="L62" i="49"/>
  <c r="K62" i="49"/>
  <c r="J62" i="49"/>
  <c r="L61" i="49"/>
  <c r="K61" i="49"/>
  <c r="J61" i="49"/>
  <c r="L60" i="49"/>
  <c r="K60" i="49"/>
  <c r="J60" i="49"/>
  <c r="L59" i="49"/>
  <c r="K59" i="49"/>
  <c r="J59" i="49"/>
  <c r="L58" i="49"/>
  <c r="K58" i="49"/>
  <c r="J58" i="49"/>
  <c r="L57" i="49"/>
  <c r="K57" i="49"/>
  <c r="J57" i="49"/>
  <c r="L56" i="49"/>
  <c r="K56" i="49"/>
  <c r="J56" i="49"/>
  <c r="L55" i="49"/>
  <c r="K55" i="49"/>
  <c r="J55" i="49"/>
  <c r="L54" i="49"/>
  <c r="K54" i="49"/>
  <c r="J54" i="49"/>
  <c r="L53" i="49"/>
  <c r="K53" i="49"/>
  <c r="J53" i="49"/>
  <c r="L52" i="49"/>
  <c r="K52" i="49"/>
  <c r="J52" i="49"/>
  <c r="L51" i="49"/>
  <c r="K51" i="49"/>
  <c r="J51" i="49"/>
  <c r="L50" i="49"/>
  <c r="K50" i="49"/>
  <c r="J50" i="49"/>
  <c r="L49" i="49"/>
  <c r="K49" i="49"/>
  <c r="J49" i="49"/>
  <c r="L48" i="49"/>
  <c r="K48" i="49"/>
  <c r="J48" i="49"/>
  <c r="L47" i="49"/>
  <c r="K47" i="49"/>
  <c r="J47" i="49"/>
  <c r="L46" i="49"/>
  <c r="K46" i="49"/>
  <c r="J46" i="49"/>
  <c r="L45" i="49"/>
  <c r="K45" i="49"/>
  <c r="J45" i="49"/>
  <c r="L44" i="49"/>
  <c r="K44" i="49"/>
  <c r="J44" i="49"/>
  <c r="L43" i="49"/>
  <c r="K43" i="49"/>
  <c r="J43" i="49"/>
  <c r="L42" i="49"/>
  <c r="K42" i="49"/>
  <c r="J42" i="49"/>
  <c r="L41" i="49"/>
  <c r="K41" i="49"/>
  <c r="J41" i="49"/>
  <c r="L40" i="49"/>
  <c r="K40" i="49"/>
  <c r="J40" i="49"/>
  <c r="L39" i="49"/>
  <c r="K39" i="49"/>
  <c r="J39" i="49"/>
  <c r="L38" i="49"/>
  <c r="K38" i="49"/>
  <c r="J38" i="49"/>
  <c r="L37" i="49"/>
  <c r="K37" i="49"/>
  <c r="J37" i="49"/>
  <c r="L36" i="49"/>
  <c r="K36" i="49"/>
  <c r="J36" i="49"/>
  <c r="L35" i="49"/>
  <c r="K35" i="49"/>
  <c r="J35" i="49"/>
  <c r="L34" i="49"/>
  <c r="K34" i="49"/>
  <c r="J34" i="49"/>
  <c r="L33" i="49"/>
  <c r="K33" i="49"/>
  <c r="J33" i="49"/>
  <c r="L32" i="49"/>
  <c r="K32" i="49"/>
  <c r="J32" i="49"/>
  <c r="L31" i="49"/>
  <c r="K31" i="49"/>
  <c r="J31" i="49"/>
  <c r="L30" i="49"/>
  <c r="K30" i="49"/>
  <c r="J30" i="49"/>
  <c r="L29" i="49"/>
  <c r="K29" i="49"/>
  <c r="J29" i="49"/>
  <c r="L28" i="49"/>
  <c r="K28" i="49"/>
  <c r="J28" i="49"/>
  <c r="L27" i="49"/>
  <c r="K27" i="49"/>
  <c r="J27" i="49"/>
  <c r="L26" i="49"/>
  <c r="K26" i="49"/>
  <c r="J26" i="49"/>
  <c r="L25" i="49"/>
  <c r="K25" i="49"/>
  <c r="J25" i="49"/>
  <c r="L24" i="49"/>
  <c r="K24" i="49"/>
  <c r="J24" i="49"/>
  <c r="L23" i="49"/>
  <c r="K23" i="49"/>
  <c r="J23" i="49"/>
  <c r="L22" i="49"/>
  <c r="K22" i="49"/>
  <c r="J22" i="49"/>
  <c r="L21" i="49"/>
  <c r="K21" i="49"/>
  <c r="J21" i="49"/>
  <c r="L20" i="49"/>
  <c r="K20" i="49"/>
  <c r="J20" i="49"/>
  <c r="L19" i="49"/>
  <c r="K19" i="49"/>
  <c r="J19" i="49"/>
  <c r="L18" i="49"/>
  <c r="K18" i="49"/>
  <c r="J18" i="49"/>
  <c r="L17" i="49"/>
  <c r="K17" i="49"/>
  <c r="J17" i="49"/>
  <c r="L16" i="49"/>
  <c r="K16" i="49"/>
  <c r="J16" i="49"/>
  <c r="L15" i="49"/>
  <c r="K15" i="49"/>
  <c r="J15" i="49"/>
  <c r="L14" i="49"/>
  <c r="K14" i="49"/>
  <c r="J14" i="49"/>
  <c r="L13" i="49"/>
  <c r="K13" i="49"/>
  <c r="J13" i="49"/>
  <c r="L12" i="49"/>
  <c r="K12" i="49"/>
  <c r="J12" i="49"/>
  <c r="L11" i="49"/>
  <c r="K11" i="49"/>
  <c r="J11" i="49"/>
  <c r="L10" i="49"/>
  <c r="K10" i="49"/>
  <c r="J10" i="49"/>
  <c r="L65" i="48"/>
  <c r="K65" i="48"/>
  <c r="J65" i="48"/>
  <c r="L64" i="48"/>
  <c r="K64" i="48"/>
  <c r="J64" i="48"/>
  <c r="L63" i="48"/>
  <c r="K63" i="48"/>
  <c r="J63" i="48"/>
  <c r="L62" i="48"/>
  <c r="K62" i="48"/>
  <c r="J62" i="48"/>
  <c r="L61" i="48"/>
  <c r="K61" i="48"/>
  <c r="J61" i="48"/>
  <c r="L60" i="48"/>
  <c r="K60" i="48"/>
  <c r="J60" i="48"/>
  <c r="L59" i="48"/>
  <c r="K59" i="48"/>
  <c r="J59" i="48"/>
  <c r="L58" i="48"/>
  <c r="K58" i="48"/>
  <c r="J58" i="48"/>
  <c r="L57" i="48"/>
  <c r="K57" i="48"/>
  <c r="J57" i="48"/>
  <c r="L56" i="48"/>
  <c r="K56" i="48"/>
  <c r="J56" i="48"/>
  <c r="L55" i="48"/>
  <c r="K55" i="48"/>
  <c r="J55" i="48"/>
  <c r="L54" i="48"/>
  <c r="K54" i="48"/>
  <c r="J54" i="48"/>
  <c r="L53" i="48"/>
  <c r="K53" i="48"/>
  <c r="J53" i="48"/>
  <c r="L52" i="48"/>
  <c r="K52" i="48"/>
  <c r="J52" i="48"/>
  <c r="L51" i="48"/>
  <c r="K51" i="48"/>
  <c r="J51" i="48"/>
  <c r="L50" i="48"/>
  <c r="K50" i="48"/>
  <c r="J50" i="48"/>
  <c r="L49" i="48"/>
  <c r="K49" i="48"/>
  <c r="J49" i="48"/>
  <c r="L48" i="48"/>
  <c r="K48" i="48"/>
  <c r="J48" i="48"/>
  <c r="L47" i="48"/>
  <c r="K47" i="48"/>
  <c r="J47" i="48"/>
  <c r="L46" i="48"/>
  <c r="K46" i="48"/>
  <c r="J46" i="48"/>
  <c r="L45" i="48"/>
  <c r="K45" i="48"/>
  <c r="J45" i="48"/>
  <c r="L44" i="48"/>
  <c r="K44" i="48"/>
  <c r="J44" i="48"/>
  <c r="L43" i="48"/>
  <c r="K43" i="48"/>
  <c r="J43" i="48"/>
  <c r="L42" i="48"/>
  <c r="K42" i="48"/>
  <c r="J42" i="48"/>
  <c r="L41" i="48"/>
  <c r="K41" i="48"/>
  <c r="J41" i="48"/>
  <c r="L40" i="48"/>
  <c r="K40" i="48"/>
  <c r="J40" i="48"/>
  <c r="L39" i="48"/>
  <c r="K39" i="48"/>
  <c r="J39" i="48"/>
  <c r="L38" i="48"/>
  <c r="K38" i="48"/>
  <c r="J38" i="48"/>
  <c r="L37" i="48"/>
  <c r="K37" i="48"/>
  <c r="J37" i="48"/>
  <c r="L36" i="48"/>
  <c r="K36" i="48"/>
  <c r="J36" i="48"/>
  <c r="L35" i="48"/>
  <c r="K35" i="48"/>
  <c r="J35" i="48"/>
  <c r="L34" i="48"/>
  <c r="K34" i="48"/>
  <c r="J34" i="48"/>
  <c r="L33" i="48"/>
  <c r="K33" i="48"/>
  <c r="J33" i="48"/>
  <c r="L32" i="48"/>
  <c r="K32" i="48"/>
  <c r="J32" i="48"/>
  <c r="L31" i="48"/>
  <c r="K31" i="48"/>
  <c r="J31" i="48"/>
  <c r="L30" i="48"/>
  <c r="K30" i="48"/>
  <c r="J30" i="48"/>
  <c r="L29" i="48"/>
  <c r="K29" i="48"/>
  <c r="J29" i="48"/>
  <c r="L28" i="48"/>
  <c r="K28" i="48"/>
  <c r="J28" i="48"/>
  <c r="L27" i="48"/>
  <c r="K27" i="48"/>
  <c r="J27" i="48"/>
  <c r="L26" i="48"/>
  <c r="K26" i="48"/>
  <c r="J26" i="48"/>
  <c r="L25" i="48"/>
  <c r="K25" i="48"/>
  <c r="J25" i="48"/>
  <c r="L24" i="48"/>
  <c r="K24" i="48"/>
  <c r="J24" i="48"/>
  <c r="L23" i="48"/>
  <c r="K23" i="48"/>
  <c r="J23" i="48"/>
  <c r="L22" i="48"/>
  <c r="K22" i="48"/>
  <c r="J22" i="48"/>
  <c r="L21" i="48"/>
  <c r="K21" i="48"/>
  <c r="J21" i="48"/>
  <c r="L20" i="48"/>
  <c r="K20" i="48"/>
  <c r="J20" i="48"/>
  <c r="L19" i="48"/>
  <c r="K19" i="48"/>
  <c r="J19" i="48"/>
  <c r="L18" i="48"/>
  <c r="K18" i="48"/>
  <c r="J18" i="48"/>
  <c r="L17" i="48"/>
  <c r="K17" i="48"/>
  <c r="J17" i="48"/>
  <c r="L16" i="48"/>
  <c r="K16" i="48"/>
  <c r="J16" i="48"/>
  <c r="L15" i="48"/>
  <c r="K15" i="48"/>
  <c r="J15" i="48"/>
  <c r="L14" i="48"/>
  <c r="K14" i="48"/>
  <c r="J14" i="48"/>
  <c r="L13" i="48"/>
  <c r="K13" i="48"/>
  <c r="J13" i="48"/>
  <c r="L12" i="48"/>
  <c r="K12" i="48"/>
  <c r="J12" i="48"/>
  <c r="L11" i="48"/>
  <c r="K11" i="48"/>
  <c r="J11" i="48"/>
  <c r="L65" i="47"/>
  <c r="K65" i="47"/>
  <c r="J65" i="47"/>
  <c r="L64" i="47"/>
  <c r="K64" i="47"/>
  <c r="J64" i="47"/>
  <c r="L63" i="47"/>
  <c r="K63" i="47"/>
  <c r="J63" i="47"/>
  <c r="L62" i="47"/>
  <c r="K62" i="47"/>
  <c r="J62" i="47"/>
  <c r="L61" i="47"/>
  <c r="K61" i="47"/>
  <c r="J61" i="47"/>
  <c r="L60" i="47"/>
  <c r="K60" i="47"/>
  <c r="J60" i="47"/>
  <c r="L59" i="47"/>
  <c r="K59" i="47"/>
  <c r="J59" i="47"/>
  <c r="L58" i="47"/>
  <c r="K58" i="47"/>
  <c r="J58" i="47"/>
  <c r="L57" i="47"/>
  <c r="K57" i="47"/>
  <c r="J57" i="47"/>
  <c r="L56" i="47"/>
  <c r="K56" i="47"/>
  <c r="J56" i="47"/>
  <c r="L55" i="47"/>
  <c r="K55" i="47"/>
  <c r="J55" i="47"/>
  <c r="L54" i="47"/>
  <c r="K54" i="47"/>
  <c r="J54" i="47"/>
  <c r="L53" i="47"/>
  <c r="K53" i="47"/>
  <c r="J53" i="47"/>
  <c r="L52" i="47"/>
  <c r="K52" i="47"/>
  <c r="J52" i="47"/>
  <c r="L51" i="47"/>
  <c r="K51" i="47"/>
  <c r="J51" i="47"/>
  <c r="L50" i="47"/>
  <c r="K50" i="47"/>
  <c r="J50" i="47"/>
  <c r="L49" i="47"/>
  <c r="K49" i="47"/>
  <c r="J49" i="47"/>
  <c r="L48" i="47"/>
  <c r="K48" i="47"/>
  <c r="J48" i="47"/>
  <c r="L47" i="47"/>
  <c r="K47" i="47"/>
  <c r="J47" i="47"/>
  <c r="L46" i="47"/>
  <c r="K46" i="47"/>
  <c r="J46" i="47"/>
  <c r="L45" i="47"/>
  <c r="K45" i="47"/>
  <c r="J45" i="47"/>
  <c r="L44" i="47"/>
  <c r="K44" i="47"/>
  <c r="J44" i="47"/>
  <c r="L43" i="47"/>
  <c r="K43" i="47"/>
  <c r="J43" i="47"/>
  <c r="L42" i="47"/>
  <c r="K42" i="47"/>
  <c r="J42" i="47"/>
  <c r="L41" i="47"/>
  <c r="K41" i="47"/>
  <c r="J41" i="47"/>
  <c r="L40" i="47"/>
  <c r="K40" i="47"/>
  <c r="J40" i="47"/>
  <c r="L39" i="47"/>
  <c r="K39" i="47"/>
  <c r="J39" i="47"/>
  <c r="L38" i="47"/>
  <c r="K38" i="47"/>
  <c r="J38" i="47"/>
  <c r="L37" i="47"/>
  <c r="K37" i="47"/>
  <c r="J37" i="47"/>
  <c r="L36" i="47"/>
  <c r="K36" i="47"/>
  <c r="J36" i="47"/>
  <c r="L35" i="47"/>
  <c r="K35" i="47"/>
  <c r="J35" i="47"/>
  <c r="L34" i="47"/>
  <c r="K34" i="47"/>
  <c r="J34" i="47"/>
  <c r="L33" i="47"/>
  <c r="K33" i="47"/>
  <c r="J33" i="47"/>
  <c r="L32" i="47"/>
  <c r="K32" i="47"/>
  <c r="J32" i="47"/>
  <c r="L31" i="47"/>
  <c r="K31" i="47"/>
  <c r="J31" i="47"/>
  <c r="L30" i="47"/>
  <c r="K30" i="47"/>
  <c r="J30" i="47"/>
  <c r="L29" i="47"/>
  <c r="K29" i="47"/>
  <c r="J29" i="47"/>
  <c r="L28" i="47"/>
  <c r="K28" i="47"/>
  <c r="J28" i="47"/>
  <c r="L27" i="47"/>
  <c r="K27" i="47"/>
  <c r="J27" i="47"/>
  <c r="L26" i="47"/>
  <c r="K26" i="47"/>
  <c r="J26" i="47"/>
  <c r="L25" i="47"/>
  <c r="K25" i="47"/>
  <c r="J25" i="47"/>
  <c r="L24" i="47"/>
  <c r="K24" i="47"/>
  <c r="J24" i="47"/>
  <c r="L23" i="47"/>
  <c r="K23" i="47"/>
  <c r="J23" i="47"/>
  <c r="L22" i="47"/>
  <c r="K22" i="47"/>
  <c r="J22" i="47"/>
  <c r="L21" i="47"/>
  <c r="K21" i="47"/>
  <c r="J21" i="47"/>
  <c r="L20" i="47"/>
  <c r="K20" i="47"/>
  <c r="J20" i="47"/>
  <c r="L19" i="47"/>
  <c r="K19" i="47"/>
  <c r="J19" i="47"/>
  <c r="L18" i="47"/>
  <c r="K18" i="47"/>
  <c r="J18" i="47"/>
  <c r="L17" i="47"/>
  <c r="K17" i="47"/>
  <c r="J17" i="47"/>
  <c r="L16" i="47"/>
  <c r="K16" i="47"/>
  <c r="J16" i="47"/>
  <c r="L15" i="47"/>
  <c r="K15" i="47"/>
  <c r="J15" i="47"/>
  <c r="L14" i="47"/>
  <c r="K14" i="47"/>
  <c r="J14" i="47"/>
  <c r="L13" i="47"/>
  <c r="K13" i="47"/>
  <c r="J13" i="47"/>
  <c r="L12" i="47"/>
  <c r="K12" i="47"/>
  <c r="J12" i="47"/>
  <c r="L11" i="47"/>
  <c r="K11" i="47"/>
  <c r="J11" i="47"/>
  <c r="L66" i="46"/>
  <c r="K66" i="46"/>
  <c r="J66" i="46"/>
  <c r="L65" i="46"/>
  <c r="K65" i="46"/>
  <c r="J65" i="46"/>
  <c r="L64" i="46"/>
  <c r="K64" i="46"/>
  <c r="J64" i="46"/>
  <c r="L63" i="46"/>
  <c r="K63" i="46"/>
  <c r="J63" i="46"/>
  <c r="L62" i="46"/>
  <c r="K62" i="46"/>
  <c r="J62" i="46"/>
  <c r="L61" i="46"/>
  <c r="K61" i="46"/>
  <c r="J61" i="46"/>
  <c r="L60" i="46"/>
  <c r="K60" i="46"/>
  <c r="J60" i="46"/>
  <c r="L59" i="46"/>
  <c r="K59" i="46"/>
  <c r="J59" i="46"/>
  <c r="L58" i="46"/>
  <c r="K58" i="46"/>
  <c r="J58" i="46"/>
  <c r="L57" i="46"/>
  <c r="K57" i="46"/>
  <c r="J57" i="46"/>
  <c r="L56" i="46"/>
  <c r="K56" i="46"/>
  <c r="J56" i="46"/>
  <c r="L55" i="46"/>
  <c r="K55" i="46"/>
  <c r="J55" i="46"/>
  <c r="L54" i="46"/>
  <c r="K54" i="46"/>
  <c r="J54" i="46"/>
  <c r="L53" i="46"/>
  <c r="K53" i="46"/>
  <c r="J53" i="46"/>
  <c r="L52" i="46"/>
  <c r="K52" i="46"/>
  <c r="J52" i="46"/>
  <c r="L51" i="46"/>
  <c r="K51" i="46"/>
  <c r="J51" i="46"/>
  <c r="L50" i="46"/>
  <c r="K50" i="46"/>
  <c r="J50" i="46"/>
  <c r="L49" i="46"/>
  <c r="K49" i="46"/>
  <c r="J49" i="46"/>
  <c r="L48" i="46"/>
  <c r="K48" i="46"/>
  <c r="J48" i="46"/>
  <c r="L47" i="46"/>
  <c r="K47" i="46"/>
  <c r="J47" i="46"/>
  <c r="L46" i="46"/>
  <c r="K46" i="46"/>
  <c r="J46" i="46"/>
  <c r="L45" i="46"/>
  <c r="K45" i="46"/>
  <c r="J45" i="46"/>
  <c r="L44" i="46"/>
  <c r="K44" i="46"/>
  <c r="J44" i="46"/>
  <c r="L43" i="46"/>
  <c r="K43" i="46"/>
  <c r="J43" i="46"/>
  <c r="L42" i="46"/>
  <c r="K42" i="46"/>
  <c r="J42" i="46"/>
  <c r="L41" i="46"/>
  <c r="K41" i="46"/>
  <c r="J41" i="46"/>
  <c r="L40" i="46"/>
  <c r="K40" i="46"/>
  <c r="J40" i="46"/>
  <c r="L39" i="46"/>
  <c r="K39" i="46"/>
  <c r="J39" i="46"/>
  <c r="L38" i="46"/>
  <c r="K38" i="46"/>
  <c r="J38" i="46"/>
  <c r="L37" i="46"/>
  <c r="K37" i="46"/>
  <c r="J37" i="46"/>
  <c r="L36" i="46"/>
  <c r="K36" i="46"/>
  <c r="J36" i="46"/>
  <c r="L35" i="46"/>
  <c r="K35" i="46"/>
  <c r="J35" i="46"/>
  <c r="L34" i="46"/>
  <c r="K34" i="46"/>
  <c r="J34" i="46"/>
  <c r="L33" i="46"/>
  <c r="K33" i="46"/>
  <c r="J33" i="46"/>
  <c r="L32" i="46"/>
  <c r="K32" i="46"/>
  <c r="J32" i="46"/>
  <c r="L31" i="46"/>
  <c r="K31" i="46"/>
  <c r="J31" i="46"/>
  <c r="L30" i="46"/>
  <c r="K30" i="46"/>
  <c r="J30" i="46"/>
  <c r="L29" i="46"/>
  <c r="K29" i="46"/>
  <c r="J29" i="46"/>
  <c r="L28" i="46"/>
  <c r="K28" i="46"/>
  <c r="J28" i="46"/>
  <c r="L27" i="46"/>
  <c r="K27" i="46"/>
  <c r="J27" i="46"/>
  <c r="L26" i="46"/>
  <c r="K26" i="46"/>
  <c r="J26" i="46"/>
  <c r="L25" i="46"/>
  <c r="K25" i="46"/>
  <c r="J25" i="46"/>
  <c r="L24" i="46"/>
  <c r="K24" i="46"/>
  <c r="J24" i="46"/>
  <c r="L23" i="46"/>
  <c r="K23" i="46"/>
  <c r="J23" i="46"/>
  <c r="L22" i="46"/>
  <c r="K22" i="46"/>
  <c r="J22" i="46"/>
  <c r="L21" i="46"/>
  <c r="K21" i="46"/>
  <c r="J21" i="46"/>
  <c r="L20" i="46"/>
  <c r="K20" i="46"/>
  <c r="J20" i="46"/>
  <c r="L19" i="46"/>
  <c r="K19" i="46"/>
  <c r="J19" i="46"/>
  <c r="L18" i="46"/>
  <c r="K18" i="46"/>
  <c r="J18" i="46"/>
  <c r="L17" i="46"/>
  <c r="K17" i="46"/>
  <c r="J17" i="46"/>
  <c r="L16" i="46"/>
  <c r="K16" i="46"/>
  <c r="J16" i="46"/>
  <c r="L15" i="46"/>
  <c r="K15" i="46"/>
  <c r="J15" i="46"/>
  <c r="L14" i="46"/>
  <c r="K14" i="46"/>
  <c r="J14" i="46"/>
  <c r="L13" i="46"/>
  <c r="K13" i="46"/>
  <c r="J13" i="46"/>
  <c r="L12" i="46"/>
  <c r="K12" i="46"/>
  <c r="J12" i="46"/>
  <c r="L11" i="46"/>
  <c r="K11" i="46"/>
  <c r="J11" i="46"/>
  <c r="L10" i="46"/>
  <c r="K10" i="46"/>
  <c r="J10" i="46"/>
  <c r="L66" i="45"/>
  <c r="K66" i="45"/>
  <c r="J66" i="45"/>
  <c r="L65" i="45"/>
  <c r="K65" i="45"/>
  <c r="J65" i="45"/>
  <c r="L64" i="45"/>
  <c r="K64" i="45"/>
  <c r="J64" i="45"/>
  <c r="L63" i="45"/>
  <c r="K63" i="45"/>
  <c r="J63" i="45"/>
  <c r="L62" i="45"/>
  <c r="K62" i="45"/>
  <c r="J62" i="45"/>
  <c r="L61" i="45"/>
  <c r="K61" i="45"/>
  <c r="J61" i="45"/>
  <c r="L60" i="45"/>
  <c r="K60" i="45"/>
  <c r="J60" i="45"/>
  <c r="L59" i="45"/>
  <c r="K59" i="45"/>
  <c r="J59" i="45"/>
  <c r="L58" i="45"/>
  <c r="K58" i="45"/>
  <c r="J58" i="45"/>
  <c r="L57" i="45"/>
  <c r="K57" i="45"/>
  <c r="J57" i="45"/>
  <c r="L56" i="45"/>
  <c r="K56" i="45"/>
  <c r="J56" i="45"/>
  <c r="L55" i="45"/>
  <c r="K55" i="45"/>
  <c r="J55" i="45"/>
  <c r="L54" i="45"/>
  <c r="K54" i="45"/>
  <c r="J54" i="45"/>
  <c r="L53" i="45"/>
  <c r="K53" i="45"/>
  <c r="J53" i="45"/>
  <c r="L52" i="45"/>
  <c r="K52" i="45"/>
  <c r="J52" i="45"/>
  <c r="L51" i="45"/>
  <c r="K51" i="45"/>
  <c r="J51" i="45"/>
  <c r="L50" i="45"/>
  <c r="K50" i="45"/>
  <c r="J50" i="45"/>
  <c r="L49" i="45"/>
  <c r="K49" i="45"/>
  <c r="J49" i="45"/>
  <c r="L48" i="45"/>
  <c r="K48" i="45"/>
  <c r="J48" i="45"/>
  <c r="L47" i="45"/>
  <c r="K47" i="45"/>
  <c r="J47" i="45"/>
  <c r="L46" i="45"/>
  <c r="K46" i="45"/>
  <c r="J46" i="45"/>
  <c r="L45" i="45"/>
  <c r="K45" i="45"/>
  <c r="J45" i="45"/>
  <c r="L44" i="45"/>
  <c r="K44" i="45"/>
  <c r="J44" i="45"/>
  <c r="L43" i="45"/>
  <c r="K43" i="45"/>
  <c r="J43" i="45"/>
  <c r="L42" i="45"/>
  <c r="K42" i="45"/>
  <c r="J42" i="45"/>
  <c r="L41" i="45"/>
  <c r="K41" i="45"/>
  <c r="J41" i="45"/>
  <c r="L40" i="45"/>
  <c r="K40" i="45"/>
  <c r="J40" i="45"/>
  <c r="L39" i="45"/>
  <c r="K39" i="45"/>
  <c r="J39" i="45"/>
  <c r="L38" i="45"/>
  <c r="K38" i="45"/>
  <c r="J38" i="45"/>
  <c r="L37" i="45"/>
  <c r="K37" i="45"/>
  <c r="J37" i="45"/>
  <c r="L36" i="45"/>
  <c r="K36" i="45"/>
  <c r="J36" i="45"/>
  <c r="L35" i="45"/>
  <c r="K35" i="45"/>
  <c r="J35" i="45"/>
  <c r="L34" i="45"/>
  <c r="K34" i="45"/>
  <c r="J34" i="45"/>
  <c r="L33" i="45"/>
  <c r="K33" i="45"/>
  <c r="J33" i="45"/>
  <c r="L32" i="45"/>
  <c r="K32" i="45"/>
  <c r="J32" i="45"/>
  <c r="L31" i="45"/>
  <c r="K31" i="45"/>
  <c r="J31" i="45"/>
  <c r="L30" i="45"/>
  <c r="K30" i="45"/>
  <c r="J30" i="45"/>
  <c r="L29" i="45"/>
  <c r="K29" i="45"/>
  <c r="J29" i="45"/>
  <c r="L28" i="45"/>
  <c r="K28" i="45"/>
  <c r="J28" i="45"/>
  <c r="L27" i="45"/>
  <c r="K27" i="45"/>
  <c r="J27" i="45"/>
  <c r="L26" i="45"/>
  <c r="K26" i="45"/>
  <c r="J26" i="45"/>
  <c r="L25" i="45"/>
  <c r="K25" i="45"/>
  <c r="J25" i="45"/>
  <c r="L24" i="45"/>
  <c r="K24" i="45"/>
  <c r="J24" i="45"/>
  <c r="L23" i="45"/>
  <c r="K23" i="45"/>
  <c r="J23" i="45"/>
  <c r="L22" i="45"/>
  <c r="K22" i="45"/>
  <c r="J22" i="45"/>
  <c r="L21" i="45"/>
  <c r="K21" i="45"/>
  <c r="J21" i="45"/>
  <c r="L20" i="45"/>
  <c r="K20" i="45"/>
  <c r="J20" i="45"/>
  <c r="L19" i="45"/>
  <c r="K19" i="45"/>
  <c r="J19" i="45"/>
  <c r="L18" i="45"/>
  <c r="K18" i="45"/>
  <c r="J18" i="45"/>
  <c r="L17" i="45"/>
  <c r="K17" i="45"/>
  <c r="J17" i="45"/>
  <c r="L16" i="45"/>
  <c r="K16" i="45"/>
  <c r="J16" i="45"/>
  <c r="L15" i="45"/>
  <c r="K15" i="45"/>
  <c r="J15" i="45"/>
  <c r="L14" i="45"/>
  <c r="K14" i="45"/>
  <c r="J14" i="45"/>
  <c r="L13" i="45"/>
  <c r="K13" i="45"/>
  <c r="J13" i="45"/>
  <c r="L12" i="45"/>
  <c r="K12" i="45"/>
  <c r="J12" i="45"/>
  <c r="L11" i="45"/>
  <c r="K11" i="45"/>
  <c r="J11" i="45"/>
  <c r="L10" i="45"/>
  <c r="K10" i="45"/>
  <c r="J10" i="45"/>
  <c r="L65" i="44"/>
  <c r="K65" i="44"/>
  <c r="J65" i="44"/>
  <c r="L64" i="44"/>
  <c r="K64" i="44"/>
  <c r="J64" i="44"/>
  <c r="L63" i="44"/>
  <c r="K63" i="44"/>
  <c r="J63" i="44"/>
  <c r="L62" i="44"/>
  <c r="K62" i="44"/>
  <c r="J62" i="44"/>
  <c r="L61" i="44"/>
  <c r="K61" i="44"/>
  <c r="J61" i="44"/>
  <c r="L60" i="44"/>
  <c r="K60" i="44"/>
  <c r="J60" i="44"/>
  <c r="L59" i="44"/>
  <c r="K59" i="44"/>
  <c r="J59" i="44"/>
  <c r="L58" i="44"/>
  <c r="K58" i="44"/>
  <c r="J58" i="44"/>
  <c r="L57" i="44"/>
  <c r="K57" i="44"/>
  <c r="J57" i="44"/>
  <c r="L56" i="44"/>
  <c r="K56" i="44"/>
  <c r="J56" i="44"/>
  <c r="L55" i="44"/>
  <c r="K55" i="44"/>
  <c r="J55" i="44"/>
  <c r="L54" i="44"/>
  <c r="K54" i="44"/>
  <c r="J54" i="44"/>
  <c r="L53" i="44"/>
  <c r="K53" i="44"/>
  <c r="J53" i="44"/>
  <c r="L52" i="44"/>
  <c r="K52" i="44"/>
  <c r="J52" i="44"/>
  <c r="L51" i="44"/>
  <c r="K51" i="44"/>
  <c r="J51" i="44"/>
  <c r="L50" i="44"/>
  <c r="K50" i="44"/>
  <c r="J50" i="44"/>
  <c r="L49" i="44"/>
  <c r="K49" i="44"/>
  <c r="J49" i="44"/>
  <c r="L48" i="44"/>
  <c r="K48" i="44"/>
  <c r="J48" i="44"/>
  <c r="L47" i="44"/>
  <c r="K47" i="44"/>
  <c r="J47" i="44"/>
  <c r="L46" i="44"/>
  <c r="K46" i="44"/>
  <c r="J46" i="44"/>
  <c r="L45" i="44"/>
  <c r="K45" i="44"/>
  <c r="J45" i="44"/>
  <c r="L44" i="44"/>
  <c r="K44" i="44"/>
  <c r="J44" i="44"/>
  <c r="L43" i="44"/>
  <c r="K43" i="44"/>
  <c r="J43" i="44"/>
  <c r="L42" i="44"/>
  <c r="K42" i="44"/>
  <c r="J42" i="44"/>
  <c r="L41" i="44"/>
  <c r="K41" i="44"/>
  <c r="J41" i="44"/>
  <c r="L40" i="44"/>
  <c r="K40" i="44"/>
  <c r="J40" i="44"/>
  <c r="L39" i="44"/>
  <c r="K39" i="44"/>
  <c r="J39" i="44"/>
  <c r="L38" i="44"/>
  <c r="K38" i="44"/>
  <c r="J38" i="44"/>
  <c r="L37" i="44"/>
  <c r="K37" i="44"/>
  <c r="J37" i="44"/>
  <c r="L36" i="44"/>
  <c r="K36" i="44"/>
  <c r="J36" i="44"/>
  <c r="L35" i="44"/>
  <c r="K35" i="44"/>
  <c r="J35" i="44"/>
  <c r="L34" i="44"/>
  <c r="K34" i="44"/>
  <c r="J34" i="44"/>
  <c r="L33" i="44"/>
  <c r="K33" i="44"/>
  <c r="J33" i="44"/>
  <c r="L32" i="44"/>
  <c r="K32" i="44"/>
  <c r="J32" i="44"/>
  <c r="L31" i="44"/>
  <c r="K31" i="44"/>
  <c r="J31" i="44"/>
  <c r="L30" i="44"/>
  <c r="K30" i="44"/>
  <c r="J30" i="44"/>
  <c r="L29" i="44"/>
  <c r="K29" i="44"/>
  <c r="J29" i="44"/>
  <c r="L28" i="44"/>
  <c r="K28" i="44"/>
  <c r="J28" i="44"/>
  <c r="L27" i="44"/>
  <c r="K27" i="44"/>
  <c r="J27" i="44"/>
  <c r="L26" i="44"/>
  <c r="K26" i="44"/>
  <c r="J26" i="44"/>
  <c r="L25" i="44"/>
  <c r="K25" i="44"/>
  <c r="J25" i="44"/>
  <c r="L24" i="44"/>
  <c r="K24" i="44"/>
  <c r="J24" i="44"/>
  <c r="L23" i="44"/>
  <c r="K23" i="44"/>
  <c r="J23" i="44"/>
  <c r="L22" i="44"/>
  <c r="K22" i="44"/>
  <c r="J22" i="44"/>
  <c r="L21" i="44"/>
  <c r="K21" i="44"/>
  <c r="J21" i="44"/>
  <c r="L20" i="44"/>
  <c r="K20" i="44"/>
  <c r="J20" i="44"/>
  <c r="L19" i="44"/>
  <c r="K19" i="44"/>
  <c r="J19" i="44"/>
  <c r="L18" i="44"/>
  <c r="K18" i="44"/>
  <c r="J18" i="44"/>
  <c r="L17" i="44"/>
  <c r="K17" i="44"/>
  <c r="J17" i="44"/>
  <c r="L16" i="44"/>
  <c r="K16" i="44"/>
  <c r="J16" i="44"/>
  <c r="L15" i="44"/>
  <c r="K15" i="44"/>
  <c r="J15" i="44"/>
  <c r="L14" i="44"/>
  <c r="K14" i="44"/>
  <c r="J14" i="44"/>
  <c r="L13" i="44"/>
  <c r="K13" i="44"/>
  <c r="J13" i="44"/>
  <c r="L12" i="44"/>
  <c r="K12" i="44"/>
  <c r="J12" i="44"/>
  <c r="L11" i="44"/>
  <c r="K11" i="44"/>
  <c r="J11" i="44"/>
  <c r="L10" i="44"/>
  <c r="K10" i="44"/>
  <c r="J10" i="44"/>
  <c r="L66" i="43"/>
  <c r="K66" i="43"/>
  <c r="J66" i="43"/>
  <c r="L65" i="43"/>
  <c r="K65" i="43"/>
  <c r="J65" i="43"/>
  <c r="L64" i="43"/>
  <c r="K64" i="43"/>
  <c r="J64" i="43"/>
  <c r="L63" i="43"/>
  <c r="K63" i="43"/>
  <c r="J63" i="43"/>
  <c r="L62" i="43"/>
  <c r="K62" i="43"/>
  <c r="J62" i="43"/>
  <c r="L61" i="43"/>
  <c r="K61" i="43"/>
  <c r="J61" i="43"/>
  <c r="L60" i="43"/>
  <c r="K60" i="43"/>
  <c r="J60" i="43"/>
  <c r="L59" i="43"/>
  <c r="K59" i="43"/>
  <c r="J59" i="43"/>
  <c r="L58" i="43"/>
  <c r="K58" i="43"/>
  <c r="J58" i="43"/>
  <c r="L57" i="43"/>
  <c r="K57" i="43"/>
  <c r="J57" i="43"/>
  <c r="L56" i="43"/>
  <c r="K56" i="43"/>
  <c r="J56" i="43"/>
  <c r="L55" i="43"/>
  <c r="K55" i="43"/>
  <c r="J55" i="43"/>
  <c r="L54" i="43"/>
  <c r="K54" i="43"/>
  <c r="J54" i="43"/>
  <c r="L53" i="43"/>
  <c r="K53" i="43"/>
  <c r="J53" i="43"/>
  <c r="L52" i="43"/>
  <c r="K52" i="43"/>
  <c r="J52" i="43"/>
  <c r="L51" i="43"/>
  <c r="K51" i="43"/>
  <c r="J51" i="43"/>
  <c r="L50" i="43"/>
  <c r="K50" i="43"/>
  <c r="J50" i="43"/>
  <c r="L49" i="43"/>
  <c r="K49" i="43"/>
  <c r="J49" i="43"/>
  <c r="L48" i="43"/>
  <c r="K48" i="43"/>
  <c r="J48" i="43"/>
  <c r="L47" i="43"/>
  <c r="K47" i="43"/>
  <c r="J47" i="43"/>
  <c r="L46" i="43"/>
  <c r="K46" i="43"/>
  <c r="J46" i="43"/>
  <c r="L45" i="43"/>
  <c r="K45" i="43"/>
  <c r="J45" i="43"/>
  <c r="L44" i="43"/>
  <c r="K44" i="43"/>
  <c r="J44" i="43"/>
  <c r="L43" i="43"/>
  <c r="K43" i="43"/>
  <c r="J43" i="43"/>
  <c r="L42" i="43"/>
  <c r="K42" i="43"/>
  <c r="J42" i="43"/>
  <c r="L41" i="43"/>
  <c r="K41" i="43"/>
  <c r="J41" i="43"/>
  <c r="L40" i="43"/>
  <c r="K40" i="43"/>
  <c r="J40" i="43"/>
  <c r="L39" i="43"/>
  <c r="K39" i="43"/>
  <c r="J39" i="43"/>
  <c r="L38" i="43"/>
  <c r="K38" i="43"/>
  <c r="J38" i="43"/>
  <c r="L37" i="43"/>
  <c r="K37" i="43"/>
  <c r="J37" i="43"/>
  <c r="L36" i="43"/>
  <c r="K36" i="43"/>
  <c r="J36" i="43"/>
  <c r="L35" i="43"/>
  <c r="K35" i="43"/>
  <c r="J35" i="43"/>
  <c r="L34" i="43"/>
  <c r="K34" i="43"/>
  <c r="J34" i="43"/>
  <c r="L33" i="43"/>
  <c r="K33" i="43"/>
  <c r="J33" i="43"/>
  <c r="L32" i="43"/>
  <c r="K32" i="43"/>
  <c r="J32" i="43"/>
  <c r="L31" i="43"/>
  <c r="K31" i="43"/>
  <c r="J31" i="43"/>
  <c r="L30" i="43"/>
  <c r="K30" i="43"/>
  <c r="J30" i="43"/>
  <c r="L29" i="43"/>
  <c r="K29" i="43"/>
  <c r="J29" i="43"/>
  <c r="L28" i="43"/>
  <c r="K28" i="43"/>
  <c r="J28" i="43"/>
  <c r="L27" i="43"/>
  <c r="K27" i="43"/>
  <c r="J27" i="43"/>
  <c r="L26" i="43"/>
  <c r="K26" i="43"/>
  <c r="J26" i="43"/>
  <c r="L25" i="43"/>
  <c r="K25" i="43"/>
  <c r="J25" i="43"/>
  <c r="L24" i="43"/>
  <c r="K24" i="43"/>
  <c r="J24" i="43"/>
  <c r="L23" i="43"/>
  <c r="K23" i="43"/>
  <c r="J23" i="43"/>
  <c r="L22" i="43"/>
  <c r="K22" i="43"/>
  <c r="J22" i="43"/>
  <c r="L21" i="43"/>
  <c r="K21" i="43"/>
  <c r="J21" i="43"/>
  <c r="L20" i="43"/>
  <c r="K20" i="43"/>
  <c r="J20" i="43"/>
  <c r="L19" i="43"/>
  <c r="K19" i="43"/>
  <c r="J19" i="43"/>
  <c r="L18" i="43"/>
  <c r="K18" i="43"/>
  <c r="J18" i="43"/>
  <c r="L17" i="43"/>
  <c r="K17" i="43"/>
  <c r="J17" i="43"/>
  <c r="L16" i="43"/>
  <c r="K16" i="43"/>
  <c r="J16" i="43"/>
  <c r="L15" i="43"/>
  <c r="K15" i="43"/>
  <c r="J15" i="43"/>
  <c r="L14" i="43"/>
  <c r="K14" i="43"/>
  <c r="J14" i="43"/>
  <c r="L13" i="43"/>
  <c r="K13" i="43"/>
  <c r="J13" i="43"/>
  <c r="L12" i="43"/>
  <c r="K12" i="43"/>
  <c r="J12" i="43"/>
  <c r="L11" i="43"/>
  <c r="K11" i="43"/>
  <c r="J11" i="43"/>
  <c r="L10" i="43"/>
  <c r="K10" i="43"/>
  <c r="J10" i="43"/>
  <c r="L40" i="41"/>
  <c r="K40" i="41"/>
  <c r="J40" i="41"/>
  <c r="L39" i="41"/>
  <c r="K39" i="41"/>
  <c r="J39" i="41"/>
  <c r="L38" i="41"/>
  <c r="K38" i="41"/>
  <c r="J38" i="41"/>
  <c r="L37" i="41"/>
  <c r="K37" i="41"/>
  <c r="J37" i="41"/>
  <c r="L36" i="41"/>
  <c r="K36" i="41"/>
  <c r="J36" i="41"/>
  <c r="L35" i="41"/>
  <c r="K35" i="41"/>
  <c r="J35" i="41"/>
  <c r="L34" i="41"/>
  <c r="K34" i="41"/>
  <c r="J34" i="41"/>
  <c r="L33" i="41"/>
  <c r="K33" i="41"/>
  <c r="J33" i="41"/>
  <c r="L32" i="41"/>
  <c r="K32" i="41"/>
  <c r="J32" i="41"/>
  <c r="L31" i="41"/>
  <c r="K31" i="41"/>
  <c r="J31" i="41"/>
  <c r="L30" i="41"/>
  <c r="K30" i="41"/>
  <c r="J30" i="41"/>
  <c r="L29" i="41"/>
  <c r="K29" i="41"/>
  <c r="J29" i="41"/>
  <c r="L28" i="41"/>
  <c r="K28" i="41"/>
  <c r="J28" i="41"/>
  <c r="L27" i="41"/>
  <c r="K27" i="41"/>
  <c r="J27" i="41"/>
  <c r="L26" i="41"/>
  <c r="K26" i="41"/>
  <c r="J26" i="41"/>
  <c r="L25" i="41"/>
  <c r="K25" i="41"/>
  <c r="J25" i="41"/>
  <c r="L24" i="41"/>
  <c r="K24" i="41"/>
  <c r="J24" i="41"/>
  <c r="L23" i="41"/>
  <c r="K23" i="41"/>
  <c r="J23" i="41"/>
  <c r="L22" i="41"/>
  <c r="K22" i="41"/>
  <c r="J22" i="41"/>
  <c r="L21" i="41"/>
  <c r="K21" i="41"/>
  <c r="J21" i="41"/>
  <c r="L20" i="41"/>
  <c r="K20" i="41"/>
  <c r="J20" i="41"/>
  <c r="L19" i="41"/>
  <c r="K19" i="41"/>
  <c r="J19" i="41"/>
  <c r="L18" i="41"/>
  <c r="K18" i="41"/>
  <c r="J18" i="41"/>
  <c r="L17" i="41"/>
  <c r="K17" i="41"/>
  <c r="J17" i="41"/>
  <c r="L16" i="41"/>
  <c r="K16" i="41"/>
  <c r="J16" i="41"/>
  <c r="L15" i="41"/>
  <c r="K15" i="41"/>
  <c r="J15" i="41"/>
  <c r="L14" i="41"/>
  <c r="K14" i="41"/>
  <c r="J14" i="41"/>
  <c r="L13" i="41"/>
  <c r="K13" i="41"/>
  <c r="J13" i="41"/>
  <c r="L12" i="41"/>
  <c r="K12" i="41"/>
  <c r="J12" i="41"/>
  <c r="L11" i="41"/>
  <c r="K11" i="41"/>
  <c r="J11" i="41"/>
  <c r="L10" i="41"/>
  <c r="K10" i="41"/>
  <c r="J10" i="41"/>
  <c r="L40" i="40"/>
  <c r="K40" i="40"/>
  <c r="J40" i="40"/>
  <c r="L39" i="40"/>
  <c r="K39" i="40"/>
  <c r="J39" i="40"/>
  <c r="L38" i="40"/>
  <c r="K38" i="40"/>
  <c r="J38" i="40"/>
  <c r="L37" i="40"/>
  <c r="K37" i="40"/>
  <c r="J37" i="40"/>
  <c r="L36" i="40"/>
  <c r="K36" i="40"/>
  <c r="J36" i="40"/>
  <c r="L35" i="40"/>
  <c r="K35" i="40"/>
  <c r="J35" i="40"/>
  <c r="L34" i="40"/>
  <c r="K34" i="40"/>
  <c r="J34" i="40"/>
  <c r="L33" i="40"/>
  <c r="K33" i="40"/>
  <c r="J33" i="40"/>
  <c r="L32" i="40"/>
  <c r="K32" i="40"/>
  <c r="J32" i="40"/>
  <c r="L31" i="40"/>
  <c r="K31" i="40"/>
  <c r="J31" i="40"/>
  <c r="L30" i="40"/>
  <c r="K30" i="40"/>
  <c r="J30" i="40"/>
  <c r="L29" i="40"/>
  <c r="K29" i="40"/>
  <c r="J29" i="40"/>
  <c r="L28" i="40"/>
  <c r="K28" i="40"/>
  <c r="J28" i="40"/>
  <c r="L27" i="40"/>
  <c r="K27" i="40"/>
  <c r="J27" i="40"/>
  <c r="L26" i="40"/>
  <c r="K26" i="40"/>
  <c r="J26" i="40"/>
  <c r="L25" i="40"/>
  <c r="K25" i="40"/>
  <c r="J25" i="40"/>
  <c r="L24" i="40"/>
  <c r="K24" i="40"/>
  <c r="J24" i="40"/>
  <c r="L23" i="40"/>
  <c r="K23" i="40"/>
  <c r="J23" i="40"/>
  <c r="L22" i="40"/>
  <c r="K22" i="40"/>
  <c r="J22" i="40"/>
  <c r="L21" i="40"/>
  <c r="K21" i="40"/>
  <c r="J21" i="40"/>
  <c r="L20" i="40"/>
  <c r="K20" i="40"/>
  <c r="J20" i="40"/>
  <c r="L19" i="40"/>
  <c r="K19" i="40"/>
  <c r="J19" i="40"/>
  <c r="L18" i="40"/>
  <c r="K18" i="40"/>
  <c r="J18" i="40"/>
  <c r="L17" i="40"/>
  <c r="K17" i="40"/>
  <c r="J17" i="40"/>
  <c r="L16" i="40"/>
  <c r="K16" i="40"/>
  <c r="J16" i="40"/>
  <c r="L15" i="40"/>
  <c r="K15" i="40"/>
  <c r="J15" i="40"/>
  <c r="L14" i="40"/>
  <c r="K14" i="40"/>
  <c r="J14" i="40"/>
  <c r="L13" i="40"/>
  <c r="K13" i="40"/>
  <c r="J13" i="40"/>
  <c r="L12" i="40"/>
  <c r="K12" i="40"/>
  <c r="J12" i="40"/>
  <c r="L11" i="40"/>
  <c r="K11" i="40"/>
  <c r="J11" i="40"/>
  <c r="L10" i="40"/>
  <c r="K10" i="40"/>
  <c r="J10" i="40"/>
  <c r="J21" i="28"/>
  <c r="J29" i="37"/>
  <c r="L65" i="42"/>
  <c r="K65" i="42"/>
  <c r="J65" i="42"/>
  <c r="L64" i="42"/>
  <c r="K64" i="42"/>
  <c r="J64" i="42"/>
  <c r="L63" i="42"/>
  <c r="K63" i="42"/>
  <c r="J63" i="42"/>
  <c r="L62" i="42"/>
  <c r="K62" i="42"/>
  <c r="J62" i="42"/>
  <c r="L61" i="42"/>
  <c r="K61" i="42"/>
  <c r="J61" i="42"/>
  <c r="L60" i="42"/>
  <c r="K60" i="42"/>
  <c r="J60" i="42"/>
  <c r="L59" i="42"/>
  <c r="K59" i="42"/>
  <c r="J59" i="42"/>
  <c r="L58" i="42"/>
  <c r="K58" i="42"/>
  <c r="J58" i="42"/>
  <c r="L57" i="42"/>
  <c r="K57" i="42"/>
  <c r="J57" i="42"/>
  <c r="L56" i="42"/>
  <c r="K56" i="42"/>
  <c r="J56" i="42"/>
  <c r="L55" i="42"/>
  <c r="K55" i="42"/>
  <c r="J55" i="42"/>
  <c r="L54" i="42"/>
  <c r="K54" i="42"/>
  <c r="J54" i="42"/>
  <c r="L53" i="42"/>
  <c r="K53" i="42"/>
  <c r="J53" i="42"/>
  <c r="L52" i="42"/>
  <c r="K52" i="42"/>
  <c r="J52" i="42"/>
  <c r="L51" i="42"/>
  <c r="K51" i="42"/>
  <c r="J51" i="42"/>
  <c r="L50" i="42"/>
  <c r="K50" i="42"/>
  <c r="J50" i="42"/>
  <c r="L49" i="42"/>
  <c r="K49" i="42"/>
  <c r="J49" i="42"/>
  <c r="L48" i="42"/>
  <c r="K48" i="42"/>
  <c r="J48" i="42"/>
  <c r="L47" i="42"/>
  <c r="K47" i="42"/>
  <c r="J47" i="42"/>
  <c r="L46" i="42"/>
  <c r="K46" i="42"/>
  <c r="J46" i="42"/>
  <c r="L45" i="42"/>
  <c r="K45" i="42"/>
  <c r="J45" i="42"/>
  <c r="L44" i="42"/>
  <c r="K44" i="42"/>
  <c r="J44" i="42"/>
  <c r="L43" i="42"/>
  <c r="K43" i="42"/>
  <c r="J43" i="42"/>
  <c r="L42" i="42"/>
  <c r="K42" i="42"/>
  <c r="J42" i="42"/>
  <c r="L41" i="42"/>
  <c r="K41" i="42"/>
  <c r="J41" i="42"/>
  <c r="L40" i="42"/>
  <c r="K40" i="42"/>
  <c r="J40" i="42"/>
  <c r="L39" i="42"/>
  <c r="K39" i="42"/>
  <c r="J39" i="42"/>
  <c r="L38" i="42"/>
  <c r="K38" i="42"/>
  <c r="J38" i="42"/>
  <c r="L37" i="42"/>
  <c r="K37" i="42"/>
  <c r="J37" i="42"/>
  <c r="L36" i="42"/>
  <c r="K36" i="42"/>
  <c r="J36" i="42"/>
  <c r="L35" i="42"/>
  <c r="K35" i="42"/>
  <c r="J35" i="42"/>
  <c r="L34" i="42"/>
  <c r="K34" i="42"/>
  <c r="J34" i="42"/>
  <c r="L33" i="42"/>
  <c r="K33" i="42"/>
  <c r="J33" i="42"/>
  <c r="L32" i="42"/>
  <c r="K32" i="42"/>
  <c r="J32" i="42"/>
  <c r="L31" i="42"/>
  <c r="K31" i="42"/>
  <c r="J31" i="42"/>
  <c r="L30" i="42"/>
  <c r="K30" i="42"/>
  <c r="J30" i="42"/>
  <c r="L29" i="42"/>
  <c r="K29" i="42"/>
  <c r="J29" i="42"/>
  <c r="L28" i="42"/>
  <c r="K28" i="42"/>
  <c r="J28" i="42"/>
  <c r="L27" i="42"/>
  <c r="K27" i="42"/>
  <c r="J27" i="42"/>
  <c r="L26" i="42"/>
  <c r="K26" i="42"/>
  <c r="J26" i="42"/>
  <c r="L25" i="42"/>
  <c r="K25" i="42"/>
  <c r="J25" i="42"/>
  <c r="L24" i="42"/>
  <c r="K24" i="42"/>
  <c r="J24" i="42"/>
  <c r="L23" i="42"/>
  <c r="K23" i="42"/>
  <c r="J23" i="42"/>
  <c r="L22" i="42"/>
  <c r="K22" i="42"/>
  <c r="J22" i="42"/>
  <c r="L21" i="42"/>
  <c r="K21" i="42"/>
  <c r="J21" i="42"/>
  <c r="L20" i="42"/>
  <c r="K20" i="42"/>
  <c r="J20" i="42"/>
  <c r="L19" i="42"/>
  <c r="K19" i="42"/>
  <c r="J19" i="42"/>
  <c r="L18" i="42"/>
  <c r="K18" i="42"/>
  <c r="J18" i="42"/>
  <c r="L17" i="42"/>
  <c r="K17" i="42"/>
  <c r="J17" i="42"/>
  <c r="L16" i="42"/>
  <c r="K16" i="42"/>
  <c r="J16" i="42"/>
  <c r="L15" i="42"/>
  <c r="K15" i="42"/>
  <c r="J15" i="42"/>
  <c r="L14" i="42"/>
  <c r="K14" i="42"/>
  <c r="J14" i="42"/>
  <c r="L13" i="42"/>
  <c r="K13" i="42"/>
  <c r="J13" i="42"/>
  <c r="L12" i="42"/>
  <c r="K12" i="42"/>
  <c r="J12" i="42"/>
  <c r="L11" i="42"/>
  <c r="K11" i="42"/>
  <c r="J11" i="42"/>
  <c r="L10" i="42"/>
  <c r="K10" i="42"/>
  <c r="J10" i="42"/>
  <c r="L65" i="41"/>
  <c r="K65" i="41"/>
  <c r="J65" i="41"/>
  <c r="L64" i="41"/>
  <c r="K64" i="41"/>
  <c r="J64" i="41"/>
  <c r="L63" i="41"/>
  <c r="K63" i="41"/>
  <c r="J63" i="41"/>
  <c r="L62" i="41"/>
  <c r="K62" i="41"/>
  <c r="J62" i="41"/>
  <c r="L61" i="41"/>
  <c r="K61" i="41"/>
  <c r="J61" i="41"/>
  <c r="L60" i="41"/>
  <c r="K60" i="41"/>
  <c r="J60" i="41"/>
  <c r="L59" i="41"/>
  <c r="K59" i="41"/>
  <c r="J59" i="41"/>
  <c r="L58" i="41"/>
  <c r="K58" i="41"/>
  <c r="J58" i="41"/>
  <c r="L57" i="41"/>
  <c r="K57" i="41"/>
  <c r="J57" i="41"/>
  <c r="L56" i="41"/>
  <c r="K56" i="41"/>
  <c r="J56" i="41"/>
  <c r="L55" i="41"/>
  <c r="K55" i="41"/>
  <c r="J55" i="41"/>
  <c r="L54" i="41"/>
  <c r="K54" i="41"/>
  <c r="J54" i="41"/>
  <c r="L53" i="41"/>
  <c r="K53" i="41"/>
  <c r="J53" i="41"/>
  <c r="L52" i="41"/>
  <c r="K52" i="41"/>
  <c r="J52" i="41"/>
  <c r="L51" i="41"/>
  <c r="K51" i="41"/>
  <c r="J51" i="41"/>
  <c r="L50" i="41"/>
  <c r="K50" i="41"/>
  <c r="J50" i="41"/>
  <c r="L49" i="41"/>
  <c r="K49" i="41"/>
  <c r="J49" i="41"/>
  <c r="L48" i="41"/>
  <c r="K48" i="41"/>
  <c r="J48" i="41"/>
  <c r="L47" i="41"/>
  <c r="K47" i="41"/>
  <c r="J47" i="41"/>
  <c r="L46" i="41"/>
  <c r="K46" i="41"/>
  <c r="J46" i="41"/>
  <c r="L45" i="41"/>
  <c r="K45" i="41"/>
  <c r="J45" i="41"/>
  <c r="L44" i="41"/>
  <c r="K44" i="41"/>
  <c r="J44" i="41"/>
  <c r="L43" i="41"/>
  <c r="K43" i="41"/>
  <c r="J43" i="41"/>
  <c r="L42" i="41"/>
  <c r="K42" i="41"/>
  <c r="J42" i="41"/>
  <c r="L41" i="41"/>
  <c r="K41" i="41"/>
  <c r="J41" i="41"/>
  <c r="L65" i="40"/>
  <c r="K65" i="40"/>
  <c r="J65" i="40"/>
  <c r="L64" i="40"/>
  <c r="K64" i="40"/>
  <c r="J64" i="40"/>
  <c r="L63" i="40"/>
  <c r="K63" i="40"/>
  <c r="J63" i="40"/>
  <c r="L62" i="40"/>
  <c r="K62" i="40"/>
  <c r="J62" i="40"/>
  <c r="L61" i="40"/>
  <c r="K61" i="40"/>
  <c r="J61" i="40"/>
  <c r="L60" i="40"/>
  <c r="K60" i="40"/>
  <c r="J60" i="40"/>
  <c r="L59" i="40"/>
  <c r="K59" i="40"/>
  <c r="J59" i="40"/>
  <c r="L58" i="40"/>
  <c r="K58" i="40"/>
  <c r="J58" i="40"/>
  <c r="L57" i="40"/>
  <c r="K57" i="40"/>
  <c r="J57" i="40"/>
  <c r="L56" i="40"/>
  <c r="K56" i="40"/>
  <c r="J56" i="40"/>
  <c r="L55" i="40"/>
  <c r="K55" i="40"/>
  <c r="J55" i="40"/>
  <c r="L54" i="40"/>
  <c r="K54" i="40"/>
  <c r="J54" i="40"/>
  <c r="L53" i="40"/>
  <c r="K53" i="40"/>
  <c r="J53" i="40"/>
  <c r="L52" i="40"/>
  <c r="K52" i="40"/>
  <c r="J52" i="40"/>
  <c r="L51" i="40"/>
  <c r="K51" i="40"/>
  <c r="J51" i="40"/>
  <c r="L50" i="40"/>
  <c r="K50" i="40"/>
  <c r="J50" i="40"/>
  <c r="L49" i="40"/>
  <c r="K49" i="40"/>
  <c r="J49" i="40"/>
  <c r="L48" i="40"/>
  <c r="K48" i="40"/>
  <c r="J48" i="40"/>
  <c r="L47" i="40"/>
  <c r="K47" i="40"/>
  <c r="J47" i="40"/>
  <c r="L46" i="40"/>
  <c r="K46" i="40"/>
  <c r="J46" i="40"/>
  <c r="L45" i="40"/>
  <c r="K45" i="40"/>
  <c r="J45" i="40"/>
  <c r="L44" i="40"/>
  <c r="K44" i="40"/>
  <c r="J44" i="40"/>
  <c r="L43" i="40"/>
  <c r="K43" i="40"/>
  <c r="J43" i="40"/>
  <c r="L42" i="40"/>
  <c r="K42" i="40"/>
  <c r="J42" i="40"/>
  <c r="L41" i="40"/>
  <c r="K41" i="40"/>
  <c r="J41" i="40"/>
  <c r="L65" i="39"/>
  <c r="K65" i="39"/>
  <c r="J65" i="39"/>
  <c r="L64" i="39"/>
  <c r="K64" i="39"/>
  <c r="J64" i="39"/>
  <c r="L63" i="39"/>
  <c r="K63" i="39"/>
  <c r="J63" i="39"/>
  <c r="L62" i="39"/>
  <c r="K62" i="39"/>
  <c r="J62" i="39"/>
  <c r="L61" i="39"/>
  <c r="K61" i="39"/>
  <c r="J61" i="39"/>
  <c r="L60" i="39"/>
  <c r="K60" i="39"/>
  <c r="J60" i="39"/>
  <c r="L59" i="39"/>
  <c r="K59" i="39"/>
  <c r="J59" i="39"/>
  <c r="L58" i="39"/>
  <c r="K58" i="39"/>
  <c r="J58" i="39"/>
  <c r="L57" i="39"/>
  <c r="K57" i="39"/>
  <c r="J57" i="39"/>
  <c r="L56" i="39"/>
  <c r="K56" i="39"/>
  <c r="J56" i="39"/>
  <c r="L55" i="39"/>
  <c r="K55" i="39"/>
  <c r="J55" i="39"/>
  <c r="L54" i="39"/>
  <c r="K54" i="39"/>
  <c r="J54" i="39"/>
  <c r="L53" i="39"/>
  <c r="K53" i="39"/>
  <c r="J53" i="39"/>
  <c r="L52" i="39"/>
  <c r="K52" i="39"/>
  <c r="J52" i="39"/>
  <c r="L51" i="39"/>
  <c r="K51" i="39"/>
  <c r="J51" i="39"/>
  <c r="L50" i="39"/>
  <c r="K50" i="39"/>
  <c r="J50" i="39"/>
  <c r="L49" i="39"/>
  <c r="K49" i="39"/>
  <c r="J49" i="39"/>
  <c r="L48" i="39"/>
  <c r="K48" i="39"/>
  <c r="J48" i="39"/>
  <c r="L47" i="39"/>
  <c r="K47" i="39"/>
  <c r="J47" i="39"/>
  <c r="L46" i="39"/>
  <c r="K46" i="39"/>
  <c r="J46" i="39"/>
  <c r="L45" i="39"/>
  <c r="K45" i="39"/>
  <c r="J45" i="39"/>
  <c r="L44" i="39"/>
  <c r="K44" i="39"/>
  <c r="J44" i="39"/>
  <c r="L43" i="39"/>
  <c r="K43" i="39"/>
  <c r="J43" i="39"/>
  <c r="L42" i="39"/>
  <c r="K42" i="39"/>
  <c r="J42" i="39"/>
  <c r="L41" i="39"/>
  <c r="K41" i="39"/>
  <c r="J41" i="39"/>
  <c r="L40" i="39"/>
  <c r="K40" i="39"/>
  <c r="J40" i="39"/>
  <c r="L39" i="39"/>
  <c r="K39" i="39"/>
  <c r="J39" i="39"/>
  <c r="L38" i="39"/>
  <c r="K38" i="39"/>
  <c r="J38" i="39"/>
  <c r="L37" i="39"/>
  <c r="K37" i="39"/>
  <c r="J37" i="39"/>
  <c r="L36" i="39"/>
  <c r="K36" i="39"/>
  <c r="J36" i="39"/>
  <c r="L35" i="39"/>
  <c r="K35" i="39"/>
  <c r="J35" i="39"/>
  <c r="L34" i="39"/>
  <c r="K34" i="39"/>
  <c r="J34" i="39"/>
  <c r="L33" i="39"/>
  <c r="K33" i="39"/>
  <c r="J33" i="39"/>
  <c r="L32" i="39"/>
  <c r="K32" i="39"/>
  <c r="J32" i="39"/>
  <c r="L31" i="39"/>
  <c r="K31" i="39"/>
  <c r="J31" i="39"/>
  <c r="L30" i="39"/>
  <c r="K30" i="39"/>
  <c r="J30" i="39"/>
  <c r="L29" i="39"/>
  <c r="K29" i="39"/>
  <c r="J29" i="39"/>
  <c r="L28" i="39"/>
  <c r="K28" i="39"/>
  <c r="J28" i="39"/>
  <c r="L27" i="39"/>
  <c r="K27" i="39"/>
  <c r="J27" i="39"/>
  <c r="L26" i="39"/>
  <c r="K26" i="39"/>
  <c r="J26" i="39"/>
  <c r="L25" i="39"/>
  <c r="K25" i="39"/>
  <c r="J25" i="39"/>
  <c r="L24" i="39"/>
  <c r="K24" i="39"/>
  <c r="J24" i="39"/>
  <c r="L23" i="39"/>
  <c r="K23" i="39"/>
  <c r="J23" i="39"/>
  <c r="L22" i="39"/>
  <c r="K22" i="39"/>
  <c r="J22" i="39"/>
  <c r="L21" i="39"/>
  <c r="K21" i="39"/>
  <c r="J21" i="39"/>
  <c r="L20" i="39"/>
  <c r="K20" i="39"/>
  <c r="J20" i="39"/>
  <c r="L19" i="39"/>
  <c r="K19" i="39"/>
  <c r="J19" i="39"/>
  <c r="L18" i="39"/>
  <c r="K18" i="39"/>
  <c r="J18" i="39"/>
  <c r="L17" i="39"/>
  <c r="K17" i="39"/>
  <c r="J17" i="39"/>
  <c r="L16" i="39"/>
  <c r="K16" i="39"/>
  <c r="J16" i="39"/>
  <c r="L15" i="39"/>
  <c r="K15" i="39"/>
  <c r="J15" i="39"/>
  <c r="L14" i="39"/>
  <c r="K14" i="39"/>
  <c r="J14" i="39"/>
  <c r="L13" i="39"/>
  <c r="K13" i="39"/>
  <c r="J13" i="39"/>
  <c r="L12" i="39"/>
  <c r="K12" i="39"/>
  <c r="J12" i="39"/>
  <c r="L11" i="39"/>
  <c r="K11" i="39"/>
  <c r="J11" i="39"/>
  <c r="L10" i="39"/>
  <c r="K10" i="39"/>
  <c r="J10" i="39"/>
  <c r="L66" i="38"/>
  <c r="K66" i="38"/>
  <c r="J66" i="38"/>
  <c r="L65" i="38"/>
  <c r="K65" i="38"/>
  <c r="J65" i="38"/>
  <c r="L64" i="38"/>
  <c r="K64" i="38"/>
  <c r="J64" i="38"/>
  <c r="L63" i="38"/>
  <c r="K63" i="38"/>
  <c r="J63" i="38"/>
  <c r="L62" i="38"/>
  <c r="K62" i="38"/>
  <c r="J62" i="38"/>
  <c r="L61" i="38"/>
  <c r="K61" i="38"/>
  <c r="J61" i="38"/>
  <c r="L60" i="38"/>
  <c r="K60" i="38"/>
  <c r="J60" i="38"/>
  <c r="L59" i="38"/>
  <c r="K59" i="38"/>
  <c r="J59" i="38"/>
  <c r="L58" i="38"/>
  <c r="K58" i="38"/>
  <c r="J58" i="38"/>
  <c r="L57" i="38"/>
  <c r="K57" i="38"/>
  <c r="J57" i="38"/>
  <c r="L56" i="38"/>
  <c r="K56" i="38"/>
  <c r="J56" i="38"/>
  <c r="L55" i="38"/>
  <c r="K55" i="38"/>
  <c r="J55" i="38"/>
  <c r="L54" i="38"/>
  <c r="K54" i="38"/>
  <c r="J54" i="38"/>
  <c r="L53" i="38"/>
  <c r="K53" i="38"/>
  <c r="J53" i="38"/>
  <c r="L52" i="38"/>
  <c r="K52" i="38"/>
  <c r="J52" i="38"/>
  <c r="L51" i="38"/>
  <c r="K51" i="38"/>
  <c r="J51" i="38"/>
  <c r="L50" i="38"/>
  <c r="K50" i="38"/>
  <c r="J50" i="38"/>
  <c r="L49" i="38"/>
  <c r="K49" i="38"/>
  <c r="J49" i="38"/>
  <c r="L48" i="38"/>
  <c r="K48" i="38"/>
  <c r="J48" i="38"/>
  <c r="L47" i="38"/>
  <c r="K47" i="38"/>
  <c r="J47" i="38"/>
  <c r="L46" i="38"/>
  <c r="K46" i="38"/>
  <c r="J46" i="38"/>
  <c r="L45" i="38"/>
  <c r="K45" i="38"/>
  <c r="J45" i="38"/>
  <c r="L44" i="38"/>
  <c r="K44" i="38"/>
  <c r="J44" i="38"/>
  <c r="L43" i="38"/>
  <c r="K43" i="38"/>
  <c r="J43" i="38"/>
  <c r="L42" i="38"/>
  <c r="K42" i="38"/>
  <c r="J42" i="38"/>
  <c r="L41" i="38"/>
  <c r="K41" i="38"/>
  <c r="J41" i="38"/>
  <c r="L40" i="38"/>
  <c r="K40" i="38"/>
  <c r="J40" i="38"/>
  <c r="L39" i="38"/>
  <c r="K39" i="38"/>
  <c r="J39" i="38"/>
  <c r="L38" i="38"/>
  <c r="K38" i="38"/>
  <c r="J38" i="38"/>
  <c r="L37" i="38"/>
  <c r="K37" i="38"/>
  <c r="J37" i="38"/>
  <c r="L36" i="38"/>
  <c r="K36" i="38"/>
  <c r="J36" i="38"/>
  <c r="L35" i="38"/>
  <c r="K35" i="38"/>
  <c r="J35" i="38"/>
  <c r="L34" i="38"/>
  <c r="K34" i="38"/>
  <c r="J34" i="38"/>
  <c r="L33" i="38"/>
  <c r="K33" i="38"/>
  <c r="J33" i="38"/>
  <c r="L32" i="38"/>
  <c r="K32" i="38"/>
  <c r="J32" i="38"/>
  <c r="L31" i="38"/>
  <c r="K31" i="38"/>
  <c r="J31" i="38"/>
  <c r="L30" i="38"/>
  <c r="K30" i="38"/>
  <c r="J30" i="38"/>
  <c r="L29" i="38"/>
  <c r="K29" i="38"/>
  <c r="J29" i="38"/>
  <c r="L28" i="38"/>
  <c r="K28" i="38"/>
  <c r="J28" i="38"/>
  <c r="L27" i="38"/>
  <c r="K27" i="38"/>
  <c r="J27" i="38"/>
  <c r="L26" i="38"/>
  <c r="K26" i="38"/>
  <c r="J26" i="38"/>
  <c r="L25" i="38"/>
  <c r="K25" i="38"/>
  <c r="J25" i="38"/>
  <c r="L24" i="38"/>
  <c r="K24" i="38"/>
  <c r="J24" i="38"/>
  <c r="L23" i="38"/>
  <c r="K23" i="38"/>
  <c r="J23" i="38"/>
  <c r="L22" i="38"/>
  <c r="K22" i="38"/>
  <c r="J22" i="38"/>
  <c r="L21" i="38"/>
  <c r="K21" i="38"/>
  <c r="J21" i="38"/>
  <c r="L20" i="38"/>
  <c r="K20" i="38"/>
  <c r="J20" i="38"/>
  <c r="L19" i="38"/>
  <c r="K19" i="38"/>
  <c r="J19" i="38"/>
  <c r="L18" i="38"/>
  <c r="K18" i="38"/>
  <c r="J18" i="38"/>
  <c r="L17" i="38"/>
  <c r="K17" i="38"/>
  <c r="J17" i="38"/>
  <c r="L16" i="38"/>
  <c r="K16" i="38"/>
  <c r="J16" i="38"/>
  <c r="L15" i="38"/>
  <c r="K15" i="38"/>
  <c r="J15" i="38"/>
  <c r="L14" i="38"/>
  <c r="K14" i="38"/>
  <c r="J14" i="38"/>
  <c r="L13" i="38"/>
  <c r="K13" i="38"/>
  <c r="J13" i="38"/>
  <c r="L12" i="38"/>
  <c r="K12" i="38"/>
  <c r="J12" i="38"/>
  <c r="L11" i="38"/>
  <c r="K11" i="38"/>
  <c r="J11" i="38"/>
  <c r="L10" i="38"/>
  <c r="K10" i="38"/>
  <c r="J10" i="38"/>
  <c r="L65" i="37"/>
  <c r="K65" i="37"/>
  <c r="J65" i="37"/>
  <c r="L64" i="37"/>
  <c r="K64" i="37"/>
  <c r="J64" i="37"/>
  <c r="L63" i="37"/>
  <c r="K63" i="37"/>
  <c r="J63" i="37"/>
  <c r="L62" i="37"/>
  <c r="K62" i="37"/>
  <c r="J62" i="37"/>
  <c r="L61" i="37"/>
  <c r="K61" i="37"/>
  <c r="J61" i="37"/>
  <c r="L60" i="37"/>
  <c r="K60" i="37"/>
  <c r="J60" i="37"/>
  <c r="L59" i="37"/>
  <c r="K59" i="37"/>
  <c r="J59" i="37"/>
  <c r="L58" i="37"/>
  <c r="K58" i="37"/>
  <c r="J58" i="37"/>
  <c r="L57" i="37"/>
  <c r="K57" i="37"/>
  <c r="J57" i="37"/>
  <c r="L56" i="37"/>
  <c r="K56" i="37"/>
  <c r="J56" i="37"/>
  <c r="L55" i="37"/>
  <c r="K55" i="37"/>
  <c r="J55" i="37"/>
  <c r="L54" i="37"/>
  <c r="K54" i="37"/>
  <c r="J54" i="37"/>
  <c r="L53" i="37"/>
  <c r="K53" i="37"/>
  <c r="J53" i="37"/>
  <c r="L52" i="37"/>
  <c r="K52" i="37"/>
  <c r="J52" i="37"/>
  <c r="L51" i="37"/>
  <c r="K51" i="37"/>
  <c r="J51" i="37"/>
  <c r="L50" i="37"/>
  <c r="K50" i="37"/>
  <c r="J50" i="37"/>
  <c r="L49" i="37"/>
  <c r="K49" i="37"/>
  <c r="J49" i="37"/>
  <c r="L48" i="37"/>
  <c r="K48" i="37"/>
  <c r="J48" i="37"/>
  <c r="L47" i="37"/>
  <c r="K47" i="37"/>
  <c r="J47" i="37"/>
  <c r="L46" i="37"/>
  <c r="K46" i="37"/>
  <c r="J46" i="37"/>
  <c r="L45" i="37"/>
  <c r="K45" i="37"/>
  <c r="J45" i="37"/>
  <c r="L44" i="37"/>
  <c r="K44" i="37"/>
  <c r="J44" i="37"/>
  <c r="L43" i="37"/>
  <c r="K43" i="37"/>
  <c r="J43" i="37"/>
  <c r="L42" i="37"/>
  <c r="K42" i="37"/>
  <c r="J42" i="37"/>
  <c r="L41" i="37"/>
  <c r="K41" i="37"/>
  <c r="J41" i="37"/>
  <c r="L40" i="37"/>
  <c r="K40" i="37"/>
  <c r="J40" i="37"/>
  <c r="L39" i="37"/>
  <c r="K39" i="37"/>
  <c r="J39" i="37"/>
  <c r="L38" i="37"/>
  <c r="K38" i="37"/>
  <c r="J38" i="37"/>
  <c r="L37" i="37"/>
  <c r="K37" i="37"/>
  <c r="J37" i="37"/>
  <c r="L36" i="37"/>
  <c r="K36" i="37"/>
  <c r="J36" i="37"/>
  <c r="L35" i="37"/>
  <c r="K35" i="37"/>
  <c r="J35" i="37"/>
  <c r="L34" i="37"/>
  <c r="K34" i="37"/>
  <c r="J34" i="37"/>
  <c r="L33" i="37"/>
  <c r="K33" i="37"/>
  <c r="J33" i="37"/>
  <c r="L32" i="37"/>
  <c r="K32" i="37"/>
  <c r="J32" i="37"/>
  <c r="L31" i="37"/>
  <c r="K31" i="37"/>
  <c r="J31" i="37"/>
  <c r="L30" i="37"/>
  <c r="K30" i="37"/>
  <c r="J30" i="37"/>
  <c r="L29" i="37"/>
  <c r="K29" i="37"/>
  <c r="L28" i="37"/>
  <c r="K28" i="37"/>
  <c r="J28" i="37"/>
  <c r="L27" i="37"/>
  <c r="K27" i="37"/>
  <c r="J27" i="37"/>
  <c r="L26" i="37"/>
  <c r="K26" i="37"/>
  <c r="J26" i="37"/>
  <c r="L25" i="37"/>
  <c r="K25" i="37"/>
  <c r="J25" i="37"/>
  <c r="L24" i="37"/>
  <c r="K24" i="37"/>
  <c r="J24" i="37"/>
  <c r="L23" i="37"/>
  <c r="K23" i="37"/>
  <c r="J23" i="37"/>
  <c r="L22" i="37"/>
  <c r="K22" i="37"/>
  <c r="J22" i="37"/>
  <c r="L21" i="37"/>
  <c r="K21" i="37"/>
  <c r="J21" i="37"/>
  <c r="L20" i="37"/>
  <c r="K20" i="37"/>
  <c r="J20" i="37"/>
  <c r="L19" i="37"/>
  <c r="K19" i="37"/>
  <c r="J19" i="37"/>
  <c r="L18" i="37"/>
  <c r="K18" i="37"/>
  <c r="J18" i="37"/>
  <c r="L17" i="37"/>
  <c r="K17" i="37"/>
  <c r="J17" i="37"/>
  <c r="L16" i="37"/>
  <c r="K16" i="37"/>
  <c r="J16" i="37"/>
  <c r="L15" i="37"/>
  <c r="K15" i="37"/>
  <c r="J15" i="37"/>
  <c r="L14" i="37"/>
  <c r="K14" i="37"/>
  <c r="J14" i="37"/>
  <c r="L13" i="37"/>
  <c r="K13" i="37"/>
  <c r="J13" i="37"/>
  <c r="L12" i="37"/>
  <c r="K12" i="37"/>
  <c r="J12" i="37"/>
  <c r="L11" i="37"/>
  <c r="K11" i="37"/>
  <c r="J11" i="37"/>
  <c r="L10" i="37"/>
  <c r="K10" i="37"/>
  <c r="J10" i="37"/>
  <c r="L66" i="36"/>
  <c r="K66" i="36"/>
  <c r="J66" i="36"/>
  <c r="L65" i="36"/>
  <c r="K65" i="36"/>
  <c r="J65" i="36"/>
  <c r="L64" i="36"/>
  <c r="K64" i="36"/>
  <c r="J64" i="36"/>
  <c r="L63" i="36"/>
  <c r="K63" i="36"/>
  <c r="J63" i="36"/>
  <c r="L62" i="36"/>
  <c r="K62" i="36"/>
  <c r="J62" i="36"/>
  <c r="L61" i="36"/>
  <c r="K61" i="36"/>
  <c r="J61" i="36"/>
  <c r="L60" i="36"/>
  <c r="K60" i="36"/>
  <c r="J60" i="36"/>
  <c r="L59" i="36"/>
  <c r="K59" i="36"/>
  <c r="J59" i="36"/>
  <c r="L58" i="36"/>
  <c r="K58" i="36"/>
  <c r="J58" i="36"/>
  <c r="L57" i="36"/>
  <c r="K57" i="36"/>
  <c r="J57" i="36"/>
  <c r="L56" i="36"/>
  <c r="K56" i="36"/>
  <c r="J56" i="36"/>
  <c r="L55" i="36"/>
  <c r="K55" i="36"/>
  <c r="J55" i="36"/>
  <c r="L54" i="36"/>
  <c r="K54" i="36"/>
  <c r="J54" i="36"/>
  <c r="L53" i="36"/>
  <c r="K53" i="36"/>
  <c r="J53" i="36"/>
  <c r="L52" i="36"/>
  <c r="K52" i="36"/>
  <c r="J52" i="36"/>
  <c r="L51" i="36"/>
  <c r="K51" i="36"/>
  <c r="J51" i="36"/>
  <c r="L50" i="36"/>
  <c r="K50" i="36"/>
  <c r="J50" i="36"/>
  <c r="L49" i="36"/>
  <c r="K49" i="36"/>
  <c r="J49" i="36"/>
  <c r="L48" i="36"/>
  <c r="K48" i="36"/>
  <c r="J48" i="36"/>
  <c r="L47" i="36"/>
  <c r="K47" i="36"/>
  <c r="J47" i="36"/>
  <c r="L46" i="36"/>
  <c r="K46" i="36"/>
  <c r="J46" i="36"/>
  <c r="L45" i="36"/>
  <c r="K45" i="36"/>
  <c r="J45" i="36"/>
  <c r="L44" i="36"/>
  <c r="K44" i="36"/>
  <c r="J44" i="36"/>
  <c r="L43" i="36"/>
  <c r="K43" i="36"/>
  <c r="J43" i="36"/>
  <c r="L42" i="36"/>
  <c r="K42" i="36"/>
  <c r="J42" i="36"/>
  <c r="L41" i="36"/>
  <c r="K41" i="36"/>
  <c r="J41" i="36"/>
  <c r="L40" i="36"/>
  <c r="K40" i="36"/>
  <c r="J40" i="36"/>
  <c r="L39" i="36"/>
  <c r="K39" i="36"/>
  <c r="J39" i="36"/>
  <c r="L38" i="36"/>
  <c r="K38" i="36"/>
  <c r="J38" i="36"/>
  <c r="L37" i="36"/>
  <c r="K37" i="36"/>
  <c r="J37" i="36"/>
  <c r="L36" i="36"/>
  <c r="K36" i="36"/>
  <c r="J36" i="36"/>
  <c r="L35" i="36"/>
  <c r="K35" i="36"/>
  <c r="J35" i="36"/>
  <c r="L34" i="36"/>
  <c r="K34" i="36"/>
  <c r="J34" i="36"/>
  <c r="L33" i="36"/>
  <c r="K33" i="36"/>
  <c r="J33" i="36"/>
  <c r="L32" i="36"/>
  <c r="K32" i="36"/>
  <c r="J32" i="36"/>
  <c r="L31" i="36"/>
  <c r="K31" i="36"/>
  <c r="J31" i="36"/>
  <c r="L30" i="36"/>
  <c r="K30" i="36"/>
  <c r="J30" i="36"/>
  <c r="L29" i="36"/>
  <c r="K29" i="36"/>
  <c r="J29" i="36"/>
  <c r="L28" i="36"/>
  <c r="K28" i="36"/>
  <c r="J28" i="36"/>
  <c r="L27" i="36"/>
  <c r="K27" i="36"/>
  <c r="J27" i="36"/>
  <c r="L26" i="36"/>
  <c r="K26" i="36"/>
  <c r="J26" i="36"/>
  <c r="L25" i="36"/>
  <c r="K25" i="36"/>
  <c r="J25" i="36"/>
  <c r="L24" i="36"/>
  <c r="K24" i="36"/>
  <c r="J24" i="36"/>
  <c r="L23" i="36"/>
  <c r="K23" i="36"/>
  <c r="J23" i="36"/>
  <c r="L22" i="36"/>
  <c r="K22" i="36"/>
  <c r="J22" i="36"/>
  <c r="L21" i="36"/>
  <c r="K21" i="36"/>
  <c r="J21" i="36"/>
  <c r="L20" i="36"/>
  <c r="K20" i="36"/>
  <c r="J20" i="36"/>
  <c r="L19" i="36"/>
  <c r="K19" i="36"/>
  <c r="J19" i="36"/>
  <c r="L18" i="36"/>
  <c r="K18" i="36"/>
  <c r="J18" i="36"/>
  <c r="L17" i="36"/>
  <c r="K17" i="36"/>
  <c r="J17" i="36"/>
  <c r="L16" i="36"/>
  <c r="K16" i="36"/>
  <c r="J16" i="36"/>
  <c r="L15" i="36"/>
  <c r="K15" i="36"/>
  <c r="J15" i="36"/>
  <c r="L14" i="36"/>
  <c r="K14" i="36"/>
  <c r="J14" i="36"/>
  <c r="L13" i="36"/>
  <c r="K13" i="36"/>
  <c r="J13" i="36"/>
  <c r="L12" i="36"/>
  <c r="K12" i="36"/>
  <c r="J12" i="36"/>
  <c r="L11" i="36"/>
  <c r="K11" i="36"/>
  <c r="J11" i="36"/>
  <c r="L10" i="36"/>
  <c r="K10" i="36"/>
  <c r="L66" i="34"/>
  <c r="K66" i="34"/>
  <c r="J66" i="34"/>
  <c r="L65" i="34"/>
  <c r="K65" i="34"/>
  <c r="J65" i="34"/>
  <c r="L64" i="34"/>
  <c r="K64" i="34"/>
  <c r="J64" i="34"/>
  <c r="L63" i="34"/>
  <c r="K63" i="34"/>
  <c r="J63" i="34"/>
  <c r="L62" i="34"/>
  <c r="K62" i="34"/>
  <c r="J62" i="34"/>
  <c r="L61" i="34"/>
  <c r="K61" i="34"/>
  <c r="J61" i="34"/>
  <c r="L60" i="34"/>
  <c r="K60" i="34"/>
  <c r="J60" i="34"/>
  <c r="L59" i="34"/>
  <c r="K59" i="34"/>
  <c r="J59" i="34"/>
  <c r="L58" i="34"/>
  <c r="K58" i="34"/>
  <c r="J58" i="34"/>
  <c r="L57" i="34"/>
  <c r="K57" i="34"/>
  <c r="J57" i="34"/>
  <c r="L56" i="34"/>
  <c r="K56" i="34"/>
  <c r="J56" i="34"/>
  <c r="L55" i="34"/>
  <c r="K55" i="34"/>
  <c r="J55" i="34"/>
  <c r="L54" i="34"/>
  <c r="K54" i="34"/>
  <c r="J54" i="34"/>
  <c r="L53" i="34"/>
  <c r="K53" i="34"/>
  <c r="J53" i="34"/>
  <c r="L52" i="34"/>
  <c r="K52" i="34"/>
  <c r="J52" i="34"/>
  <c r="L51" i="34"/>
  <c r="K51" i="34"/>
  <c r="J51" i="34"/>
  <c r="L50" i="34"/>
  <c r="K50" i="34"/>
  <c r="J50" i="34"/>
  <c r="L49" i="34"/>
  <c r="K49" i="34"/>
  <c r="J49" i="34"/>
  <c r="L48" i="34"/>
  <c r="K48" i="34"/>
  <c r="J48" i="34"/>
  <c r="L47" i="34"/>
  <c r="K47" i="34"/>
  <c r="J47" i="34"/>
  <c r="L46" i="34"/>
  <c r="K46" i="34"/>
  <c r="J46" i="34"/>
  <c r="L45" i="34"/>
  <c r="K45" i="34"/>
  <c r="J45" i="34"/>
  <c r="L44" i="34"/>
  <c r="K44" i="34"/>
  <c r="J44" i="34"/>
  <c r="L43" i="34"/>
  <c r="K43" i="34"/>
  <c r="J43" i="34"/>
  <c r="L42" i="34"/>
  <c r="K42" i="34"/>
  <c r="J42" i="34"/>
  <c r="L41" i="34"/>
  <c r="K41" i="34"/>
  <c r="J41" i="34"/>
  <c r="L40" i="34"/>
  <c r="K40" i="34"/>
  <c r="J40" i="34"/>
  <c r="L39" i="34"/>
  <c r="K39" i="34"/>
  <c r="J39" i="34"/>
  <c r="L38" i="34"/>
  <c r="K38" i="34"/>
  <c r="J38" i="34"/>
  <c r="L37" i="34"/>
  <c r="K37" i="34"/>
  <c r="J37" i="34"/>
  <c r="L36" i="34"/>
  <c r="K36" i="34"/>
  <c r="J36" i="34"/>
  <c r="L35" i="34"/>
  <c r="K35" i="34"/>
  <c r="J35" i="34"/>
  <c r="L34" i="34"/>
  <c r="K34" i="34"/>
  <c r="J34" i="34"/>
  <c r="L33" i="34"/>
  <c r="K33" i="34"/>
  <c r="J33" i="34"/>
  <c r="L32" i="34"/>
  <c r="K32" i="34"/>
  <c r="J32" i="34"/>
  <c r="L31" i="34"/>
  <c r="K31" i="34"/>
  <c r="J31" i="34"/>
  <c r="L30" i="34"/>
  <c r="K30" i="34"/>
  <c r="J30" i="34"/>
  <c r="L29" i="34"/>
  <c r="K29" i="34"/>
  <c r="J29" i="34"/>
  <c r="L28" i="34"/>
  <c r="K28" i="34"/>
  <c r="J28" i="34"/>
  <c r="L27" i="34"/>
  <c r="K27" i="34"/>
  <c r="J27" i="34"/>
  <c r="L26" i="34"/>
  <c r="K26" i="34"/>
  <c r="J26" i="34"/>
  <c r="L25" i="34"/>
  <c r="K25" i="34"/>
  <c r="J25" i="34"/>
  <c r="L24" i="34"/>
  <c r="K24" i="34"/>
  <c r="J24" i="34"/>
  <c r="L23" i="34"/>
  <c r="K23" i="34"/>
  <c r="J23" i="34"/>
  <c r="L22" i="34"/>
  <c r="K22" i="34"/>
  <c r="J22" i="34"/>
  <c r="L21" i="34"/>
  <c r="K21" i="34"/>
  <c r="J21" i="34"/>
  <c r="L20" i="34"/>
  <c r="K20" i="34"/>
  <c r="J20" i="34"/>
  <c r="L19" i="34"/>
  <c r="K19" i="34"/>
  <c r="J19" i="34"/>
  <c r="L18" i="34"/>
  <c r="K18" i="34"/>
  <c r="J18" i="34"/>
  <c r="L17" i="34"/>
  <c r="K17" i="34"/>
  <c r="J17" i="34"/>
  <c r="L16" i="34"/>
  <c r="K16" i="34"/>
  <c r="J16" i="34"/>
  <c r="L15" i="34"/>
  <c r="K15" i="34"/>
  <c r="J15" i="34"/>
  <c r="L14" i="34"/>
  <c r="K14" i="34"/>
  <c r="J14" i="34"/>
  <c r="L13" i="34"/>
  <c r="K13" i="34"/>
  <c r="J13" i="34"/>
  <c r="L12" i="34"/>
  <c r="K12" i="34"/>
  <c r="J12" i="34"/>
  <c r="L11" i="34"/>
  <c r="K11" i="34"/>
  <c r="J11" i="34"/>
  <c r="L10" i="34"/>
  <c r="K10" i="34"/>
  <c r="J10" i="34"/>
  <c r="L65" i="33"/>
  <c r="K65" i="33"/>
  <c r="J65" i="33"/>
  <c r="L64" i="33"/>
  <c r="K64" i="33"/>
  <c r="J64" i="33"/>
  <c r="L63" i="33"/>
  <c r="K63" i="33"/>
  <c r="J63" i="33"/>
  <c r="L62" i="33"/>
  <c r="K62" i="33"/>
  <c r="J62" i="33"/>
  <c r="L61" i="33"/>
  <c r="K61" i="33"/>
  <c r="J61" i="33"/>
  <c r="L60" i="33"/>
  <c r="K60" i="33"/>
  <c r="J60" i="33"/>
  <c r="L59" i="33"/>
  <c r="K59" i="33"/>
  <c r="J59" i="33"/>
  <c r="L58" i="33"/>
  <c r="K58" i="33"/>
  <c r="J58" i="33"/>
  <c r="L57" i="33"/>
  <c r="K57" i="33"/>
  <c r="J57" i="33"/>
  <c r="L56" i="33"/>
  <c r="K56" i="33"/>
  <c r="J56" i="33"/>
  <c r="L55" i="33"/>
  <c r="K55" i="33"/>
  <c r="J55" i="33"/>
  <c r="L54" i="33"/>
  <c r="K54" i="33"/>
  <c r="J54" i="33"/>
  <c r="L53" i="33"/>
  <c r="K53" i="33"/>
  <c r="J53" i="33"/>
  <c r="L52" i="33"/>
  <c r="K52" i="33"/>
  <c r="J52" i="33"/>
  <c r="L51" i="33"/>
  <c r="K51" i="33"/>
  <c r="J51" i="33"/>
  <c r="L50" i="33"/>
  <c r="K50" i="33"/>
  <c r="J50" i="33"/>
  <c r="L49" i="33"/>
  <c r="K49" i="33"/>
  <c r="J49" i="33"/>
  <c r="L48" i="33"/>
  <c r="K48" i="33"/>
  <c r="J48" i="33"/>
  <c r="L47" i="33"/>
  <c r="K47" i="33"/>
  <c r="J47" i="33"/>
  <c r="L46" i="33"/>
  <c r="K46" i="33"/>
  <c r="J46" i="33"/>
  <c r="L45" i="33"/>
  <c r="K45" i="33"/>
  <c r="J45" i="33"/>
  <c r="L44" i="33"/>
  <c r="K44" i="33"/>
  <c r="J44" i="33"/>
  <c r="L43" i="33"/>
  <c r="K43" i="33"/>
  <c r="J43" i="33"/>
  <c r="L42" i="33"/>
  <c r="K42" i="33"/>
  <c r="J42" i="33"/>
  <c r="L41" i="33"/>
  <c r="K41" i="33"/>
  <c r="J41" i="33"/>
  <c r="L40" i="33"/>
  <c r="K40" i="33"/>
  <c r="J40" i="33"/>
  <c r="L39" i="33"/>
  <c r="K39" i="33"/>
  <c r="J39" i="33"/>
  <c r="L38" i="33"/>
  <c r="K38" i="33"/>
  <c r="J38" i="33"/>
  <c r="L37" i="33"/>
  <c r="K37" i="33"/>
  <c r="J37" i="33"/>
  <c r="L36" i="33"/>
  <c r="K36" i="33"/>
  <c r="J36" i="33"/>
  <c r="L35" i="33"/>
  <c r="K35" i="33"/>
  <c r="J35" i="33"/>
  <c r="L34" i="33"/>
  <c r="K34" i="33"/>
  <c r="J34" i="33"/>
  <c r="L33" i="33"/>
  <c r="K33" i="33"/>
  <c r="J33" i="33"/>
  <c r="L32" i="33"/>
  <c r="K32" i="33"/>
  <c r="J32" i="33"/>
  <c r="L31" i="33"/>
  <c r="K31" i="33"/>
  <c r="J31" i="33"/>
  <c r="L30" i="33"/>
  <c r="K30" i="33"/>
  <c r="J30" i="33"/>
  <c r="L29" i="33"/>
  <c r="K29" i="33"/>
  <c r="J29" i="33"/>
  <c r="L28" i="33"/>
  <c r="K28" i="33"/>
  <c r="J28" i="33"/>
  <c r="L27" i="33"/>
  <c r="K27" i="33"/>
  <c r="J27" i="33"/>
  <c r="L26" i="33"/>
  <c r="K26" i="33"/>
  <c r="J26" i="33"/>
  <c r="L25" i="33"/>
  <c r="K25" i="33"/>
  <c r="J25" i="33"/>
  <c r="L24" i="33"/>
  <c r="K24" i="33"/>
  <c r="J24" i="33"/>
  <c r="L23" i="33"/>
  <c r="K23" i="33"/>
  <c r="J23" i="33"/>
  <c r="L22" i="33"/>
  <c r="K22" i="33"/>
  <c r="J22" i="33"/>
  <c r="L21" i="33"/>
  <c r="K21" i="33"/>
  <c r="J21" i="33"/>
  <c r="L20" i="33"/>
  <c r="K20" i="33"/>
  <c r="J20" i="33"/>
  <c r="L19" i="33"/>
  <c r="K19" i="33"/>
  <c r="J19" i="33"/>
  <c r="L18" i="33"/>
  <c r="K18" i="33"/>
  <c r="J18" i="33"/>
  <c r="L17" i="33"/>
  <c r="K17" i="33"/>
  <c r="J17" i="33"/>
  <c r="L16" i="33"/>
  <c r="K16" i="33"/>
  <c r="J16" i="33"/>
  <c r="L15" i="33"/>
  <c r="K15" i="33"/>
  <c r="J15" i="33"/>
  <c r="L14" i="33"/>
  <c r="K14" i="33"/>
  <c r="J14" i="33"/>
  <c r="L13" i="33"/>
  <c r="K13" i="33"/>
  <c r="J13" i="33"/>
  <c r="L12" i="33"/>
  <c r="K12" i="33"/>
  <c r="J12" i="33"/>
  <c r="L11" i="33"/>
  <c r="K11" i="33"/>
  <c r="J11" i="33"/>
  <c r="L10" i="33"/>
  <c r="K10" i="33"/>
  <c r="J10" i="33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L13" i="5"/>
  <c r="K13" i="5"/>
  <c r="J13" i="5"/>
  <c r="L12" i="5"/>
  <c r="K12" i="5"/>
  <c r="J12" i="5"/>
  <c r="L11" i="5"/>
  <c r="K11" i="5"/>
  <c r="J11" i="5"/>
  <c r="L10" i="5"/>
  <c r="K10" i="5"/>
  <c r="J10" i="5"/>
  <c r="L66" i="26"/>
  <c r="K66" i="26"/>
  <c r="J66" i="26"/>
  <c r="L65" i="26"/>
  <c r="K65" i="26"/>
  <c r="J65" i="26"/>
  <c r="L64" i="26"/>
  <c r="K64" i="26"/>
  <c r="J64" i="26"/>
  <c r="L63" i="26"/>
  <c r="K63" i="26"/>
  <c r="J63" i="26"/>
  <c r="L62" i="26"/>
  <c r="K62" i="26"/>
  <c r="J62" i="26"/>
  <c r="L61" i="26"/>
  <c r="K61" i="26"/>
  <c r="J61" i="26"/>
  <c r="L60" i="26"/>
  <c r="K60" i="26"/>
  <c r="J60" i="26"/>
  <c r="L59" i="26"/>
  <c r="K59" i="26"/>
  <c r="J59" i="26"/>
  <c r="L58" i="26"/>
  <c r="K58" i="26"/>
  <c r="J58" i="26"/>
  <c r="L57" i="26"/>
  <c r="K57" i="26"/>
  <c r="J57" i="26"/>
  <c r="L56" i="26"/>
  <c r="K56" i="26"/>
  <c r="J56" i="26"/>
  <c r="L55" i="26"/>
  <c r="K55" i="26"/>
  <c r="J55" i="26"/>
  <c r="L54" i="26"/>
  <c r="K54" i="26"/>
  <c r="J54" i="26"/>
  <c r="L53" i="26"/>
  <c r="K53" i="26"/>
  <c r="J53" i="26"/>
  <c r="L52" i="26"/>
  <c r="K52" i="26"/>
  <c r="J52" i="26"/>
  <c r="L51" i="26"/>
  <c r="K51" i="26"/>
  <c r="J51" i="26"/>
  <c r="L50" i="26"/>
  <c r="K50" i="26"/>
  <c r="J50" i="26"/>
  <c r="L49" i="26"/>
  <c r="K49" i="26"/>
  <c r="J49" i="26"/>
  <c r="L48" i="26"/>
  <c r="K48" i="26"/>
  <c r="J48" i="26"/>
  <c r="L47" i="26"/>
  <c r="K47" i="26"/>
  <c r="J47" i="26"/>
  <c r="L46" i="26"/>
  <c r="K46" i="26"/>
  <c r="J46" i="26"/>
  <c r="L45" i="26"/>
  <c r="K45" i="26"/>
  <c r="J45" i="26"/>
  <c r="L44" i="26"/>
  <c r="K44" i="26"/>
  <c r="J44" i="26"/>
  <c r="L43" i="26"/>
  <c r="K43" i="26"/>
  <c r="J43" i="26"/>
  <c r="L42" i="26"/>
  <c r="K42" i="26"/>
  <c r="J42" i="26"/>
  <c r="L41" i="26"/>
  <c r="K41" i="26"/>
  <c r="J41" i="26"/>
  <c r="L40" i="26"/>
  <c r="K40" i="26"/>
  <c r="J40" i="26"/>
  <c r="L39" i="26"/>
  <c r="K39" i="26"/>
  <c r="J39" i="26"/>
  <c r="L38" i="26"/>
  <c r="K38" i="26"/>
  <c r="J38" i="26"/>
  <c r="L37" i="26"/>
  <c r="K37" i="26"/>
  <c r="J37" i="26"/>
  <c r="L36" i="26"/>
  <c r="K36" i="26"/>
  <c r="J36" i="26"/>
  <c r="L35" i="26"/>
  <c r="K35" i="26"/>
  <c r="J35" i="26"/>
  <c r="L34" i="26"/>
  <c r="K34" i="26"/>
  <c r="J34" i="26"/>
  <c r="L33" i="26"/>
  <c r="K33" i="26"/>
  <c r="J33" i="26"/>
  <c r="L32" i="26"/>
  <c r="K32" i="26"/>
  <c r="J32" i="26"/>
  <c r="L31" i="26"/>
  <c r="K31" i="26"/>
  <c r="J31" i="26"/>
  <c r="L30" i="26"/>
  <c r="K30" i="26"/>
  <c r="J30" i="26"/>
  <c r="L29" i="26"/>
  <c r="K29" i="26"/>
  <c r="J29" i="26"/>
  <c r="L28" i="26"/>
  <c r="K28" i="26"/>
  <c r="J28" i="26"/>
  <c r="L27" i="26"/>
  <c r="K27" i="26"/>
  <c r="J27" i="26"/>
  <c r="L26" i="26"/>
  <c r="K26" i="26"/>
  <c r="J26" i="26"/>
  <c r="L25" i="26"/>
  <c r="K25" i="26"/>
  <c r="J25" i="26"/>
  <c r="L24" i="26"/>
  <c r="K24" i="26"/>
  <c r="J24" i="26"/>
  <c r="L23" i="26"/>
  <c r="K23" i="26"/>
  <c r="J23" i="26"/>
  <c r="L22" i="26"/>
  <c r="K22" i="26"/>
  <c r="J22" i="26"/>
  <c r="L21" i="26"/>
  <c r="K21" i="26"/>
  <c r="J21" i="26"/>
  <c r="L20" i="26"/>
  <c r="K20" i="26"/>
  <c r="J20" i="26"/>
  <c r="L19" i="26"/>
  <c r="K19" i="26"/>
  <c r="J19" i="26"/>
  <c r="L18" i="26"/>
  <c r="K18" i="26"/>
  <c r="J18" i="26"/>
  <c r="L17" i="26"/>
  <c r="K17" i="26"/>
  <c r="J17" i="26"/>
  <c r="L16" i="26"/>
  <c r="K16" i="26"/>
  <c r="J16" i="26"/>
  <c r="L15" i="26"/>
  <c r="K15" i="26"/>
  <c r="J15" i="26"/>
  <c r="L14" i="26"/>
  <c r="K14" i="26"/>
  <c r="J14" i="26"/>
  <c r="L13" i="26"/>
  <c r="K13" i="26"/>
  <c r="J13" i="26"/>
  <c r="L12" i="26"/>
  <c r="K12" i="26"/>
  <c r="J12" i="26"/>
  <c r="L11" i="26"/>
  <c r="K11" i="26"/>
  <c r="J11" i="26"/>
  <c r="L10" i="26"/>
  <c r="K10" i="26"/>
  <c r="J10" i="26"/>
  <c r="L65" i="28"/>
  <c r="K65" i="28"/>
  <c r="J65" i="28"/>
  <c r="L64" i="28"/>
  <c r="K64" i="28"/>
  <c r="J64" i="28"/>
  <c r="L63" i="28"/>
  <c r="K63" i="28"/>
  <c r="J63" i="28"/>
  <c r="L62" i="28"/>
  <c r="K62" i="28"/>
  <c r="J62" i="28"/>
  <c r="L61" i="28"/>
  <c r="K61" i="28"/>
  <c r="J61" i="28"/>
  <c r="L60" i="28"/>
  <c r="K60" i="28"/>
  <c r="J60" i="28"/>
  <c r="L59" i="28"/>
  <c r="K59" i="28"/>
  <c r="J59" i="28"/>
  <c r="L58" i="28"/>
  <c r="K58" i="28"/>
  <c r="J58" i="28"/>
  <c r="L57" i="28"/>
  <c r="K57" i="28"/>
  <c r="J57" i="28"/>
  <c r="L56" i="28"/>
  <c r="K56" i="28"/>
  <c r="J56" i="28"/>
  <c r="L55" i="28"/>
  <c r="K55" i="28"/>
  <c r="J55" i="28"/>
  <c r="L54" i="28"/>
  <c r="K54" i="28"/>
  <c r="J54" i="28"/>
  <c r="L53" i="28"/>
  <c r="K53" i="28"/>
  <c r="J53" i="28"/>
  <c r="L52" i="28"/>
  <c r="K52" i="28"/>
  <c r="J52" i="28"/>
  <c r="L51" i="28"/>
  <c r="K51" i="28"/>
  <c r="J51" i="28"/>
  <c r="L50" i="28"/>
  <c r="K50" i="28"/>
  <c r="J50" i="28"/>
  <c r="L49" i="28"/>
  <c r="K49" i="28"/>
  <c r="J49" i="28"/>
  <c r="L48" i="28"/>
  <c r="K48" i="28"/>
  <c r="J48" i="28"/>
  <c r="L47" i="28"/>
  <c r="K47" i="28"/>
  <c r="J47" i="28"/>
  <c r="L46" i="28"/>
  <c r="K46" i="28"/>
  <c r="J46" i="28"/>
  <c r="L45" i="28"/>
  <c r="K45" i="28"/>
  <c r="J45" i="28"/>
  <c r="L44" i="28"/>
  <c r="K44" i="28"/>
  <c r="J44" i="28"/>
  <c r="L43" i="28"/>
  <c r="K43" i="28"/>
  <c r="J43" i="28"/>
  <c r="L42" i="28"/>
  <c r="K42" i="28"/>
  <c r="J42" i="28"/>
  <c r="L41" i="28"/>
  <c r="K41" i="28"/>
  <c r="J41" i="28"/>
  <c r="L40" i="28"/>
  <c r="K40" i="28"/>
  <c r="J40" i="28"/>
  <c r="L39" i="28"/>
  <c r="K39" i="28"/>
  <c r="J39" i="28"/>
  <c r="L38" i="28"/>
  <c r="K38" i="28"/>
  <c r="J38" i="28"/>
  <c r="L37" i="28"/>
  <c r="K37" i="28"/>
  <c r="J37" i="28"/>
  <c r="L36" i="28"/>
  <c r="K36" i="28"/>
  <c r="J36" i="28"/>
  <c r="L35" i="28"/>
  <c r="K35" i="28"/>
  <c r="J35" i="28"/>
  <c r="L34" i="28"/>
  <c r="K34" i="28"/>
  <c r="J34" i="28"/>
  <c r="L33" i="28"/>
  <c r="K33" i="28"/>
  <c r="J33" i="28"/>
  <c r="L32" i="28"/>
  <c r="K32" i="28"/>
  <c r="J32" i="28"/>
  <c r="L31" i="28"/>
  <c r="K31" i="28"/>
  <c r="J31" i="28"/>
  <c r="L30" i="28"/>
  <c r="K30" i="28"/>
  <c r="J30" i="28"/>
  <c r="L29" i="28"/>
  <c r="K29" i="28"/>
  <c r="J29" i="28"/>
  <c r="L28" i="28"/>
  <c r="K28" i="28"/>
  <c r="J28" i="28"/>
  <c r="L27" i="28"/>
  <c r="K27" i="28"/>
  <c r="J27" i="28"/>
  <c r="L26" i="28"/>
  <c r="K26" i="28"/>
  <c r="J26" i="28"/>
  <c r="L25" i="28"/>
  <c r="K25" i="28"/>
  <c r="J25" i="28"/>
  <c r="L24" i="28"/>
  <c r="K24" i="28"/>
  <c r="J24" i="28"/>
  <c r="L23" i="28"/>
  <c r="K23" i="28"/>
  <c r="J23" i="28"/>
  <c r="L22" i="28"/>
  <c r="K22" i="28"/>
  <c r="J22" i="28"/>
  <c r="L21" i="28"/>
  <c r="K21" i="28"/>
  <c r="L20" i="28"/>
  <c r="K20" i="28"/>
  <c r="J20" i="28"/>
  <c r="L19" i="28"/>
  <c r="K19" i="28"/>
  <c r="J19" i="28"/>
  <c r="L18" i="28"/>
  <c r="K18" i="28"/>
  <c r="J18" i="28"/>
  <c r="L17" i="28"/>
  <c r="K17" i="28"/>
  <c r="J17" i="28"/>
  <c r="L16" i="28"/>
  <c r="K16" i="28"/>
  <c r="J16" i="28"/>
  <c r="L15" i="28"/>
  <c r="K15" i="28"/>
  <c r="J15" i="28"/>
  <c r="L14" i="28"/>
  <c r="K14" i="28"/>
  <c r="J14" i="28"/>
  <c r="L13" i="28"/>
  <c r="K13" i="28"/>
  <c r="J13" i="28"/>
  <c r="L12" i="28"/>
  <c r="K12" i="28"/>
  <c r="J12" i="28"/>
  <c r="L11" i="28"/>
  <c r="K11" i="28"/>
  <c r="J11" i="28"/>
  <c r="L10" i="28"/>
  <c r="K10" i="28"/>
  <c r="J10" i="28"/>
  <c r="L65" i="29"/>
  <c r="K65" i="29"/>
  <c r="J65" i="29"/>
  <c r="L64" i="29"/>
  <c r="K64" i="29"/>
  <c r="J64" i="29"/>
  <c r="L63" i="29"/>
  <c r="K63" i="29"/>
  <c r="J63" i="29"/>
  <c r="L62" i="29"/>
  <c r="K62" i="29"/>
  <c r="J62" i="29"/>
  <c r="L61" i="29"/>
  <c r="K61" i="29"/>
  <c r="J61" i="29"/>
  <c r="L60" i="29"/>
  <c r="K60" i="29"/>
  <c r="J60" i="29"/>
  <c r="L59" i="29"/>
  <c r="K59" i="29"/>
  <c r="J59" i="29"/>
  <c r="L58" i="29"/>
  <c r="K58" i="29"/>
  <c r="J58" i="29"/>
  <c r="L57" i="29"/>
  <c r="K57" i="29"/>
  <c r="J57" i="29"/>
  <c r="L56" i="29"/>
  <c r="K56" i="29"/>
  <c r="J56" i="29"/>
  <c r="L55" i="29"/>
  <c r="K55" i="29"/>
  <c r="J55" i="29"/>
  <c r="L54" i="29"/>
  <c r="K54" i="29"/>
  <c r="J54" i="29"/>
  <c r="L53" i="29"/>
  <c r="K53" i="29"/>
  <c r="J53" i="29"/>
  <c r="L52" i="29"/>
  <c r="K52" i="29"/>
  <c r="J52" i="29"/>
  <c r="L51" i="29"/>
  <c r="K51" i="29"/>
  <c r="J51" i="29"/>
  <c r="L50" i="29"/>
  <c r="K50" i="29"/>
  <c r="J50" i="29"/>
  <c r="L49" i="29"/>
  <c r="K49" i="29"/>
  <c r="J49" i="29"/>
  <c r="L48" i="29"/>
  <c r="K48" i="29"/>
  <c r="J48" i="29"/>
  <c r="L47" i="29"/>
  <c r="K47" i="29"/>
  <c r="J47" i="29"/>
  <c r="L46" i="29"/>
  <c r="K46" i="29"/>
  <c r="J46" i="29"/>
  <c r="L45" i="29"/>
  <c r="K45" i="29"/>
  <c r="J45" i="29"/>
  <c r="L44" i="29"/>
  <c r="K44" i="29"/>
  <c r="J44" i="29"/>
  <c r="L43" i="29"/>
  <c r="K43" i="29"/>
  <c r="J43" i="29"/>
  <c r="L42" i="29"/>
  <c r="K42" i="29"/>
  <c r="J42" i="29"/>
  <c r="L41" i="29"/>
  <c r="K41" i="29"/>
  <c r="J41" i="29"/>
  <c r="L40" i="29"/>
  <c r="K40" i="29"/>
  <c r="J40" i="29"/>
  <c r="L39" i="29"/>
  <c r="K39" i="29"/>
  <c r="J39" i="29"/>
  <c r="L38" i="29"/>
  <c r="K38" i="29"/>
  <c r="J38" i="29"/>
  <c r="L37" i="29"/>
  <c r="K37" i="29"/>
  <c r="J37" i="29"/>
  <c r="L36" i="29"/>
  <c r="K36" i="29"/>
  <c r="J36" i="29"/>
  <c r="L35" i="29"/>
  <c r="K35" i="29"/>
  <c r="J35" i="29"/>
  <c r="L34" i="29"/>
  <c r="K34" i="29"/>
  <c r="J34" i="29"/>
  <c r="L33" i="29"/>
  <c r="K33" i="29"/>
  <c r="J33" i="29"/>
  <c r="L32" i="29"/>
  <c r="K32" i="29"/>
  <c r="J32" i="29"/>
  <c r="L31" i="29"/>
  <c r="K31" i="29"/>
  <c r="J31" i="29"/>
  <c r="L30" i="29"/>
  <c r="K30" i="29"/>
  <c r="J30" i="29"/>
  <c r="L29" i="29"/>
  <c r="K29" i="29"/>
  <c r="J29" i="29"/>
  <c r="L28" i="29"/>
  <c r="K28" i="29"/>
  <c r="J28" i="29"/>
  <c r="L27" i="29"/>
  <c r="K27" i="29"/>
  <c r="J27" i="29"/>
  <c r="L26" i="29"/>
  <c r="K26" i="29"/>
  <c r="J26" i="29"/>
  <c r="L25" i="29"/>
  <c r="K25" i="29"/>
  <c r="J25" i="29"/>
  <c r="L24" i="29"/>
  <c r="K24" i="29"/>
  <c r="J24" i="29"/>
  <c r="L23" i="29"/>
  <c r="K23" i="29"/>
  <c r="J23" i="29"/>
  <c r="L22" i="29"/>
  <c r="K22" i="29"/>
  <c r="J22" i="29"/>
  <c r="L21" i="29"/>
  <c r="K21" i="29"/>
  <c r="J21" i="29"/>
  <c r="L20" i="29"/>
  <c r="K20" i="29"/>
  <c r="J20" i="29"/>
  <c r="L19" i="29"/>
  <c r="K19" i="29"/>
  <c r="J19" i="29"/>
  <c r="L18" i="29"/>
  <c r="K18" i="29"/>
  <c r="J18" i="29"/>
  <c r="L17" i="29"/>
  <c r="K17" i="29"/>
  <c r="J17" i="29"/>
  <c r="L16" i="29"/>
  <c r="K16" i="29"/>
  <c r="J16" i="29"/>
  <c r="L15" i="29"/>
  <c r="K15" i="29"/>
  <c r="J15" i="29"/>
  <c r="L14" i="29"/>
  <c r="K14" i="29"/>
  <c r="J14" i="29"/>
  <c r="L13" i="29"/>
  <c r="K13" i="29"/>
  <c r="J13" i="29"/>
  <c r="L12" i="29"/>
  <c r="K12" i="29"/>
  <c r="J12" i="29"/>
  <c r="L11" i="29"/>
  <c r="K11" i="29"/>
  <c r="J11" i="29"/>
  <c r="L10" i="29"/>
  <c r="K10" i="29"/>
  <c r="J10" i="29"/>
  <c r="L65" i="30"/>
  <c r="K65" i="30"/>
  <c r="J65" i="30"/>
  <c r="L64" i="30"/>
  <c r="K64" i="30"/>
  <c r="J64" i="30"/>
  <c r="L63" i="30"/>
  <c r="K63" i="30"/>
  <c r="J63" i="30"/>
  <c r="L62" i="30"/>
  <c r="K62" i="30"/>
  <c r="J62" i="30"/>
  <c r="L61" i="30"/>
  <c r="K61" i="30"/>
  <c r="J61" i="30"/>
  <c r="L60" i="30"/>
  <c r="K60" i="30"/>
  <c r="J60" i="30"/>
  <c r="L59" i="30"/>
  <c r="K59" i="30"/>
  <c r="J59" i="30"/>
  <c r="L58" i="30"/>
  <c r="K58" i="30"/>
  <c r="J58" i="30"/>
  <c r="L57" i="30"/>
  <c r="K57" i="30"/>
  <c r="J57" i="30"/>
  <c r="L56" i="30"/>
  <c r="K56" i="30"/>
  <c r="J56" i="30"/>
  <c r="L55" i="30"/>
  <c r="K55" i="30"/>
  <c r="J55" i="30"/>
  <c r="L54" i="30"/>
  <c r="K54" i="30"/>
  <c r="J54" i="30"/>
  <c r="L53" i="30"/>
  <c r="K53" i="30"/>
  <c r="J53" i="30"/>
  <c r="L52" i="30"/>
  <c r="K52" i="30"/>
  <c r="J52" i="30"/>
  <c r="L51" i="30"/>
  <c r="K51" i="30"/>
  <c r="J51" i="30"/>
  <c r="L50" i="30"/>
  <c r="K50" i="30"/>
  <c r="J50" i="30"/>
  <c r="L49" i="30"/>
  <c r="K49" i="30"/>
  <c r="J49" i="30"/>
  <c r="L48" i="30"/>
  <c r="K48" i="30"/>
  <c r="J48" i="30"/>
  <c r="L47" i="30"/>
  <c r="K47" i="30"/>
  <c r="J47" i="30"/>
  <c r="L46" i="30"/>
  <c r="K46" i="30"/>
  <c r="J46" i="30"/>
  <c r="L45" i="30"/>
  <c r="K45" i="30"/>
  <c r="J45" i="30"/>
  <c r="L44" i="30"/>
  <c r="K44" i="30"/>
  <c r="J44" i="30"/>
  <c r="L43" i="30"/>
  <c r="K43" i="30"/>
  <c r="J43" i="30"/>
  <c r="L42" i="30"/>
  <c r="K42" i="30"/>
  <c r="J42" i="30"/>
  <c r="L41" i="30"/>
  <c r="K41" i="30"/>
  <c r="J41" i="30"/>
  <c r="L40" i="30"/>
  <c r="K40" i="30"/>
  <c r="J40" i="30"/>
  <c r="L39" i="30"/>
  <c r="K39" i="30"/>
  <c r="J39" i="30"/>
  <c r="L38" i="30"/>
  <c r="K38" i="30"/>
  <c r="J38" i="30"/>
  <c r="L37" i="30"/>
  <c r="K37" i="30"/>
  <c r="J37" i="30"/>
  <c r="L36" i="30"/>
  <c r="K36" i="30"/>
  <c r="J36" i="30"/>
  <c r="L35" i="30"/>
  <c r="K35" i="30"/>
  <c r="J35" i="30"/>
  <c r="L34" i="30"/>
  <c r="K34" i="30"/>
  <c r="J34" i="30"/>
  <c r="L33" i="30"/>
  <c r="K33" i="30"/>
  <c r="J33" i="30"/>
  <c r="L32" i="30"/>
  <c r="K32" i="30"/>
  <c r="J32" i="30"/>
  <c r="L31" i="30"/>
  <c r="K31" i="30"/>
  <c r="J31" i="30"/>
  <c r="L30" i="30"/>
  <c r="K30" i="30"/>
  <c r="J30" i="30"/>
  <c r="L29" i="30"/>
  <c r="K29" i="30"/>
  <c r="J29" i="30"/>
  <c r="L28" i="30"/>
  <c r="K28" i="30"/>
  <c r="J28" i="30"/>
  <c r="L27" i="30"/>
  <c r="K27" i="30"/>
  <c r="J27" i="30"/>
  <c r="L26" i="30"/>
  <c r="K26" i="30"/>
  <c r="J26" i="30"/>
  <c r="L25" i="30"/>
  <c r="K25" i="30"/>
  <c r="J25" i="30"/>
  <c r="L24" i="30"/>
  <c r="K24" i="30"/>
  <c r="J24" i="30"/>
  <c r="L23" i="30"/>
  <c r="K23" i="30"/>
  <c r="J23" i="30"/>
  <c r="L22" i="30"/>
  <c r="K22" i="30"/>
  <c r="J22" i="30"/>
  <c r="L21" i="30"/>
  <c r="K21" i="30"/>
  <c r="J21" i="30"/>
  <c r="L20" i="30"/>
  <c r="K20" i="30"/>
  <c r="J20" i="30"/>
  <c r="L19" i="30"/>
  <c r="K19" i="30"/>
  <c r="J19" i="30"/>
  <c r="L18" i="30"/>
  <c r="K18" i="30"/>
  <c r="J18" i="30"/>
  <c r="L17" i="30"/>
  <c r="K17" i="30"/>
  <c r="J17" i="30"/>
  <c r="L16" i="30"/>
  <c r="K16" i="30"/>
  <c r="J16" i="30"/>
  <c r="L15" i="30"/>
  <c r="K15" i="30"/>
  <c r="J15" i="30"/>
  <c r="L14" i="30"/>
  <c r="K14" i="30"/>
  <c r="J14" i="30"/>
  <c r="L13" i="30"/>
  <c r="K13" i="30"/>
  <c r="J13" i="30"/>
  <c r="L12" i="30"/>
  <c r="K12" i="30"/>
  <c r="J12" i="30"/>
  <c r="L11" i="30"/>
  <c r="K11" i="30"/>
  <c r="J11" i="30"/>
  <c r="L10" i="30"/>
  <c r="K10" i="30"/>
  <c r="J10" i="30"/>
  <c r="L66" i="27"/>
  <c r="K66" i="27"/>
  <c r="J66" i="27"/>
  <c r="L65" i="27"/>
  <c r="K65" i="27"/>
  <c r="J65" i="27"/>
  <c r="L64" i="27"/>
  <c r="K64" i="27"/>
  <c r="J64" i="27"/>
  <c r="L63" i="27"/>
  <c r="K63" i="27"/>
  <c r="J63" i="27"/>
  <c r="L62" i="27"/>
  <c r="K62" i="27"/>
  <c r="J62" i="27"/>
  <c r="L61" i="27"/>
  <c r="K61" i="27"/>
  <c r="J61" i="27"/>
  <c r="L60" i="27"/>
  <c r="K60" i="27"/>
  <c r="J60" i="27"/>
  <c r="L59" i="27"/>
  <c r="K59" i="27"/>
  <c r="J59" i="27"/>
  <c r="L58" i="27"/>
  <c r="K58" i="27"/>
  <c r="J58" i="27"/>
  <c r="L57" i="27"/>
  <c r="K57" i="27"/>
  <c r="J57" i="27"/>
  <c r="L56" i="27"/>
  <c r="K56" i="27"/>
  <c r="J56" i="27"/>
  <c r="L55" i="27"/>
  <c r="K55" i="27"/>
  <c r="J55" i="27"/>
  <c r="L54" i="27"/>
  <c r="K54" i="27"/>
  <c r="J54" i="27"/>
  <c r="L53" i="27"/>
  <c r="K53" i="27"/>
  <c r="J53" i="27"/>
  <c r="L52" i="27"/>
  <c r="K52" i="27"/>
  <c r="J52" i="27"/>
  <c r="L51" i="27"/>
  <c r="K51" i="27"/>
  <c r="J51" i="27"/>
  <c r="L50" i="27"/>
  <c r="K50" i="27"/>
  <c r="J50" i="27"/>
  <c r="L49" i="27"/>
  <c r="K49" i="27"/>
  <c r="J49" i="27"/>
  <c r="L48" i="27"/>
  <c r="K48" i="27"/>
  <c r="J48" i="27"/>
  <c r="L47" i="27"/>
  <c r="K47" i="27"/>
  <c r="J47" i="27"/>
  <c r="L46" i="27"/>
  <c r="K46" i="27"/>
  <c r="J46" i="27"/>
  <c r="L45" i="27"/>
  <c r="K45" i="27"/>
  <c r="J45" i="27"/>
  <c r="L44" i="27"/>
  <c r="K44" i="27"/>
  <c r="J44" i="27"/>
  <c r="L43" i="27"/>
  <c r="K43" i="27"/>
  <c r="J43" i="27"/>
  <c r="L42" i="27"/>
  <c r="K42" i="27"/>
  <c r="J42" i="27"/>
  <c r="L41" i="27"/>
  <c r="K41" i="27"/>
  <c r="J41" i="27"/>
  <c r="L40" i="27"/>
  <c r="K40" i="27"/>
  <c r="J40" i="27"/>
  <c r="L39" i="27"/>
  <c r="K39" i="27"/>
  <c r="J39" i="27"/>
  <c r="L38" i="27"/>
  <c r="K38" i="27"/>
  <c r="J38" i="27"/>
  <c r="L37" i="27"/>
  <c r="K37" i="27"/>
  <c r="J37" i="27"/>
  <c r="L36" i="27"/>
  <c r="K36" i="27"/>
  <c r="J36" i="27"/>
  <c r="L35" i="27"/>
  <c r="K35" i="27"/>
  <c r="J35" i="27"/>
  <c r="L34" i="27"/>
  <c r="K34" i="27"/>
  <c r="J34" i="27"/>
  <c r="L33" i="27"/>
  <c r="K33" i="27"/>
  <c r="J33" i="27"/>
  <c r="L32" i="27"/>
  <c r="K32" i="27"/>
  <c r="J32" i="27"/>
  <c r="L31" i="27"/>
  <c r="K31" i="27"/>
  <c r="J31" i="27"/>
  <c r="L30" i="27"/>
  <c r="K30" i="27"/>
  <c r="J30" i="27"/>
  <c r="L29" i="27"/>
  <c r="K29" i="27"/>
  <c r="J29" i="27"/>
  <c r="L28" i="27"/>
  <c r="K28" i="27"/>
  <c r="J28" i="27"/>
  <c r="L27" i="27"/>
  <c r="K27" i="27"/>
  <c r="J27" i="27"/>
  <c r="L26" i="27"/>
  <c r="K26" i="27"/>
  <c r="J26" i="27"/>
  <c r="L25" i="27"/>
  <c r="K25" i="27"/>
  <c r="J25" i="27"/>
  <c r="L24" i="27"/>
  <c r="K24" i="27"/>
  <c r="J24" i="27"/>
  <c r="L23" i="27"/>
  <c r="K23" i="27"/>
  <c r="J23" i="27"/>
  <c r="L22" i="27"/>
  <c r="K22" i="27"/>
  <c r="J22" i="27"/>
  <c r="L21" i="27"/>
  <c r="K21" i="27"/>
  <c r="J21" i="27"/>
  <c r="L20" i="27"/>
  <c r="K20" i="27"/>
  <c r="J20" i="27"/>
  <c r="L19" i="27"/>
  <c r="K19" i="27"/>
  <c r="J19" i="27"/>
  <c r="L18" i="27"/>
  <c r="K18" i="27"/>
  <c r="J18" i="27"/>
  <c r="L17" i="27"/>
  <c r="K17" i="27"/>
  <c r="J17" i="27"/>
  <c r="L16" i="27"/>
  <c r="K16" i="27"/>
  <c r="J16" i="27"/>
  <c r="L15" i="27"/>
  <c r="K15" i="27"/>
  <c r="J15" i="27"/>
  <c r="L14" i="27"/>
  <c r="K14" i="27"/>
  <c r="J14" i="27"/>
  <c r="L13" i="27"/>
  <c r="K13" i="27"/>
  <c r="J13" i="27"/>
  <c r="L12" i="27"/>
  <c r="K12" i="27"/>
  <c r="J12" i="27"/>
  <c r="L11" i="27"/>
  <c r="K11" i="27"/>
  <c r="J11" i="27"/>
  <c r="L10" i="27"/>
  <c r="K10" i="27"/>
  <c r="J10" i="27"/>
  <c r="L66" i="31"/>
  <c r="K66" i="31"/>
  <c r="J66" i="31"/>
  <c r="L65" i="31"/>
  <c r="K65" i="31"/>
  <c r="J65" i="31"/>
  <c r="L64" i="31"/>
  <c r="K64" i="31"/>
  <c r="J64" i="31"/>
  <c r="L63" i="31"/>
  <c r="K63" i="31"/>
  <c r="J63" i="31"/>
  <c r="L62" i="31"/>
  <c r="K62" i="31"/>
  <c r="J62" i="31"/>
  <c r="L61" i="31"/>
  <c r="K61" i="31"/>
  <c r="J61" i="31"/>
  <c r="L60" i="31"/>
  <c r="K60" i="31"/>
  <c r="J60" i="31"/>
  <c r="L59" i="31"/>
  <c r="K59" i="31"/>
  <c r="J59" i="31"/>
  <c r="L58" i="31"/>
  <c r="K58" i="31"/>
  <c r="J58" i="31"/>
  <c r="L57" i="31"/>
  <c r="K57" i="31"/>
  <c r="J57" i="31"/>
  <c r="L56" i="31"/>
  <c r="K56" i="31"/>
  <c r="J56" i="31"/>
  <c r="L55" i="31"/>
  <c r="K55" i="31"/>
  <c r="J55" i="31"/>
  <c r="L54" i="31"/>
  <c r="K54" i="31"/>
  <c r="J54" i="31"/>
  <c r="L53" i="31"/>
  <c r="K53" i="31"/>
  <c r="J53" i="31"/>
  <c r="L52" i="31"/>
  <c r="K52" i="31"/>
  <c r="J52" i="31"/>
  <c r="L51" i="31"/>
  <c r="K51" i="31"/>
  <c r="J51" i="31"/>
  <c r="L50" i="31"/>
  <c r="K50" i="31"/>
  <c r="J50" i="31"/>
  <c r="L49" i="31"/>
  <c r="K49" i="31"/>
  <c r="J49" i="31"/>
  <c r="L48" i="31"/>
  <c r="K48" i="31"/>
  <c r="J48" i="31"/>
  <c r="L47" i="31"/>
  <c r="K47" i="31"/>
  <c r="J47" i="31"/>
  <c r="L46" i="31"/>
  <c r="K46" i="31"/>
  <c r="J46" i="31"/>
  <c r="L45" i="31"/>
  <c r="K45" i="31"/>
  <c r="J45" i="31"/>
  <c r="L44" i="31"/>
  <c r="K44" i="31"/>
  <c r="J44" i="31"/>
  <c r="L43" i="31"/>
  <c r="K43" i="31"/>
  <c r="J43" i="31"/>
  <c r="L42" i="31"/>
  <c r="K42" i="31"/>
  <c r="J42" i="31"/>
  <c r="L41" i="31"/>
  <c r="K41" i="31"/>
  <c r="J41" i="31"/>
  <c r="L40" i="31"/>
  <c r="K40" i="31"/>
  <c r="J40" i="31"/>
  <c r="L39" i="31"/>
  <c r="K39" i="31"/>
  <c r="J39" i="31"/>
  <c r="L38" i="31"/>
  <c r="K38" i="31"/>
  <c r="J38" i="31"/>
  <c r="L37" i="31"/>
  <c r="K37" i="31"/>
  <c r="J37" i="31"/>
  <c r="L36" i="31"/>
  <c r="K36" i="31"/>
  <c r="J36" i="31"/>
  <c r="L35" i="31"/>
  <c r="K35" i="31"/>
  <c r="J35" i="31"/>
  <c r="L34" i="31"/>
  <c r="K34" i="31"/>
  <c r="J34" i="31"/>
  <c r="L33" i="31"/>
  <c r="K33" i="31"/>
  <c r="J33" i="31"/>
  <c r="L32" i="31"/>
  <c r="K32" i="31"/>
  <c r="J32" i="31"/>
  <c r="L31" i="31"/>
  <c r="K31" i="31"/>
  <c r="J31" i="31"/>
  <c r="L30" i="31"/>
  <c r="K30" i="31"/>
  <c r="J30" i="31"/>
  <c r="L29" i="31"/>
  <c r="K29" i="31"/>
  <c r="J29" i="31"/>
  <c r="L28" i="31"/>
  <c r="K28" i="31"/>
  <c r="J28" i="31"/>
  <c r="L27" i="31"/>
  <c r="K27" i="31"/>
  <c r="J27" i="31"/>
  <c r="L26" i="31"/>
  <c r="K26" i="31"/>
  <c r="J26" i="31"/>
  <c r="L25" i="31"/>
  <c r="K25" i="31"/>
  <c r="J25" i="31"/>
  <c r="L24" i="31"/>
  <c r="K24" i="31"/>
  <c r="J24" i="31"/>
  <c r="L23" i="31"/>
  <c r="K23" i="31"/>
  <c r="J23" i="31"/>
  <c r="L22" i="31"/>
  <c r="K22" i="31"/>
  <c r="J22" i="31"/>
  <c r="L21" i="31"/>
  <c r="K21" i="31"/>
  <c r="J21" i="31"/>
  <c r="L20" i="31"/>
  <c r="K20" i="31"/>
  <c r="J20" i="31"/>
  <c r="L19" i="31"/>
  <c r="K19" i="31"/>
  <c r="J19" i="31"/>
  <c r="L18" i="31"/>
  <c r="K18" i="31"/>
  <c r="J18" i="31"/>
  <c r="L17" i="31"/>
  <c r="K17" i="31"/>
  <c r="J17" i="31"/>
  <c r="L16" i="31"/>
  <c r="K16" i="31"/>
  <c r="J16" i="31"/>
  <c r="L15" i="31"/>
  <c r="K15" i="31"/>
  <c r="J15" i="31"/>
  <c r="L14" i="31"/>
  <c r="K14" i="31"/>
  <c r="J14" i="31"/>
  <c r="L13" i="31"/>
  <c r="K13" i="31"/>
  <c r="J13" i="31"/>
  <c r="L12" i="31"/>
  <c r="K12" i="31"/>
  <c r="J12" i="31"/>
  <c r="L11" i="31"/>
  <c r="K11" i="31"/>
  <c r="J11" i="31"/>
  <c r="L10" i="31"/>
  <c r="K10" i="31"/>
  <c r="J10" i="31"/>
  <c r="L66" i="24"/>
  <c r="K66" i="24"/>
  <c r="J66" i="24"/>
  <c r="L65" i="24"/>
  <c r="K65" i="24"/>
  <c r="J65" i="24"/>
  <c r="L64" i="24"/>
  <c r="K64" i="24"/>
  <c r="J64" i="24"/>
  <c r="L63" i="24"/>
  <c r="K63" i="24"/>
  <c r="J63" i="24"/>
  <c r="L62" i="24"/>
  <c r="K62" i="24"/>
  <c r="J62" i="24"/>
  <c r="L61" i="24"/>
  <c r="K61" i="24"/>
  <c r="J61" i="24"/>
  <c r="L60" i="24"/>
  <c r="K60" i="24"/>
  <c r="J60" i="24"/>
  <c r="L59" i="24"/>
  <c r="K59" i="24"/>
  <c r="J59" i="24"/>
  <c r="L58" i="24"/>
  <c r="K58" i="24"/>
  <c r="J58" i="24"/>
  <c r="L57" i="24"/>
  <c r="K57" i="24"/>
  <c r="J57" i="24"/>
  <c r="L56" i="24"/>
  <c r="K56" i="24"/>
  <c r="J56" i="24"/>
  <c r="L55" i="24"/>
  <c r="K55" i="24"/>
  <c r="J55" i="24"/>
  <c r="L54" i="24"/>
  <c r="K54" i="24"/>
  <c r="J54" i="24"/>
  <c r="L53" i="24"/>
  <c r="K53" i="24"/>
  <c r="J53" i="24"/>
  <c r="L52" i="24"/>
  <c r="K52" i="24"/>
  <c r="J52" i="24"/>
  <c r="L51" i="24"/>
  <c r="K51" i="24"/>
  <c r="J51" i="24"/>
  <c r="L50" i="24"/>
  <c r="K50" i="24"/>
  <c r="J50" i="24"/>
  <c r="L49" i="24"/>
  <c r="K49" i="24"/>
  <c r="J49" i="24"/>
  <c r="L48" i="24"/>
  <c r="K48" i="24"/>
  <c r="J48" i="24"/>
  <c r="L47" i="24"/>
  <c r="K47" i="24"/>
  <c r="J47" i="24"/>
  <c r="L46" i="24"/>
  <c r="K46" i="24"/>
  <c r="J46" i="24"/>
  <c r="L45" i="24"/>
  <c r="K45" i="24"/>
  <c r="J45" i="24"/>
  <c r="L44" i="24"/>
  <c r="K44" i="24"/>
  <c r="J44" i="24"/>
  <c r="L43" i="24"/>
  <c r="K43" i="24"/>
  <c r="J43" i="24"/>
  <c r="L42" i="24"/>
  <c r="K42" i="24"/>
  <c r="J42" i="24"/>
  <c r="L41" i="24"/>
  <c r="K41" i="24"/>
  <c r="J41" i="24"/>
  <c r="L40" i="24"/>
  <c r="K40" i="24"/>
  <c r="J40" i="24"/>
  <c r="L39" i="24"/>
  <c r="K39" i="24"/>
  <c r="J39" i="24"/>
  <c r="L38" i="24"/>
  <c r="K38" i="24"/>
  <c r="J38" i="24"/>
  <c r="L37" i="24"/>
  <c r="K37" i="24"/>
  <c r="J37" i="24"/>
  <c r="L36" i="24"/>
  <c r="K36" i="24"/>
  <c r="J36" i="24"/>
  <c r="L35" i="24"/>
  <c r="K35" i="24"/>
  <c r="J35" i="24"/>
  <c r="L34" i="24"/>
  <c r="K34" i="24"/>
  <c r="J34" i="24"/>
  <c r="L33" i="24"/>
  <c r="K33" i="24"/>
  <c r="J33" i="24"/>
  <c r="L32" i="24"/>
  <c r="K32" i="24"/>
  <c r="J32" i="24"/>
  <c r="L31" i="24"/>
  <c r="K31" i="24"/>
  <c r="J31" i="24"/>
  <c r="L30" i="24"/>
  <c r="K30" i="24"/>
  <c r="J30" i="24"/>
  <c r="L29" i="24"/>
  <c r="K29" i="24"/>
  <c r="J29" i="24"/>
  <c r="L28" i="24"/>
  <c r="K28" i="24"/>
  <c r="J28" i="24"/>
  <c r="L27" i="24"/>
  <c r="K27" i="24"/>
  <c r="J27" i="24"/>
  <c r="L26" i="24"/>
  <c r="K26" i="24"/>
  <c r="J26" i="24"/>
  <c r="L25" i="24"/>
  <c r="K25" i="24"/>
  <c r="J25" i="24"/>
  <c r="L24" i="24"/>
  <c r="K24" i="24"/>
  <c r="J24" i="24"/>
  <c r="L23" i="24"/>
  <c r="K23" i="24"/>
  <c r="J23" i="24"/>
  <c r="L22" i="24"/>
  <c r="K22" i="24"/>
  <c r="J22" i="24"/>
  <c r="L21" i="24"/>
  <c r="K21" i="24"/>
  <c r="J21" i="24"/>
  <c r="L20" i="24"/>
  <c r="K20" i="24"/>
  <c r="J20" i="24"/>
  <c r="L19" i="24"/>
  <c r="K19" i="24"/>
  <c r="J19" i="24"/>
  <c r="L18" i="24"/>
  <c r="K18" i="24"/>
  <c r="J18" i="24"/>
  <c r="L17" i="24"/>
  <c r="K17" i="24"/>
  <c r="J17" i="24"/>
  <c r="L16" i="24"/>
  <c r="K16" i="24"/>
  <c r="J16" i="24"/>
  <c r="L15" i="24"/>
  <c r="K15" i="24"/>
  <c r="J15" i="24"/>
  <c r="L14" i="24"/>
  <c r="K14" i="24"/>
  <c r="J14" i="24"/>
  <c r="L13" i="24"/>
  <c r="K13" i="24"/>
  <c r="J13" i="24"/>
  <c r="L12" i="24"/>
  <c r="K12" i="24"/>
  <c r="J12" i="24"/>
  <c r="L11" i="24"/>
  <c r="K11" i="24"/>
  <c r="J11" i="24"/>
  <c r="L10" i="24"/>
  <c r="K10" i="24"/>
  <c r="J10" i="24"/>
  <c r="L66" i="25"/>
  <c r="K66" i="25"/>
  <c r="J66" i="25"/>
  <c r="L65" i="25"/>
  <c r="K65" i="25"/>
  <c r="J65" i="25"/>
  <c r="L64" i="25"/>
  <c r="K64" i="25"/>
  <c r="J64" i="25"/>
  <c r="L63" i="25"/>
  <c r="K63" i="25"/>
  <c r="J63" i="25"/>
  <c r="L62" i="25"/>
  <c r="K62" i="25"/>
  <c r="J62" i="25"/>
  <c r="L61" i="25"/>
  <c r="K61" i="25"/>
  <c r="J61" i="25"/>
  <c r="L60" i="25"/>
  <c r="K60" i="25"/>
  <c r="J60" i="25"/>
  <c r="L59" i="25"/>
  <c r="K59" i="25"/>
  <c r="J59" i="25"/>
  <c r="L58" i="25"/>
  <c r="K58" i="25"/>
  <c r="J58" i="25"/>
  <c r="L57" i="25"/>
  <c r="K57" i="25"/>
  <c r="J57" i="25"/>
  <c r="L56" i="25"/>
  <c r="K56" i="25"/>
  <c r="J56" i="25"/>
  <c r="L55" i="25"/>
  <c r="K55" i="25"/>
  <c r="J55" i="25"/>
  <c r="L54" i="25"/>
  <c r="K54" i="25"/>
  <c r="J54" i="25"/>
  <c r="L53" i="25"/>
  <c r="K53" i="25"/>
  <c r="J53" i="25"/>
  <c r="L52" i="25"/>
  <c r="K52" i="25"/>
  <c r="J52" i="25"/>
  <c r="L51" i="25"/>
  <c r="K51" i="25"/>
  <c r="J51" i="25"/>
  <c r="L50" i="25"/>
  <c r="K50" i="25"/>
  <c r="J50" i="25"/>
  <c r="L49" i="25"/>
  <c r="K49" i="25"/>
  <c r="J49" i="25"/>
  <c r="L48" i="25"/>
  <c r="K48" i="25"/>
  <c r="J48" i="25"/>
  <c r="L47" i="25"/>
  <c r="K47" i="25"/>
  <c r="J47" i="25"/>
  <c r="L46" i="25"/>
  <c r="K46" i="25"/>
  <c r="J46" i="25"/>
  <c r="L45" i="25"/>
  <c r="K45" i="25"/>
  <c r="J45" i="25"/>
  <c r="L44" i="25"/>
  <c r="K44" i="25"/>
  <c r="J44" i="25"/>
  <c r="L43" i="25"/>
  <c r="K43" i="25"/>
  <c r="J43" i="25"/>
  <c r="L42" i="25"/>
  <c r="K42" i="25"/>
  <c r="J42" i="25"/>
  <c r="L41" i="25"/>
  <c r="K41" i="25"/>
  <c r="J41" i="25"/>
  <c r="L40" i="25"/>
  <c r="K40" i="25"/>
  <c r="J40" i="25"/>
  <c r="L39" i="25"/>
  <c r="K39" i="25"/>
  <c r="J39" i="25"/>
  <c r="L38" i="25"/>
  <c r="K38" i="25"/>
  <c r="J38" i="25"/>
  <c r="L37" i="25"/>
  <c r="K37" i="25"/>
  <c r="J37" i="25"/>
  <c r="L36" i="25"/>
  <c r="K36" i="25"/>
  <c r="J36" i="25"/>
  <c r="L35" i="25"/>
  <c r="K35" i="25"/>
  <c r="J35" i="25"/>
  <c r="L34" i="25"/>
  <c r="K34" i="25"/>
  <c r="J34" i="25"/>
  <c r="L33" i="25"/>
  <c r="K33" i="25"/>
  <c r="J33" i="25"/>
  <c r="L32" i="25"/>
  <c r="K32" i="25"/>
  <c r="J32" i="25"/>
  <c r="L31" i="25"/>
  <c r="K31" i="25"/>
  <c r="J31" i="25"/>
  <c r="L30" i="25"/>
  <c r="K30" i="25"/>
  <c r="J30" i="25"/>
  <c r="L29" i="25"/>
  <c r="K29" i="25"/>
  <c r="J29" i="25"/>
  <c r="L28" i="25"/>
  <c r="K28" i="25"/>
  <c r="J28" i="25"/>
  <c r="L27" i="25"/>
  <c r="K27" i="25"/>
  <c r="J27" i="25"/>
  <c r="L26" i="25"/>
  <c r="K26" i="25"/>
  <c r="J26" i="25"/>
  <c r="L25" i="25"/>
  <c r="K25" i="25"/>
  <c r="J25" i="25"/>
  <c r="L24" i="25"/>
  <c r="K24" i="25"/>
  <c r="J24" i="25"/>
  <c r="L23" i="25"/>
  <c r="K23" i="25"/>
  <c r="J23" i="25"/>
  <c r="L22" i="25"/>
  <c r="K22" i="25"/>
  <c r="J22" i="25"/>
  <c r="L21" i="25"/>
  <c r="K21" i="25"/>
  <c r="J21" i="25"/>
  <c r="L20" i="25"/>
  <c r="K20" i="25"/>
  <c r="J20" i="25"/>
  <c r="L19" i="25"/>
  <c r="K19" i="25"/>
  <c r="J19" i="25"/>
  <c r="L18" i="25"/>
  <c r="K18" i="25"/>
  <c r="J18" i="25"/>
  <c r="L17" i="25"/>
  <c r="K17" i="25"/>
  <c r="J17" i="25"/>
  <c r="L16" i="25"/>
  <c r="K16" i="25"/>
  <c r="J16" i="25"/>
  <c r="L15" i="25"/>
  <c r="K15" i="25"/>
  <c r="J15" i="25"/>
  <c r="L14" i="25"/>
  <c r="K14" i="25"/>
  <c r="J14" i="25"/>
  <c r="L13" i="25"/>
  <c r="K13" i="25"/>
  <c r="J13" i="25"/>
  <c r="L12" i="25"/>
  <c r="K12" i="25"/>
  <c r="J12" i="25"/>
  <c r="L11" i="25"/>
  <c r="K11" i="25"/>
  <c r="J11" i="25"/>
  <c r="L10" i="25"/>
  <c r="K10" i="25"/>
  <c r="J10" i="25"/>
  <c r="L66" i="8"/>
  <c r="K66" i="8"/>
  <c r="J66" i="8"/>
  <c r="L65" i="8"/>
  <c r="K65" i="8"/>
  <c r="J65" i="8"/>
  <c r="L64" i="8"/>
  <c r="K64" i="8"/>
  <c r="J64" i="8"/>
  <c r="L63" i="8"/>
  <c r="K63" i="8"/>
  <c r="J63" i="8"/>
  <c r="L62" i="8"/>
  <c r="K62" i="8"/>
  <c r="J62" i="8"/>
  <c r="L61" i="8"/>
  <c r="K61" i="8"/>
  <c r="J61" i="8"/>
  <c r="L60" i="8"/>
  <c r="K60" i="8"/>
  <c r="J60" i="8"/>
  <c r="L59" i="8"/>
  <c r="K59" i="8"/>
  <c r="J59" i="8"/>
  <c r="L58" i="8"/>
  <c r="K58" i="8"/>
  <c r="J58" i="8"/>
  <c r="L57" i="8"/>
  <c r="K57" i="8"/>
  <c r="J57" i="8"/>
  <c r="L56" i="8"/>
  <c r="K56" i="8"/>
  <c r="J56" i="8"/>
  <c r="L55" i="8"/>
  <c r="K55" i="8"/>
  <c r="J55" i="8"/>
  <c r="L54" i="8"/>
  <c r="K54" i="8"/>
  <c r="J54" i="8"/>
  <c r="L53" i="8"/>
  <c r="K53" i="8"/>
  <c r="J53" i="8"/>
  <c r="L52" i="8"/>
  <c r="K52" i="8"/>
  <c r="J52" i="8"/>
  <c r="L51" i="8"/>
  <c r="K51" i="8"/>
  <c r="J51" i="8"/>
  <c r="L50" i="8"/>
  <c r="K50" i="8"/>
  <c r="J50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4" i="8"/>
  <c r="K44" i="8"/>
  <c r="J44" i="8"/>
  <c r="L43" i="8"/>
  <c r="K43" i="8"/>
  <c r="J43" i="8"/>
  <c r="L42" i="8"/>
  <c r="K42" i="8"/>
  <c r="J42" i="8"/>
  <c r="L41" i="8"/>
  <c r="K41" i="8"/>
  <c r="J41" i="8"/>
  <c r="L40" i="8"/>
  <c r="K40" i="8"/>
  <c r="J40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2" i="8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20" i="8"/>
  <c r="K20" i="8"/>
  <c r="J20" i="8"/>
  <c r="L19" i="8"/>
  <c r="K19" i="8"/>
  <c r="J19" i="8"/>
  <c r="L18" i="8"/>
  <c r="K18" i="8"/>
  <c r="J18" i="8"/>
  <c r="L17" i="8"/>
  <c r="K17" i="8"/>
  <c r="J17" i="8"/>
  <c r="L16" i="8"/>
  <c r="K16" i="8"/>
  <c r="J16" i="8"/>
  <c r="L15" i="8"/>
  <c r="K15" i="8"/>
  <c r="J15" i="8"/>
  <c r="L14" i="8"/>
  <c r="K14" i="8"/>
  <c r="J14" i="8"/>
  <c r="L13" i="8"/>
  <c r="K13" i="8"/>
  <c r="J13" i="8"/>
  <c r="L12" i="8"/>
  <c r="K12" i="8"/>
  <c r="J12" i="8"/>
  <c r="L11" i="8"/>
  <c r="K11" i="8"/>
  <c r="J11" i="8"/>
  <c r="L10" i="8"/>
  <c r="K10" i="8"/>
  <c r="J10" i="8"/>
  <c r="L66" i="23"/>
  <c r="K66" i="23"/>
  <c r="J66" i="23"/>
  <c r="L65" i="23"/>
  <c r="K65" i="23"/>
  <c r="J65" i="23"/>
  <c r="L64" i="23"/>
  <c r="K64" i="23"/>
  <c r="J64" i="23"/>
  <c r="L63" i="23"/>
  <c r="K63" i="23"/>
  <c r="J63" i="23"/>
  <c r="L62" i="23"/>
  <c r="K62" i="23"/>
  <c r="J62" i="23"/>
  <c r="L61" i="23"/>
  <c r="K61" i="23"/>
  <c r="J61" i="23"/>
  <c r="L60" i="23"/>
  <c r="K60" i="23"/>
  <c r="J60" i="23"/>
  <c r="L59" i="23"/>
  <c r="K59" i="23"/>
  <c r="J59" i="23"/>
  <c r="L58" i="23"/>
  <c r="K58" i="23"/>
  <c r="J58" i="23"/>
  <c r="L57" i="23"/>
  <c r="K57" i="23"/>
  <c r="J57" i="23"/>
  <c r="L56" i="23"/>
  <c r="K56" i="23"/>
  <c r="J56" i="23"/>
  <c r="L55" i="23"/>
  <c r="K55" i="23"/>
  <c r="J55" i="23"/>
  <c r="L54" i="23"/>
  <c r="K54" i="23"/>
  <c r="J54" i="23"/>
  <c r="L53" i="23"/>
  <c r="K53" i="23"/>
  <c r="J53" i="23"/>
  <c r="L52" i="23"/>
  <c r="K52" i="23"/>
  <c r="J52" i="23"/>
  <c r="L51" i="23"/>
  <c r="K51" i="23"/>
  <c r="J51" i="23"/>
  <c r="L50" i="23"/>
  <c r="K50" i="23"/>
  <c r="J50" i="23"/>
  <c r="L49" i="23"/>
  <c r="K49" i="23"/>
  <c r="J49" i="23"/>
  <c r="L48" i="23"/>
  <c r="K48" i="23"/>
  <c r="J48" i="23"/>
  <c r="L47" i="23"/>
  <c r="K47" i="23"/>
  <c r="J47" i="23"/>
  <c r="L46" i="23"/>
  <c r="K46" i="23"/>
  <c r="J46" i="23"/>
  <c r="L45" i="23"/>
  <c r="K45" i="23"/>
  <c r="J45" i="23"/>
  <c r="L44" i="23"/>
  <c r="K44" i="23"/>
  <c r="J44" i="23"/>
  <c r="L43" i="23"/>
  <c r="K43" i="23"/>
  <c r="J43" i="23"/>
  <c r="L42" i="23"/>
  <c r="K42" i="23"/>
  <c r="J42" i="23"/>
  <c r="L41" i="23"/>
  <c r="K41" i="23"/>
  <c r="J41" i="23"/>
  <c r="L40" i="23"/>
  <c r="K40" i="23"/>
  <c r="J40" i="23"/>
  <c r="L39" i="23"/>
  <c r="K39" i="23"/>
  <c r="J39" i="23"/>
  <c r="L38" i="23"/>
  <c r="K38" i="23"/>
  <c r="J38" i="23"/>
  <c r="L37" i="23"/>
  <c r="K37" i="23"/>
  <c r="J37" i="23"/>
  <c r="L36" i="23"/>
  <c r="K36" i="23"/>
  <c r="J36" i="23"/>
  <c r="L35" i="23"/>
  <c r="K35" i="23"/>
  <c r="J35" i="23"/>
  <c r="L34" i="23"/>
  <c r="K34" i="23"/>
  <c r="J34" i="23"/>
  <c r="L33" i="23"/>
  <c r="K33" i="23"/>
  <c r="J33" i="23"/>
  <c r="L32" i="23"/>
  <c r="K32" i="23"/>
  <c r="J32" i="23"/>
  <c r="L31" i="23"/>
  <c r="K31" i="23"/>
  <c r="J31" i="23"/>
  <c r="L30" i="23"/>
  <c r="K30" i="23"/>
  <c r="J30" i="23"/>
  <c r="L29" i="23"/>
  <c r="K29" i="23"/>
  <c r="J29" i="23"/>
  <c r="L28" i="23"/>
  <c r="K28" i="23"/>
  <c r="J28" i="23"/>
  <c r="L27" i="23"/>
  <c r="K27" i="23"/>
  <c r="J27" i="23"/>
  <c r="L26" i="23"/>
  <c r="K26" i="23"/>
  <c r="J26" i="23"/>
  <c r="L25" i="23"/>
  <c r="K25" i="23"/>
  <c r="J25" i="23"/>
  <c r="L24" i="23"/>
  <c r="K24" i="23"/>
  <c r="J24" i="23"/>
  <c r="L23" i="23"/>
  <c r="K23" i="23"/>
  <c r="J23" i="23"/>
  <c r="L22" i="23"/>
  <c r="K22" i="23"/>
  <c r="J22" i="23"/>
  <c r="L21" i="23"/>
  <c r="K21" i="23"/>
  <c r="J21" i="23"/>
  <c r="L20" i="23"/>
  <c r="K20" i="23"/>
  <c r="J20" i="23"/>
  <c r="L19" i="23"/>
  <c r="K19" i="23"/>
  <c r="J19" i="23"/>
  <c r="L18" i="23"/>
  <c r="K18" i="23"/>
  <c r="J18" i="23"/>
  <c r="L17" i="23"/>
  <c r="K17" i="23"/>
  <c r="J17" i="23"/>
  <c r="L16" i="23"/>
  <c r="K16" i="23"/>
  <c r="J16" i="23"/>
  <c r="L15" i="23"/>
  <c r="K15" i="23"/>
  <c r="J15" i="23"/>
  <c r="L14" i="23"/>
  <c r="K14" i="23"/>
  <c r="J14" i="23"/>
  <c r="L13" i="23"/>
  <c r="K13" i="23"/>
  <c r="J13" i="23"/>
  <c r="L12" i="23"/>
  <c r="K12" i="23"/>
  <c r="J12" i="23"/>
  <c r="L11" i="23"/>
  <c r="K11" i="23"/>
  <c r="J11" i="23"/>
  <c r="L10" i="23"/>
  <c r="K10" i="23"/>
  <c r="J10" i="23"/>
  <c r="L66" i="6"/>
  <c r="K66" i="6"/>
  <c r="J66" i="6"/>
  <c r="L65" i="6"/>
  <c r="K65" i="6"/>
  <c r="J65" i="6"/>
  <c r="L64" i="6"/>
  <c r="K64" i="6"/>
  <c r="J64" i="6"/>
  <c r="L63" i="6"/>
  <c r="K63" i="6"/>
  <c r="J63" i="6"/>
  <c r="L62" i="6"/>
  <c r="K62" i="6"/>
  <c r="J62" i="6"/>
  <c r="L61" i="6"/>
  <c r="K61" i="6"/>
  <c r="J61" i="6"/>
  <c r="L60" i="6"/>
  <c r="K60" i="6"/>
  <c r="J60" i="6"/>
  <c r="L59" i="6"/>
  <c r="K59" i="6"/>
  <c r="J59" i="6"/>
  <c r="L58" i="6"/>
  <c r="K58" i="6"/>
  <c r="J58" i="6"/>
  <c r="L57" i="6"/>
  <c r="K57" i="6"/>
  <c r="J57" i="6"/>
  <c r="L56" i="6"/>
  <c r="K56" i="6"/>
  <c r="J56" i="6"/>
  <c r="L55" i="6"/>
  <c r="K55" i="6"/>
  <c r="J55" i="6"/>
  <c r="L54" i="6"/>
  <c r="K54" i="6"/>
  <c r="J54" i="6"/>
  <c r="L53" i="6"/>
  <c r="K53" i="6"/>
  <c r="J53" i="6"/>
  <c r="L52" i="6"/>
  <c r="K52" i="6"/>
  <c r="J52" i="6"/>
  <c r="L51" i="6"/>
  <c r="K51" i="6"/>
  <c r="J51" i="6"/>
  <c r="L50" i="6"/>
  <c r="K50" i="6"/>
  <c r="J50" i="6"/>
  <c r="L49" i="6"/>
  <c r="K49" i="6"/>
  <c r="J49" i="6"/>
  <c r="L48" i="6"/>
  <c r="K48" i="6"/>
  <c r="J48" i="6"/>
  <c r="L47" i="6"/>
  <c r="K47" i="6"/>
  <c r="J47" i="6"/>
  <c r="L46" i="6"/>
  <c r="K46" i="6"/>
  <c r="J46" i="6"/>
  <c r="L45" i="6"/>
  <c r="K45" i="6"/>
  <c r="J45" i="6"/>
  <c r="L44" i="6"/>
  <c r="K44" i="6"/>
  <c r="J44" i="6"/>
  <c r="L43" i="6"/>
  <c r="K43" i="6"/>
  <c r="J43" i="6"/>
  <c r="L42" i="6"/>
  <c r="K42" i="6"/>
  <c r="J42" i="6"/>
  <c r="L41" i="6"/>
  <c r="K41" i="6"/>
  <c r="J41" i="6"/>
  <c r="L40" i="6"/>
  <c r="K40" i="6"/>
  <c r="J40" i="6"/>
  <c r="L39" i="6"/>
  <c r="K39" i="6"/>
  <c r="J39" i="6"/>
  <c r="L38" i="6"/>
  <c r="K38" i="6"/>
  <c r="J38" i="6"/>
  <c r="L37" i="6"/>
  <c r="K37" i="6"/>
  <c r="J37" i="6"/>
  <c r="L36" i="6"/>
  <c r="K36" i="6"/>
  <c r="J36" i="6"/>
  <c r="L35" i="6"/>
  <c r="K35" i="6"/>
  <c r="J35" i="6"/>
  <c r="L34" i="6"/>
  <c r="K34" i="6"/>
  <c r="J34" i="6"/>
  <c r="L33" i="6"/>
  <c r="K33" i="6"/>
  <c r="J33" i="6"/>
  <c r="L32" i="6"/>
  <c r="K32" i="6"/>
  <c r="J32" i="6"/>
  <c r="L31" i="6"/>
  <c r="K31" i="6"/>
  <c r="J31" i="6"/>
  <c r="L30" i="6"/>
  <c r="K30" i="6"/>
  <c r="J30" i="6"/>
  <c r="L29" i="6"/>
  <c r="K29" i="6"/>
  <c r="J29" i="6"/>
  <c r="L28" i="6"/>
  <c r="K28" i="6"/>
  <c r="J28" i="6"/>
  <c r="L27" i="6"/>
  <c r="K27" i="6"/>
  <c r="J27" i="6"/>
  <c r="L26" i="6"/>
  <c r="K26" i="6"/>
  <c r="J26" i="6"/>
  <c r="L25" i="6"/>
  <c r="K25" i="6"/>
  <c r="J25" i="6"/>
  <c r="L24" i="6"/>
  <c r="K24" i="6"/>
  <c r="J24" i="6"/>
  <c r="L23" i="6"/>
  <c r="K23" i="6"/>
  <c r="J23" i="6"/>
  <c r="L22" i="6"/>
  <c r="K22" i="6"/>
  <c r="J22" i="6"/>
  <c r="L21" i="6"/>
  <c r="K21" i="6"/>
  <c r="J21" i="6"/>
  <c r="L20" i="6"/>
  <c r="K20" i="6"/>
  <c r="J20" i="6"/>
  <c r="L19" i="6"/>
  <c r="K19" i="6"/>
  <c r="J19" i="6"/>
  <c r="L18" i="6"/>
  <c r="K18" i="6"/>
  <c r="J18" i="6"/>
  <c r="L17" i="6"/>
  <c r="K17" i="6"/>
  <c r="J17" i="6"/>
  <c r="L16" i="6"/>
  <c r="K16" i="6"/>
  <c r="J16" i="6"/>
  <c r="L15" i="6"/>
  <c r="K15" i="6"/>
  <c r="J15" i="6"/>
  <c r="L14" i="6"/>
  <c r="K14" i="6"/>
  <c r="J14" i="6"/>
  <c r="L13" i="6"/>
  <c r="K13" i="6"/>
  <c r="J13" i="6"/>
  <c r="L12" i="6"/>
  <c r="K12" i="6"/>
  <c r="J12" i="6"/>
  <c r="L11" i="6"/>
  <c r="K11" i="6"/>
  <c r="J11" i="6"/>
  <c r="L10" i="6"/>
  <c r="K10" i="6"/>
  <c r="J10" i="6"/>
  <c r="I31" i="34"/>
  <c r="I32" i="34"/>
  <c r="I30" i="34"/>
</calcChain>
</file>

<file path=xl/sharedStrings.xml><?xml version="1.0" encoding="utf-8"?>
<sst xmlns="http://schemas.openxmlformats.org/spreadsheetml/2006/main" count="2862" uniqueCount="122">
  <si>
    <t>Centro de Estudios y Servicios - Bolsa de Comercio de Santa Fe -</t>
  </si>
  <si>
    <t>Argentina</t>
  </si>
  <si>
    <t>Título</t>
  </si>
  <si>
    <t>Fuente</t>
  </si>
  <si>
    <t>Maíz</t>
  </si>
  <si>
    <t>Sorgo</t>
  </si>
  <si>
    <t>Mijo</t>
  </si>
  <si>
    <t>Avena</t>
  </si>
  <si>
    <t>Centeno</t>
  </si>
  <si>
    <t>Alpiste</t>
  </si>
  <si>
    <t>Arroz</t>
  </si>
  <si>
    <t>Girasol</t>
  </si>
  <si>
    <t>Lino</t>
  </si>
  <si>
    <t>Colza</t>
  </si>
  <si>
    <t>Cártamo</t>
  </si>
  <si>
    <t>Algodón</t>
  </si>
  <si>
    <t>VOLVER AL INDICE</t>
  </si>
  <si>
    <t>Superficie sembrada</t>
  </si>
  <si>
    <t>Producción</t>
  </si>
  <si>
    <t>Rendimiento</t>
  </si>
  <si>
    <t>Unidad de medida</t>
  </si>
  <si>
    <t>Ha</t>
  </si>
  <si>
    <t>Tn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</si>
  <si>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</si>
  <si>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</si>
  <si>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</si>
  <si>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</si>
  <si>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</si>
  <si>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</si>
  <si>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</si>
  <si>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</si>
  <si>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</si>
  <si>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</si>
  <si>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</si>
  <si>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</si>
  <si>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</si>
  <si>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</si>
  <si>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</si>
  <si>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</si>
  <si>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</si>
  <si>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</si>
  <si>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</si>
  <si>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</si>
  <si>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</si>
  <si>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</si>
  <si>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</si>
  <si>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</si>
  <si>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</si>
  <si>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</si>
  <si>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</si>
  <si>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</si>
  <si>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</si>
  <si>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</si>
  <si>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San Martín 2231 - CP 3000 - Santa Fe - Argentina</t>
  </si>
  <si>
    <r>
      <rPr>
        <b/>
        <u/>
        <sz val="10"/>
        <rFont val="Arial"/>
        <family val="2"/>
      </rPr>
      <t>Teléfono</t>
    </r>
    <r>
      <rPr>
        <b/>
        <sz val="10"/>
        <rFont val="Arial"/>
        <family val="2"/>
      </rPr>
      <t xml:space="preserve">: (0342) 4845800 </t>
    </r>
  </si>
  <si>
    <r>
      <rPr>
        <b/>
        <u/>
        <sz val="10"/>
        <rFont val="Arial"/>
        <family val="2"/>
      </rPr>
      <t>Email</t>
    </r>
    <r>
      <rPr>
        <b/>
        <sz val="10"/>
        <rFont val="Arial"/>
        <family val="2"/>
      </rPr>
      <t>: ces@bcsf.com.ar</t>
    </r>
  </si>
  <si>
    <r>
      <rPr>
        <b/>
        <u/>
        <sz val="10"/>
        <rFont val="Arial"/>
        <family val="2"/>
      </rPr>
      <t>Website</t>
    </r>
    <r>
      <rPr>
        <b/>
        <sz val="10"/>
        <rFont val="Arial"/>
        <family val="2"/>
      </rPr>
      <t xml:space="preserve">: https://bcsf.com.ar/ces/ o bien http://www.bcsf.com.ar </t>
    </r>
  </si>
  <si>
    <t xml:space="preserve"> </t>
  </si>
  <si>
    <r>
      <rPr>
        <b/>
        <u/>
        <sz val="11"/>
        <rFont val="Arial"/>
        <family val="2"/>
      </rPr>
      <t>Fuente primaria</t>
    </r>
    <r>
      <rPr>
        <b/>
        <sz val="11"/>
        <rFont val="Arial"/>
        <family val="2"/>
      </rPr>
      <t>: Secretaría de Agricultura, Ganadería y Pesca de la Nación</t>
    </r>
  </si>
  <si>
    <t>Ajo</t>
  </si>
  <si>
    <t>Arveja</t>
  </si>
  <si>
    <t>Caña de azúcar</t>
  </si>
  <si>
    <t>Cebada cervecera</t>
  </si>
  <si>
    <t>Cebada forrajera</t>
  </si>
  <si>
    <t>Cebada total</t>
  </si>
  <si>
    <t>Garbanzo</t>
  </si>
  <si>
    <t>Lenteja</t>
  </si>
  <si>
    <t>Limón</t>
  </si>
  <si>
    <t>Maní</t>
  </si>
  <si>
    <t>Mandarina</t>
  </si>
  <si>
    <t>Naranja</t>
  </si>
  <si>
    <t>Papa total</t>
  </si>
  <si>
    <t>Pomelo</t>
  </si>
  <si>
    <t>Poroto total</t>
  </si>
  <si>
    <t>Soja 1era</t>
  </si>
  <si>
    <t>Soja 2da</t>
  </si>
  <si>
    <t>Soja total</t>
  </si>
  <si>
    <t>Trigo total</t>
  </si>
  <si>
    <t>Provincia de Santa Fe</t>
  </si>
  <si>
    <t>En porcentaje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</si>
  <si>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</si>
  <si>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</si>
  <si>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</si>
  <si>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</si>
  <si>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</si>
  <si>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</si>
  <si>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</si>
  <si>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</si>
  <si>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</si>
  <si>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</si>
  <si>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</si>
  <si>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</si>
  <si>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</si>
  <si>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</si>
  <si>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</si>
  <si>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</si>
  <si>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</si>
  <si>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</si>
  <si>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</si>
  <si>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</si>
  <si>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</si>
  <si>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</si>
  <si>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</si>
  <si>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</si>
  <si>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</si>
  <si>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</si>
  <si>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</si>
  <si>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2026/27</t>
  </si>
  <si>
    <t>Incluye información estadística correspondiente a la superficie sembrada, cosechada, producción y rendimiento promedio por cultivo en la provincia de Santa Fe y agregado nacional. Participación Santa Fe / Argentina.</t>
  </si>
  <si>
    <t>Cereales</t>
  </si>
  <si>
    <t>BASE DE DATOS CON ESTIMACIONES AGRÍCOLAS DE CULTIVOS EN LA PROVINCIA DE SANTA FE</t>
  </si>
  <si>
    <t xml:space="preserve">Trigo candeal </t>
  </si>
  <si>
    <t>Oleaginosas</t>
  </si>
  <si>
    <r>
      <t xml:space="preserve">Otros </t>
    </r>
    <r>
      <rPr>
        <b/>
        <i/>
        <sz val="11"/>
        <rFont val="Arial"/>
        <family val="2"/>
      </rPr>
      <t>(Legumbres, Frutales, Hortalizas y Cultivos industriales)</t>
    </r>
  </si>
  <si>
    <r>
      <rPr>
        <b/>
        <u/>
        <sz val="11"/>
        <rFont val="Arial"/>
        <family val="2"/>
      </rPr>
      <t>Última actualización</t>
    </r>
    <r>
      <rPr>
        <b/>
        <sz val="11"/>
        <rFont val="Arial"/>
        <family val="2"/>
      </rPr>
      <t>: Cosecha 2025/26</t>
    </r>
  </si>
  <si>
    <t>ÍNDICE</t>
  </si>
  <si>
    <t>Campaña</t>
  </si>
  <si>
    <t>Participación Santa Fe / Argentina</t>
  </si>
  <si>
    <t>Secretaría de Agricultura, Ganadería y Pesca de la Nación</t>
  </si>
  <si>
    <t>Trigo candeal</t>
  </si>
  <si>
    <t>Superficie cosechada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</si>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</sst>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[Red]\-#,##0.0_)"/>
    <numFmt numFmtId="165" formatCode="0.0%"/>
  </numFmts>
  <fonts count="24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8"/>
      <color indexed="20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b/>
      <sz val="10"/>
      <color rgb="FF002060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u/>
      <sz val="11"/>
      <name val="Arial"/>
      <family val="2"/>
    </font>
    <font>
      <b/>
      <sz val="8"/>
      <color theme="0"/>
      <name val="Arial"/>
      <family val="2"/>
    </font>
    <font>
      <sz val="8"/>
      <name val="Calibri"/>
      <family val="2"/>
      <scheme val="minor"/>
    </font>
    <font>
      <b/>
      <i/>
      <sz val="11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2" fillId="0" borderId="0" applyNumberFormat="0" applyFill="0" applyBorder="0" applyAlignment="0" applyProtection="0"/>
    <xf numFmtId="9" fontId="23" fillId="0" borderId="0" applyFont="0" applyFill="0" applyBorder="0" applyAlignment="0" applyProtection="0"/>
  </cellStyleXfs>
  <cellXfs count="75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Continuous" vertical="center" wrapText="1"/>
    </xf>
    <xf numFmtId="0" fontId="6" fillId="2" borderId="4" xfId="0" applyFont="1" applyFill="1" applyBorder="1" applyAlignment="1">
      <alignment horizontal="centerContinuous" vertical="center" wrapText="1"/>
    </xf>
    <xf numFmtId="1" fontId="6" fillId="2" borderId="5" xfId="0" applyNumberFormat="1" applyFont="1" applyFill="1" applyBorder="1" applyAlignment="1">
      <alignment horizontal="centerContinuous" vertical="center" wrapText="1"/>
    </xf>
    <xf numFmtId="0" fontId="7" fillId="2" borderId="6" xfId="0" applyFont="1" applyFill="1" applyBorder="1" applyAlignment="1">
      <alignment horizontal="centerContinuous" vertical="center" wrapText="1"/>
    </xf>
    <xf numFmtId="0" fontId="7" fillId="2" borderId="2" xfId="0" applyFont="1" applyFill="1" applyBorder="1" applyAlignment="1">
      <alignment horizontal="centerContinuous" vertical="center" wrapText="1"/>
    </xf>
    <xf numFmtId="0" fontId="7" fillId="2" borderId="7" xfId="0" applyFont="1" applyFill="1" applyBorder="1" applyAlignment="1">
      <alignment horizontal="centerContinuous" vertical="center" wrapText="1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/>
    </xf>
    <xf numFmtId="0" fontId="0" fillId="5" borderId="0" xfId="0" applyFill="1"/>
    <xf numFmtId="0" fontId="6" fillId="4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5" borderId="0" xfId="3" applyFill="1"/>
    <xf numFmtId="0" fontId="10" fillId="2" borderId="0" xfId="3" applyFont="1" applyFill="1" applyAlignment="1">
      <alignment vertical="center"/>
    </xf>
    <xf numFmtId="0" fontId="11" fillId="2" borderId="0" xfId="3" applyFont="1" applyFill="1" applyAlignment="1">
      <alignment vertical="center"/>
    </xf>
    <xf numFmtId="0" fontId="10" fillId="5" borderId="0" xfId="3" applyFont="1" applyFill="1"/>
    <xf numFmtId="0" fontId="13" fillId="5" borderId="0" xfId="3" applyFont="1" applyFill="1"/>
    <xf numFmtId="164" fontId="7" fillId="0" borderId="15" xfId="0" applyNumberFormat="1" applyFont="1" applyBorder="1"/>
    <xf numFmtId="164" fontId="7" fillId="0" borderId="0" xfId="0" applyNumberFormat="1" applyFont="1"/>
    <xf numFmtId="164" fontId="7" fillId="0" borderId="16" xfId="0" applyNumberFormat="1" applyFont="1" applyBorder="1"/>
    <xf numFmtId="0" fontId="7" fillId="2" borderId="17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14" fillId="5" borderId="0" xfId="3" applyFont="1" applyFill="1"/>
    <xf numFmtId="0" fontId="0" fillId="2" borderId="0" xfId="0" applyFill="1"/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16" fillId="6" borderId="0" xfId="3" applyFont="1" applyFill="1"/>
    <xf numFmtId="0" fontId="17" fillId="6" borderId="0" xfId="3" applyFont="1" applyFill="1" applyAlignment="1">
      <alignment vertical="center"/>
    </xf>
    <xf numFmtId="0" fontId="9" fillId="5" borderId="0" xfId="2" applyFont="1" applyFill="1" applyAlignment="1" applyProtection="1">
      <alignment vertical="center"/>
    </xf>
    <xf numFmtId="0" fontId="9" fillId="5" borderId="0" xfId="4" applyFont="1" applyFill="1" applyAlignment="1">
      <alignment vertical="center"/>
    </xf>
    <xf numFmtId="0" fontId="10" fillId="5" borderId="2" xfId="3" applyFont="1" applyFill="1" applyBorder="1" applyAlignment="1">
      <alignment vertical="center"/>
    </xf>
    <xf numFmtId="0" fontId="18" fillId="2" borderId="0" xfId="3" applyFont="1" applyFill="1" applyAlignment="1">
      <alignment vertical="center"/>
    </xf>
    <xf numFmtId="1" fontId="2" fillId="7" borderId="6" xfId="1" applyNumberFormat="1" applyFont="1" applyFill="1" applyBorder="1" applyAlignment="1">
      <alignment horizontal="center" vertical="center"/>
    </xf>
    <xf numFmtId="1" fontId="5" fillId="7" borderId="6" xfId="2" applyNumberFormat="1" applyFont="1" applyFill="1" applyBorder="1" applyAlignment="1" applyProtection="1">
      <alignment horizontal="centerContinuous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64" fontId="5" fillId="3" borderId="21" xfId="0" applyNumberFormat="1" applyFont="1" applyFill="1" applyBorder="1"/>
    <xf numFmtId="164" fontId="5" fillId="3" borderId="23" xfId="0" applyNumberFormat="1" applyFont="1" applyFill="1" applyBorder="1"/>
    <xf numFmtId="164" fontId="5" fillId="3" borderId="24" xfId="0" applyNumberFormat="1" applyFont="1" applyFill="1" applyBorder="1"/>
    <xf numFmtId="1" fontId="3" fillId="2" borderId="25" xfId="0" applyNumberFormat="1" applyFont="1" applyFill="1" applyBorder="1" applyAlignment="1">
      <alignment horizontal="center"/>
    </xf>
    <xf numFmtId="1" fontId="6" fillId="2" borderId="26" xfId="0" applyNumberFormat="1" applyFont="1" applyFill="1" applyBorder="1" applyAlignment="1">
      <alignment horizontal="centerContinuous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Continuous" vertical="center" wrapText="1"/>
    </xf>
    <xf numFmtId="0" fontId="7" fillId="2" borderId="14" xfId="0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64" fontId="19" fillId="3" borderId="22" xfId="0" applyNumberFormat="1" applyFont="1" applyFill="1" applyBorder="1"/>
    <xf numFmtId="0" fontId="6" fillId="2" borderId="5" xfId="0" applyFont="1" applyFill="1" applyBorder="1" applyAlignment="1">
      <alignment horizontal="centerContinuous" vertical="center" wrapText="1"/>
    </xf>
    <xf numFmtId="0" fontId="8" fillId="5" borderId="0" xfId="4" applyFont="1" applyFill="1" applyAlignment="1">
      <alignment vertical="center"/>
    </xf>
    <xf numFmtId="0" fontId="6" fillId="4" borderId="18" xfId="0" applyFont="1" applyFill="1" applyBorder="1" applyAlignment="1">
      <alignment horizontal="center" vertical="center" wrapText="1"/>
    </xf>
    <xf numFmtId="0" fontId="16" fillId="8" borderId="0" xfId="3" applyFont="1" applyFill="1"/>
    <xf numFmtId="0" fontId="10" fillId="8" borderId="0" xfId="3" applyFont="1" applyFill="1" applyAlignment="1">
      <alignment vertical="center"/>
    </xf>
    <xf numFmtId="0" fontId="8" fillId="5" borderId="0" xfId="2" applyFont="1" applyFill="1" applyAlignment="1" applyProtection="1">
      <alignment vertical="center"/>
    </xf>
    <xf numFmtId="0" fontId="22" fillId="5" borderId="0" xfId="2" applyFont="1" applyFill="1" applyAlignment="1" applyProtection="1"/>
    <xf numFmtId="1" fontId="19" fillId="6" borderId="6" xfId="2" applyNumberFormat="1" applyFont="1" applyFill="1" applyBorder="1" applyAlignment="1" applyProtection="1">
      <alignment horizontal="centerContinuous" vertical="center" wrapText="1"/>
    </xf>
    <xf numFmtId="0" fontId="22" fillId="5" borderId="0" xfId="2" applyFont="1" applyFill="1" applyAlignment="1" applyProtection="1">
      <alignment vertical="center"/>
    </xf>
    <xf numFmtId="164" fontId="19" fillId="6" borderId="0" xfId="0" applyNumberFormat="1" applyFont="1" applyFill="1"/>
    <xf numFmtId="164" fontId="19" fillId="6" borderId="15" xfId="0" applyNumberFormat="1" applyFont="1" applyFill="1" applyBorder="1"/>
    <xf numFmtId="164" fontId="19" fillId="6" borderId="16" xfId="0" applyNumberFormat="1" applyFont="1" applyFill="1" applyBorder="1"/>
    <xf numFmtId="165" fontId="5" fillId="3" borderId="23" xfId="5" applyNumberFormat="1" applyFont="1" applyFill="1" applyBorder="1"/>
    <xf numFmtId="165" fontId="5" fillId="3" borderId="21" xfId="5" applyNumberFormat="1" applyFont="1" applyFill="1" applyBorder="1"/>
    <xf numFmtId="165" fontId="5" fillId="3" borderId="30" xfId="5" applyNumberFormat="1" applyFont="1" applyFill="1" applyBorder="1"/>
    <xf numFmtId="165" fontId="7" fillId="0" borderId="0" xfId="5" applyNumberFormat="1" applyFont="1"/>
    <xf numFmtId="165" fontId="7" fillId="0" borderId="15" xfId="5" applyNumberFormat="1" applyFont="1" applyBorder="1"/>
    <xf numFmtId="165" fontId="7" fillId="0" borderId="16" xfId="5" applyNumberFormat="1" applyFont="1" applyBorder="1"/>
    <xf numFmtId="0" fontId="7" fillId="2" borderId="0" xfId="0" applyFont="1" applyFill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1" fontId="5" fillId="7" borderId="12" xfId="1" applyNumberFormat="1" applyFont="1" applyFill="1" applyBorder="1" applyAlignment="1">
      <alignment horizontal="center" vertical="center"/>
    </xf>
    <xf numFmtId="1" fontId="5" fillId="7" borderId="29" xfId="1" applyNumberFormat="1" applyFont="1" applyFill="1" applyBorder="1" applyAlignment="1">
      <alignment horizontal="center" vertical="center"/>
    </xf>
    <xf numFmtId="1" fontId="3" fillId="2" borderId="32" xfId="0" applyNumberFormat="1" applyFont="1" applyFill="1" applyBorder="1" applyAlignment="1">
      <alignment horizontal="center"/>
    </xf>
  </cellXfs>
  <cellStyles count="6">
    <cellStyle name="Hipervínculo" xfId="2" builtinId="8"/>
    <cellStyle name="Hipervínculo 2" xfId="4" xr:uid="{EA880720-5D5E-4F70-918D-0B2729BD269C}"/>
    <cellStyle name="Normal" xfId="0" builtinId="0"/>
    <cellStyle name="Normal 2" xfId="3" xr:uid="{E100E27B-8BE6-48FE-B971-C4CAC471E8D1}"/>
    <cellStyle name="Normal_Ipc_s" xfId="1" xr:uid="{00000000-0005-0000-0000-000002000000}"/>
    <cellStyle name="Porcentaje" xfId="5" builtinId="5"/>
  </cellStyles>
  <dxfs count="0"/>
  <tableStyles count="0" defaultTableStyle="TableStyleMedium2" defaultPivotStyle="PivotStyleLight16"/>
  <colors>
    <mruColors>
      <color rgb="FFCEF2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0</xdr:row>
      <xdr:rowOff>171451</xdr:rowOff>
    </xdr:from>
    <xdr:to>
      <xdr:col>3</xdr:col>
      <xdr:colOff>47625</xdr:colOff>
      <xdr:row>6</xdr:row>
      <xdr:rowOff>17066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BF8155-2D98-4AE9-986A-F4C7C3912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171451"/>
          <a:ext cx="1914524" cy="988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09E9-2CC4-4795-8DD2-DE4EC37AB03A}">
  <sheetPr>
    <tabColor theme="1"/>
  </sheetPr>
  <dimension ref="A1:Z63"/>
  <sheetViews>
    <sheetView tabSelected="1" zoomScaleNormal="100" workbookViewId="0">
      <pane ySplit="16" topLeftCell="A17" activePane="bottomLeft" state="frozen"/>
      <selection activeCell="A5" sqref="A5"/>
      <selection pane="bottomLeft" activeCell="A17" sqref="A17"/>
    </sheetView>
  </sheetViews>
  <sheetFormatPr baseColWidth="10" defaultColWidth="11.42578125" defaultRowHeight="12.75" x14ac:dyDescent="0.2"/>
  <cols>
    <col min="1" max="2" width="1.7109375" style="15" customWidth="1"/>
    <col min="3" max="3" width="27.85546875" style="15" customWidth="1"/>
    <col min="4" max="4" width="3.42578125" style="15" customWidth="1"/>
    <col min="5" max="15" width="11.42578125" style="15"/>
    <col min="16" max="16" width="13.42578125" style="15" customWidth="1"/>
    <col min="17" max="17" width="10.5703125" style="15" customWidth="1"/>
    <col min="18" max="16384" width="11.42578125" style="15"/>
  </cols>
  <sheetData>
    <row r="1" spans="1:26" s="10" customFormat="1" ht="15" x14ac:dyDescent="0.25">
      <c r="A1" s="27"/>
      <c r="B1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s="10" customFormat="1" ht="15" customHeight="1" x14ac:dyDescent="0.25">
      <c r="A2" s="27"/>
      <c r="B2" s="27"/>
      <c r="C2" s="27"/>
      <c r="D2" s="27"/>
      <c r="E2" s="28" t="s">
        <v>0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ht="15" customHeight="1" x14ac:dyDescent="0.25">
      <c r="A3" s="27"/>
      <c r="B3" s="27"/>
      <c r="C3" s="27"/>
      <c r="D3" s="27"/>
      <c r="E3" s="28" t="s">
        <v>53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s="10" customFormat="1" ht="15" customHeight="1" x14ac:dyDescent="0.25">
      <c r="A4" s="27"/>
      <c r="B4" s="27"/>
      <c r="C4" s="27"/>
      <c r="D4" s="27"/>
      <c r="E4" s="28" t="s">
        <v>54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s="10" customFormat="1" ht="15" customHeight="1" x14ac:dyDescent="0.25">
      <c r="A5" s="27"/>
      <c r="B5" s="27"/>
      <c r="C5" s="27"/>
      <c r="D5" s="27"/>
      <c r="E5" s="28" t="s">
        <v>55</v>
      </c>
      <c r="F5" s="27"/>
      <c r="G5" s="29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s="10" customFormat="1" ht="15" customHeight="1" x14ac:dyDescent="0.25">
      <c r="A6" s="27"/>
      <c r="B6" s="27"/>
      <c r="C6" s="27"/>
      <c r="D6" s="27"/>
      <c r="E6" s="28" t="s">
        <v>56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s="10" customFormat="1" ht="15" x14ac:dyDescent="0.25">
      <c r="A7" s="27" t="s">
        <v>57</v>
      </c>
      <c r="B7" s="27"/>
      <c r="C7" s="27"/>
      <c r="D7" s="27"/>
      <c r="E7" s="29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34" customFormat="1" ht="19.5" customHeight="1" x14ac:dyDescent="0.25">
      <c r="C8" s="34" t="s">
        <v>110</v>
      </c>
    </row>
    <row r="9" spans="1:26" ht="10.5" customHeight="1" x14ac:dyDescent="0.2">
      <c r="C9" s="16"/>
    </row>
    <row r="10" spans="1:26" ht="15" x14ac:dyDescent="0.2">
      <c r="C10" s="16" t="s">
        <v>114</v>
      </c>
      <c r="E10" s="26"/>
    </row>
    <row r="11" spans="1:26" ht="5.25" customHeight="1" x14ac:dyDescent="0.2">
      <c r="C11" s="35"/>
      <c r="E11" s="26"/>
    </row>
    <row r="12" spans="1:26" s="17" customFormat="1" ht="15" x14ac:dyDescent="0.25">
      <c r="C12" s="16" t="s">
        <v>58</v>
      </c>
    </row>
    <row r="13" spans="1:26" s="17" customFormat="1" ht="5.25" customHeight="1" x14ac:dyDescent="0.25">
      <c r="C13" s="16"/>
    </row>
    <row r="14" spans="1:26" ht="15" x14ac:dyDescent="0.25">
      <c r="C14" s="18" t="s">
        <v>108</v>
      </c>
    </row>
    <row r="15" spans="1:26" ht="11.25" customHeight="1" x14ac:dyDescent="0.2"/>
    <row r="16" spans="1:26" s="30" customFormat="1" ht="17.25" customHeight="1" x14ac:dyDescent="0.2">
      <c r="C16" s="31" t="s">
        <v>115</v>
      </c>
    </row>
    <row r="17" spans="2:3" ht="9" customHeight="1" x14ac:dyDescent="0.2"/>
    <row r="18" spans="2:3" s="54" customFormat="1" ht="17.25" customHeight="1" x14ac:dyDescent="0.2">
      <c r="C18" s="55" t="s">
        <v>109</v>
      </c>
    </row>
    <row r="19" spans="2:3" ht="6.75" customHeight="1" x14ac:dyDescent="0.2">
      <c r="B19" s="19"/>
      <c r="C19" s="56"/>
    </row>
    <row r="20" spans="2:3" ht="14.25" customHeight="1" x14ac:dyDescent="0.2">
      <c r="B20" s="19"/>
      <c r="C20" s="57" t="s">
        <v>9</v>
      </c>
    </row>
    <row r="21" spans="2:3" ht="14.25" customHeight="1" x14ac:dyDescent="0.2">
      <c r="B21" s="19"/>
      <c r="C21" s="57" t="s">
        <v>10</v>
      </c>
    </row>
    <row r="22" spans="2:3" ht="14.25" customHeight="1" x14ac:dyDescent="0.2">
      <c r="B22" s="19"/>
      <c r="C22" s="57" t="s">
        <v>7</v>
      </c>
    </row>
    <row r="23" spans="2:3" ht="14.25" customHeight="1" x14ac:dyDescent="0.2">
      <c r="B23" s="19"/>
      <c r="C23" s="57" t="s">
        <v>62</v>
      </c>
    </row>
    <row r="24" spans="2:3" ht="14.25" customHeight="1" x14ac:dyDescent="0.2">
      <c r="B24" s="19"/>
      <c r="C24" s="57" t="s">
        <v>63</v>
      </c>
    </row>
    <row r="25" spans="2:3" ht="14.25" customHeight="1" x14ac:dyDescent="0.2">
      <c r="B25" s="19"/>
      <c r="C25" s="57" t="s">
        <v>64</v>
      </c>
    </row>
    <row r="26" spans="2:3" ht="14.25" customHeight="1" x14ac:dyDescent="0.2">
      <c r="B26" s="19"/>
      <c r="C26" s="57" t="s">
        <v>8</v>
      </c>
    </row>
    <row r="27" spans="2:3" ht="14.25" customHeight="1" x14ac:dyDescent="0.2">
      <c r="B27" s="19"/>
      <c r="C27" s="57" t="s">
        <v>4</v>
      </c>
    </row>
    <row r="28" spans="2:3" ht="14.25" customHeight="1" x14ac:dyDescent="0.2">
      <c r="B28" s="19"/>
      <c r="C28" s="57" t="s">
        <v>6</v>
      </c>
    </row>
    <row r="29" spans="2:3" ht="14.25" customHeight="1" x14ac:dyDescent="0.2">
      <c r="B29" s="19"/>
      <c r="C29" s="57" t="s">
        <v>5</v>
      </c>
    </row>
    <row r="30" spans="2:3" ht="14.25" customHeight="1" x14ac:dyDescent="0.2">
      <c r="B30" s="19"/>
      <c r="C30" s="57" t="s">
        <v>111</v>
      </c>
    </row>
    <row r="31" spans="2:3" ht="14.25" customHeight="1" x14ac:dyDescent="0.2">
      <c r="B31" s="19"/>
      <c r="C31" s="57" t="s">
        <v>77</v>
      </c>
    </row>
    <row r="32" spans="2:3" x14ac:dyDescent="0.2">
      <c r="B32" s="19"/>
      <c r="C32" s="52"/>
    </row>
    <row r="33" spans="2:3" s="54" customFormat="1" ht="17.25" customHeight="1" x14ac:dyDescent="0.2">
      <c r="C33" s="55" t="s">
        <v>112</v>
      </c>
    </row>
    <row r="34" spans="2:3" ht="6.75" customHeight="1" x14ac:dyDescent="0.2">
      <c r="B34" s="19"/>
      <c r="C34" s="56"/>
    </row>
    <row r="35" spans="2:3" x14ac:dyDescent="0.2">
      <c r="B35" s="19"/>
      <c r="C35" s="57" t="s">
        <v>14</v>
      </c>
    </row>
    <row r="36" spans="2:3" x14ac:dyDescent="0.2">
      <c r="B36" s="19"/>
      <c r="C36" s="57" t="s">
        <v>13</v>
      </c>
    </row>
    <row r="37" spans="2:3" x14ac:dyDescent="0.2">
      <c r="B37" s="19"/>
      <c r="C37" s="57" t="s">
        <v>11</v>
      </c>
    </row>
    <row r="38" spans="2:3" x14ac:dyDescent="0.2">
      <c r="B38" s="19"/>
      <c r="C38" s="57" t="s">
        <v>12</v>
      </c>
    </row>
    <row r="39" spans="2:3" x14ac:dyDescent="0.2">
      <c r="B39" s="19"/>
      <c r="C39" s="57" t="s">
        <v>74</v>
      </c>
    </row>
    <row r="40" spans="2:3" x14ac:dyDescent="0.2">
      <c r="B40" s="19"/>
      <c r="C40" s="57" t="s">
        <v>75</v>
      </c>
    </row>
    <row r="41" spans="2:3" x14ac:dyDescent="0.2">
      <c r="B41" s="19"/>
      <c r="C41" s="57" t="s">
        <v>76</v>
      </c>
    </row>
    <row r="42" spans="2:3" x14ac:dyDescent="0.2">
      <c r="B42" s="19"/>
    </row>
    <row r="43" spans="2:3" s="54" customFormat="1" ht="17.25" customHeight="1" x14ac:dyDescent="0.2">
      <c r="C43" s="55" t="s">
        <v>113</v>
      </c>
    </row>
    <row r="44" spans="2:3" ht="6.75" customHeight="1" x14ac:dyDescent="0.2">
      <c r="B44" s="19"/>
      <c r="C44" s="56"/>
    </row>
    <row r="45" spans="2:3" x14ac:dyDescent="0.2">
      <c r="B45" s="19"/>
      <c r="C45" s="57" t="s">
        <v>59</v>
      </c>
    </row>
    <row r="46" spans="2:3" x14ac:dyDescent="0.2">
      <c r="B46" s="19"/>
      <c r="C46" s="57" t="s">
        <v>15</v>
      </c>
    </row>
    <row r="47" spans="2:3" x14ac:dyDescent="0.2">
      <c r="B47" s="19"/>
      <c r="C47" s="57" t="s">
        <v>60</v>
      </c>
    </row>
    <row r="48" spans="2:3" x14ac:dyDescent="0.2">
      <c r="B48" s="19"/>
      <c r="C48" s="57" t="s">
        <v>61</v>
      </c>
    </row>
    <row r="49" spans="2:3" x14ac:dyDescent="0.2">
      <c r="B49" s="19"/>
      <c r="C49" s="57" t="s">
        <v>65</v>
      </c>
    </row>
    <row r="50" spans="2:3" x14ac:dyDescent="0.2">
      <c r="B50" s="19"/>
      <c r="C50" s="57" t="s">
        <v>66</v>
      </c>
    </row>
    <row r="51" spans="2:3" x14ac:dyDescent="0.2">
      <c r="B51" s="19"/>
      <c r="C51" s="57" t="s">
        <v>67</v>
      </c>
    </row>
    <row r="52" spans="2:3" x14ac:dyDescent="0.2">
      <c r="B52" s="19"/>
      <c r="C52" s="57" t="s">
        <v>69</v>
      </c>
    </row>
    <row r="53" spans="2:3" x14ac:dyDescent="0.2">
      <c r="B53" s="19"/>
      <c r="C53" s="57" t="s">
        <v>68</v>
      </c>
    </row>
    <row r="54" spans="2:3" x14ac:dyDescent="0.2">
      <c r="B54" s="19"/>
      <c r="C54" s="57" t="s">
        <v>70</v>
      </c>
    </row>
    <row r="55" spans="2:3" x14ac:dyDescent="0.2">
      <c r="B55" s="19"/>
      <c r="C55" s="59" t="s">
        <v>71</v>
      </c>
    </row>
    <row r="56" spans="2:3" x14ac:dyDescent="0.2">
      <c r="B56" s="19"/>
      <c r="C56" s="59" t="s">
        <v>72</v>
      </c>
    </row>
    <row r="57" spans="2:3" x14ac:dyDescent="0.2">
      <c r="B57" s="19"/>
      <c r="C57" s="59" t="s">
        <v>73</v>
      </c>
    </row>
    <row r="58" spans="2:3" x14ac:dyDescent="0.2">
      <c r="B58" s="19"/>
      <c r="C58" s="52"/>
    </row>
    <row r="59" spans="2:3" x14ac:dyDescent="0.2">
      <c r="B59" s="19"/>
      <c r="C59" s="52"/>
    </row>
    <row r="60" spans="2:3" x14ac:dyDescent="0.2">
      <c r="B60" s="19"/>
      <c r="C60" s="52"/>
    </row>
    <row r="61" spans="2:3" x14ac:dyDescent="0.2">
      <c r="B61" s="19"/>
      <c r="C61" s="52"/>
    </row>
    <row r="62" spans="2:3" x14ac:dyDescent="0.2">
      <c r="B62" s="19"/>
      <c r="C62" s="33"/>
    </row>
    <row r="63" spans="2:3" x14ac:dyDescent="0.2">
      <c r="B63" s="19"/>
      <c r="C63" s="32"/>
    </row>
  </sheetData>
  <hyperlinks>
    <hyperlink ref="C31" location="'Trigo total'!A1" display="Trigo total" xr:uid="{69B62A78-5207-45E7-892D-A96176393FF2}"/>
    <hyperlink ref="C20:C30" location="Índice!A1" display="Alpiste" xr:uid="{1C87826E-1C15-4959-B848-C91AE620FA22}"/>
    <hyperlink ref="C20" location="Alpiste!A1" display="Alpiste" xr:uid="{57E8CCFE-EEED-4694-A4BA-4A321AEAC0BE}"/>
    <hyperlink ref="C21" location="Arroz!A1" display="Arroz" xr:uid="{230C4148-362E-49DC-A2C4-6EA20E769E20}"/>
    <hyperlink ref="C22" location="Avena!A1" display="Avena" xr:uid="{3E9ABA40-BC13-4692-993E-B691E7B68F1B}"/>
    <hyperlink ref="C23" location="'Cebada cervecera'!A1" display="Cebada cervecera" xr:uid="{F039F8D6-1B53-43F7-82B0-742BC2410831}"/>
    <hyperlink ref="C24" location="'Cebada forrajera'!A1" display="Cebada forrajera" xr:uid="{A91DBDA0-38A7-49E1-9DBD-5EDC4ACB24A2}"/>
    <hyperlink ref="C25" location="'Cebada total'!A1" display="Cebada total" xr:uid="{47711C1A-1CF9-494A-A0AF-57B4ECFE917B}"/>
    <hyperlink ref="C26" location="Centeno!A1" display="Centeno" xr:uid="{4CBBE415-2A19-42E6-A304-13098B367536}"/>
    <hyperlink ref="C27" location="Maíz!A1" display="Maíz" xr:uid="{6C2402B2-C8A2-4015-BE23-0F221EBBA783}"/>
    <hyperlink ref="C28" location="Mijo!A1" display="Mijo" xr:uid="{86731079-77EB-4E04-8477-5D3A14C4322A}"/>
    <hyperlink ref="C29" location="Sorgo!A1" display="Sorgo" xr:uid="{770C12B7-83D1-4680-AE9E-8A0B408A3A05}"/>
    <hyperlink ref="C30" location="'Trigo candeal'!A1" display="Trigo candeal " xr:uid="{C4E48072-6B2F-4D66-9516-E8405C245295}"/>
    <hyperlink ref="C46" location="Algodón!A1" display="Algodón" xr:uid="{72ABDAC1-A560-437A-893E-7BE642AF4D0C}"/>
    <hyperlink ref="C35" location="Cártamo!A1" display="Cártamo" xr:uid="{44F9B6B9-6B84-498B-8B77-1C9EDCFF47FD}"/>
    <hyperlink ref="C36" location="Colza!A1" display="Colza" xr:uid="{A434D815-6FC6-4D0F-979A-3D301C635F23}"/>
    <hyperlink ref="C37" location="Girasol!A1" display="Girasol" xr:uid="{267CED11-E4F0-47B9-BE31-22CAC1BA8026}"/>
    <hyperlink ref="C38" location="Lino!A1" display="Lino" xr:uid="{3A0B8E73-B6E7-4E4C-B1F1-AC91665F2CED}"/>
    <hyperlink ref="C39" location="'Soja 1era'!A1" display="Soja 1era" xr:uid="{98B316E8-2950-4F9C-92C6-897961BBD805}"/>
    <hyperlink ref="C40" location="'Soja 2da'!A1" display="Soja 2da" xr:uid="{342B6165-556B-4B81-BAF1-A3279FB02035}"/>
    <hyperlink ref="C41" location="'Soja total'!A1" display="Soja total" xr:uid="{DA30B018-5249-4F7B-B3A1-F17CF7225598}"/>
    <hyperlink ref="C45" location="Ajo!A1" display="Ajo" xr:uid="{C5C0068E-4C59-4806-814B-1696EE1B2A30}"/>
    <hyperlink ref="C47" location="Arveja!A1" display="Arveja" xr:uid="{79572587-3833-4F83-B1DC-19F2AF824F24}"/>
    <hyperlink ref="C48" location="'Caña de azúcar'!A1" display="Caña de azúcar" xr:uid="{8DCE1330-C6D8-4953-9DE7-AE6D46E66328}"/>
    <hyperlink ref="C49" location="Garbanzo!A1" display="Garbanzo" xr:uid="{C07C8040-4C90-4B45-82C9-585CCC6A1F8C}"/>
    <hyperlink ref="C50" location="Lenteja!A1" display="Lenteja" xr:uid="{7AE5EA98-5911-4516-938E-8D4A71CBE589}"/>
    <hyperlink ref="C51" location="Limón!A1" display="Limón" xr:uid="{45E64A3F-9674-4D7D-943A-F15CDE4B97B8}"/>
    <hyperlink ref="C52" location="Mandarina!A1" display="Mandarina" xr:uid="{1AC6D6FC-8343-494D-A523-6FE1488AEF41}"/>
    <hyperlink ref="C53" location="Maní!A1" display="Maní" xr:uid="{6A50D38E-9352-4DD0-9508-762F0BF92F10}"/>
    <hyperlink ref="C54" location="Naranja!A1" display="Naranja" xr:uid="{AC10F9B6-8755-4FCD-990B-A45E2D081E99}"/>
    <hyperlink ref="C55" location="'Papa total'!A1" display="Papa total" xr:uid="{466D0FF9-8FC4-4729-82CC-3BF257A006F5}"/>
    <hyperlink ref="C56" location="Pomelo!A1" display="Pomelo" xr:uid="{BF50C8C2-D6D9-462A-802A-222C0042E952}"/>
    <hyperlink ref="C57" location="'Poroto total'!A1" display="Poroto total" xr:uid="{EA140955-E59E-43B7-BFC6-7888CF3FF11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BC6B-BE8C-48BC-A2D0-84B90F325E76}">
  <dimension ref="A1:L67"/>
  <sheetViews>
    <sheetView zoomScale="115" zoomScaleNormal="115" workbookViewId="0">
      <pane xSplit="1" ySplit="9" topLeftCell="B10" activePane="bottomRight" state="frozen"/>
      <selection activeCell="C21" sqref="C21"/>
      <selection pane="topRight" activeCell="C21" sqref="C21"/>
      <selection pane="bottomLeft" activeCell="C21" sqref="C21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9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71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3900</v>
      </c>
      <c r="C10" s="40">
        <v>3550</v>
      </c>
      <c r="D10" s="40">
        <v>2100</v>
      </c>
      <c r="E10" s="50">
        <v>592</v>
      </c>
      <c r="F10" s="41">
        <v>125200</v>
      </c>
      <c r="G10" s="40">
        <v>117300</v>
      </c>
      <c r="H10" s="40">
        <v>107000</v>
      </c>
      <c r="I10" s="50">
        <v>912</v>
      </c>
      <c r="J10" s="63">
        <f>B10/F10</f>
        <v>3.1150159744408944E-2</v>
      </c>
      <c r="K10" s="64">
        <f t="shared" ref="K10:L10" si="0">C10/G10</f>
        <v>3.0264279624893437E-2</v>
      </c>
      <c r="L10" s="65">
        <f t="shared" si="0"/>
        <v>1.9626168224299065E-2</v>
      </c>
    </row>
    <row r="11" spans="1:12" x14ac:dyDescent="0.25">
      <c r="A11" s="48" t="s">
        <v>81</v>
      </c>
      <c r="B11" s="21">
        <v>3800</v>
      </c>
      <c r="C11" s="20">
        <v>2550</v>
      </c>
      <c r="D11" s="20">
        <v>1450</v>
      </c>
      <c r="E11" s="22">
        <v>569</v>
      </c>
      <c r="F11" s="21">
        <v>73900</v>
      </c>
      <c r="G11" s="20">
        <v>58200</v>
      </c>
      <c r="H11" s="20">
        <v>39300</v>
      </c>
      <c r="I11" s="22">
        <v>675</v>
      </c>
      <c r="J11" s="66">
        <f t="shared" ref="J11:J66" si="1">B11/F11</f>
        <v>5.142083897158322E-2</v>
      </c>
      <c r="K11" s="67">
        <f t="shared" ref="K11:K66" si="2">C11/G11</f>
        <v>4.3814432989690719E-2</v>
      </c>
      <c r="L11" s="68">
        <f t="shared" ref="L11:L66" si="3">D11/H11</f>
        <v>3.689567430025445E-2</v>
      </c>
    </row>
    <row r="12" spans="1:12" x14ac:dyDescent="0.25">
      <c r="A12" s="48" t="s">
        <v>82</v>
      </c>
      <c r="B12" s="21">
        <v>2500</v>
      </c>
      <c r="C12" s="20">
        <v>1900</v>
      </c>
      <c r="D12" s="20">
        <v>1300</v>
      </c>
      <c r="E12" s="22">
        <v>684</v>
      </c>
      <c r="F12" s="21">
        <v>44444</v>
      </c>
      <c r="G12" s="20">
        <v>39750</v>
      </c>
      <c r="H12" s="20">
        <v>26200</v>
      </c>
      <c r="I12" s="22">
        <v>659</v>
      </c>
      <c r="J12" s="66">
        <f t="shared" si="1"/>
        <v>5.625056250562506E-2</v>
      </c>
      <c r="K12" s="67">
        <f t="shared" si="2"/>
        <v>4.7798742138364783E-2</v>
      </c>
      <c r="L12" s="68">
        <f t="shared" si="3"/>
        <v>4.9618320610687022E-2</v>
      </c>
    </row>
    <row r="13" spans="1:12" x14ac:dyDescent="0.25">
      <c r="A13" s="48" t="s">
        <v>83</v>
      </c>
      <c r="B13" s="21">
        <v>3000</v>
      </c>
      <c r="C13" s="20">
        <v>2600</v>
      </c>
      <c r="D13" s="20">
        <v>1900</v>
      </c>
      <c r="E13" s="22">
        <v>731</v>
      </c>
      <c r="F13" s="21">
        <v>44900</v>
      </c>
      <c r="G13" s="20">
        <v>42650</v>
      </c>
      <c r="H13" s="20">
        <v>35000</v>
      </c>
      <c r="I13" s="22">
        <v>821</v>
      </c>
      <c r="J13" s="66">
        <f t="shared" si="1"/>
        <v>6.6815144766147E-2</v>
      </c>
      <c r="K13" s="67">
        <f t="shared" si="2"/>
        <v>6.096131301289566E-2</v>
      </c>
      <c r="L13" s="68">
        <f t="shared" si="3"/>
        <v>5.4285714285714284E-2</v>
      </c>
    </row>
    <row r="14" spans="1:12" x14ac:dyDescent="0.25">
      <c r="A14" s="48" t="s">
        <v>84</v>
      </c>
      <c r="B14" s="21">
        <v>2300</v>
      </c>
      <c r="C14" s="20">
        <v>2040</v>
      </c>
      <c r="D14" s="20">
        <v>1500</v>
      </c>
      <c r="E14" s="22">
        <v>735</v>
      </c>
      <c r="F14" s="21">
        <v>49700</v>
      </c>
      <c r="G14" s="20">
        <v>43100</v>
      </c>
      <c r="H14" s="20">
        <v>34000</v>
      </c>
      <c r="I14" s="22">
        <v>789</v>
      </c>
      <c r="J14" s="66">
        <f t="shared" si="1"/>
        <v>4.6277665995975853E-2</v>
      </c>
      <c r="K14" s="67">
        <f t="shared" si="2"/>
        <v>4.7331786542923436E-2</v>
      </c>
      <c r="L14" s="68">
        <f t="shared" si="3"/>
        <v>4.4117647058823532E-2</v>
      </c>
    </row>
    <row r="15" spans="1:12" x14ac:dyDescent="0.25">
      <c r="A15" s="48" t="s">
        <v>85</v>
      </c>
      <c r="B15" s="21">
        <v>2100</v>
      </c>
      <c r="C15" s="20">
        <v>1600</v>
      </c>
      <c r="D15" s="20">
        <v>1100</v>
      </c>
      <c r="E15" s="22">
        <v>688</v>
      </c>
      <c r="F15" s="21">
        <v>48700</v>
      </c>
      <c r="G15" s="20">
        <v>36900</v>
      </c>
      <c r="H15" s="20">
        <v>25400</v>
      </c>
      <c r="I15" s="22">
        <v>688</v>
      </c>
      <c r="J15" s="66">
        <f t="shared" si="1"/>
        <v>4.3121149897330596E-2</v>
      </c>
      <c r="K15" s="67">
        <f t="shared" si="2"/>
        <v>4.3360433604336043E-2</v>
      </c>
      <c r="L15" s="68">
        <f t="shared" si="3"/>
        <v>4.3307086614173228E-2</v>
      </c>
    </row>
    <row r="16" spans="1:12" x14ac:dyDescent="0.25">
      <c r="A16" s="48" t="s">
        <v>86</v>
      </c>
      <c r="B16" s="21">
        <v>2460</v>
      </c>
      <c r="C16" s="20">
        <v>2310</v>
      </c>
      <c r="D16" s="20">
        <v>2150</v>
      </c>
      <c r="E16" s="22">
        <v>931</v>
      </c>
      <c r="F16" s="21">
        <v>44600</v>
      </c>
      <c r="G16" s="20">
        <v>42300</v>
      </c>
      <c r="H16" s="20">
        <v>32800</v>
      </c>
      <c r="I16" s="22">
        <v>775</v>
      </c>
      <c r="J16" s="66">
        <f t="shared" si="1"/>
        <v>5.5156950672645741E-2</v>
      </c>
      <c r="K16" s="67">
        <f t="shared" si="2"/>
        <v>5.4609929078014187E-2</v>
      </c>
      <c r="L16" s="68">
        <f t="shared" si="3"/>
        <v>6.5548780487804881E-2</v>
      </c>
    </row>
    <row r="17" spans="1:12" x14ac:dyDescent="0.25">
      <c r="A17" s="48" t="s">
        <v>87</v>
      </c>
      <c r="B17" s="21">
        <v>2700</v>
      </c>
      <c r="C17" s="20">
        <v>1700</v>
      </c>
      <c r="D17" s="20">
        <v>1600</v>
      </c>
      <c r="E17" s="22">
        <v>941</v>
      </c>
      <c r="F17" s="21">
        <v>46600</v>
      </c>
      <c r="G17" s="20">
        <v>40500</v>
      </c>
      <c r="H17" s="20">
        <v>39000</v>
      </c>
      <c r="I17" s="22">
        <v>963</v>
      </c>
      <c r="J17" s="66">
        <f t="shared" si="1"/>
        <v>5.7939914163090127E-2</v>
      </c>
      <c r="K17" s="67">
        <f t="shared" si="2"/>
        <v>4.1975308641975309E-2</v>
      </c>
      <c r="L17" s="68">
        <f t="shared" si="3"/>
        <v>4.1025641025641026E-2</v>
      </c>
    </row>
    <row r="18" spans="1:12" x14ac:dyDescent="0.25">
      <c r="A18" s="48" t="s">
        <v>88</v>
      </c>
      <c r="B18" s="21">
        <v>4300</v>
      </c>
      <c r="C18" s="20">
        <v>3700</v>
      </c>
      <c r="D18" s="20">
        <v>3100</v>
      </c>
      <c r="E18" s="22">
        <v>838</v>
      </c>
      <c r="F18" s="21">
        <v>75000</v>
      </c>
      <c r="G18" s="20">
        <v>70000</v>
      </c>
      <c r="H18" s="20">
        <v>60000</v>
      </c>
      <c r="I18" s="22">
        <v>857</v>
      </c>
      <c r="J18" s="66">
        <f t="shared" si="1"/>
        <v>5.7333333333333333E-2</v>
      </c>
      <c r="K18" s="67">
        <f t="shared" si="2"/>
        <v>5.2857142857142859E-2</v>
      </c>
      <c r="L18" s="68">
        <f t="shared" si="3"/>
        <v>5.1666666666666666E-2</v>
      </c>
    </row>
    <row r="19" spans="1:12" x14ac:dyDescent="0.25">
      <c r="A19" s="48" t="s">
        <v>89</v>
      </c>
      <c r="B19" s="21">
        <v>3500</v>
      </c>
      <c r="C19" s="20">
        <v>2700</v>
      </c>
      <c r="D19" s="20">
        <v>2500</v>
      </c>
      <c r="E19" s="22">
        <v>926</v>
      </c>
      <c r="F19" s="21">
        <v>60000</v>
      </c>
      <c r="G19" s="20">
        <v>57000</v>
      </c>
      <c r="H19" s="20">
        <v>51000</v>
      </c>
      <c r="I19" s="22">
        <v>895</v>
      </c>
      <c r="J19" s="66">
        <f t="shared" si="1"/>
        <v>5.8333333333333334E-2</v>
      </c>
      <c r="K19" s="67">
        <f t="shared" si="2"/>
        <v>4.736842105263158E-2</v>
      </c>
      <c r="L19" s="68">
        <f t="shared" si="3"/>
        <v>4.9019607843137254E-2</v>
      </c>
    </row>
    <row r="20" spans="1:12" x14ac:dyDescent="0.25">
      <c r="A20" s="48" t="s">
        <v>90</v>
      </c>
      <c r="B20" s="21">
        <v>2200</v>
      </c>
      <c r="C20" s="20">
        <v>1760</v>
      </c>
      <c r="D20" s="20">
        <v>1700</v>
      </c>
      <c r="E20" s="22">
        <v>966</v>
      </c>
      <c r="F20" s="21">
        <v>56000</v>
      </c>
      <c r="G20" s="20">
        <v>54400</v>
      </c>
      <c r="H20" s="20">
        <v>42000</v>
      </c>
      <c r="I20" s="22">
        <v>772</v>
      </c>
      <c r="J20" s="66">
        <f t="shared" si="1"/>
        <v>3.9285714285714285E-2</v>
      </c>
      <c r="K20" s="67">
        <f t="shared" si="2"/>
        <v>3.2352941176470591E-2</v>
      </c>
      <c r="L20" s="68">
        <f t="shared" si="3"/>
        <v>4.0476190476190478E-2</v>
      </c>
    </row>
    <row r="21" spans="1:12" x14ac:dyDescent="0.25">
      <c r="A21" s="48" t="s">
        <v>91</v>
      </c>
      <c r="B21" s="21">
        <v>1700</v>
      </c>
      <c r="C21" s="20">
        <v>1670</v>
      </c>
      <c r="D21" s="20">
        <v>1450</v>
      </c>
      <c r="E21" s="22">
        <v>868</v>
      </c>
      <c r="F21" s="21">
        <v>49500</v>
      </c>
      <c r="G21" s="20">
        <v>46800</v>
      </c>
      <c r="H21" s="20">
        <v>35200</v>
      </c>
      <c r="I21" s="22">
        <v>752</v>
      </c>
      <c r="J21" s="66">
        <f t="shared" si="1"/>
        <v>3.4343434343434343E-2</v>
      </c>
      <c r="K21" s="67">
        <f t="shared" si="2"/>
        <v>3.5683760683760682E-2</v>
      </c>
      <c r="L21" s="68">
        <f t="shared" si="3"/>
        <v>4.1193181818181816E-2</v>
      </c>
    </row>
    <row r="22" spans="1:12" x14ac:dyDescent="0.25">
      <c r="A22" s="48" t="s">
        <v>92</v>
      </c>
      <c r="B22" s="21">
        <v>1400</v>
      </c>
      <c r="C22" s="20">
        <v>1400</v>
      </c>
      <c r="D22" s="20">
        <v>1200</v>
      </c>
      <c r="E22" s="22">
        <v>857</v>
      </c>
      <c r="F22" s="21">
        <v>51100</v>
      </c>
      <c r="G22" s="20">
        <v>50300</v>
      </c>
      <c r="H22" s="20">
        <v>32300</v>
      </c>
      <c r="I22" s="22">
        <v>642</v>
      </c>
      <c r="J22" s="66">
        <f t="shared" si="1"/>
        <v>2.7397260273972601E-2</v>
      </c>
      <c r="K22" s="67">
        <f t="shared" si="2"/>
        <v>2.7833001988071572E-2</v>
      </c>
      <c r="L22" s="68">
        <f t="shared" si="3"/>
        <v>3.7151702786377708E-2</v>
      </c>
    </row>
    <row r="23" spans="1:12" x14ac:dyDescent="0.25">
      <c r="A23" s="48" t="s">
        <v>93</v>
      </c>
      <c r="B23" s="21">
        <v>1300</v>
      </c>
      <c r="C23" s="20">
        <v>1230</v>
      </c>
      <c r="D23" s="20">
        <v>1160</v>
      </c>
      <c r="E23" s="22">
        <v>943</v>
      </c>
      <c r="F23" s="21">
        <v>57300</v>
      </c>
      <c r="G23" s="20">
        <v>57200</v>
      </c>
      <c r="H23" s="20">
        <v>63000</v>
      </c>
      <c r="I23" s="22">
        <v>1101</v>
      </c>
      <c r="J23" s="66">
        <f t="shared" si="1"/>
        <v>2.2687609075043629E-2</v>
      </c>
      <c r="K23" s="67">
        <f t="shared" si="2"/>
        <v>2.1503496503496502E-2</v>
      </c>
      <c r="L23" s="68">
        <f t="shared" si="3"/>
        <v>1.8412698412698412E-2</v>
      </c>
    </row>
    <row r="24" spans="1:12" x14ac:dyDescent="0.25">
      <c r="A24" s="48" t="s">
        <v>94</v>
      </c>
      <c r="B24" s="21">
        <v>1200</v>
      </c>
      <c r="C24" s="20">
        <v>1200</v>
      </c>
      <c r="D24" s="20">
        <v>1240</v>
      </c>
      <c r="E24" s="22">
        <v>1033</v>
      </c>
      <c r="F24" s="21">
        <v>60000</v>
      </c>
      <c r="G24" s="20">
        <v>59900</v>
      </c>
      <c r="H24" s="20">
        <v>50000</v>
      </c>
      <c r="I24" s="22">
        <v>835</v>
      </c>
      <c r="J24" s="66">
        <f t="shared" si="1"/>
        <v>0.02</v>
      </c>
      <c r="K24" s="67">
        <f t="shared" si="2"/>
        <v>2.003338898163606E-2</v>
      </c>
      <c r="L24" s="68">
        <f t="shared" si="3"/>
        <v>2.4799999999999999E-2</v>
      </c>
    </row>
    <row r="25" spans="1:12" x14ac:dyDescent="0.25">
      <c r="A25" s="48" t="s">
        <v>95</v>
      </c>
      <c r="B25" s="21">
        <v>1130</v>
      </c>
      <c r="C25" s="20">
        <v>1130</v>
      </c>
      <c r="D25" s="20">
        <v>1330</v>
      </c>
      <c r="E25" s="22">
        <v>1177</v>
      </c>
      <c r="F25" s="21">
        <v>56900</v>
      </c>
      <c r="G25" s="20">
        <v>56800</v>
      </c>
      <c r="H25" s="20">
        <v>53000</v>
      </c>
      <c r="I25" s="22">
        <v>933</v>
      </c>
      <c r="J25" s="66">
        <f t="shared" si="1"/>
        <v>1.9859402460456942E-2</v>
      </c>
      <c r="K25" s="67">
        <f t="shared" si="2"/>
        <v>1.98943661971831E-2</v>
      </c>
      <c r="L25" s="68">
        <f t="shared" si="3"/>
        <v>2.5094339622641508E-2</v>
      </c>
    </row>
    <row r="26" spans="1:12" x14ac:dyDescent="0.25">
      <c r="A26" s="48" t="s">
        <v>96</v>
      </c>
      <c r="B26" s="21">
        <v>700</v>
      </c>
      <c r="C26" s="20">
        <v>700</v>
      </c>
      <c r="D26" s="20">
        <v>800</v>
      </c>
      <c r="E26" s="22">
        <v>1143</v>
      </c>
      <c r="F26" s="21">
        <v>25800</v>
      </c>
      <c r="G26" s="20">
        <v>25300</v>
      </c>
      <c r="H26" s="20">
        <v>23500</v>
      </c>
      <c r="I26" s="22">
        <v>929</v>
      </c>
      <c r="J26" s="66">
        <f t="shared" si="1"/>
        <v>2.7131782945736434E-2</v>
      </c>
      <c r="K26" s="67">
        <f t="shared" si="2"/>
        <v>2.766798418972332E-2</v>
      </c>
      <c r="L26" s="68">
        <f t="shared" si="3"/>
        <v>3.4042553191489362E-2</v>
      </c>
    </row>
    <row r="27" spans="1:12" x14ac:dyDescent="0.25">
      <c r="A27" s="48" t="s">
        <v>97</v>
      </c>
      <c r="B27" s="21">
        <v>500</v>
      </c>
      <c r="C27" s="20">
        <v>500</v>
      </c>
      <c r="D27" s="20">
        <v>400</v>
      </c>
      <c r="E27" s="22">
        <v>800</v>
      </c>
      <c r="F27" s="21">
        <v>59000</v>
      </c>
      <c r="G27" s="20">
        <v>58000</v>
      </c>
      <c r="H27" s="20">
        <v>57500</v>
      </c>
      <c r="I27" s="22">
        <v>991</v>
      </c>
      <c r="J27" s="66">
        <f t="shared" si="1"/>
        <v>8.4745762711864406E-3</v>
      </c>
      <c r="K27" s="67">
        <f t="shared" si="2"/>
        <v>8.6206896551724137E-3</v>
      </c>
      <c r="L27" s="68">
        <f t="shared" si="3"/>
        <v>6.956521739130435E-3</v>
      </c>
    </row>
    <row r="28" spans="1:12" x14ac:dyDescent="0.25">
      <c r="A28" s="48" t="s">
        <v>98</v>
      </c>
      <c r="B28" s="21">
        <v>300</v>
      </c>
      <c r="C28" s="20">
        <v>300</v>
      </c>
      <c r="D28" s="20">
        <v>240</v>
      </c>
      <c r="E28" s="22">
        <v>800</v>
      </c>
      <c r="F28" s="21">
        <v>46500</v>
      </c>
      <c r="G28" s="20">
        <v>46310</v>
      </c>
      <c r="H28" s="20">
        <v>48000</v>
      </c>
      <c r="I28" s="22">
        <v>1036</v>
      </c>
      <c r="J28" s="66">
        <f t="shared" si="1"/>
        <v>6.4516129032258064E-3</v>
      </c>
      <c r="K28" s="67">
        <f t="shared" si="2"/>
        <v>6.4780824875836753E-3</v>
      </c>
      <c r="L28" s="68">
        <f t="shared" si="3"/>
        <v>5.0000000000000001E-3</v>
      </c>
    </row>
    <row r="29" spans="1:12" x14ac:dyDescent="0.25">
      <c r="A29" s="48" t="s">
        <v>99</v>
      </c>
      <c r="B29" s="21">
        <v>270</v>
      </c>
      <c r="C29" s="20">
        <v>240</v>
      </c>
      <c r="D29" s="20">
        <v>200</v>
      </c>
      <c r="E29" s="22">
        <v>833</v>
      </c>
      <c r="F29" s="21">
        <v>59100</v>
      </c>
      <c r="G29" s="20">
        <v>58880</v>
      </c>
      <c r="H29" s="20">
        <v>59500</v>
      </c>
      <c r="I29" s="22">
        <v>1011</v>
      </c>
      <c r="J29" s="66">
        <f t="shared" si="1"/>
        <v>4.5685279187817262E-3</v>
      </c>
      <c r="K29" s="67">
        <f t="shared" si="2"/>
        <v>4.076086956521739E-3</v>
      </c>
      <c r="L29" s="68">
        <f t="shared" si="3"/>
        <v>3.3613445378151263E-3</v>
      </c>
    </row>
    <row r="30" spans="1:12" x14ac:dyDescent="0.25">
      <c r="A30" s="48" t="s">
        <v>100</v>
      </c>
      <c r="B30" s="21">
        <v>230</v>
      </c>
      <c r="C30" s="20">
        <v>230</v>
      </c>
      <c r="D30" s="20">
        <v>180</v>
      </c>
      <c r="E30" s="22">
        <v>783</v>
      </c>
      <c r="F30" s="21">
        <v>58200</v>
      </c>
      <c r="G30" s="20">
        <v>58060</v>
      </c>
      <c r="H30" s="20">
        <v>56900</v>
      </c>
      <c r="I30" s="22">
        <v>980</v>
      </c>
      <c r="J30" s="66">
        <f t="shared" si="1"/>
        <v>3.951890034364261E-3</v>
      </c>
      <c r="K30" s="67">
        <f t="shared" si="2"/>
        <v>3.9614192214950054E-3</v>
      </c>
      <c r="L30" s="68">
        <f t="shared" si="3"/>
        <v>3.1634446397188049E-3</v>
      </c>
    </row>
    <row r="31" spans="1:12" x14ac:dyDescent="0.25">
      <c r="A31" s="48" t="s">
        <v>101</v>
      </c>
      <c r="B31" s="21">
        <v>200</v>
      </c>
      <c r="C31" s="20">
        <v>200</v>
      </c>
      <c r="D31" s="20">
        <v>200</v>
      </c>
      <c r="E31" s="22">
        <v>1000</v>
      </c>
      <c r="F31" s="21">
        <v>40200</v>
      </c>
      <c r="G31" s="20">
        <v>39200</v>
      </c>
      <c r="H31" s="20">
        <v>42200</v>
      </c>
      <c r="I31" s="22">
        <v>1077</v>
      </c>
      <c r="J31" s="66">
        <f t="shared" si="1"/>
        <v>4.9751243781094526E-3</v>
      </c>
      <c r="K31" s="67">
        <f t="shared" si="2"/>
        <v>5.1020408163265302E-3</v>
      </c>
      <c r="L31" s="68">
        <f t="shared" si="3"/>
        <v>4.7393364928909956E-3</v>
      </c>
    </row>
    <row r="32" spans="1:12" x14ac:dyDescent="0.25">
      <c r="A32" s="48" t="s">
        <v>102</v>
      </c>
      <c r="B32" s="21">
        <v>100</v>
      </c>
      <c r="C32" s="20">
        <v>100</v>
      </c>
      <c r="D32" s="20">
        <v>120</v>
      </c>
      <c r="E32" s="22">
        <v>1200</v>
      </c>
      <c r="F32" s="21">
        <v>35100</v>
      </c>
      <c r="G32" s="20">
        <v>33100</v>
      </c>
      <c r="H32" s="20">
        <v>32120</v>
      </c>
      <c r="I32" s="22">
        <v>970</v>
      </c>
      <c r="J32" s="66">
        <f t="shared" si="1"/>
        <v>2.8490028490028491E-3</v>
      </c>
      <c r="K32" s="67">
        <f t="shared" si="2"/>
        <v>3.0211480362537764E-3</v>
      </c>
      <c r="L32" s="68">
        <f t="shared" si="3"/>
        <v>3.7359900373599006E-3</v>
      </c>
    </row>
    <row r="33" spans="1:12" x14ac:dyDescent="0.25">
      <c r="A33" s="48" t="s">
        <v>103</v>
      </c>
      <c r="B33" s="21">
        <v>25</v>
      </c>
      <c r="C33" s="20">
        <v>25</v>
      </c>
      <c r="D33" s="20">
        <v>25</v>
      </c>
      <c r="E33" s="22">
        <v>1000</v>
      </c>
      <c r="F33" s="21">
        <v>30235</v>
      </c>
      <c r="G33" s="20">
        <v>28775</v>
      </c>
      <c r="H33" s="20">
        <v>33242</v>
      </c>
      <c r="I33" s="22">
        <v>1155</v>
      </c>
      <c r="J33" s="66">
        <f t="shared" si="1"/>
        <v>8.2685629237638498E-4</v>
      </c>
      <c r="K33" s="67">
        <f t="shared" si="2"/>
        <v>8.6880973066898344E-4</v>
      </c>
      <c r="L33" s="68">
        <f t="shared" si="3"/>
        <v>7.5206064617050722E-4</v>
      </c>
    </row>
    <row r="34" spans="1:12" x14ac:dyDescent="0.25">
      <c r="A34" s="48" t="s">
        <v>104</v>
      </c>
      <c r="B34" s="21">
        <v>75</v>
      </c>
      <c r="C34" s="20">
        <v>75</v>
      </c>
      <c r="D34" s="20">
        <v>81</v>
      </c>
      <c r="E34" s="22">
        <v>1080</v>
      </c>
      <c r="F34" s="21">
        <v>22380</v>
      </c>
      <c r="G34" s="20">
        <v>21220</v>
      </c>
      <c r="H34" s="20">
        <v>23059</v>
      </c>
      <c r="I34" s="22">
        <v>1087</v>
      </c>
      <c r="J34" s="66">
        <f t="shared" si="1"/>
        <v>3.351206434316354E-3</v>
      </c>
      <c r="K34" s="67">
        <f t="shared" si="2"/>
        <v>3.5344015080113101E-3</v>
      </c>
      <c r="L34" s="68">
        <f t="shared" si="3"/>
        <v>3.5127282189166917E-3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>
        <v>20975</v>
      </c>
      <c r="G35" s="20">
        <v>20305</v>
      </c>
      <c r="H35" s="20">
        <v>22717</v>
      </c>
      <c r="I35" s="22">
        <v>1119</v>
      </c>
      <c r="J35" s="66" t="e">
        <f t="shared" si="1"/>
        <v>#N/A</v>
      </c>
      <c r="K35" s="67" t="e">
        <f t="shared" si="2"/>
        <v>#N/A</v>
      </c>
      <c r="L35" s="68" t="e">
        <f t="shared" si="3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>
        <v>19900</v>
      </c>
      <c r="G36" s="20">
        <v>18685</v>
      </c>
      <c r="H36" s="20">
        <v>17697</v>
      </c>
      <c r="I36" s="22">
        <v>947</v>
      </c>
      <c r="J36" s="66" t="e">
        <f t="shared" si="1"/>
        <v>#N/A</v>
      </c>
      <c r="K36" s="67" t="e">
        <f t="shared" si="2"/>
        <v>#N/A</v>
      </c>
      <c r="L36" s="68" t="e">
        <f t="shared" si="3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>
        <v>24645</v>
      </c>
      <c r="G37" s="20">
        <v>23985</v>
      </c>
      <c r="H37" s="20">
        <v>24976</v>
      </c>
      <c r="I37" s="22">
        <v>1041</v>
      </c>
      <c r="J37" s="66" t="e">
        <f t="shared" si="1"/>
        <v>#N/A</v>
      </c>
      <c r="K37" s="67" t="e">
        <f t="shared" si="2"/>
        <v>#N/A</v>
      </c>
      <c r="L37" s="68" t="e">
        <f t="shared" si="3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>
        <v>24930</v>
      </c>
      <c r="G38" s="20">
        <v>24330</v>
      </c>
      <c r="H38" s="20">
        <v>29493</v>
      </c>
      <c r="I38" s="22">
        <v>1212</v>
      </c>
      <c r="J38" s="66" t="e">
        <f t="shared" si="1"/>
        <v>#N/A</v>
      </c>
      <c r="K38" s="67" t="e">
        <f t="shared" si="2"/>
        <v>#N/A</v>
      </c>
      <c r="L38" s="68" t="e">
        <f t="shared" si="3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>
        <v>26725</v>
      </c>
      <c r="G39" s="20">
        <v>26110</v>
      </c>
      <c r="H39" s="20">
        <v>23917</v>
      </c>
      <c r="I39" s="22">
        <v>916</v>
      </c>
      <c r="J39" s="66" t="e">
        <f t="shared" si="1"/>
        <v>#N/A</v>
      </c>
      <c r="K39" s="67" t="e">
        <f t="shared" si="2"/>
        <v>#N/A</v>
      </c>
      <c r="L39" s="68" t="e">
        <f t="shared" si="3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>
        <v>23885</v>
      </c>
      <c r="G40" s="20">
        <v>23415</v>
      </c>
      <c r="H40" s="20">
        <v>22217</v>
      </c>
      <c r="I40" s="22">
        <v>949</v>
      </c>
      <c r="J40" s="66" t="e">
        <f t="shared" si="1"/>
        <v>#N/A</v>
      </c>
      <c r="K40" s="67" t="e">
        <f t="shared" si="2"/>
        <v>#N/A</v>
      </c>
      <c r="L40" s="68" t="e">
        <f t="shared" si="3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>
        <v>20055</v>
      </c>
      <c r="G41" s="20">
        <v>19825</v>
      </c>
      <c r="H41" s="20">
        <v>19255</v>
      </c>
      <c r="I41" s="22">
        <v>971</v>
      </c>
      <c r="J41" s="66" t="e">
        <f t="shared" si="1"/>
        <v>#N/A</v>
      </c>
      <c r="K41" s="67" t="e">
        <f t="shared" si="2"/>
        <v>#N/A</v>
      </c>
      <c r="L41" s="68" t="e">
        <f t="shared" si="3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15940</v>
      </c>
      <c r="G42" s="20">
        <v>15575</v>
      </c>
      <c r="H42" s="20">
        <v>16660</v>
      </c>
      <c r="I42" s="22">
        <v>1070</v>
      </c>
      <c r="J42" s="66" t="e">
        <f t="shared" si="1"/>
        <v>#N/A</v>
      </c>
      <c r="K42" s="67" t="e">
        <f t="shared" si="2"/>
        <v>#N/A</v>
      </c>
      <c r="L42" s="68" t="e">
        <f t="shared" si="3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19095</v>
      </c>
      <c r="G43" s="20">
        <v>18460</v>
      </c>
      <c r="H43" s="20">
        <v>18216</v>
      </c>
      <c r="I43" s="22">
        <v>987</v>
      </c>
      <c r="J43" s="66" t="e">
        <f t="shared" si="1"/>
        <v>#N/A</v>
      </c>
      <c r="K43" s="67" t="e">
        <f t="shared" si="2"/>
        <v>#N/A</v>
      </c>
      <c r="L43" s="68" t="e">
        <f t="shared" si="3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>
        <v>16300</v>
      </c>
      <c r="G44" s="20">
        <v>16125</v>
      </c>
      <c r="H44" s="20">
        <v>17456</v>
      </c>
      <c r="I44" s="22">
        <v>1083</v>
      </c>
      <c r="J44" s="66" t="e">
        <f t="shared" si="1"/>
        <v>#N/A</v>
      </c>
      <c r="K44" s="67" t="e">
        <f t="shared" si="2"/>
        <v>#N/A</v>
      </c>
      <c r="L44" s="68" t="e">
        <f t="shared" si="3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15545</v>
      </c>
      <c r="G45" s="20">
        <v>15395</v>
      </c>
      <c r="H45" s="20">
        <v>16502</v>
      </c>
      <c r="I45" s="22">
        <v>1072</v>
      </c>
      <c r="J45" s="66" t="e">
        <f t="shared" si="1"/>
        <v>#N/A</v>
      </c>
      <c r="K45" s="67" t="e">
        <f t="shared" si="2"/>
        <v>#N/A</v>
      </c>
      <c r="L45" s="68" t="e">
        <f t="shared" si="3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13320</v>
      </c>
      <c r="G46" s="20">
        <v>13260</v>
      </c>
      <c r="H46" s="20">
        <v>14704</v>
      </c>
      <c r="I46" s="22">
        <v>1109</v>
      </c>
      <c r="J46" s="66" t="e">
        <f t="shared" si="1"/>
        <v>#N/A</v>
      </c>
      <c r="K46" s="67" t="e">
        <f t="shared" si="2"/>
        <v>#N/A</v>
      </c>
      <c r="L46" s="68" t="e">
        <f t="shared" si="3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8650</v>
      </c>
      <c r="G47" s="20">
        <v>8570</v>
      </c>
      <c r="H47" s="20">
        <v>8930</v>
      </c>
      <c r="I47" s="22">
        <v>1042</v>
      </c>
      <c r="J47" s="66" t="e">
        <f t="shared" si="1"/>
        <v>#N/A</v>
      </c>
      <c r="K47" s="67" t="e">
        <f t="shared" si="2"/>
        <v>#N/A</v>
      </c>
      <c r="L47" s="68" t="e">
        <f t="shared" si="3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11200</v>
      </c>
      <c r="G48" s="20">
        <v>10215</v>
      </c>
      <c r="H48" s="20">
        <v>9050</v>
      </c>
      <c r="I48" s="22">
        <v>886</v>
      </c>
      <c r="J48" s="66" t="e">
        <f t="shared" si="1"/>
        <v>#N/A</v>
      </c>
      <c r="K48" s="67" t="e">
        <f t="shared" si="2"/>
        <v>#N/A</v>
      </c>
      <c r="L48" s="68" t="e">
        <f t="shared" si="3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11280</v>
      </c>
      <c r="G49" s="20">
        <v>11065</v>
      </c>
      <c r="H49" s="20">
        <v>10023</v>
      </c>
      <c r="I49" s="22">
        <v>906</v>
      </c>
      <c r="J49" s="66" t="e">
        <f t="shared" si="1"/>
        <v>#N/A</v>
      </c>
      <c r="K49" s="67" t="e">
        <f t="shared" si="2"/>
        <v>#N/A</v>
      </c>
      <c r="L49" s="68" t="e">
        <f t="shared" si="3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11050</v>
      </c>
      <c r="G50" s="20">
        <v>10480</v>
      </c>
      <c r="H50" s="20">
        <v>9765</v>
      </c>
      <c r="I50" s="22">
        <v>932</v>
      </c>
      <c r="J50" s="66" t="e">
        <f t="shared" si="1"/>
        <v>#N/A</v>
      </c>
      <c r="K50" s="67" t="e">
        <f t="shared" si="2"/>
        <v>#N/A</v>
      </c>
      <c r="L50" s="68" t="e">
        <f t="shared" si="3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17010</v>
      </c>
      <c r="G51" s="20">
        <v>16685</v>
      </c>
      <c r="H51" s="20">
        <v>27421</v>
      </c>
      <c r="I51" s="22">
        <v>1643</v>
      </c>
      <c r="J51" s="66" t="e">
        <f t="shared" si="1"/>
        <v>#N/A</v>
      </c>
      <c r="K51" s="67" t="e">
        <f t="shared" si="2"/>
        <v>#N/A</v>
      </c>
      <c r="L51" s="68" t="e">
        <f t="shared" si="3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>
        <v>14400</v>
      </c>
      <c r="G52" s="20">
        <v>14270</v>
      </c>
      <c r="H52" s="20">
        <v>23280</v>
      </c>
      <c r="I52" s="22">
        <v>1631</v>
      </c>
      <c r="J52" s="66" t="e">
        <f t="shared" si="1"/>
        <v>#N/A</v>
      </c>
      <c r="K52" s="67" t="e">
        <f t="shared" si="2"/>
        <v>#N/A</v>
      </c>
      <c r="L52" s="68" t="e">
        <f t="shared" si="3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14240</v>
      </c>
      <c r="G53" s="20">
        <v>13940</v>
      </c>
      <c r="H53" s="20">
        <v>18204</v>
      </c>
      <c r="I53" s="22">
        <v>1306</v>
      </c>
      <c r="J53" s="66" t="e">
        <f t="shared" si="1"/>
        <v>#N/A</v>
      </c>
      <c r="K53" s="67" t="e">
        <f t="shared" si="2"/>
        <v>#N/A</v>
      </c>
      <c r="L53" s="68" t="e">
        <f t="shared" si="3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28270</v>
      </c>
      <c r="G54" s="20">
        <v>28270</v>
      </c>
      <c r="H54" s="20">
        <v>52970</v>
      </c>
      <c r="I54" s="22">
        <v>1874</v>
      </c>
      <c r="J54" s="66" t="e">
        <f t="shared" si="1"/>
        <v>#N/A</v>
      </c>
      <c r="K54" s="67" t="e">
        <f t="shared" si="2"/>
        <v>#N/A</v>
      </c>
      <c r="L54" s="68" t="e">
        <f t="shared" si="3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26129</v>
      </c>
      <c r="G55" s="20">
        <v>24235</v>
      </c>
      <c r="H55" s="20">
        <v>31657</v>
      </c>
      <c r="I55" s="22">
        <v>1306</v>
      </c>
      <c r="J55" s="66" t="e">
        <f t="shared" si="1"/>
        <v>#N/A</v>
      </c>
      <c r="K55" s="67" t="e">
        <f t="shared" si="2"/>
        <v>#N/A</v>
      </c>
      <c r="L55" s="68" t="e">
        <f t="shared" si="3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19314</v>
      </c>
      <c r="G56" s="20">
        <v>19139</v>
      </c>
      <c r="H56" s="20">
        <v>29479</v>
      </c>
      <c r="I56" s="22">
        <v>1540</v>
      </c>
      <c r="J56" s="66" t="e">
        <f t="shared" si="1"/>
        <v>#N/A</v>
      </c>
      <c r="K56" s="67" t="e">
        <f t="shared" si="2"/>
        <v>#N/A</v>
      </c>
      <c r="L56" s="68" t="e">
        <f t="shared" si="3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31740</v>
      </c>
      <c r="G57" s="20">
        <v>31740</v>
      </c>
      <c r="H57" s="20">
        <v>44354</v>
      </c>
      <c r="I57" s="22">
        <v>1397</v>
      </c>
      <c r="J57" s="66" t="e">
        <f t="shared" si="1"/>
        <v>#N/A</v>
      </c>
      <c r="K57" s="67" t="e">
        <f t="shared" si="2"/>
        <v>#N/A</v>
      </c>
      <c r="L57" s="68" t="e">
        <f t="shared" si="3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14595</v>
      </c>
      <c r="G58" s="20">
        <v>14495</v>
      </c>
      <c r="H58" s="20">
        <v>22278</v>
      </c>
      <c r="I58" s="22">
        <v>1537</v>
      </c>
      <c r="J58" s="66" t="e">
        <f t="shared" si="1"/>
        <v>#N/A</v>
      </c>
      <c r="K58" s="67" t="e">
        <f t="shared" si="2"/>
        <v>#N/A</v>
      </c>
      <c r="L58" s="68" t="e">
        <f t="shared" si="3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27108</v>
      </c>
      <c r="G59" s="20">
        <v>26708</v>
      </c>
      <c r="H59" s="20">
        <v>41137</v>
      </c>
      <c r="I59" s="22">
        <v>1540</v>
      </c>
      <c r="J59" s="66" t="e">
        <f t="shared" si="1"/>
        <v>#N/A</v>
      </c>
      <c r="K59" s="67" t="e">
        <f t="shared" si="2"/>
        <v>#N/A</v>
      </c>
      <c r="L59" s="68" t="e">
        <f t="shared" si="3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14754</v>
      </c>
      <c r="G60" s="20">
        <v>14754</v>
      </c>
      <c r="H60" s="20">
        <v>20544</v>
      </c>
      <c r="I60" s="22">
        <v>1392</v>
      </c>
      <c r="J60" s="66" t="e">
        <f t="shared" si="1"/>
        <v>#N/A</v>
      </c>
      <c r="K60" s="67" t="e">
        <f t="shared" si="2"/>
        <v>#N/A</v>
      </c>
      <c r="L60" s="68" t="e">
        <f t="shared" si="3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>
        <v>30272</v>
      </c>
      <c r="G61" s="20">
        <v>30272</v>
      </c>
      <c r="H61" s="20">
        <v>44328</v>
      </c>
      <c r="I61" s="22">
        <v>1464</v>
      </c>
      <c r="J61" s="66" t="e">
        <f t="shared" si="1"/>
        <v>#N/A</v>
      </c>
      <c r="K61" s="67" t="e">
        <f t="shared" si="2"/>
        <v>#N/A</v>
      </c>
      <c r="L61" s="68" t="e">
        <f t="shared" si="3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>
        <v>27506</v>
      </c>
      <c r="G62" s="20">
        <v>27506</v>
      </c>
      <c r="H62" s="20">
        <v>36114</v>
      </c>
      <c r="I62" s="22">
        <v>1313</v>
      </c>
      <c r="J62" s="66" t="e">
        <f t="shared" si="1"/>
        <v>#N/A</v>
      </c>
      <c r="K62" s="67" t="e">
        <f t="shared" si="2"/>
        <v>#N/A</v>
      </c>
      <c r="L62" s="68" t="e">
        <f t="shared" si="3"/>
        <v>#N/A</v>
      </c>
    </row>
    <row r="63" spans="1:12" x14ac:dyDescent="0.25">
      <c r="A63" s="49" t="s">
        <v>49</v>
      </c>
      <c r="B63" s="21">
        <v>230</v>
      </c>
      <c r="C63" s="20">
        <v>230</v>
      </c>
      <c r="D63" s="20">
        <v>115</v>
      </c>
      <c r="E63" s="22">
        <v>500</v>
      </c>
      <c r="F63" s="21">
        <v>37105</v>
      </c>
      <c r="G63" s="20">
        <v>36665</v>
      </c>
      <c r="H63" s="20">
        <v>40693</v>
      </c>
      <c r="I63" s="22">
        <v>1110</v>
      </c>
      <c r="J63" s="66">
        <f t="shared" si="1"/>
        <v>6.1986255221668238E-3</v>
      </c>
      <c r="K63" s="67">
        <f t="shared" si="2"/>
        <v>6.2730124096549841E-3</v>
      </c>
      <c r="L63" s="68">
        <f t="shared" si="3"/>
        <v>2.8260388764652397E-3</v>
      </c>
    </row>
    <row r="64" spans="1:12" x14ac:dyDescent="0.25">
      <c r="A64" s="49" t="s">
        <v>50</v>
      </c>
      <c r="B64" s="21">
        <v>704</v>
      </c>
      <c r="C64" s="20">
        <v>704</v>
      </c>
      <c r="D64" s="20">
        <v>352</v>
      </c>
      <c r="E64" s="22">
        <v>500</v>
      </c>
      <c r="F64" s="21">
        <v>41232</v>
      </c>
      <c r="G64" s="20">
        <v>40732</v>
      </c>
      <c r="H64" s="20">
        <v>58441</v>
      </c>
      <c r="I64" s="22">
        <v>1435</v>
      </c>
      <c r="J64" s="66">
        <f t="shared" si="1"/>
        <v>1.7074117190531625E-2</v>
      </c>
      <c r="K64" s="67">
        <f t="shared" si="2"/>
        <v>1.7283708141019347E-2</v>
      </c>
      <c r="L64" s="68">
        <f t="shared" si="3"/>
        <v>6.0231686658339181E-3</v>
      </c>
    </row>
    <row r="65" spans="1:12" x14ac:dyDescent="0.25">
      <c r="A65" s="49" t="s">
        <v>51</v>
      </c>
      <c r="B65" s="21">
        <v>250</v>
      </c>
      <c r="C65" s="20">
        <v>250</v>
      </c>
      <c r="D65" s="20">
        <v>375</v>
      </c>
      <c r="E65" s="22">
        <v>1500</v>
      </c>
      <c r="F65" s="21">
        <v>32541</v>
      </c>
      <c r="G65" s="20">
        <v>31721</v>
      </c>
      <c r="H65" s="20">
        <v>40828</v>
      </c>
      <c r="I65" s="22">
        <v>1287</v>
      </c>
      <c r="J65" s="66">
        <f t="shared" si="1"/>
        <v>7.6826157770197596E-3</v>
      </c>
      <c r="K65" s="67">
        <f t="shared" si="2"/>
        <v>7.881214337505122E-3</v>
      </c>
      <c r="L65" s="68">
        <f t="shared" si="3"/>
        <v>9.1848731262858824E-3</v>
      </c>
    </row>
    <row r="66" spans="1:12" x14ac:dyDescent="0.25">
      <c r="A66" s="49" t="s">
        <v>52</v>
      </c>
      <c r="B66" s="21">
        <v>125</v>
      </c>
      <c r="C66" s="20">
        <v>125</v>
      </c>
      <c r="D66" s="20">
        <v>125</v>
      </c>
      <c r="E66" s="22">
        <v>1000</v>
      </c>
      <c r="F66" s="21">
        <v>32592</v>
      </c>
      <c r="G66" s="20">
        <v>32570</v>
      </c>
      <c r="H66" s="20">
        <v>60752</v>
      </c>
      <c r="I66" s="22">
        <v>1865</v>
      </c>
      <c r="J66" s="66">
        <f t="shared" si="1"/>
        <v>3.835297005400098E-3</v>
      </c>
      <c r="K66" s="67">
        <f t="shared" si="2"/>
        <v>3.8378876266502919E-3</v>
      </c>
      <c r="L66" s="68">
        <f t="shared" si="3"/>
        <v>2.0575454306031079E-3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" si="4">B67/F67</f>
        <v>#N/A</v>
      </c>
      <c r="K67" s="67" t="e">
        <f t="shared" ref="K67" si="5">C67/G67</f>
        <v>#N/A</v>
      </c>
      <c r="L67" s="68" t="e">
        <f t="shared" ref="L67" si="6">D67/H67</f>
        <v>#N/A</v>
      </c>
    </row>
  </sheetData>
  <mergeCells count="1">
    <mergeCell ref="A8:A9"/>
  </mergeCells>
  <hyperlinks>
    <hyperlink ref="A5" location="Índice!A1" display="VOLVER AL INDICE" xr:uid="{16699291-D076-4797-A199-6B5FAEF3949C}"/>
  </hyperlinks>
  <pageMargins left="0.7" right="0.7" top="0.75" bottom="0.75" header="0.3" footer="0.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4875-A8E8-4095-B355-D8A07F382B6E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10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71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13800</v>
      </c>
      <c r="C10" s="40">
        <v>12900</v>
      </c>
      <c r="D10" s="40">
        <v>37200</v>
      </c>
      <c r="E10" s="50">
        <v>2884</v>
      </c>
      <c r="F10" s="41">
        <v>109300</v>
      </c>
      <c r="G10" s="40">
        <v>101900</v>
      </c>
      <c r="H10" s="40">
        <v>407000</v>
      </c>
      <c r="I10" s="50">
        <v>3994</v>
      </c>
      <c r="J10" s="63">
        <f>B10/F10</f>
        <v>0.12625800548947849</v>
      </c>
      <c r="K10" s="64">
        <f t="shared" ref="K10:L25" si="0">C10/G10</f>
        <v>0.12659470068694798</v>
      </c>
      <c r="L10" s="65">
        <f t="shared" si="0"/>
        <v>9.1400491400491404E-2</v>
      </c>
    </row>
    <row r="11" spans="1:12" x14ac:dyDescent="0.25">
      <c r="A11" s="48" t="s">
        <v>81</v>
      </c>
      <c r="B11" s="21">
        <v>14500</v>
      </c>
      <c r="C11" s="20">
        <v>13500</v>
      </c>
      <c r="D11" s="20">
        <v>40000</v>
      </c>
      <c r="E11" s="22">
        <v>2963</v>
      </c>
      <c r="F11" s="21">
        <v>81200</v>
      </c>
      <c r="G11" s="20">
        <v>77200</v>
      </c>
      <c r="H11" s="20">
        <v>288000</v>
      </c>
      <c r="I11" s="22">
        <v>3731</v>
      </c>
      <c r="J11" s="66">
        <f t="shared" ref="J11:L66" si="1">B11/F11</f>
        <v>0.17857142857142858</v>
      </c>
      <c r="K11" s="67">
        <f t="shared" si="0"/>
        <v>0.17487046632124353</v>
      </c>
      <c r="L11" s="68">
        <f t="shared" si="0"/>
        <v>0.1388888888888889</v>
      </c>
    </row>
    <row r="12" spans="1:12" x14ac:dyDescent="0.25">
      <c r="A12" s="48" t="s">
        <v>82</v>
      </c>
      <c r="B12" s="21">
        <v>15000</v>
      </c>
      <c r="C12" s="20">
        <v>13650</v>
      </c>
      <c r="D12" s="20">
        <v>39000</v>
      </c>
      <c r="E12" s="22">
        <v>2857</v>
      </c>
      <c r="F12" s="21">
        <v>93200</v>
      </c>
      <c r="G12" s="20">
        <v>83100</v>
      </c>
      <c r="H12" s="20">
        <v>294000</v>
      </c>
      <c r="I12" s="22">
        <v>3538</v>
      </c>
      <c r="J12" s="66">
        <f t="shared" si="1"/>
        <v>0.1609442060085837</v>
      </c>
      <c r="K12" s="67">
        <f t="shared" si="0"/>
        <v>0.16425992779783394</v>
      </c>
      <c r="L12" s="68">
        <f t="shared" si="0"/>
        <v>0.1326530612244898</v>
      </c>
    </row>
    <row r="13" spans="1:12" x14ac:dyDescent="0.25">
      <c r="A13" s="48" t="s">
        <v>83</v>
      </c>
      <c r="B13" s="21">
        <v>11000</v>
      </c>
      <c r="C13" s="20">
        <v>9580</v>
      </c>
      <c r="D13" s="20">
        <v>23850</v>
      </c>
      <c r="E13" s="22">
        <v>2490</v>
      </c>
      <c r="F13" s="21">
        <v>86400</v>
      </c>
      <c r="G13" s="20">
        <v>76550</v>
      </c>
      <c r="H13" s="20">
        <v>260000</v>
      </c>
      <c r="I13" s="22">
        <v>3396</v>
      </c>
      <c r="J13" s="66">
        <f t="shared" si="1"/>
        <v>0.12731481481481483</v>
      </c>
      <c r="K13" s="67">
        <f t="shared" si="0"/>
        <v>0.12514696276943174</v>
      </c>
      <c r="L13" s="68">
        <f t="shared" si="0"/>
        <v>9.1730769230769227E-2</v>
      </c>
    </row>
    <row r="14" spans="1:12" x14ac:dyDescent="0.25">
      <c r="A14" s="48" t="s">
        <v>84</v>
      </c>
      <c r="B14" s="21">
        <v>10400</v>
      </c>
      <c r="C14" s="20">
        <v>8530</v>
      </c>
      <c r="D14" s="20">
        <v>25300</v>
      </c>
      <c r="E14" s="22">
        <v>2966</v>
      </c>
      <c r="F14" s="21">
        <v>88700</v>
      </c>
      <c r="G14" s="20">
        <v>82700</v>
      </c>
      <c r="H14" s="20">
        <v>316000</v>
      </c>
      <c r="I14" s="22">
        <v>3821</v>
      </c>
      <c r="J14" s="66">
        <f t="shared" si="1"/>
        <v>0.11724915445321307</v>
      </c>
      <c r="K14" s="67">
        <f t="shared" si="0"/>
        <v>0.10314389359129383</v>
      </c>
      <c r="L14" s="68">
        <f t="shared" si="0"/>
        <v>8.0063291139240503E-2</v>
      </c>
    </row>
    <row r="15" spans="1:12" x14ac:dyDescent="0.25">
      <c r="A15" s="48" t="s">
        <v>85</v>
      </c>
      <c r="B15" s="21">
        <v>10560</v>
      </c>
      <c r="C15" s="20">
        <v>9410</v>
      </c>
      <c r="D15" s="20">
        <v>27000</v>
      </c>
      <c r="E15" s="22">
        <v>2869</v>
      </c>
      <c r="F15" s="21">
        <v>96500</v>
      </c>
      <c r="G15" s="20">
        <v>92500</v>
      </c>
      <c r="H15" s="20">
        <v>351000</v>
      </c>
      <c r="I15" s="22">
        <v>3795</v>
      </c>
      <c r="J15" s="66">
        <f t="shared" si="1"/>
        <v>0.1094300518134715</v>
      </c>
      <c r="K15" s="67">
        <f t="shared" si="0"/>
        <v>0.10172972972972973</v>
      </c>
      <c r="L15" s="68">
        <f t="shared" si="0"/>
        <v>7.6923076923076927E-2</v>
      </c>
    </row>
    <row r="16" spans="1:12" x14ac:dyDescent="0.25">
      <c r="A16" s="48" t="s">
        <v>86</v>
      </c>
      <c r="B16" s="21">
        <v>11535</v>
      </c>
      <c r="C16" s="20">
        <v>10845</v>
      </c>
      <c r="D16" s="20">
        <v>33000</v>
      </c>
      <c r="E16" s="22">
        <v>3043</v>
      </c>
      <c r="F16" s="21">
        <v>91100</v>
      </c>
      <c r="G16" s="20">
        <v>87270</v>
      </c>
      <c r="H16" s="20">
        <v>309000</v>
      </c>
      <c r="I16" s="22">
        <v>3541</v>
      </c>
      <c r="J16" s="66">
        <f t="shared" si="1"/>
        <v>0.12661909989023051</v>
      </c>
      <c r="K16" s="67">
        <f t="shared" si="0"/>
        <v>0.12426950842213819</v>
      </c>
      <c r="L16" s="68">
        <f t="shared" si="0"/>
        <v>0.10679611650485436</v>
      </c>
    </row>
    <row r="17" spans="1:12" x14ac:dyDescent="0.25">
      <c r="A17" s="48" t="s">
        <v>87</v>
      </c>
      <c r="B17" s="21">
        <v>8500</v>
      </c>
      <c r="C17" s="20">
        <v>6500</v>
      </c>
      <c r="D17" s="20">
        <v>19000</v>
      </c>
      <c r="E17" s="22">
        <v>2923</v>
      </c>
      <c r="F17" s="21">
        <v>96000</v>
      </c>
      <c r="G17" s="20">
        <v>90600</v>
      </c>
      <c r="H17" s="20">
        <v>320000</v>
      </c>
      <c r="I17" s="22">
        <v>3532</v>
      </c>
      <c r="J17" s="66">
        <f t="shared" si="1"/>
        <v>8.8541666666666671E-2</v>
      </c>
      <c r="K17" s="67">
        <f t="shared" si="0"/>
        <v>7.1743929359823405E-2</v>
      </c>
      <c r="L17" s="68">
        <f t="shared" si="0"/>
        <v>5.9374999999999997E-2</v>
      </c>
    </row>
    <row r="18" spans="1:12" x14ac:dyDescent="0.25">
      <c r="A18" s="48" t="s">
        <v>88</v>
      </c>
      <c r="B18" s="21">
        <v>7400</v>
      </c>
      <c r="C18" s="20">
        <v>7100</v>
      </c>
      <c r="D18" s="20">
        <v>20000</v>
      </c>
      <c r="E18" s="22">
        <v>2817</v>
      </c>
      <c r="F18" s="21">
        <v>100000</v>
      </c>
      <c r="G18" s="20">
        <v>95000</v>
      </c>
      <c r="H18" s="20">
        <v>310000</v>
      </c>
      <c r="I18" s="22">
        <v>3263</v>
      </c>
      <c r="J18" s="66">
        <f t="shared" si="1"/>
        <v>7.3999999999999996E-2</v>
      </c>
      <c r="K18" s="67">
        <f t="shared" si="0"/>
        <v>7.4736842105263157E-2</v>
      </c>
      <c r="L18" s="68">
        <f t="shared" si="0"/>
        <v>6.4516129032258063E-2</v>
      </c>
    </row>
    <row r="19" spans="1:12" x14ac:dyDescent="0.25">
      <c r="A19" s="48" t="s">
        <v>89</v>
      </c>
      <c r="B19" s="21">
        <v>8900</v>
      </c>
      <c r="C19" s="20">
        <v>8400</v>
      </c>
      <c r="D19" s="20">
        <v>23000</v>
      </c>
      <c r="E19" s="22">
        <v>2738</v>
      </c>
      <c r="F19" s="21">
        <v>115700</v>
      </c>
      <c r="G19" s="20">
        <v>102400</v>
      </c>
      <c r="H19" s="20">
        <v>312000</v>
      </c>
      <c r="I19" s="22">
        <v>3047</v>
      </c>
      <c r="J19" s="66">
        <f t="shared" si="1"/>
        <v>7.6923076923076927E-2</v>
      </c>
      <c r="K19" s="67">
        <f t="shared" si="0"/>
        <v>8.203125E-2</v>
      </c>
      <c r="L19" s="68">
        <f t="shared" si="0"/>
        <v>7.371794871794872E-2</v>
      </c>
    </row>
    <row r="20" spans="1:12" x14ac:dyDescent="0.25">
      <c r="A20" s="48" t="s">
        <v>90</v>
      </c>
      <c r="B20" s="21">
        <v>9200</v>
      </c>
      <c r="C20" s="20">
        <v>8700</v>
      </c>
      <c r="D20" s="20">
        <v>24500</v>
      </c>
      <c r="E20" s="22">
        <v>2816</v>
      </c>
      <c r="F20" s="21">
        <v>87800</v>
      </c>
      <c r="G20" s="20">
        <v>82200</v>
      </c>
      <c r="H20" s="20">
        <v>266000</v>
      </c>
      <c r="I20" s="22">
        <v>3236</v>
      </c>
      <c r="J20" s="66">
        <f t="shared" si="1"/>
        <v>0.10478359908883828</v>
      </c>
      <c r="K20" s="67">
        <f t="shared" si="0"/>
        <v>0.10583941605839416</v>
      </c>
      <c r="L20" s="68">
        <f t="shared" si="0"/>
        <v>9.2105263157894732E-2</v>
      </c>
    </row>
    <row r="21" spans="1:12" x14ac:dyDescent="0.25">
      <c r="A21" s="48" t="s">
        <v>91</v>
      </c>
      <c r="B21" s="21">
        <v>8300</v>
      </c>
      <c r="C21" s="20">
        <v>7800</v>
      </c>
      <c r="D21" s="20">
        <v>21700</v>
      </c>
      <c r="E21" s="22">
        <v>2782</v>
      </c>
      <c r="F21" s="21">
        <v>84800</v>
      </c>
      <c r="G21" s="20">
        <v>81800</v>
      </c>
      <c r="H21" s="20">
        <v>286300</v>
      </c>
      <c r="I21" s="22">
        <v>3500</v>
      </c>
      <c r="J21" s="66">
        <f t="shared" si="1"/>
        <v>9.7877358490566044E-2</v>
      </c>
      <c r="K21" s="67">
        <f t="shared" si="0"/>
        <v>9.5354523227383858E-2</v>
      </c>
      <c r="L21" s="68">
        <f t="shared" si="0"/>
        <v>7.5794621026894868E-2</v>
      </c>
    </row>
    <row r="22" spans="1:12" x14ac:dyDescent="0.25">
      <c r="A22" s="48" t="s">
        <v>92</v>
      </c>
      <c r="B22" s="21">
        <v>8300</v>
      </c>
      <c r="C22" s="20">
        <v>7800</v>
      </c>
      <c r="D22" s="20">
        <v>18800</v>
      </c>
      <c r="E22" s="22">
        <v>2410</v>
      </c>
      <c r="F22" s="21">
        <v>117300</v>
      </c>
      <c r="G22" s="20">
        <v>113600</v>
      </c>
      <c r="H22" s="20">
        <v>437200</v>
      </c>
      <c r="I22" s="22">
        <v>3849</v>
      </c>
      <c r="J22" s="66">
        <f t="shared" si="1"/>
        <v>7.0758738277919869E-2</v>
      </c>
      <c r="K22" s="67">
        <f t="shared" si="0"/>
        <v>6.8661971830985921E-2</v>
      </c>
      <c r="L22" s="68">
        <f t="shared" si="0"/>
        <v>4.3000914913083256E-2</v>
      </c>
    </row>
    <row r="23" spans="1:12" x14ac:dyDescent="0.25">
      <c r="A23" s="48" t="s">
        <v>93</v>
      </c>
      <c r="B23" s="21">
        <v>8600</v>
      </c>
      <c r="C23" s="20">
        <v>7900</v>
      </c>
      <c r="D23" s="20">
        <v>25500</v>
      </c>
      <c r="E23" s="22">
        <v>3228</v>
      </c>
      <c r="F23" s="21">
        <v>108800</v>
      </c>
      <c r="G23" s="20">
        <v>92100</v>
      </c>
      <c r="H23" s="20">
        <v>337100</v>
      </c>
      <c r="I23" s="22">
        <v>3660</v>
      </c>
      <c r="J23" s="66">
        <f t="shared" si="1"/>
        <v>7.904411764705882E-2</v>
      </c>
      <c r="K23" s="67">
        <f t="shared" si="0"/>
        <v>8.577633007600434E-2</v>
      </c>
      <c r="L23" s="68">
        <f t="shared" si="0"/>
        <v>7.5645209136754668E-2</v>
      </c>
    </row>
    <row r="24" spans="1:12" x14ac:dyDescent="0.25">
      <c r="A24" s="48" t="s">
        <v>94</v>
      </c>
      <c r="B24" s="21">
        <v>8190</v>
      </c>
      <c r="C24" s="20">
        <v>8190</v>
      </c>
      <c r="D24" s="20">
        <v>25120</v>
      </c>
      <c r="E24" s="22">
        <v>3067</v>
      </c>
      <c r="F24" s="21">
        <v>130685</v>
      </c>
      <c r="G24" s="20">
        <v>128385</v>
      </c>
      <c r="H24" s="20">
        <v>480400</v>
      </c>
      <c r="I24" s="22">
        <v>3742</v>
      </c>
      <c r="J24" s="66">
        <f t="shared" si="1"/>
        <v>6.2669778474958873E-2</v>
      </c>
      <c r="K24" s="67">
        <f t="shared" si="0"/>
        <v>6.3792499123729404E-2</v>
      </c>
      <c r="L24" s="68">
        <f t="shared" si="0"/>
        <v>5.2289758534554538E-2</v>
      </c>
    </row>
    <row r="25" spans="1:12" x14ac:dyDescent="0.25">
      <c r="A25" s="48" t="s">
        <v>95</v>
      </c>
      <c r="B25" s="21">
        <v>9000</v>
      </c>
      <c r="C25" s="20">
        <v>9000</v>
      </c>
      <c r="D25" s="20">
        <v>27900</v>
      </c>
      <c r="E25" s="22">
        <v>3100</v>
      </c>
      <c r="F25" s="21">
        <v>110800</v>
      </c>
      <c r="G25" s="20">
        <v>108750</v>
      </c>
      <c r="H25" s="20">
        <v>400000</v>
      </c>
      <c r="I25" s="22">
        <v>3678</v>
      </c>
      <c r="J25" s="66">
        <f t="shared" si="1"/>
        <v>8.1227436823104696E-2</v>
      </c>
      <c r="K25" s="67">
        <f t="shared" si="0"/>
        <v>8.2758620689655171E-2</v>
      </c>
      <c r="L25" s="68">
        <f t="shared" si="0"/>
        <v>6.9750000000000006E-2</v>
      </c>
    </row>
    <row r="26" spans="1:12" x14ac:dyDescent="0.25">
      <c r="A26" s="48" t="s">
        <v>96</v>
      </c>
      <c r="B26" s="21">
        <v>9000</v>
      </c>
      <c r="C26" s="20">
        <v>7500</v>
      </c>
      <c r="D26" s="20">
        <v>23480</v>
      </c>
      <c r="E26" s="22">
        <v>3131</v>
      </c>
      <c r="F26" s="21">
        <v>117000</v>
      </c>
      <c r="G26" s="20">
        <v>112900</v>
      </c>
      <c r="H26" s="20">
        <v>438600</v>
      </c>
      <c r="I26" s="22">
        <v>3885</v>
      </c>
      <c r="J26" s="66">
        <f t="shared" si="1"/>
        <v>7.6923076923076927E-2</v>
      </c>
      <c r="K26" s="67">
        <f t="shared" si="1"/>
        <v>6.6430469441984052E-2</v>
      </c>
      <c r="L26" s="68">
        <f t="shared" si="1"/>
        <v>5.3533971728226173E-2</v>
      </c>
    </row>
    <row r="27" spans="1:12" x14ac:dyDescent="0.25">
      <c r="A27" s="48" t="s">
        <v>97</v>
      </c>
      <c r="B27" s="21">
        <v>9400</v>
      </c>
      <c r="C27" s="20">
        <v>9400</v>
      </c>
      <c r="D27" s="20">
        <v>29300</v>
      </c>
      <c r="E27" s="22">
        <v>3117</v>
      </c>
      <c r="F27" s="21">
        <v>98700</v>
      </c>
      <c r="G27" s="20">
        <v>94680</v>
      </c>
      <c r="H27" s="20">
        <v>371000</v>
      </c>
      <c r="I27" s="22">
        <v>3918</v>
      </c>
      <c r="J27" s="66">
        <f t="shared" si="1"/>
        <v>9.5238095238095233E-2</v>
      </c>
      <c r="K27" s="67">
        <f t="shared" si="1"/>
        <v>9.9281791297000418E-2</v>
      </c>
      <c r="L27" s="68">
        <f t="shared" si="1"/>
        <v>7.8975741239892178E-2</v>
      </c>
    </row>
    <row r="28" spans="1:12" x14ac:dyDescent="0.25">
      <c r="A28" s="48" t="s">
        <v>98</v>
      </c>
      <c r="B28" s="21">
        <v>7300</v>
      </c>
      <c r="C28" s="20">
        <v>7300</v>
      </c>
      <c r="D28" s="20">
        <v>22000</v>
      </c>
      <c r="E28" s="22">
        <v>3014</v>
      </c>
      <c r="F28" s="21">
        <v>91700</v>
      </c>
      <c r="G28" s="20">
        <v>91700</v>
      </c>
      <c r="H28" s="20">
        <v>383400</v>
      </c>
      <c r="I28" s="22">
        <v>4181</v>
      </c>
      <c r="J28" s="66">
        <f t="shared" si="1"/>
        <v>7.9607415485278082E-2</v>
      </c>
      <c r="K28" s="67">
        <f t="shared" si="1"/>
        <v>7.9607415485278082E-2</v>
      </c>
      <c r="L28" s="68">
        <f t="shared" si="1"/>
        <v>5.738132498695879E-2</v>
      </c>
    </row>
    <row r="29" spans="1:12" x14ac:dyDescent="0.25">
      <c r="A29" s="48" t="s">
        <v>99</v>
      </c>
      <c r="B29" s="21">
        <v>6800</v>
      </c>
      <c r="C29" s="20">
        <v>6600</v>
      </c>
      <c r="D29" s="20">
        <v>20300</v>
      </c>
      <c r="E29" s="22">
        <v>3076</v>
      </c>
      <c r="F29" s="21">
        <v>115500</v>
      </c>
      <c r="G29" s="20">
        <v>104900</v>
      </c>
      <c r="H29" s="20">
        <v>490000</v>
      </c>
      <c r="I29" s="22">
        <v>4671</v>
      </c>
      <c r="J29" s="66">
        <f t="shared" si="1"/>
        <v>5.8874458874458878E-2</v>
      </c>
      <c r="K29" s="67">
        <f t="shared" si="1"/>
        <v>6.2917063870352716E-2</v>
      </c>
      <c r="L29" s="68">
        <f t="shared" si="1"/>
        <v>4.1428571428571426E-2</v>
      </c>
    </row>
    <row r="30" spans="1:12" x14ac:dyDescent="0.25">
      <c r="A30" s="48" t="s">
        <v>100</v>
      </c>
      <c r="B30" s="21">
        <v>7430</v>
      </c>
      <c r="C30" s="20">
        <v>4930</v>
      </c>
      <c r="D30" s="20">
        <v>10800</v>
      </c>
      <c r="E30" s="22">
        <v>2191</v>
      </c>
      <c r="F30" s="21">
        <v>132180</v>
      </c>
      <c r="G30" s="20">
        <v>116620</v>
      </c>
      <c r="H30" s="20">
        <v>428100</v>
      </c>
      <c r="I30" s="22">
        <v>3671</v>
      </c>
      <c r="J30" s="66">
        <f t="shared" si="1"/>
        <v>5.6211227114540775E-2</v>
      </c>
      <c r="K30" s="67">
        <f t="shared" si="1"/>
        <v>4.2274052478134108E-2</v>
      </c>
      <c r="L30" s="68">
        <f t="shared" si="1"/>
        <v>2.5227750525578137E-2</v>
      </c>
    </row>
    <row r="31" spans="1:12" x14ac:dyDescent="0.25">
      <c r="A31" s="48" t="s">
        <v>101</v>
      </c>
      <c r="B31" s="21">
        <v>7800</v>
      </c>
      <c r="C31" s="20">
        <v>7200</v>
      </c>
      <c r="D31" s="20">
        <v>17400</v>
      </c>
      <c r="E31" s="22">
        <v>2417</v>
      </c>
      <c r="F31" s="21">
        <v>98000</v>
      </c>
      <c r="G31" s="20">
        <v>86265</v>
      </c>
      <c r="H31" s="20">
        <v>347600</v>
      </c>
      <c r="I31" s="22">
        <v>4029</v>
      </c>
      <c r="J31" s="66">
        <f t="shared" si="1"/>
        <v>7.9591836734693874E-2</v>
      </c>
      <c r="K31" s="67">
        <f t="shared" si="1"/>
        <v>8.3463745435576428E-2</v>
      </c>
      <c r="L31" s="68">
        <f t="shared" si="1"/>
        <v>5.005753739930955E-2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>
        <v>139150</v>
      </c>
      <c r="G32" s="20">
        <v>132400</v>
      </c>
      <c r="H32" s="20">
        <v>700700</v>
      </c>
      <c r="I32" s="22">
        <v>5292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>
        <v>8800</v>
      </c>
      <c r="C33" s="20">
        <v>8100</v>
      </c>
      <c r="D33" s="20">
        <v>25700</v>
      </c>
      <c r="E33" s="22">
        <v>3173</v>
      </c>
      <c r="F33" s="21">
        <v>144100</v>
      </c>
      <c r="G33" s="20">
        <v>139650</v>
      </c>
      <c r="H33" s="20">
        <v>608300</v>
      </c>
      <c r="I33" s="22">
        <v>4356</v>
      </c>
      <c r="J33" s="66">
        <f t="shared" si="1"/>
        <v>6.1068702290076333E-2</v>
      </c>
      <c r="K33" s="67">
        <f t="shared" si="1"/>
        <v>5.8002148227712137E-2</v>
      </c>
      <c r="L33" s="68">
        <f t="shared" si="1"/>
        <v>4.2248890350156172E-2</v>
      </c>
    </row>
    <row r="34" spans="1:12" x14ac:dyDescent="0.25">
      <c r="A34" s="48" t="s">
        <v>104</v>
      </c>
      <c r="B34" s="21">
        <v>9650</v>
      </c>
      <c r="C34" s="20">
        <v>9350</v>
      </c>
      <c r="D34" s="20">
        <v>29800</v>
      </c>
      <c r="E34" s="22">
        <v>3187</v>
      </c>
      <c r="F34" s="21">
        <v>148200</v>
      </c>
      <c r="G34" s="20">
        <v>141340</v>
      </c>
      <c r="H34" s="20">
        <v>607600</v>
      </c>
      <c r="I34" s="22">
        <v>4299</v>
      </c>
      <c r="J34" s="66">
        <f t="shared" si="1"/>
        <v>6.5114709851551961E-2</v>
      </c>
      <c r="K34" s="67">
        <f t="shared" si="1"/>
        <v>6.6152539974529509E-2</v>
      </c>
      <c r="L34" s="68">
        <f t="shared" si="1"/>
        <v>4.9045424621461491E-2</v>
      </c>
    </row>
    <row r="35" spans="1:12" x14ac:dyDescent="0.25">
      <c r="A35" s="48" t="s">
        <v>105</v>
      </c>
      <c r="B35" s="21">
        <v>10530</v>
      </c>
      <c r="C35" s="20">
        <v>10530</v>
      </c>
      <c r="D35" s="20">
        <v>45500</v>
      </c>
      <c r="E35" s="22">
        <v>4321</v>
      </c>
      <c r="F35" s="21">
        <v>188520</v>
      </c>
      <c r="G35" s="20">
        <v>184115</v>
      </c>
      <c r="H35" s="20">
        <v>926200</v>
      </c>
      <c r="I35" s="22">
        <v>5031</v>
      </c>
      <c r="J35" s="66">
        <f t="shared" si="1"/>
        <v>5.5856142584341184E-2</v>
      </c>
      <c r="K35" s="67">
        <f t="shared" si="1"/>
        <v>5.7192515547348124E-2</v>
      </c>
      <c r="L35" s="68">
        <f t="shared" si="1"/>
        <v>4.9125458864176207E-2</v>
      </c>
    </row>
    <row r="36" spans="1:12" x14ac:dyDescent="0.25">
      <c r="A36" s="48" t="s">
        <v>106</v>
      </c>
      <c r="B36" s="21">
        <v>13900</v>
      </c>
      <c r="C36" s="20">
        <v>13900</v>
      </c>
      <c r="D36" s="20">
        <v>56850</v>
      </c>
      <c r="E36" s="22">
        <v>4090</v>
      </c>
      <c r="F36" s="21">
        <v>211400</v>
      </c>
      <c r="G36" s="20">
        <v>193215</v>
      </c>
      <c r="H36" s="20">
        <v>986000</v>
      </c>
      <c r="I36" s="22">
        <v>5103</v>
      </c>
      <c r="J36" s="66">
        <f t="shared" si="1"/>
        <v>6.5752128666035956E-2</v>
      </c>
      <c r="K36" s="67">
        <f t="shared" si="1"/>
        <v>7.1940584323163317E-2</v>
      </c>
      <c r="L36" s="68">
        <f t="shared" si="1"/>
        <v>5.7657200811359027E-2</v>
      </c>
    </row>
    <row r="37" spans="1:12" x14ac:dyDescent="0.25">
      <c r="A37" s="48" t="s">
        <v>23</v>
      </c>
      <c r="B37" s="21">
        <v>15600</v>
      </c>
      <c r="C37" s="20">
        <v>15600</v>
      </c>
      <c r="D37" s="20">
        <v>76200</v>
      </c>
      <c r="E37" s="22">
        <v>4885</v>
      </c>
      <c r="F37" s="21">
        <v>226573</v>
      </c>
      <c r="G37" s="20">
        <v>224408</v>
      </c>
      <c r="H37" s="20">
        <v>1205140</v>
      </c>
      <c r="I37" s="22">
        <v>5370</v>
      </c>
      <c r="J37" s="66">
        <f t="shared" si="1"/>
        <v>6.8851981480582414E-2</v>
      </c>
      <c r="K37" s="67">
        <f t="shared" si="1"/>
        <v>6.9516238280275214E-2</v>
      </c>
      <c r="L37" s="68">
        <f t="shared" si="1"/>
        <v>6.3229168395373153E-2</v>
      </c>
    </row>
    <row r="38" spans="1:12" x14ac:dyDescent="0.25">
      <c r="A38" s="48" t="s">
        <v>24</v>
      </c>
      <c r="B38" s="21">
        <v>16000</v>
      </c>
      <c r="C38" s="20">
        <v>12900</v>
      </c>
      <c r="D38" s="20">
        <v>53600</v>
      </c>
      <c r="E38" s="22">
        <v>4155</v>
      </c>
      <c r="F38" s="21">
        <v>247500</v>
      </c>
      <c r="G38" s="20">
        <v>211705</v>
      </c>
      <c r="H38" s="20">
        <v>1011135</v>
      </c>
      <c r="I38" s="22">
        <v>4776</v>
      </c>
      <c r="J38" s="66">
        <f t="shared" si="1"/>
        <v>6.4646464646464646E-2</v>
      </c>
      <c r="K38" s="67">
        <f t="shared" si="1"/>
        <v>6.0933846626201556E-2</v>
      </c>
      <c r="L38" s="68">
        <f t="shared" si="1"/>
        <v>5.3009736583146665E-2</v>
      </c>
    </row>
    <row r="39" spans="1:12" x14ac:dyDescent="0.25">
      <c r="A39" s="48" t="s">
        <v>25</v>
      </c>
      <c r="B39" s="21">
        <v>19100</v>
      </c>
      <c r="C39" s="20">
        <v>19100</v>
      </c>
      <c r="D39" s="20">
        <v>95400</v>
      </c>
      <c r="E39" s="22">
        <v>4995</v>
      </c>
      <c r="F39" s="21">
        <v>290850</v>
      </c>
      <c r="G39" s="20">
        <v>289200</v>
      </c>
      <c r="H39" s="20">
        <v>1658200</v>
      </c>
      <c r="I39" s="22">
        <v>5734</v>
      </c>
      <c r="J39" s="66">
        <f t="shared" si="1"/>
        <v>6.566958913529311E-2</v>
      </c>
      <c r="K39" s="67">
        <f t="shared" si="1"/>
        <v>6.6044260027662519E-2</v>
      </c>
      <c r="L39" s="68">
        <f t="shared" si="1"/>
        <v>5.7532263900615124E-2</v>
      </c>
    </row>
    <row r="40" spans="1:12" x14ac:dyDescent="0.25">
      <c r="A40" s="48" t="s">
        <v>26</v>
      </c>
      <c r="B40" s="21">
        <v>15550</v>
      </c>
      <c r="C40" s="20">
        <v>14050</v>
      </c>
      <c r="D40" s="20">
        <v>46470</v>
      </c>
      <c r="E40" s="22">
        <v>3307</v>
      </c>
      <c r="F40" s="21">
        <v>200700</v>
      </c>
      <c r="G40" s="20">
        <v>188995</v>
      </c>
      <c r="H40" s="20">
        <v>903410</v>
      </c>
      <c r="I40" s="22">
        <v>4780</v>
      </c>
      <c r="J40" s="66">
        <f t="shared" si="1"/>
        <v>7.747882411559541E-2</v>
      </c>
      <c r="K40" s="67">
        <f t="shared" si="1"/>
        <v>7.434059102092648E-2</v>
      </c>
      <c r="L40" s="68">
        <f t="shared" si="1"/>
        <v>5.1438438804086738E-2</v>
      </c>
    </row>
    <row r="41" spans="1:12" x14ac:dyDescent="0.25">
      <c r="A41" s="48" t="s">
        <v>27</v>
      </c>
      <c r="B41" s="21">
        <v>10450</v>
      </c>
      <c r="C41" s="20">
        <v>9950</v>
      </c>
      <c r="D41" s="20">
        <v>44220</v>
      </c>
      <c r="E41" s="22">
        <v>4444</v>
      </c>
      <c r="F41" s="21">
        <v>153732</v>
      </c>
      <c r="G41" s="20">
        <v>151870</v>
      </c>
      <c r="H41" s="20">
        <v>873184</v>
      </c>
      <c r="I41" s="22">
        <v>5750</v>
      </c>
      <c r="J41" s="66">
        <f t="shared" si="1"/>
        <v>6.7975437774828923E-2</v>
      </c>
      <c r="K41" s="67">
        <f t="shared" si="1"/>
        <v>6.5516560215974184E-2</v>
      </c>
      <c r="L41" s="68">
        <f t="shared" si="1"/>
        <v>5.0642247223952795E-2</v>
      </c>
    </row>
    <row r="42" spans="1:12" x14ac:dyDescent="0.25">
      <c r="A42" s="48" t="s">
        <v>28</v>
      </c>
      <c r="B42" s="21">
        <v>6500</v>
      </c>
      <c r="C42" s="20">
        <v>6200</v>
      </c>
      <c r="D42" s="20">
        <v>24470</v>
      </c>
      <c r="E42" s="22">
        <v>3947</v>
      </c>
      <c r="F42" s="21">
        <v>126435</v>
      </c>
      <c r="G42" s="20">
        <v>124010</v>
      </c>
      <c r="H42" s="20">
        <v>709297</v>
      </c>
      <c r="I42" s="22">
        <v>5720</v>
      </c>
      <c r="J42" s="66">
        <f t="shared" si="1"/>
        <v>5.1409815320124966E-2</v>
      </c>
      <c r="K42" s="67">
        <f t="shared" si="1"/>
        <v>4.9995968067091362E-2</v>
      </c>
      <c r="L42" s="68">
        <f t="shared" si="1"/>
        <v>3.4498947549475044E-2</v>
      </c>
    </row>
    <row r="43" spans="1:12" x14ac:dyDescent="0.25">
      <c r="A43" s="48" t="s">
        <v>29</v>
      </c>
      <c r="B43" s="21">
        <v>11500</v>
      </c>
      <c r="C43" s="20">
        <v>11200</v>
      </c>
      <c r="D43" s="20">
        <v>42560</v>
      </c>
      <c r="E43" s="22">
        <v>3800</v>
      </c>
      <c r="F43" s="21">
        <v>135170</v>
      </c>
      <c r="G43" s="20">
        <v>132890</v>
      </c>
      <c r="H43" s="20">
        <v>717632</v>
      </c>
      <c r="I43" s="22">
        <v>5400</v>
      </c>
      <c r="J43" s="66">
        <f t="shared" si="1"/>
        <v>8.5078049863135316E-2</v>
      </c>
      <c r="K43" s="67">
        <f t="shared" si="1"/>
        <v>8.428023177063737E-2</v>
      </c>
      <c r="L43" s="68">
        <f t="shared" si="1"/>
        <v>5.9306162489967E-2</v>
      </c>
    </row>
    <row r="44" spans="1:12" x14ac:dyDescent="0.25">
      <c r="A44" s="48" t="s">
        <v>30</v>
      </c>
      <c r="B44" s="21">
        <v>14000</v>
      </c>
      <c r="C44" s="20">
        <v>14000</v>
      </c>
      <c r="D44" s="20">
        <v>78400</v>
      </c>
      <c r="E44" s="22">
        <v>5600</v>
      </c>
      <c r="F44" s="21">
        <v>172470</v>
      </c>
      <c r="G44" s="20">
        <v>169178</v>
      </c>
      <c r="H44" s="20">
        <v>1060083</v>
      </c>
      <c r="I44" s="22">
        <v>6266</v>
      </c>
      <c r="J44" s="66">
        <f t="shared" si="1"/>
        <v>8.1173537426798864E-2</v>
      </c>
      <c r="K44" s="67">
        <f t="shared" si="1"/>
        <v>8.2753076641170834E-2</v>
      </c>
      <c r="L44" s="68">
        <f t="shared" si="1"/>
        <v>7.395647321954979E-2</v>
      </c>
    </row>
    <row r="45" spans="1:12" x14ac:dyDescent="0.25">
      <c r="A45" s="48" t="s">
        <v>31</v>
      </c>
      <c r="B45" s="21">
        <v>15250</v>
      </c>
      <c r="C45" s="20">
        <v>15250</v>
      </c>
      <c r="D45" s="20">
        <v>92360</v>
      </c>
      <c r="E45" s="22">
        <v>6056</v>
      </c>
      <c r="F45" s="21">
        <v>164914</v>
      </c>
      <c r="G45" s="20">
        <v>158938</v>
      </c>
      <c r="H45" s="20">
        <v>956255</v>
      </c>
      <c r="I45" s="22">
        <v>6017</v>
      </c>
      <c r="J45" s="66">
        <f t="shared" si="1"/>
        <v>9.2472440180942791E-2</v>
      </c>
      <c r="K45" s="67">
        <f t="shared" si="1"/>
        <v>9.5949363902905538E-2</v>
      </c>
      <c r="L45" s="68">
        <f t="shared" si="1"/>
        <v>9.6585115894818857E-2</v>
      </c>
    </row>
    <row r="46" spans="1:12" x14ac:dyDescent="0.25">
      <c r="A46" s="48" t="s">
        <v>32</v>
      </c>
      <c r="B46" s="21">
        <v>19900</v>
      </c>
      <c r="C46" s="20">
        <v>19900</v>
      </c>
      <c r="D46" s="20">
        <v>114800</v>
      </c>
      <c r="E46" s="22">
        <v>5769</v>
      </c>
      <c r="F46" s="21">
        <v>171325</v>
      </c>
      <c r="G46" s="20">
        <v>169025</v>
      </c>
      <c r="H46" s="20">
        <v>1193492</v>
      </c>
      <c r="I46" s="22">
        <v>7061</v>
      </c>
      <c r="J46" s="66">
        <f t="shared" si="1"/>
        <v>0.11615350941193638</v>
      </c>
      <c r="K46" s="67">
        <f t="shared" si="1"/>
        <v>0.1177340630084307</v>
      </c>
      <c r="L46" s="68">
        <f t="shared" si="1"/>
        <v>9.6188328032362172E-2</v>
      </c>
    </row>
    <row r="47" spans="1:12" x14ac:dyDescent="0.25">
      <c r="A47" s="48" t="s">
        <v>33</v>
      </c>
      <c r="B47" s="21">
        <v>20600</v>
      </c>
      <c r="C47" s="20">
        <v>20100</v>
      </c>
      <c r="D47" s="20">
        <v>101500</v>
      </c>
      <c r="E47" s="22">
        <v>5050</v>
      </c>
      <c r="F47" s="21">
        <v>168300</v>
      </c>
      <c r="G47" s="20">
        <v>164635</v>
      </c>
      <c r="H47" s="20">
        <v>1080071</v>
      </c>
      <c r="I47" s="22">
        <v>6560</v>
      </c>
      <c r="J47" s="66">
        <f t="shared" si="1"/>
        <v>0.12240047534165181</v>
      </c>
      <c r="K47" s="67">
        <f t="shared" si="1"/>
        <v>0.12208825583867343</v>
      </c>
      <c r="L47" s="68">
        <f t="shared" si="1"/>
        <v>9.3975303475419672E-2</v>
      </c>
    </row>
    <row r="48" spans="1:12" x14ac:dyDescent="0.25">
      <c r="A48" s="48" t="s">
        <v>34</v>
      </c>
      <c r="B48" s="21">
        <v>23000</v>
      </c>
      <c r="C48" s="20">
        <v>23000</v>
      </c>
      <c r="D48" s="20">
        <v>135250</v>
      </c>
      <c r="E48" s="22">
        <v>5880</v>
      </c>
      <c r="F48" s="21">
        <v>185040</v>
      </c>
      <c r="G48" s="20">
        <v>182840</v>
      </c>
      <c r="H48" s="20">
        <v>1255015</v>
      </c>
      <c r="I48" s="22">
        <v>6864</v>
      </c>
      <c r="J48" s="66">
        <f t="shared" si="1"/>
        <v>0.12429744920017294</v>
      </c>
      <c r="K48" s="67">
        <f t="shared" si="1"/>
        <v>0.12579304309779041</v>
      </c>
      <c r="L48" s="68">
        <f t="shared" si="1"/>
        <v>0.10776763624339152</v>
      </c>
    </row>
    <row r="49" spans="1:12" x14ac:dyDescent="0.25">
      <c r="A49" s="48" t="s">
        <v>35</v>
      </c>
      <c r="B49" s="21">
        <v>25880</v>
      </c>
      <c r="C49" s="20">
        <v>25880</v>
      </c>
      <c r="D49" s="20">
        <v>163710</v>
      </c>
      <c r="E49" s="22">
        <v>6326</v>
      </c>
      <c r="F49" s="21">
        <v>206378</v>
      </c>
      <c r="G49" s="20">
        <v>197069</v>
      </c>
      <c r="H49" s="20">
        <v>1338865</v>
      </c>
      <c r="I49" s="22">
        <v>6794</v>
      </c>
      <c r="J49" s="66">
        <f t="shared" si="1"/>
        <v>0.12540096328096986</v>
      </c>
      <c r="K49" s="67">
        <f t="shared" si="1"/>
        <v>0.13132456144802074</v>
      </c>
      <c r="L49" s="68">
        <f t="shared" si="1"/>
        <v>0.12227521071952736</v>
      </c>
    </row>
    <row r="50" spans="1:12" x14ac:dyDescent="0.25">
      <c r="A50" s="48" t="s">
        <v>36</v>
      </c>
      <c r="B50" s="21">
        <v>31100</v>
      </c>
      <c r="C50" s="20">
        <v>30450</v>
      </c>
      <c r="D50" s="20">
        <v>180520</v>
      </c>
      <c r="E50" s="22">
        <v>5928</v>
      </c>
      <c r="F50" s="21">
        <v>220463</v>
      </c>
      <c r="G50" s="20">
        <v>215670</v>
      </c>
      <c r="H50" s="20">
        <v>1243259</v>
      </c>
      <c r="I50" s="22">
        <v>5765</v>
      </c>
      <c r="J50" s="66">
        <f t="shared" si="1"/>
        <v>0.14106675496568585</v>
      </c>
      <c r="K50" s="67">
        <f t="shared" si="1"/>
        <v>0.14118792599805258</v>
      </c>
      <c r="L50" s="68">
        <f t="shared" si="1"/>
        <v>0.14519902932534573</v>
      </c>
    </row>
    <row r="51" spans="1:12" x14ac:dyDescent="0.25">
      <c r="A51" s="48" t="s">
        <v>37</v>
      </c>
      <c r="B51" s="21">
        <v>36400</v>
      </c>
      <c r="C51" s="20">
        <v>36400</v>
      </c>
      <c r="D51" s="20">
        <v>213200</v>
      </c>
      <c r="E51" s="22">
        <v>5857</v>
      </c>
      <c r="F51" s="21">
        <v>257847</v>
      </c>
      <c r="G51" s="20">
        <v>257445</v>
      </c>
      <c r="H51" s="20">
        <v>1748076</v>
      </c>
      <c r="I51" s="22">
        <v>6790</v>
      </c>
      <c r="J51" s="66">
        <f t="shared" si="1"/>
        <v>0.14116898781060086</v>
      </c>
      <c r="K51" s="67">
        <f t="shared" si="1"/>
        <v>0.1413894229835499</v>
      </c>
      <c r="L51" s="68">
        <f t="shared" si="1"/>
        <v>0.12196266066235106</v>
      </c>
    </row>
    <row r="52" spans="1:12" x14ac:dyDescent="0.25">
      <c r="A52" s="48" t="s">
        <v>38</v>
      </c>
      <c r="B52" s="21">
        <v>44900</v>
      </c>
      <c r="C52" s="20">
        <v>44900</v>
      </c>
      <c r="D52" s="20">
        <v>250310</v>
      </c>
      <c r="E52" s="22">
        <v>5575</v>
      </c>
      <c r="F52" s="21">
        <v>237052</v>
      </c>
      <c r="G52" s="20">
        <v>235372</v>
      </c>
      <c r="H52" s="20">
        <v>1567971</v>
      </c>
      <c r="I52" s="22">
        <v>6662</v>
      </c>
      <c r="J52" s="66">
        <f t="shared" si="1"/>
        <v>0.18940991849889477</v>
      </c>
      <c r="K52" s="67">
        <f t="shared" si="1"/>
        <v>0.19076185782505992</v>
      </c>
      <c r="L52" s="68">
        <f t="shared" si="1"/>
        <v>0.15963943210684381</v>
      </c>
    </row>
    <row r="53" spans="1:12" x14ac:dyDescent="0.25">
      <c r="A53" s="48" t="s">
        <v>39</v>
      </c>
      <c r="B53" s="21">
        <v>45800</v>
      </c>
      <c r="C53" s="20">
        <v>45800</v>
      </c>
      <c r="D53" s="20">
        <v>209560</v>
      </c>
      <c r="E53" s="22">
        <v>4576</v>
      </c>
      <c r="F53" s="21">
        <v>232700</v>
      </c>
      <c r="G53" s="20">
        <v>232700</v>
      </c>
      <c r="H53" s="20">
        <v>1563450</v>
      </c>
      <c r="I53" s="22">
        <v>6719</v>
      </c>
      <c r="J53" s="66">
        <f t="shared" si="1"/>
        <v>0.19681993983669963</v>
      </c>
      <c r="K53" s="67">
        <f t="shared" si="1"/>
        <v>0.19681993983669963</v>
      </c>
      <c r="L53" s="68">
        <f t="shared" si="1"/>
        <v>0.13403690556141865</v>
      </c>
    </row>
    <row r="54" spans="1:12" x14ac:dyDescent="0.25">
      <c r="A54" s="48" t="s">
        <v>40</v>
      </c>
      <c r="B54" s="21">
        <v>48500</v>
      </c>
      <c r="C54" s="20">
        <v>48500</v>
      </c>
      <c r="D54" s="20">
        <v>237980</v>
      </c>
      <c r="E54" s="22">
        <v>4907</v>
      </c>
      <c r="F54" s="21">
        <v>243200</v>
      </c>
      <c r="G54" s="20">
        <v>243200</v>
      </c>
      <c r="H54" s="20">
        <v>1581810</v>
      </c>
      <c r="I54" s="22">
        <v>6504</v>
      </c>
      <c r="J54" s="66">
        <f t="shared" si="1"/>
        <v>0.19942434210526316</v>
      </c>
      <c r="K54" s="67">
        <f t="shared" si="1"/>
        <v>0.19942434210526316</v>
      </c>
      <c r="L54" s="68">
        <f t="shared" si="1"/>
        <v>0.15044790461559859</v>
      </c>
    </row>
    <row r="55" spans="1:12" x14ac:dyDescent="0.25">
      <c r="A55" s="48" t="s">
        <v>41</v>
      </c>
      <c r="B55" s="21">
        <v>46050</v>
      </c>
      <c r="C55" s="20">
        <v>45050</v>
      </c>
      <c r="D55" s="20">
        <v>218030</v>
      </c>
      <c r="E55" s="22">
        <v>4840</v>
      </c>
      <c r="F55" s="21">
        <v>239090</v>
      </c>
      <c r="G55" s="20">
        <v>232590</v>
      </c>
      <c r="H55" s="20">
        <v>1558100</v>
      </c>
      <c r="I55" s="22">
        <v>6699</v>
      </c>
      <c r="J55" s="66">
        <f t="shared" si="1"/>
        <v>0.19260529507716759</v>
      </c>
      <c r="K55" s="67">
        <f t="shared" si="1"/>
        <v>0.19368846468033879</v>
      </c>
      <c r="L55" s="68">
        <f t="shared" si="1"/>
        <v>0.13993325203773826</v>
      </c>
    </row>
    <row r="56" spans="1:12" x14ac:dyDescent="0.25">
      <c r="A56" s="48" t="s">
        <v>42</v>
      </c>
      <c r="B56" s="21">
        <v>41350</v>
      </c>
      <c r="C56" s="20">
        <v>39800</v>
      </c>
      <c r="D56" s="20">
        <v>202580</v>
      </c>
      <c r="E56" s="22">
        <v>5090</v>
      </c>
      <c r="F56" s="21">
        <v>214570</v>
      </c>
      <c r="G56" s="20">
        <v>207740</v>
      </c>
      <c r="H56" s="20">
        <v>1404980</v>
      </c>
      <c r="I56" s="22">
        <v>6763</v>
      </c>
      <c r="J56" s="66">
        <f t="shared" si="1"/>
        <v>0.19271100340215314</v>
      </c>
      <c r="K56" s="67">
        <f t="shared" si="1"/>
        <v>0.19158563589101762</v>
      </c>
      <c r="L56" s="68">
        <f t="shared" si="1"/>
        <v>0.14418710586627567</v>
      </c>
    </row>
    <row r="57" spans="1:12" x14ac:dyDescent="0.25">
      <c r="A57" s="48" t="s">
        <v>43</v>
      </c>
      <c r="B57" s="21">
        <v>32200</v>
      </c>
      <c r="C57" s="20">
        <v>32200</v>
      </c>
      <c r="D57" s="20">
        <v>179380</v>
      </c>
      <c r="E57" s="22">
        <v>5571</v>
      </c>
      <c r="F57" s="21">
        <v>206500</v>
      </c>
      <c r="G57" s="20">
        <v>204100</v>
      </c>
      <c r="H57" s="20">
        <v>1328340</v>
      </c>
      <c r="I57" s="22">
        <v>6508</v>
      </c>
      <c r="J57" s="66">
        <f t="shared" si="1"/>
        <v>0.15593220338983052</v>
      </c>
      <c r="K57" s="67">
        <f t="shared" si="1"/>
        <v>0.157765801077903</v>
      </c>
      <c r="L57" s="68">
        <f t="shared" si="1"/>
        <v>0.13504072752457955</v>
      </c>
    </row>
    <row r="58" spans="1:12" x14ac:dyDescent="0.25">
      <c r="A58" s="48" t="s">
        <v>44</v>
      </c>
      <c r="B58" s="21">
        <v>30200</v>
      </c>
      <c r="C58" s="20">
        <v>30200</v>
      </c>
      <c r="D58" s="20">
        <v>199350</v>
      </c>
      <c r="E58" s="22">
        <v>6601</v>
      </c>
      <c r="F58" s="21">
        <v>202060</v>
      </c>
      <c r="G58" s="20">
        <v>198170</v>
      </c>
      <c r="H58" s="20">
        <v>1367968</v>
      </c>
      <c r="I58" s="22">
        <v>6903</v>
      </c>
      <c r="J58" s="66">
        <f t="shared" si="1"/>
        <v>0.14946055627041474</v>
      </c>
      <c r="K58" s="67">
        <f t="shared" si="1"/>
        <v>0.15239440884089417</v>
      </c>
      <c r="L58" s="68">
        <f t="shared" si="1"/>
        <v>0.14572709303141593</v>
      </c>
    </row>
    <row r="59" spans="1:12" x14ac:dyDescent="0.25">
      <c r="A59" s="48" t="s">
        <v>45</v>
      </c>
      <c r="B59" s="21">
        <v>29800</v>
      </c>
      <c r="C59" s="20">
        <v>25650</v>
      </c>
      <c r="D59" s="20">
        <v>141965</v>
      </c>
      <c r="E59" s="22">
        <v>5535</v>
      </c>
      <c r="F59" s="21">
        <v>194835</v>
      </c>
      <c r="G59" s="20">
        <v>183285</v>
      </c>
      <c r="H59" s="20">
        <v>1189866</v>
      </c>
      <c r="I59" s="22">
        <v>6492</v>
      </c>
      <c r="J59" s="66">
        <f t="shared" si="1"/>
        <v>0.1529499319937383</v>
      </c>
      <c r="K59" s="67">
        <f t="shared" si="1"/>
        <v>0.13994598575988215</v>
      </c>
      <c r="L59" s="68">
        <f t="shared" si="1"/>
        <v>0.11931175443285211</v>
      </c>
    </row>
    <row r="60" spans="1:12" x14ac:dyDescent="0.25">
      <c r="A60" s="49" t="s">
        <v>46</v>
      </c>
      <c r="B60" s="21">
        <v>26200</v>
      </c>
      <c r="C60" s="20">
        <v>26200</v>
      </c>
      <c r="D60" s="20">
        <v>149600</v>
      </c>
      <c r="E60" s="22">
        <v>5710</v>
      </c>
      <c r="F60" s="21">
        <v>185300</v>
      </c>
      <c r="G60" s="20">
        <v>185300</v>
      </c>
      <c r="H60" s="20">
        <v>1222910</v>
      </c>
      <c r="I60" s="22">
        <v>6600</v>
      </c>
      <c r="J60" s="66">
        <f t="shared" si="1"/>
        <v>0.14139233675121424</v>
      </c>
      <c r="K60" s="67">
        <f t="shared" si="1"/>
        <v>0.14139233675121424</v>
      </c>
      <c r="L60" s="68">
        <f t="shared" si="1"/>
        <v>0.12233116091944624</v>
      </c>
    </row>
    <row r="61" spans="1:12" x14ac:dyDescent="0.25">
      <c r="A61" s="49" t="s">
        <v>47</v>
      </c>
      <c r="B61" s="21">
        <v>28900</v>
      </c>
      <c r="C61" s="20">
        <v>28900</v>
      </c>
      <c r="D61" s="20">
        <v>184030</v>
      </c>
      <c r="E61" s="22">
        <v>6368</v>
      </c>
      <c r="F61" s="21">
        <v>199993</v>
      </c>
      <c r="G61" s="20">
        <v>199993</v>
      </c>
      <c r="H61" s="20">
        <v>1453187</v>
      </c>
      <c r="I61" s="22">
        <v>7266</v>
      </c>
      <c r="J61" s="66">
        <f t="shared" si="1"/>
        <v>0.14450505767701868</v>
      </c>
      <c r="K61" s="67">
        <f t="shared" si="1"/>
        <v>0.14450505767701868</v>
      </c>
      <c r="L61" s="68">
        <f t="shared" si="1"/>
        <v>0.12663889781562868</v>
      </c>
    </row>
    <row r="62" spans="1:12" x14ac:dyDescent="0.25">
      <c r="A62" s="49" t="s">
        <v>48</v>
      </c>
      <c r="B62" s="21">
        <v>31200</v>
      </c>
      <c r="C62" s="20">
        <v>30400</v>
      </c>
      <c r="D62" s="20">
        <v>161895</v>
      </c>
      <c r="E62" s="22">
        <v>5325</v>
      </c>
      <c r="F62" s="21">
        <v>205600</v>
      </c>
      <c r="G62" s="20">
        <v>186070</v>
      </c>
      <c r="H62" s="20">
        <v>1222426</v>
      </c>
      <c r="I62" s="22">
        <v>6570</v>
      </c>
      <c r="J62" s="66">
        <f t="shared" si="1"/>
        <v>0.1517509727626459</v>
      </c>
      <c r="K62" s="67">
        <f t="shared" si="1"/>
        <v>0.16337937335411404</v>
      </c>
      <c r="L62" s="68">
        <f t="shared" si="1"/>
        <v>0.13243746451727959</v>
      </c>
    </row>
    <row r="63" spans="1:12" x14ac:dyDescent="0.25">
      <c r="A63" s="49" t="s">
        <v>49</v>
      </c>
      <c r="B63" s="21">
        <v>24230</v>
      </c>
      <c r="C63" s="20">
        <v>24230</v>
      </c>
      <c r="D63" s="20">
        <v>158426</v>
      </c>
      <c r="E63" s="22">
        <v>6538</v>
      </c>
      <c r="F63" s="21">
        <v>193780</v>
      </c>
      <c r="G63" s="20">
        <v>173002</v>
      </c>
      <c r="H63" s="20">
        <v>1163209</v>
      </c>
      <c r="I63" s="22">
        <v>6724</v>
      </c>
      <c r="J63" s="66">
        <f t="shared" si="1"/>
        <v>0.12503870368459077</v>
      </c>
      <c r="K63" s="67">
        <f t="shared" si="1"/>
        <v>0.14005618432156855</v>
      </c>
      <c r="L63" s="68">
        <f t="shared" si="1"/>
        <v>0.13619736436014507</v>
      </c>
    </row>
    <row r="64" spans="1:12" x14ac:dyDescent="0.25">
      <c r="A64" s="49" t="s">
        <v>50</v>
      </c>
      <c r="B64" s="21">
        <v>29200</v>
      </c>
      <c r="C64" s="20">
        <v>29200</v>
      </c>
      <c r="D64" s="20">
        <v>195260</v>
      </c>
      <c r="E64" s="22">
        <v>6687</v>
      </c>
      <c r="F64" s="21">
        <v>204350</v>
      </c>
      <c r="G64" s="20">
        <v>190950</v>
      </c>
      <c r="H64" s="20">
        <v>1264770</v>
      </c>
      <c r="I64" s="22">
        <v>6624</v>
      </c>
      <c r="J64" s="66">
        <f t="shared" si="1"/>
        <v>0.14289209689258625</v>
      </c>
      <c r="K64" s="67">
        <f t="shared" si="1"/>
        <v>0.15291961246399582</v>
      </c>
      <c r="L64" s="68">
        <f t="shared" si="1"/>
        <v>0.15438380100729776</v>
      </c>
    </row>
    <row r="65" spans="1:12" x14ac:dyDescent="0.25">
      <c r="A65" s="49" t="s">
        <v>51</v>
      </c>
      <c r="B65" s="21">
        <v>32400</v>
      </c>
      <c r="C65" s="20">
        <v>32400</v>
      </c>
      <c r="D65" s="20">
        <v>220720</v>
      </c>
      <c r="E65" s="22">
        <v>6812</v>
      </c>
      <c r="F65" s="21">
        <v>233720</v>
      </c>
      <c r="G65" s="20">
        <v>233720</v>
      </c>
      <c r="H65" s="20">
        <v>1626298</v>
      </c>
      <c r="I65" s="22">
        <v>6958</v>
      </c>
      <c r="J65" s="66">
        <f t="shared" si="1"/>
        <v>0.13862741742255691</v>
      </c>
      <c r="K65" s="67">
        <f t="shared" si="1"/>
        <v>0.13862741742255691</v>
      </c>
      <c r="L65" s="68">
        <f t="shared" si="1"/>
        <v>0.13571928391967525</v>
      </c>
    </row>
    <row r="66" spans="1:12" x14ac:dyDescent="0.25">
      <c r="A66" s="49" t="s">
        <v>52</v>
      </c>
      <c r="B66" s="21">
        <v>31750</v>
      </c>
      <c r="C66" s="20">
        <v>31750</v>
      </c>
      <c r="D66" s="20">
        <v>209270</v>
      </c>
      <c r="E66" s="22">
        <v>6591</v>
      </c>
      <c r="F66" s="21">
        <v>213900</v>
      </c>
      <c r="G66" s="20">
        <v>213900</v>
      </c>
      <c r="H66" s="20">
        <v>1404600</v>
      </c>
      <c r="I66" s="22">
        <v>6567</v>
      </c>
      <c r="J66" s="66">
        <f t="shared" si="1"/>
        <v>0.14843384759233286</v>
      </c>
      <c r="K66" s="67">
        <f t="shared" si="1"/>
        <v>0.14843384759233286</v>
      </c>
      <c r="L66" s="68">
        <f t="shared" si="1"/>
        <v>0.14898903602449096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14AB2EB8-2F2F-4D8E-8A66-8903AD0318FD}"/>
  </hyperlinks>
  <pageMargins left="0.7" right="0.7" top="0.75" bottom="0.75" header="0.3" footer="0.3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AB56-6F04-4E51-9AD1-F9A69E11E5ED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71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50900</v>
      </c>
      <c r="C10" s="40">
        <v>2900</v>
      </c>
      <c r="D10" s="40">
        <v>1500</v>
      </c>
      <c r="E10" s="50">
        <v>517</v>
      </c>
      <c r="F10" s="41">
        <v>1128280</v>
      </c>
      <c r="G10" s="40">
        <v>327400</v>
      </c>
      <c r="H10" s="40">
        <v>425000</v>
      </c>
      <c r="I10" s="50">
        <v>1298</v>
      </c>
      <c r="J10" s="63">
        <f>B10/F10</f>
        <v>4.5112915233807213E-2</v>
      </c>
      <c r="K10" s="64">
        <f t="shared" ref="K10:L25" si="0">C10/G10</f>
        <v>8.8576664630421499E-3</v>
      </c>
      <c r="L10" s="65">
        <f t="shared" si="0"/>
        <v>3.5294117647058825E-3</v>
      </c>
    </row>
    <row r="11" spans="1:12" x14ac:dyDescent="0.25">
      <c r="A11" s="48" t="s">
        <v>81</v>
      </c>
      <c r="B11" s="21">
        <v>54000</v>
      </c>
      <c r="C11" s="20">
        <v>6000</v>
      </c>
      <c r="D11" s="20">
        <v>5600</v>
      </c>
      <c r="E11" s="22">
        <v>933</v>
      </c>
      <c r="F11" s="21">
        <v>1025190</v>
      </c>
      <c r="G11" s="20">
        <v>299670</v>
      </c>
      <c r="H11" s="20">
        <v>359960</v>
      </c>
      <c r="I11" s="22">
        <v>1201</v>
      </c>
      <c r="J11" s="66">
        <f t="shared" ref="J11:L66" si="1">B11/F11</f>
        <v>5.2673163023439558E-2</v>
      </c>
      <c r="K11" s="67">
        <f t="shared" si="0"/>
        <v>2.0022024226649313E-2</v>
      </c>
      <c r="L11" s="68">
        <f t="shared" si="0"/>
        <v>1.555728414268252E-2</v>
      </c>
    </row>
    <row r="12" spans="1:12" x14ac:dyDescent="0.25">
      <c r="A12" s="48" t="s">
        <v>82</v>
      </c>
      <c r="B12" s="21">
        <v>70000</v>
      </c>
      <c r="C12" s="20">
        <v>6000</v>
      </c>
      <c r="D12" s="20">
        <v>4400</v>
      </c>
      <c r="E12" s="22">
        <v>733</v>
      </c>
      <c r="F12" s="21">
        <v>1097440</v>
      </c>
      <c r="G12" s="20">
        <v>357000</v>
      </c>
      <c r="H12" s="20">
        <v>475000</v>
      </c>
      <c r="I12" s="22">
        <v>1331</v>
      </c>
      <c r="J12" s="66">
        <f t="shared" si="1"/>
        <v>6.3784808281090538E-2</v>
      </c>
      <c r="K12" s="67">
        <f t="shared" si="0"/>
        <v>1.680672268907563E-2</v>
      </c>
      <c r="L12" s="68">
        <f t="shared" si="0"/>
        <v>9.2631578947368429E-3</v>
      </c>
    </row>
    <row r="13" spans="1:12" x14ac:dyDescent="0.25">
      <c r="A13" s="48" t="s">
        <v>83</v>
      </c>
      <c r="B13" s="21">
        <v>92000</v>
      </c>
      <c r="C13" s="20">
        <v>7500</v>
      </c>
      <c r="D13" s="20">
        <v>5700</v>
      </c>
      <c r="E13" s="22">
        <v>760</v>
      </c>
      <c r="F13" s="21">
        <v>1221770</v>
      </c>
      <c r="G13" s="20">
        <v>398700</v>
      </c>
      <c r="H13" s="20">
        <v>566000</v>
      </c>
      <c r="I13" s="22">
        <v>1420</v>
      </c>
      <c r="J13" s="66">
        <f t="shared" si="1"/>
        <v>7.5300588490468751E-2</v>
      </c>
      <c r="K13" s="67">
        <f t="shared" si="0"/>
        <v>1.8811136192626036E-2</v>
      </c>
      <c r="L13" s="68">
        <f t="shared" si="0"/>
        <v>1.0070671378091874E-2</v>
      </c>
    </row>
    <row r="14" spans="1:12" x14ac:dyDescent="0.25">
      <c r="A14" s="48" t="s">
        <v>84</v>
      </c>
      <c r="B14" s="21">
        <v>84000</v>
      </c>
      <c r="C14" s="20">
        <v>6000</v>
      </c>
      <c r="D14" s="20">
        <v>5200</v>
      </c>
      <c r="E14" s="22">
        <v>867</v>
      </c>
      <c r="F14" s="21">
        <v>1153950</v>
      </c>
      <c r="G14" s="20">
        <v>394600</v>
      </c>
      <c r="H14" s="20">
        <v>561000</v>
      </c>
      <c r="I14" s="22">
        <v>1422</v>
      </c>
      <c r="J14" s="66">
        <f t="shared" si="1"/>
        <v>7.2793448589626927E-2</v>
      </c>
      <c r="K14" s="67">
        <f t="shared" si="0"/>
        <v>1.5205271160669031E-2</v>
      </c>
      <c r="L14" s="68">
        <f t="shared" si="0"/>
        <v>9.2691622103386814E-3</v>
      </c>
    </row>
    <row r="15" spans="1:12" x14ac:dyDescent="0.25">
      <c r="A15" s="48" t="s">
        <v>85</v>
      </c>
      <c r="B15" s="21">
        <v>87000</v>
      </c>
      <c r="C15" s="20">
        <v>5700</v>
      </c>
      <c r="D15" s="20">
        <v>3600</v>
      </c>
      <c r="E15" s="22">
        <v>632</v>
      </c>
      <c r="F15" s="21">
        <v>1200150</v>
      </c>
      <c r="G15" s="20">
        <v>282200</v>
      </c>
      <c r="H15" s="20">
        <v>327000</v>
      </c>
      <c r="I15" s="22">
        <v>1159</v>
      </c>
      <c r="J15" s="66">
        <f t="shared" si="1"/>
        <v>7.249093863267092E-2</v>
      </c>
      <c r="K15" s="67">
        <f t="shared" si="0"/>
        <v>2.0198440822111977E-2</v>
      </c>
      <c r="L15" s="68">
        <f t="shared" si="0"/>
        <v>1.1009174311926606E-2</v>
      </c>
    </row>
    <row r="16" spans="1:12" x14ac:dyDescent="0.25">
      <c r="A16" s="48" t="s">
        <v>86</v>
      </c>
      <c r="B16" s="21">
        <v>134000</v>
      </c>
      <c r="C16" s="20">
        <v>9700</v>
      </c>
      <c r="D16" s="20">
        <v>9500</v>
      </c>
      <c r="E16" s="22">
        <v>979</v>
      </c>
      <c r="F16" s="21">
        <v>1341100</v>
      </c>
      <c r="G16" s="20">
        <v>337750</v>
      </c>
      <c r="H16" s="20">
        <v>432900</v>
      </c>
      <c r="I16" s="22">
        <v>1282</v>
      </c>
      <c r="J16" s="66">
        <f t="shared" si="1"/>
        <v>9.9917977779434786E-2</v>
      </c>
      <c r="K16" s="67">
        <f t="shared" si="0"/>
        <v>2.8719467061435973E-2</v>
      </c>
      <c r="L16" s="68">
        <f t="shared" si="0"/>
        <v>2.1945021945021945E-2</v>
      </c>
    </row>
    <row r="17" spans="1:12" x14ac:dyDescent="0.25">
      <c r="A17" s="48" t="s">
        <v>87</v>
      </c>
      <c r="B17" s="21">
        <v>205500</v>
      </c>
      <c r="C17" s="20">
        <v>12800</v>
      </c>
      <c r="D17" s="20">
        <v>14000</v>
      </c>
      <c r="E17" s="22">
        <v>1094</v>
      </c>
      <c r="F17" s="21">
        <v>1470850</v>
      </c>
      <c r="G17" s="20">
        <v>383000</v>
      </c>
      <c r="H17" s="20">
        <v>530000</v>
      </c>
      <c r="I17" s="22">
        <v>1384</v>
      </c>
      <c r="J17" s="66">
        <f t="shared" si="1"/>
        <v>0.13971513070673419</v>
      </c>
      <c r="K17" s="67">
        <f t="shared" si="0"/>
        <v>3.3420365535248041E-2</v>
      </c>
      <c r="L17" s="68">
        <f t="shared" si="0"/>
        <v>2.6415094339622643E-2</v>
      </c>
    </row>
    <row r="18" spans="1:12" x14ac:dyDescent="0.25">
      <c r="A18" s="48" t="s">
        <v>88</v>
      </c>
      <c r="B18" s="21">
        <v>204000</v>
      </c>
      <c r="C18" s="20">
        <v>25400</v>
      </c>
      <c r="D18" s="20">
        <v>24000</v>
      </c>
      <c r="E18" s="22">
        <v>945</v>
      </c>
      <c r="F18" s="21">
        <v>1479870</v>
      </c>
      <c r="G18" s="20">
        <v>430000</v>
      </c>
      <c r="H18" s="20">
        <v>570000</v>
      </c>
      <c r="I18" s="22">
        <v>1326</v>
      </c>
      <c r="J18" s="66">
        <f t="shared" si="1"/>
        <v>0.13784994627906505</v>
      </c>
      <c r="K18" s="67">
        <f t="shared" si="0"/>
        <v>5.9069767441860467E-2</v>
      </c>
      <c r="L18" s="68">
        <f t="shared" si="0"/>
        <v>4.2105263157894736E-2</v>
      </c>
    </row>
    <row r="19" spans="1:12" x14ac:dyDescent="0.25">
      <c r="A19" s="48" t="s">
        <v>89</v>
      </c>
      <c r="B19" s="21">
        <v>205000</v>
      </c>
      <c r="C19" s="20">
        <v>28000</v>
      </c>
      <c r="D19" s="20">
        <v>28000</v>
      </c>
      <c r="E19" s="22">
        <v>1000</v>
      </c>
      <c r="F19" s="21">
        <v>1544660</v>
      </c>
      <c r="G19" s="20">
        <v>500000</v>
      </c>
      <c r="H19" s="20">
        <v>676000</v>
      </c>
      <c r="I19" s="22">
        <v>1352</v>
      </c>
      <c r="J19" s="66">
        <f t="shared" si="1"/>
        <v>0.13271529009620239</v>
      </c>
      <c r="K19" s="67">
        <f t="shared" si="0"/>
        <v>5.6000000000000001E-2</v>
      </c>
      <c r="L19" s="68">
        <f t="shared" si="0"/>
        <v>4.142011834319527E-2</v>
      </c>
    </row>
    <row r="20" spans="1:12" x14ac:dyDescent="0.25">
      <c r="A20" s="48" t="s">
        <v>90</v>
      </c>
      <c r="B20" s="21">
        <v>278000</v>
      </c>
      <c r="C20" s="20">
        <v>30700</v>
      </c>
      <c r="D20" s="20">
        <v>30000</v>
      </c>
      <c r="E20" s="22">
        <v>977</v>
      </c>
      <c r="F20" s="21">
        <v>1679700</v>
      </c>
      <c r="G20" s="20">
        <v>410000</v>
      </c>
      <c r="H20" s="20">
        <v>522000</v>
      </c>
      <c r="I20" s="22">
        <v>1273</v>
      </c>
      <c r="J20" s="66">
        <f t="shared" si="1"/>
        <v>0.16550574507352503</v>
      </c>
      <c r="K20" s="67">
        <f t="shared" si="0"/>
        <v>7.4878048780487802E-2</v>
      </c>
      <c r="L20" s="68">
        <f t="shared" si="0"/>
        <v>5.7471264367816091E-2</v>
      </c>
    </row>
    <row r="21" spans="1:12" x14ac:dyDescent="0.25">
      <c r="A21" s="48" t="s">
        <v>91</v>
      </c>
      <c r="B21" s="21">
        <v>298600</v>
      </c>
      <c r="C21" s="20">
        <v>25800</v>
      </c>
      <c r="D21" s="20">
        <v>20500</v>
      </c>
      <c r="E21" s="22">
        <v>795</v>
      </c>
      <c r="F21" s="21">
        <v>1717670</v>
      </c>
      <c r="G21" s="20">
        <v>349600</v>
      </c>
      <c r="H21" s="20">
        <v>433000</v>
      </c>
      <c r="I21" s="22">
        <v>1239</v>
      </c>
      <c r="J21" s="66">
        <f t="shared" si="1"/>
        <v>0.17384014391588606</v>
      </c>
      <c r="K21" s="67">
        <f t="shared" si="0"/>
        <v>7.3798627002288328E-2</v>
      </c>
      <c r="L21" s="68">
        <f t="shared" si="0"/>
        <v>4.7344110854503463E-2</v>
      </c>
    </row>
    <row r="22" spans="1:12" x14ac:dyDescent="0.25">
      <c r="A22" s="48" t="s">
        <v>92</v>
      </c>
      <c r="B22" s="21">
        <v>213500</v>
      </c>
      <c r="C22" s="20">
        <v>17600</v>
      </c>
      <c r="D22" s="20">
        <v>12160</v>
      </c>
      <c r="E22" s="22">
        <v>691</v>
      </c>
      <c r="F22" s="21">
        <v>1614670</v>
      </c>
      <c r="G22" s="20">
        <v>298470</v>
      </c>
      <c r="H22" s="20">
        <v>338970</v>
      </c>
      <c r="I22" s="22">
        <v>1136</v>
      </c>
      <c r="J22" s="66">
        <f t="shared" si="1"/>
        <v>0.13222516055912353</v>
      </c>
      <c r="K22" s="67">
        <f t="shared" si="0"/>
        <v>5.89674004087513E-2</v>
      </c>
      <c r="L22" s="68">
        <f t="shared" si="0"/>
        <v>3.5873381125173319E-2</v>
      </c>
    </row>
    <row r="23" spans="1:12" x14ac:dyDescent="0.25">
      <c r="A23" s="48" t="s">
        <v>93</v>
      </c>
      <c r="B23" s="21">
        <v>234500</v>
      </c>
      <c r="C23" s="20">
        <v>11400</v>
      </c>
      <c r="D23" s="20">
        <v>9300</v>
      </c>
      <c r="E23" s="22">
        <v>816</v>
      </c>
      <c r="F23" s="21">
        <v>1855670</v>
      </c>
      <c r="G23" s="20">
        <v>407970</v>
      </c>
      <c r="H23" s="20">
        <v>636970</v>
      </c>
      <c r="I23" s="22">
        <v>1561</v>
      </c>
      <c r="J23" s="66">
        <f t="shared" si="1"/>
        <v>0.12636945146496953</v>
      </c>
      <c r="K23" s="67">
        <f t="shared" si="0"/>
        <v>2.794323111993529E-2</v>
      </c>
      <c r="L23" s="68">
        <f t="shared" si="0"/>
        <v>1.4600373643970673E-2</v>
      </c>
    </row>
    <row r="24" spans="1:12" x14ac:dyDescent="0.25">
      <c r="A24" s="48" t="s">
        <v>94</v>
      </c>
      <c r="B24" s="21">
        <v>236000</v>
      </c>
      <c r="C24" s="20">
        <v>17100</v>
      </c>
      <c r="D24" s="20">
        <v>14000</v>
      </c>
      <c r="E24" s="22">
        <v>819</v>
      </c>
      <c r="F24" s="21">
        <v>1799670</v>
      </c>
      <c r="G24" s="20">
        <v>409970</v>
      </c>
      <c r="H24" s="20">
        <v>592970</v>
      </c>
      <c r="I24" s="22">
        <v>1446</v>
      </c>
      <c r="J24" s="66">
        <f t="shared" si="1"/>
        <v>0.13113515255574634</v>
      </c>
      <c r="K24" s="67">
        <f t="shared" si="0"/>
        <v>4.1710369051394004E-2</v>
      </c>
      <c r="L24" s="68">
        <f t="shared" si="0"/>
        <v>2.3609963404556723E-2</v>
      </c>
    </row>
    <row r="25" spans="1:12" x14ac:dyDescent="0.25">
      <c r="A25" s="48" t="s">
        <v>95</v>
      </c>
      <c r="B25" s="21">
        <v>231000</v>
      </c>
      <c r="C25" s="20">
        <v>20000</v>
      </c>
      <c r="D25" s="20">
        <v>18000</v>
      </c>
      <c r="E25" s="22">
        <v>900</v>
      </c>
      <c r="F25" s="21">
        <v>1773700</v>
      </c>
      <c r="G25" s="20">
        <v>434300</v>
      </c>
      <c r="H25" s="20">
        <v>717000</v>
      </c>
      <c r="I25" s="22">
        <v>1651</v>
      </c>
      <c r="J25" s="66">
        <f t="shared" si="1"/>
        <v>0.13023622935107404</v>
      </c>
      <c r="K25" s="67">
        <f t="shared" si="0"/>
        <v>4.6051116739580934E-2</v>
      </c>
      <c r="L25" s="68">
        <f t="shared" si="0"/>
        <v>2.5104602510460251E-2</v>
      </c>
    </row>
    <row r="26" spans="1:12" x14ac:dyDescent="0.25">
      <c r="A26" s="48" t="s">
        <v>96</v>
      </c>
      <c r="B26" s="21">
        <v>230000</v>
      </c>
      <c r="C26" s="20">
        <v>10540</v>
      </c>
      <c r="D26" s="20">
        <v>8300</v>
      </c>
      <c r="E26" s="22">
        <v>787</v>
      </c>
      <c r="F26" s="21">
        <v>1738650</v>
      </c>
      <c r="G26" s="20">
        <v>333000</v>
      </c>
      <c r="H26" s="20">
        <v>400000</v>
      </c>
      <c r="I26" s="22">
        <v>1201</v>
      </c>
      <c r="J26" s="66">
        <f t="shared" si="1"/>
        <v>0.13228654415782359</v>
      </c>
      <c r="K26" s="67">
        <f t="shared" si="1"/>
        <v>3.1651651651651652E-2</v>
      </c>
      <c r="L26" s="68">
        <f t="shared" si="1"/>
        <v>2.0750000000000001E-2</v>
      </c>
    </row>
    <row r="27" spans="1:12" x14ac:dyDescent="0.25">
      <c r="A27" s="48" t="s">
        <v>97</v>
      </c>
      <c r="B27" s="21">
        <v>230000</v>
      </c>
      <c r="C27" s="20">
        <v>10500</v>
      </c>
      <c r="D27" s="20">
        <v>8300</v>
      </c>
      <c r="E27" s="22">
        <v>790</v>
      </c>
      <c r="F27" s="21">
        <v>1529700</v>
      </c>
      <c r="G27" s="20">
        <v>312000</v>
      </c>
      <c r="H27" s="20">
        <v>495000</v>
      </c>
      <c r="I27" s="22">
        <v>1587</v>
      </c>
      <c r="J27" s="66">
        <f t="shared" si="1"/>
        <v>0.15035627900895601</v>
      </c>
      <c r="K27" s="67">
        <f t="shared" si="1"/>
        <v>3.3653846153846152E-2</v>
      </c>
      <c r="L27" s="68">
        <f t="shared" si="1"/>
        <v>1.6767676767676768E-2</v>
      </c>
    </row>
    <row r="28" spans="1:12" x14ac:dyDescent="0.25">
      <c r="A28" s="48" t="s">
        <v>98</v>
      </c>
      <c r="B28" s="21">
        <v>220000</v>
      </c>
      <c r="C28" s="20">
        <v>45000</v>
      </c>
      <c r="D28" s="20">
        <v>36000</v>
      </c>
      <c r="E28" s="22">
        <v>800</v>
      </c>
      <c r="F28" s="21">
        <v>1959720</v>
      </c>
      <c r="G28" s="20">
        <v>476423</v>
      </c>
      <c r="H28" s="20">
        <v>718000</v>
      </c>
      <c r="I28" s="22">
        <v>1507</v>
      </c>
      <c r="J28" s="66">
        <f t="shared" si="1"/>
        <v>0.11226093523564591</v>
      </c>
      <c r="K28" s="67">
        <f t="shared" si="1"/>
        <v>9.445387817128896E-2</v>
      </c>
      <c r="L28" s="68">
        <f t="shared" si="1"/>
        <v>5.0139275766016712E-2</v>
      </c>
    </row>
    <row r="29" spans="1:12" x14ac:dyDescent="0.25">
      <c r="A29" s="48" t="s">
        <v>99</v>
      </c>
      <c r="B29" s="21">
        <v>100000</v>
      </c>
      <c r="C29" s="20">
        <v>14000</v>
      </c>
      <c r="D29" s="20">
        <v>10000</v>
      </c>
      <c r="E29" s="22">
        <v>714</v>
      </c>
      <c r="F29" s="21">
        <v>1830000</v>
      </c>
      <c r="G29" s="20">
        <v>355590</v>
      </c>
      <c r="H29" s="20">
        <v>450000</v>
      </c>
      <c r="I29" s="22">
        <v>1266</v>
      </c>
      <c r="J29" s="66">
        <f t="shared" si="1"/>
        <v>5.4644808743169397E-2</v>
      </c>
      <c r="K29" s="67">
        <f t="shared" si="1"/>
        <v>3.9371185916364355E-2</v>
      </c>
      <c r="L29" s="68">
        <f t="shared" si="1"/>
        <v>2.2222222222222223E-2</v>
      </c>
    </row>
    <row r="30" spans="1:12" x14ac:dyDescent="0.25">
      <c r="A30" s="48" t="s">
        <v>100</v>
      </c>
      <c r="B30" s="21">
        <v>116600</v>
      </c>
      <c r="C30" s="20">
        <v>15100</v>
      </c>
      <c r="D30" s="20">
        <v>12600</v>
      </c>
      <c r="E30" s="22">
        <v>834</v>
      </c>
      <c r="F30" s="21">
        <v>2098450</v>
      </c>
      <c r="G30" s="20">
        <v>443910</v>
      </c>
      <c r="H30" s="20">
        <v>666600</v>
      </c>
      <c r="I30" s="22">
        <v>1502</v>
      </c>
      <c r="J30" s="66">
        <f t="shared" si="1"/>
        <v>5.5564821654078007E-2</v>
      </c>
      <c r="K30" s="67">
        <f t="shared" si="1"/>
        <v>3.4015904124709964E-2</v>
      </c>
      <c r="L30" s="68">
        <f t="shared" si="1"/>
        <v>1.8901890189018902E-2</v>
      </c>
    </row>
    <row r="31" spans="1:12" x14ac:dyDescent="0.25">
      <c r="A31" s="48" t="s">
        <v>101</v>
      </c>
      <c r="B31" s="21">
        <v>100000</v>
      </c>
      <c r="C31" s="20">
        <v>12000</v>
      </c>
      <c r="D31" s="20">
        <v>14000</v>
      </c>
      <c r="E31" s="22">
        <v>1167</v>
      </c>
      <c r="F31" s="21">
        <v>1015000</v>
      </c>
      <c r="G31" s="20">
        <v>201200</v>
      </c>
      <c r="H31" s="20">
        <v>275000</v>
      </c>
      <c r="I31" s="22">
        <v>1367</v>
      </c>
      <c r="J31" s="66">
        <f t="shared" si="1"/>
        <v>9.8522167487684734E-2</v>
      </c>
      <c r="K31" s="67">
        <f t="shared" si="1"/>
        <v>5.9642147117296221E-2</v>
      </c>
      <c r="L31" s="68">
        <f t="shared" si="1"/>
        <v>5.0909090909090911E-2</v>
      </c>
    </row>
    <row r="32" spans="1:12" x14ac:dyDescent="0.25">
      <c r="A32" s="48" t="s">
        <v>102</v>
      </c>
      <c r="B32" s="21">
        <v>150000</v>
      </c>
      <c r="C32" s="20">
        <v>12000</v>
      </c>
      <c r="D32" s="20">
        <v>16700</v>
      </c>
      <c r="E32" s="22">
        <v>1392</v>
      </c>
      <c r="F32" s="21">
        <v>1330000</v>
      </c>
      <c r="G32" s="20">
        <v>131000</v>
      </c>
      <c r="H32" s="20">
        <v>210000</v>
      </c>
      <c r="I32" s="22">
        <v>1603</v>
      </c>
      <c r="J32" s="66">
        <f t="shared" si="1"/>
        <v>0.11278195488721804</v>
      </c>
      <c r="K32" s="67">
        <f t="shared" si="1"/>
        <v>9.1603053435114504E-2</v>
      </c>
      <c r="L32" s="68">
        <f t="shared" si="1"/>
        <v>7.9523809523809524E-2</v>
      </c>
    </row>
    <row r="33" spans="1:12" x14ac:dyDescent="0.25">
      <c r="A33" s="48" t="s">
        <v>103</v>
      </c>
      <c r="B33" s="21">
        <v>79550</v>
      </c>
      <c r="C33" s="20">
        <v>7150</v>
      </c>
      <c r="D33" s="20">
        <v>9000</v>
      </c>
      <c r="E33" s="22">
        <v>1259</v>
      </c>
      <c r="F33" s="21">
        <v>2006100</v>
      </c>
      <c r="G33" s="20">
        <v>371800</v>
      </c>
      <c r="H33" s="20">
        <v>600200</v>
      </c>
      <c r="I33" s="22">
        <v>1614</v>
      </c>
      <c r="J33" s="66">
        <f t="shared" si="1"/>
        <v>3.9654055131847867E-2</v>
      </c>
      <c r="K33" s="67">
        <f t="shared" si="1"/>
        <v>1.9230769230769232E-2</v>
      </c>
      <c r="L33" s="68">
        <f t="shared" si="1"/>
        <v>1.4995001666111295E-2</v>
      </c>
    </row>
    <row r="34" spans="1:12" x14ac:dyDescent="0.25">
      <c r="A34" s="48" t="s">
        <v>104</v>
      </c>
      <c r="B34" s="21">
        <v>130000</v>
      </c>
      <c r="C34" s="20">
        <v>7500</v>
      </c>
      <c r="D34" s="20">
        <v>5600</v>
      </c>
      <c r="E34" s="22">
        <v>747</v>
      </c>
      <c r="F34" s="21">
        <v>1971080</v>
      </c>
      <c r="G34" s="20">
        <v>303500</v>
      </c>
      <c r="H34" s="20">
        <v>436540</v>
      </c>
      <c r="I34" s="22">
        <v>1438</v>
      </c>
      <c r="J34" s="66">
        <f t="shared" si="1"/>
        <v>6.5953690362643827E-2</v>
      </c>
      <c r="K34" s="67">
        <f t="shared" si="1"/>
        <v>2.4711696869851731E-2</v>
      </c>
      <c r="L34" s="68">
        <f t="shared" si="1"/>
        <v>1.2828148623264764E-2</v>
      </c>
    </row>
    <row r="35" spans="1:12" x14ac:dyDescent="0.25">
      <c r="A35" s="48" t="s">
        <v>105</v>
      </c>
      <c r="B35" s="21">
        <v>134700</v>
      </c>
      <c r="C35" s="20">
        <v>11600</v>
      </c>
      <c r="D35" s="20">
        <v>13950</v>
      </c>
      <c r="E35" s="22">
        <v>1203</v>
      </c>
      <c r="F35" s="21">
        <v>1971695</v>
      </c>
      <c r="G35" s="20">
        <v>259070</v>
      </c>
      <c r="H35" s="20">
        <v>357286</v>
      </c>
      <c r="I35" s="22">
        <v>1379</v>
      </c>
      <c r="J35" s="66">
        <f t="shared" si="1"/>
        <v>6.831685428020054E-2</v>
      </c>
      <c r="K35" s="67">
        <f t="shared" si="1"/>
        <v>4.4775543289458444E-2</v>
      </c>
      <c r="L35" s="68">
        <f t="shared" si="1"/>
        <v>3.9044351024109539E-2</v>
      </c>
    </row>
    <row r="36" spans="1:12" x14ac:dyDescent="0.25">
      <c r="A36" s="48" t="s">
        <v>106</v>
      </c>
      <c r="B36" s="21">
        <v>125300</v>
      </c>
      <c r="C36" s="20">
        <v>1200</v>
      </c>
      <c r="D36" s="20">
        <v>1530</v>
      </c>
      <c r="E36" s="22">
        <v>1275</v>
      </c>
      <c r="F36" s="21">
        <v>1847775</v>
      </c>
      <c r="G36" s="20">
        <v>213750</v>
      </c>
      <c r="H36" s="20">
        <v>260280</v>
      </c>
      <c r="I36" s="22">
        <v>1218</v>
      </c>
      <c r="J36" s="66">
        <f t="shared" si="1"/>
        <v>6.7811286547333954E-2</v>
      </c>
      <c r="K36" s="67">
        <f t="shared" si="1"/>
        <v>5.6140350877192978E-3</v>
      </c>
      <c r="L36" s="68">
        <f t="shared" si="1"/>
        <v>5.8782849239280774E-3</v>
      </c>
    </row>
    <row r="37" spans="1:12" x14ac:dyDescent="0.25">
      <c r="A37" s="48" t="s">
        <v>23</v>
      </c>
      <c r="B37" s="21">
        <v>113400</v>
      </c>
      <c r="C37" s="20">
        <v>600</v>
      </c>
      <c r="D37" s="20">
        <v>1100</v>
      </c>
      <c r="E37" s="22">
        <v>1833</v>
      </c>
      <c r="F37" s="21">
        <v>1870180</v>
      </c>
      <c r="G37" s="20">
        <v>246480</v>
      </c>
      <c r="H37" s="20">
        <v>309500</v>
      </c>
      <c r="I37" s="22">
        <v>1256</v>
      </c>
      <c r="J37" s="66">
        <f t="shared" si="1"/>
        <v>6.0635874621694168E-2</v>
      </c>
      <c r="K37" s="67">
        <f t="shared" si="1"/>
        <v>2.4342745861733205E-3</v>
      </c>
      <c r="L37" s="68">
        <f t="shared" si="1"/>
        <v>3.5541195476575119E-3</v>
      </c>
    </row>
    <row r="38" spans="1:12" x14ac:dyDescent="0.25">
      <c r="A38" s="48" t="s">
        <v>24</v>
      </c>
      <c r="B38" s="21">
        <v>98500</v>
      </c>
      <c r="C38" s="20">
        <v>600</v>
      </c>
      <c r="D38" s="20">
        <v>1200</v>
      </c>
      <c r="E38" s="22">
        <v>2000</v>
      </c>
      <c r="F38" s="21">
        <v>1789200</v>
      </c>
      <c r="G38" s="20">
        <v>289500</v>
      </c>
      <c r="H38" s="20">
        <v>512100</v>
      </c>
      <c r="I38" s="22">
        <v>1769</v>
      </c>
      <c r="J38" s="66">
        <f t="shared" si="1"/>
        <v>5.5052537446903645E-2</v>
      </c>
      <c r="K38" s="67">
        <f t="shared" si="1"/>
        <v>2.0725388601036268E-3</v>
      </c>
      <c r="L38" s="68">
        <f t="shared" si="1"/>
        <v>2.3432923257176333E-3</v>
      </c>
    </row>
    <row r="39" spans="1:12" x14ac:dyDescent="0.25">
      <c r="A39" s="48" t="s">
        <v>25</v>
      </c>
      <c r="B39" s="21">
        <v>118900</v>
      </c>
      <c r="C39" s="20">
        <v>6100</v>
      </c>
      <c r="D39" s="20">
        <v>6700</v>
      </c>
      <c r="E39" s="22">
        <v>1098</v>
      </c>
      <c r="F39" s="21">
        <v>1822240</v>
      </c>
      <c r="G39" s="20">
        <v>240300</v>
      </c>
      <c r="H39" s="20">
        <v>383395</v>
      </c>
      <c r="I39" s="22">
        <v>1595</v>
      </c>
      <c r="J39" s="66">
        <f t="shared" si="1"/>
        <v>6.5249363420844669E-2</v>
      </c>
      <c r="K39" s="67">
        <f t="shared" si="1"/>
        <v>2.5384935497295046E-2</v>
      </c>
      <c r="L39" s="68">
        <f t="shared" si="1"/>
        <v>1.747544960158583E-2</v>
      </c>
    </row>
    <row r="40" spans="1:12" x14ac:dyDescent="0.25">
      <c r="A40" s="48" t="s">
        <v>26</v>
      </c>
      <c r="B40" s="21">
        <v>73200</v>
      </c>
      <c r="C40" s="20">
        <v>600</v>
      </c>
      <c r="D40" s="20">
        <v>960</v>
      </c>
      <c r="E40" s="22">
        <v>1600</v>
      </c>
      <c r="F40" s="21">
        <v>1711460</v>
      </c>
      <c r="G40" s="20">
        <v>337460</v>
      </c>
      <c r="H40" s="20">
        <v>554708</v>
      </c>
      <c r="I40" s="22">
        <v>1644</v>
      </c>
      <c r="J40" s="66">
        <f t="shared" si="1"/>
        <v>4.2770500040900751E-2</v>
      </c>
      <c r="K40" s="67">
        <f t="shared" si="1"/>
        <v>1.7779885023410183E-3</v>
      </c>
      <c r="L40" s="68">
        <f t="shared" si="1"/>
        <v>1.7306402647879605E-3</v>
      </c>
    </row>
    <row r="41" spans="1:12" x14ac:dyDescent="0.25">
      <c r="A41" s="48" t="s">
        <v>27</v>
      </c>
      <c r="B41" s="21">
        <v>70900</v>
      </c>
      <c r="C41" s="20">
        <v>500</v>
      </c>
      <c r="D41" s="20">
        <v>800</v>
      </c>
      <c r="E41" s="22">
        <v>1600</v>
      </c>
      <c r="F41" s="21">
        <v>1663685</v>
      </c>
      <c r="G41" s="20">
        <v>335534</v>
      </c>
      <c r="H41" s="20">
        <v>644150</v>
      </c>
      <c r="I41" s="22">
        <v>1920</v>
      </c>
      <c r="J41" s="66">
        <f t="shared" si="1"/>
        <v>4.2616240454172512E-2</v>
      </c>
      <c r="K41" s="67">
        <f t="shared" si="1"/>
        <v>1.4901619508008131E-3</v>
      </c>
      <c r="L41" s="68">
        <f t="shared" si="1"/>
        <v>1.2419467515330279E-3</v>
      </c>
    </row>
    <row r="42" spans="1:12" x14ac:dyDescent="0.25">
      <c r="A42" s="48" t="s">
        <v>28</v>
      </c>
      <c r="B42" s="21">
        <v>64850</v>
      </c>
      <c r="C42" s="20">
        <v>700</v>
      </c>
      <c r="D42" s="20">
        <v>1380</v>
      </c>
      <c r="E42" s="22">
        <v>1971</v>
      </c>
      <c r="F42" s="21">
        <v>1516115</v>
      </c>
      <c r="G42" s="20">
        <v>362545</v>
      </c>
      <c r="H42" s="20">
        <v>644760</v>
      </c>
      <c r="I42" s="22">
        <v>1778</v>
      </c>
      <c r="J42" s="66">
        <f t="shared" si="1"/>
        <v>4.2773800140490661E-2</v>
      </c>
      <c r="K42" s="67">
        <f t="shared" si="1"/>
        <v>1.9307947978871589E-3</v>
      </c>
      <c r="L42" s="68">
        <f t="shared" si="1"/>
        <v>2.1403312860599293E-3</v>
      </c>
    </row>
    <row r="43" spans="1:12" x14ac:dyDescent="0.25">
      <c r="A43" s="48" t="s">
        <v>29</v>
      </c>
      <c r="B43" s="21">
        <v>26600</v>
      </c>
      <c r="C43" s="20">
        <v>350</v>
      </c>
      <c r="D43" s="20">
        <v>490</v>
      </c>
      <c r="E43" s="22">
        <v>1400</v>
      </c>
      <c r="F43" s="21">
        <v>1368400</v>
      </c>
      <c r="G43" s="20">
        <v>292315</v>
      </c>
      <c r="H43" s="20">
        <v>487510</v>
      </c>
      <c r="I43" s="22">
        <v>1668</v>
      </c>
      <c r="J43" s="66">
        <f t="shared" si="1"/>
        <v>1.9438760596316867E-2</v>
      </c>
      <c r="K43" s="67">
        <f t="shared" si="1"/>
        <v>1.1973384875904418E-3</v>
      </c>
      <c r="L43" s="68">
        <f t="shared" si="1"/>
        <v>1.0051075875366659E-3</v>
      </c>
    </row>
    <row r="44" spans="1:12" x14ac:dyDescent="0.25">
      <c r="A44" s="48" t="s">
        <v>30</v>
      </c>
      <c r="B44" s="21">
        <v>33650</v>
      </c>
      <c r="C44" s="20">
        <v>150</v>
      </c>
      <c r="D44" s="20">
        <v>230</v>
      </c>
      <c r="E44" s="22">
        <v>1533</v>
      </c>
      <c r="F44" s="21">
        <v>1344030</v>
      </c>
      <c r="G44" s="20">
        <v>220785</v>
      </c>
      <c r="H44" s="20">
        <v>331993</v>
      </c>
      <c r="I44" s="22">
        <v>1504</v>
      </c>
      <c r="J44" s="66">
        <f t="shared" si="1"/>
        <v>2.5036643527302217E-2</v>
      </c>
      <c r="K44" s="67">
        <f t="shared" si="1"/>
        <v>6.7939398056933214E-4</v>
      </c>
      <c r="L44" s="68">
        <f t="shared" si="1"/>
        <v>6.9278569126457489E-4</v>
      </c>
    </row>
    <row r="45" spans="1:12" x14ac:dyDescent="0.25">
      <c r="A45" s="48" t="s">
        <v>31</v>
      </c>
      <c r="B45" s="21">
        <v>41260</v>
      </c>
      <c r="C45" s="20">
        <v>80</v>
      </c>
      <c r="D45" s="20">
        <v>130</v>
      </c>
      <c r="E45" s="22">
        <v>1625</v>
      </c>
      <c r="F45" s="21">
        <v>1275253</v>
      </c>
      <c r="G45" s="20">
        <v>291307</v>
      </c>
      <c r="H45" s="20">
        <v>536091</v>
      </c>
      <c r="I45" s="22">
        <v>1840</v>
      </c>
      <c r="J45" s="66">
        <f t="shared" si="1"/>
        <v>3.2354364192830755E-2</v>
      </c>
      <c r="K45" s="67">
        <f t="shared" si="1"/>
        <v>2.7462436536025567E-4</v>
      </c>
      <c r="L45" s="68">
        <f t="shared" si="1"/>
        <v>2.4249614337864281E-4</v>
      </c>
    </row>
    <row r="46" spans="1:12" x14ac:dyDescent="0.25">
      <c r="A46" s="48" t="s">
        <v>32</v>
      </c>
      <c r="B46" s="21">
        <v>46060</v>
      </c>
      <c r="C46" s="20">
        <v>300</v>
      </c>
      <c r="D46" s="20">
        <v>840</v>
      </c>
      <c r="E46" s="22">
        <v>2800</v>
      </c>
      <c r="F46" s="21">
        <v>1022680</v>
      </c>
      <c r="G46" s="20">
        <v>148225</v>
      </c>
      <c r="H46" s="20">
        <v>226910</v>
      </c>
      <c r="I46" s="22">
        <v>1531</v>
      </c>
      <c r="J46" s="66">
        <f t="shared" si="1"/>
        <v>4.5038526225212185E-2</v>
      </c>
      <c r="K46" s="67">
        <f t="shared" si="1"/>
        <v>2.0239500758981277E-3</v>
      </c>
      <c r="L46" s="68">
        <f t="shared" si="1"/>
        <v>3.7019082455599138E-3</v>
      </c>
    </row>
    <row r="47" spans="1:12" x14ac:dyDescent="0.25">
      <c r="A47" s="48" t="s">
        <v>33</v>
      </c>
      <c r="B47" s="21">
        <v>63100</v>
      </c>
      <c r="C47" s="20">
        <v>500</v>
      </c>
      <c r="D47" s="20">
        <v>1500</v>
      </c>
      <c r="E47" s="22">
        <v>3000</v>
      </c>
      <c r="F47" s="21">
        <v>1067180</v>
      </c>
      <c r="G47" s="20">
        <v>138025</v>
      </c>
      <c r="H47" s="20">
        <v>242960</v>
      </c>
      <c r="I47" s="22">
        <v>1760</v>
      </c>
      <c r="J47" s="66">
        <f t="shared" si="1"/>
        <v>5.9127794748777149E-2</v>
      </c>
      <c r="K47" s="67">
        <f t="shared" si="1"/>
        <v>3.622532149972831E-3</v>
      </c>
      <c r="L47" s="68">
        <f t="shared" si="1"/>
        <v>6.173855778729009E-3</v>
      </c>
    </row>
    <row r="48" spans="1:12" x14ac:dyDescent="0.25">
      <c r="A48" s="48" t="s">
        <v>34</v>
      </c>
      <c r="B48" s="21">
        <v>58650</v>
      </c>
      <c r="C48" s="20">
        <v>2050</v>
      </c>
      <c r="D48" s="20">
        <v>6900</v>
      </c>
      <c r="E48" s="22">
        <v>3366</v>
      </c>
      <c r="F48" s="21">
        <v>1112910</v>
      </c>
      <c r="G48" s="20">
        <v>224250</v>
      </c>
      <c r="H48" s="20">
        <v>472420</v>
      </c>
      <c r="I48" s="22">
        <v>2107</v>
      </c>
      <c r="J48" s="66">
        <f t="shared" si="1"/>
        <v>5.2699679219343883E-2</v>
      </c>
      <c r="K48" s="67">
        <f t="shared" si="1"/>
        <v>9.1415830546265325E-3</v>
      </c>
      <c r="L48" s="68">
        <f t="shared" si="1"/>
        <v>1.4605647517039922E-2</v>
      </c>
    </row>
    <row r="49" spans="1:12" x14ac:dyDescent="0.25">
      <c r="A49" s="48" t="s">
        <v>35</v>
      </c>
      <c r="B49" s="21">
        <v>70200</v>
      </c>
      <c r="C49" s="20">
        <v>1000</v>
      </c>
      <c r="D49" s="20">
        <v>2315</v>
      </c>
      <c r="E49" s="22">
        <v>2315</v>
      </c>
      <c r="F49" s="21">
        <v>1055230</v>
      </c>
      <c r="G49" s="20">
        <v>211805</v>
      </c>
      <c r="H49" s="20">
        <v>290525</v>
      </c>
      <c r="I49" s="22">
        <v>1372</v>
      </c>
      <c r="J49" s="66">
        <f t="shared" si="1"/>
        <v>6.6525781109331619E-2</v>
      </c>
      <c r="K49" s="67">
        <f t="shared" si="1"/>
        <v>4.7213238592101227E-3</v>
      </c>
      <c r="L49" s="68">
        <f t="shared" si="1"/>
        <v>7.9683331899148089E-3</v>
      </c>
    </row>
    <row r="50" spans="1:12" x14ac:dyDescent="0.25">
      <c r="A50" s="48" t="s">
        <v>36</v>
      </c>
      <c r="B50" s="21">
        <v>70000</v>
      </c>
      <c r="C50" s="20">
        <v>1000</v>
      </c>
      <c r="D50" s="20">
        <v>2900</v>
      </c>
      <c r="E50" s="22">
        <v>2900</v>
      </c>
      <c r="F50" s="21">
        <v>916763</v>
      </c>
      <c r="G50" s="20">
        <v>139368</v>
      </c>
      <c r="H50" s="20">
        <v>181990</v>
      </c>
      <c r="I50" s="22">
        <v>1306</v>
      </c>
      <c r="J50" s="66">
        <f t="shared" si="1"/>
        <v>7.6355612082948374E-2</v>
      </c>
      <c r="K50" s="67">
        <f t="shared" si="1"/>
        <v>7.1752482635899202E-3</v>
      </c>
      <c r="L50" s="68">
        <f t="shared" si="1"/>
        <v>1.5934941480301116E-2</v>
      </c>
    </row>
    <row r="51" spans="1:12" x14ac:dyDescent="0.25">
      <c r="A51" s="48" t="s">
        <v>37</v>
      </c>
      <c r="B51" s="21">
        <v>83150</v>
      </c>
      <c r="C51" s="20">
        <v>1600</v>
      </c>
      <c r="D51" s="20">
        <v>4040</v>
      </c>
      <c r="E51" s="22">
        <v>2525</v>
      </c>
      <c r="F51" s="21">
        <v>1133300</v>
      </c>
      <c r="G51" s="20">
        <v>284570</v>
      </c>
      <c r="H51" s="20">
        <v>660200</v>
      </c>
      <c r="I51" s="22">
        <v>2320</v>
      </c>
      <c r="J51" s="66">
        <f t="shared" si="1"/>
        <v>7.3369804994264542E-2</v>
      </c>
      <c r="K51" s="67">
        <f t="shared" si="1"/>
        <v>5.6225181853322556E-3</v>
      </c>
      <c r="L51" s="68">
        <f t="shared" si="1"/>
        <v>6.1193577703726144E-3</v>
      </c>
    </row>
    <row r="52" spans="1:12" x14ac:dyDescent="0.25">
      <c r="A52" s="48" t="s">
        <v>38</v>
      </c>
      <c r="B52" s="21">
        <v>90950</v>
      </c>
      <c r="C52" s="20">
        <v>1700</v>
      </c>
      <c r="D52" s="20">
        <v>3830</v>
      </c>
      <c r="E52" s="22">
        <v>2253</v>
      </c>
      <c r="F52" s="21">
        <v>1056680</v>
      </c>
      <c r="G52" s="20">
        <v>196135</v>
      </c>
      <c r="H52" s="20">
        <v>414990</v>
      </c>
      <c r="I52" s="22">
        <v>2116</v>
      </c>
      <c r="J52" s="66">
        <f t="shared" si="1"/>
        <v>8.6071469129727074E-2</v>
      </c>
      <c r="K52" s="67">
        <f t="shared" si="1"/>
        <v>8.6674994264154797E-3</v>
      </c>
      <c r="L52" s="68">
        <f t="shared" si="1"/>
        <v>9.2291380515193144E-3</v>
      </c>
    </row>
    <row r="53" spans="1:12" x14ac:dyDescent="0.25">
      <c r="A53" s="48" t="s">
        <v>39</v>
      </c>
      <c r="B53" s="21">
        <v>100300</v>
      </c>
      <c r="C53" s="20">
        <v>2100</v>
      </c>
      <c r="D53" s="20">
        <v>4980</v>
      </c>
      <c r="E53" s="22">
        <v>2371</v>
      </c>
      <c r="F53" s="21">
        <v>1223770</v>
      </c>
      <c r="G53" s="20">
        <v>260240</v>
      </c>
      <c r="H53" s="20">
        <v>495940</v>
      </c>
      <c r="I53" s="22">
        <v>1906</v>
      </c>
      <c r="J53" s="66">
        <f t="shared" si="1"/>
        <v>8.1959845395785158E-2</v>
      </c>
      <c r="K53" s="67">
        <f t="shared" si="1"/>
        <v>8.0694743313864132E-3</v>
      </c>
      <c r="L53" s="68">
        <f t="shared" si="1"/>
        <v>1.0041537282735815E-2</v>
      </c>
    </row>
    <row r="54" spans="1:12" x14ac:dyDescent="0.25">
      <c r="A54" s="48" t="s">
        <v>40</v>
      </c>
      <c r="B54" s="21">
        <v>158020</v>
      </c>
      <c r="C54" s="20">
        <v>2480</v>
      </c>
      <c r="D54" s="20">
        <v>2540</v>
      </c>
      <c r="E54" s="22">
        <v>1024</v>
      </c>
      <c r="F54" s="21">
        <v>1464335</v>
      </c>
      <c r="G54" s="20">
        <v>226109</v>
      </c>
      <c r="H54" s="20">
        <v>444820</v>
      </c>
      <c r="I54" s="22">
        <v>1967</v>
      </c>
      <c r="J54" s="66">
        <f t="shared" si="1"/>
        <v>0.10791246538531142</v>
      </c>
      <c r="K54" s="67">
        <f t="shared" si="1"/>
        <v>1.0968161373496854E-2</v>
      </c>
      <c r="L54" s="68">
        <f t="shared" si="1"/>
        <v>5.7101749022076343E-3</v>
      </c>
    </row>
    <row r="55" spans="1:12" x14ac:dyDescent="0.25">
      <c r="A55" s="48" t="s">
        <v>41</v>
      </c>
      <c r="B55" s="21">
        <v>99500</v>
      </c>
      <c r="C55" s="20">
        <v>4900</v>
      </c>
      <c r="D55" s="20">
        <v>12980</v>
      </c>
      <c r="E55" s="22">
        <v>2649</v>
      </c>
      <c r="F55" s="21">
        <v>1344380</v>
      </c>
      <c r="G55" s="20">
        <v>244528</v>
      </c>
      <c r="H55" s="20">
        <v>524716</v>
      </c>
      <c r="I55" s="22">
        <v>2146</v>
      </c>
      <c r="J55" s="66">
        <f t="shared" si="1"/>
        <v>7.4011812136449515E-2</v>
      </c>
      <c r="K55" s="67">
        <f t="shared" si="1"/>
        <v>2.0038604985932081E-2</v>
      </c>
      <c r="L55" s="68">
        <f t="shared" si="1"/>
        <v>2.473719116626899E-2</v>
      </c>
    </row>
    <row r="56" spans="1:12" x14ac:dyDescent="0.25">
      <c r="A56" s="48" t="s">
        <v>42</v>
      </c>
      <c r="B56" s="21">
        <v>107000</v>
      </c>
      <c r="C56" s="20">
        <v>3300</v>
      </c>
      <c r="D56" s="20">
        <v>8100</v>
      </c>
      <c r="E56" s="22">
        <v>2455</v>
      </c>
      <c r="F56" s="21">
        <v>1329030</v>
      </c>
      <c r="G56" s="20">
        <v>239640</v>
      </c>
      <c r="H56" s="20">
        <v>553435</v>
      </c>
      <c r="I56" s="22">
        <v>2309</v>
      </c>
      <c r="J56" s="66">
        <f t="shared" si="1"/>
        <v>8.0509845526436571E-2</v>
      </c>
      <c r="K56" s="67">
        <f t="shared" si="1"/>
        <v>1.3770655983975965E-2</v>
      </c>
      <c r="L56" s="68">
        <f t="shared" si="1"/>
        <v>1.4635865097075536E-2</v>
      </c>
    </row>
    <row r="57" spans="1:12" x14ac:dyDescent="0.25">
      <c r="A57" s="48" t="s">
        <v>43</v>
      </c>
      <c r="B57" s="21">
        <v>94000</v>
      </c>
      <c r="C57" s="20">
        <v>3700</v>
      </c>
      <c r="D57" s="20">
        <v>10710</v>
      </c>
      <c r="E57" s="22">
        <v>2895</v>
      </c>
      <c r="F57" s="21">
        <v>1353074</v>
      </c>
      <c r="G57" s="20">
        <v>321054</v>
      </c>
      <c r="H57" s="20">
        <v>784981</v>
      </c>
      <c r="I57" s="22">
        <v>2445</v>
      </c>
      <c r="J57" s="66">
        <f t="shared" si="1"/>
        <v>6.9471440586398078E-2</v>
      </c>
      <c r="K57" s="67">
        <f t="shared" si="1"/>
        <v>1.1524541042939818E-2</v>
      </c>
      <c r="L57" s="68">
        <f t="shared" si="1"/>
        <v>1.3643642330196527E-2</v>
      </c>
    </row>
    <row r="58" spans="1:12" x14ac:dyDescent="0.25">
      <c r="A58" s="48" t="s">
        <v>44</v>
      </c>
      <c r="B58" s="21">
        <v>122670</v>
      </c>
      <c r="C58" s="20">
        <v>4000</v>
      </c>
      <c r="D58" s="20">
        <v>11000</v>
      </c>
      <c r="E58" s="22">
        <v>2750</v>
      </c>
      <c r="F58" s="21">
        <v>1150896</v>
      </c>
      <c r="G58" s="20">
        <v>218399</v>
      </c>
      <c r="H58" s="20">
        <v>491713</v>
      </c>
      <c r="I58" s="22">
        <v>2251</v>
      </c>
      <c r="J58" s="66">
        <f t="shared" si="1"/>
        <v>0.10658652041539809</v>
      </c>
      <c r="K58" s="67">
        <f t="shared" si="1"/>
        <v>1.8315102175376262E-2</v>
      </c>
      <c r="L58" s="68">
        <f t="shared" si="1"/>
        <v>2.2370773194932816E-2</v>
      </c>
    </row>
    <row r="59" spans="1:12" x14ac:dyDescent="0.25">
      <c r="A59" s="48" t="s">
        <v>45</v>
      </c>
      <c r="B59" s="21">
        <v>140283</v>
      </c>
      <c r="C59" s="20">
        <v>10500</v>
      </c>
      <c r="D59" s="20">
        <v>33400</v>
      </c>
      <c r="E59" s="22">
        <v>3181</v>
      </c>
      <c r="F59" s="21">
        <v>1364520</v>
      </c>
      <c r="G59" s="20">
        <v>238166</v>
      </c>
      <c r="H59" s="20">
        <v>571630</v>
      </c>
      <c r="I59" s="22">
        <v>2400</v>
      </c>
      <c r="J59" s="66">
        <f t="shared" si="1"/>
        <v>0.10280758068771437</v>
      </c>
      <c r="K59" s="67">
        <f t="shared" si="1"/>
        <v>4.4086897374100417E-2</v>
      </c>
      <c r="L59" s="68">
        <f t="shared" si="1"/>
        <v>5.8429403635218584E-2</v>
      </c>
    </row>
    <row r="60" spans="1:12" x14ac:dyDescent="0.25">
      <c r="A60" s="49" t="s">
        <v>46</v>
      </c>
      <c r="B60" s="21">
        <v>126080</v>
      </c>
      <c r="C60" s="20">
        <v>20263</v>
      </c>
      <c r="D60" s="20">
        <v>36545</v>
      </c>
      <c r="E60" s="22">
        <v>1804</v>
      </c>
      <c r="F60" s="21">
        <v>1484966</v>
      </c>
      <c r="G60" s="20">
        <v>322328</v>
      </c>
      <c r="H60" s="20">
        <v>600105</v>
      </c>
      <c r="I60" s="22">
        <v>1862</v>
      </c>
      <c r="J60" s="66">
        <f t="shared" si="1"/>
        <v>8.4904300839211133E-2</v>
      </c>
      <c r="K60" s="67">
        <f t="shared" si="1"/>
        <v>6.2864535504206898E-2</v>
      </c>
      <c r="L60" s="68">
        <f t="shared" si="1"/>
        <v>6.0897676239991337E-2</v>
      </c>
    </row>
    <row r="61" spans="1:12" x14ac:dyDescent="0.25">
      <c r="A61" s="49" t="s">
        <v>47</v>
      </c>
      <c r="B61" s="21">
        <v>124500</v>
      </c>
      <c r="C61" s="20">
        <v>3700</v>
      </c>
      <c r="D61" s="20">
        <v>8580</v>
      </c>
      <c r="E61" s="22">
        <v>2319</v>
      </c>
      <c r="F61" s="21">
        <v>1405535</v>
      </c>
      <c r="G61" s="20">
        <v>241925</v>
      </c>
      <c r="H61" s="20">
        <v>506718</v>
      </c>
      <c r="I61" s="22">
        <v>2095</v>
      </c>
      <c r="J61" s="66">
        <f t="shared" si="1"/>
        <v>8.8578370513718974E-2</v>
      </c>
      <c r="K61" s="67">
        <f t="shared" si="1"/>
        <v>1.5293996073163171E-2</v>
      </c>
      <c r="L61" s="68">
        <f t="shared" si="1"/>
        <v>1.6932494997217388E-2</v>
      </c>
    </row>
    <row r="62" spans="1:12" x14ac:dyDescent="0.25">
      <c r="A62" s="49" t="s">
        <v>48</v>
      </c>
      <c r="B62" s="21">
        <v>133837</v>
      </c>
      <c r="C62" s="20">
        <v>10283</v>
      </c>
      <c r="D62" s="20">
        <v>22741</v>
      </c>
      <c r="E62" s="22">
        <v>2212</v>
      </c>
      <c r="F62" s="21">
        <v>1482894</v>
      </c>
      <c r="G62" s="20">
        <v>348835</v>
      </c>
      <c r="H62" s="20">
        <v>723155</v>
      </c>
      <c r="I62" s="22">
        <v>2073</v>
      </c>
      <c r="J62" s="66">
        <f t="shared" si="1"/>
        <v>9.0253922397689923E-2</v>
      </c>
      <c r="K62" s="67">
        <f t="shared" si="1"/>
        <v>2.947812002809351E-2</v>
      </c>
      <c r="L62" s="68">
        <f t="shared" si="1"/>
        <v>3.1446923550276222E-2</v>
      </c>
    </row>
    <row r="63" spans="1:12" x14ac:dyDescent="0.25">
      <c r="A63" s="49" t="s">
        <v>49</v>
      </c>
      <c r="B63" s="21">
        <v>105532</v>
      </c>
      <c r="C63" s="20">
        <v>1400</v>
      </c>
      <c r="D63" s="20">
        <v>2400</v>
      </c>
      <c r="E63" s="22">
        <v>1714</v>
      </c>
      <c r="F63" s="21">
        <v>1475445</v>
      </c>
      <c r="G63" s="20">
        <v>257361</v>
      </c>
      <c r="H63" s="20">
        <v>428884</v>
      </c>
      <c r="I63" s="22">
        <v>1666</v>
      </c>
      <c r="J63" s="66">
        <f t="shared" si="1"/>
        <v>7.1525539752413672E-2</v>
      </c>
      <c r="K63" s="67">
        <f t="shared" si="1"/>
        <v>5.4398296556199266E-3</v>
      </c>
      <c r="L63" s="68">
        <f t="shared" si="1"/>
        <v>5.5959187099542066E-3</v>
      </c>
    </row>
    <row r="64" spans="1:12" x14ac:dyDescent="0.25">
      <c r="A64" s="49" t="s">
        <v>50</v>
      </c>
      <c r="B64" s="21">
        <v>92812</v>
      </c>
      <c r="C64" s="20">
        <v>1911</v>
      </c>
      <c r="D64" s="20">
        <v>3942</v>
      </c>
      <c r="E64" s="22">
        <v>2063</v>
      </c>
      <c r="F64" s="21">
        <v>1481985</v>
      </c>
      <c r="G64" s="20">
        <v>277521</v>
      </c>
      <c r="H64" s="20">
        <v>564909</v>
      </c>
      <c r="I64" s="22">
        <v>2036</v>
      </c>
      <c r="J64" s="66">
        <f t="shared" si="1"/>
        <v>6.2626814711349982E-2</v>
      </c>
      <c r="K64" s="67">
        <f t="shared" si="1"/>
        <v>6.8859653864031915E-3</v>
      </c>
      <c r="L64" s="68">
        <f t="shared" si="1"/>
        <v>6.9781150592396297E-3</v>
      </c>
    </row>
    <row r="65" spans="1:12" x14ac:dyDescent="0.25">
      <c r="A65" s="49" t="s">
        <v>51</v>
      </c>
      <c r="B65" s="21">
        <v>76361</v>
      </c>
      <c r="C65" s="20">
        <v>6526</v>
      </c>
      <c r="D65" s="20">
        <v>12062</v>
      </c>
      <c r="E65" s="22">
        <v>1848</v>
      </c>
      <c r="F65" s="21">
        <v>1432632</v>
      </c>
      <c r="G65" s="20">
        <v>296648</v>
      </c>
      <c r="H65" s="20">
        <v>556054</v>
      </c>
      <c r="I65" s="22">
        <v>1874</v>
      </c>
      <c r="J65" s="66">
        <f t="shared" si="1"/>
        <v>5.3301196678560855E-2</v>
      </c>
      <c r="K65" s="67">
        <f t="shared" si="1"/>
        <v>2.1999137024352095E-2</v>
      </c>
      <c r="L65" s="68">
        <f t="shared" si="1"/>
        <v>2.1692137813953322E-2</v>
      </c>
    </row>
    <row r="66" spans="1:12" x14ac:dyDescent="0.25">
      <c r="A66" s="49" t="s">
        <v>52</v>
      </c>
      <c r="B66" s="21">
        <v>107712</v>
      </c>
      <c r="C66" s="20">
        <v>21647</v>
      </c>
      <c r="D66" s="20">
        <v>88847</v>
      </c>
      <c r="E66" s="22">
        <v>4104</v>
      </c>
      <c r="F66" s="21">
        <v>1553493</v>
      </c>
      <c r="G66" s="20">
        <v>471010</v>
      </c>
      <c r="H66" s="20">
        <v>1255607</v>
      </c>
      <c r="I66" s="22">
        <v>2666</v>
      </c>
      <c r="J66" s="66">
        <f t="shared" si="1"/>
        <v>6.9335362309324855E-2</v>
      </c>
      <c r="K66" s="67">
        <f t="shared" si="1"/>
        <v>4.5958684528990892E-2</v>
      </c>
      <c r="L66" s="68">
        <f t="shared" si="1"/>
        <v>7.0760198055601797E-2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2D8BB06F-A8DC-41EF-BF67-CBF7FE90CE58}"/>
  </hyperlinks>
  <pageMargins left="0.7" right="0.7" top="0.75" bottom="0.75" header="0.3" footer="0.3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F167-FE67-442C-AC86-63B0E2336378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62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12200</v>
      </c>
      <c r="C10" s="40">
        <v>11000</v>
      </c>
      <c r="D10" s="40">
        <v>10300</v>
      </c>
      <c r="E10" s="50">
        <v>936</v>
      </c>
      <c r="F10" s="41">
        <v>521050</v>
      </c>
      <c r="G10" s="40">
        <v>393400</v>
      </c>
      <c r="H10" s="40">
        <v>499500</v>
      </c>
      <c r="I10" s="50">
        <v>1270</v>
      </c>
      <c r="J10" s="63">
        <f>B10/F10</f>
        <v>2.341425966797812E-2</v>
      </c>
      <c r="K10" s="64">
        <f t="shared" ref="K10:L25" si="0">C10/G10</f>
        <v>2.7961362480935434E-2</v>
      </c>
      <c r="L10" s="65">
        <f t="shared" si="0"/>
        <v>2.062062062062062E-2</v>
      </c>
    </row>
    <row r="11" spans="1:12" x14ac:dyDescent="0.25">
      <c r="A11" s="48" t="s">
        <v>81</v>
      </c>
      <c r="B11" s="21">
        <v>14000</v>
      </c>
      <c r="C11" s="20">
        <v>8400</v>
      </c>
      <c r="D11" s="20">
        <v>10500</v>
      </c>
      <c r="E11" s="22">
        <v>1250</v>
      </c>
      <c r="F11" s="21">
        <v>410200</v>
      </c>
      <c r="G11" s="20">
        <v>308000</v>
      </c>
      <c r="H11" s="20">
        <v>318500</v>
      </c>
      <c r="I11" s="22">
        <v>1034</v>
      </c>
      <c r="J11" s="66">
        <f t="shared" ref="J11:L66" si="1">B11/F11</f>
        <v>3.4129692832764506E-2</v>
      </c>
      <c r="K11" s="67">
        <f t="shared" si="0"/>
        <v>2.7272727272727271E-2</v>
      </c>
      <c r="L11" s="68">
        <f t="shared" si="0"/>
        <v>3.2967032967032968E-2</v>
      </c>
    </row>
    <row r="12" spans="1:12" x14ac:dyDescent="0.25">
      <c r="A12" s="48" t="s">
        <v>82</v>
      </c>
      <c r="B12" s="21">
        <v>15500</v>
      </c>
      <c r="C12" s="20">
        <v>11400</v>
      </c>
      <c r="D12" s="20">
        <v>13300</v>
      </c>
      <c r="E12" s="22">
        <v>1167</v>
      </c>
      <c r="F12" s="21">
        <v>487500</v>
      </c>
      <c r="G12" s="20">
        <v>404600</v>
      </c>
      <c r="H12" s="20">
        <v>476000</v>
      </c>
      <c r="I12" s="22">
        <v>1176</v>
      </c>
      <c r="J12" s="66">
        <f t="shared" si="1"/>
        <v>3.1794871794871796E-2</v>
      </c>
      <c r="K12" s="67">
        <f t="shared" si="0"/>
        <v>2.8175976272862086E-2</v>
      </c>
      <c r="L12" s="68">
        <f t="shared" si="0"/>
        <v>2.7941176470588237E-2</v>
      </c>
    </row>
    <row r="13" spans="1:12" x14ac:dyDescent="0.25">
      <c r="A13" s="48" t="s">
        <v>83</v>
      </c>
      <c r="B13" s="21">
        <v>15500</v>
      </c>
      <c r="C13" s="20">
        <v>13000</v>
      </c>
      <c r="D13" s="20">
        <v>15200</v>
      </c>
      <c r="E13" s="22">
        <v>1169</v>
      </c>
      <c r="F13" s="21">
        <v>549000</v>
      </c>
      <c r="G13" s="20">
        <v>493200</v>
      </c>
      <c r="H13" s="20">
        <v>760000</v>
      </c>
      <c r="I13" s="22">
        <v>1541</v>
      </c>
      <c r="J13" s="66">
        <f t="shared" si="1"/>
        <v>2.8233151183970857E-2</v>
      </c>
      <c r="K13" s="67">
        <f t="shared" si="0"/>
        <v>2.6358475263584754E-2</v>
      </c>
      <c r="L13" s="68">
        <f t="shared" si="0"/>
        <v>0.02</v>
      </c>
    </row>
    <row r="14" spans="1:12" x14ac:dyDescent="0.25">
      <c r="A14" s="48" t="s">
        <v>84</v>
      </c>
      <c r="B14" s="21">
        <v>13500</v>
      </c>
      <c r="C14" s="20">
        <v>9500</v>
      </c>
      <c r="D14" s="20">
        <v>12000</v>
      </c>
      <c r="E14" s="22">
        <v>1263</v>
      </c>
      <c r="F14" s="21">
        <v>455400</v>
      </c>
      <c r="G14" s="20">
        <v>400100</v>
      </c>
      <c r="H14" s="20">
        <v>608000</v>
      </c>
      <c r="I14" s="22">
        <v>1520</v>
      </c>
      <c r="J14" s="66">
        <f t="shared" si="1"/>
        <v>2.9644268774703556E-2</v>
      </c>
      <c r="K14" s="67">
        <f t="shared" si="0"/>
        <v>2.3744063984003999E-2</v>
      </c>
      <c r="L14" s="68">
        <f t="shared" si="0"/>
        <v>1.9736842105263157E-2</v>
      </c>
    </row>
    <row r="15" spans="1:12" x14ac:dyDescent="0.25">
      <c r="A15" s="48" t="s">
        <v>85</v>
      </c>
      <c r="B15" s="21">
        <v>11400</v>
      </c>
      <c r="C15" s="20">
        <v>8000</v>
      </c>
      <c r="D15" s="20">
        <v>8400</v>
      </c>
      <c r="E15" s="22">
        <v>1050</v>
      </c>
      <c r="F15" s="21">
        <v>419300</v>
      </c>
      <c r="G15" s="20">
        <v>303300</v>
      </c>
      <c r="H15" s="20">
        <v>365000</v>
      </c>
      <c r="I15" s="22">
        <v>1203</v>
      </c>
      <c r="J15" s="66">
        <f t="shared" si="1"/>
        <v>2.7188170760791795E-2</v>
      </c>
      <c r="K15" s="67">
        <f t="shared" si="0"/>
        <v>2.6376524892845369E-2</v>
      </c>
      <c r="L15" s="68">
        <f t="shared" si="0"/>
        <v>2.3013698630136987E-2</v>
      </c>
    </row>
    <row r="16" spans="1:12" x14ac:dyDescent="0.25">
      <c r="A16" s="48" t="s">
        <v>86</v>
      </c>
      <c r="B16" s="21">
        <v>9000</v>
      </c>
      <c r="C16" s="20">
        <v>5400</v>
      </c>
      <c r="D16" s="20">
        <v>6600</v>
      </c>
      <c r="E16" s="22">
        <v>1222</v>
      </c>
      <c r="F16" s="21">
        <v>440200</v>
      </c>
      <c r="G16" s="20">
        <v>371100</v>
      </c>
      <c r="H16" s="20">
        <v>447800</v>
      </c>
      <c r="I16" s="22">
        <v>1207</v>
      </c>
      <c r="J16" s="66">
        <f t="shared" si="1"/>
        <v>2.0445252158109949E-2</v>
      </c>
      <c r="K16" s="67">
        <f t="shared" si="0"/>
        <v>1.4551333872271624E-2</v>
      </c>
      <c r="L16" s="68">
        <f t="shared" si="0"/>
        <v>1.4738722644037517E-2</v>
      </c>
    </row>
    <row r="17" spans="1:12" x14ac:dyDescent="0.25">
      <c r="A17" s="48" t="s">
        <v>87</v>
      </c>
      <c r="B17" s="21">
        <v>7700</v>
      </c>
      <c r="C17" s="20">
        <v>4400</v>
      </c>
      <c r="D17" s="20">
        <v>5340</v>
      </c>
      <c r="E17" s="22">
        <v>1214</v>
      </c>
      <c r="F17" s="21">
        <v>470000</v>
      </c>
      <c r="G17" s="20">
        <v>411800</v>
      </c>
      <c r="H17" s="20">
        <v>670000</v>
      </c>
      <c r="I17" s="22">
        <v>1627</v>
      </c>
      <c r="J17" s="66">
        <f t="shared" si="1"/>
        <v>1.6382978723404256E-2</v>
      </c>
      <c r="K17" s="67">
        <f t="shared" si="0"/>
        <v>1.0684798445847498E-2</v>
      </c>
      <c r="L17" s="68">
        <f t="shared" si="0"/>
        <v>7.9701492537313425E-3</v>
      </c>
    </row>
    <row r="18" spans="1:12" x14ac:dyDescent="0.25">
      <c r="A18" s="48" t="s">
        <v>88</v>
      </c>
      <c r="B18" s="21">
        <v>7500</v>
      </c>
      <c r="C18" s="20">
        <v>4100</v>
      </c>
      <c r="D18" s="20">
        <v>5000</v>
      </c>
      <c r="E18" s="22">
        <v>1220</v>
      </c>
      <c r="F18" s="21">
        <v>430000</v>
      </c>
      <c r="G18" s="20">
        <v>250000</v>
      </c>
      <c r="H18" s="20">
        <v>290000</v>
      </c>
      <c r="I18" s="22">
        <v>1160</v>
      </c>
      <c r="J18" s="66">
        <f t="shared" si="1"/>
        <v>1.7441860465116279E-2</v>
      </c>
      <c r="K18" s="67">
        <f t="shared" si="0"/>
        <v>1.6400000000000001E-2</v>
      </c>
      <c r="L18" s="68">
        <f t="shared" si="0"/>
        <v>1.7241379310344827E-2</v>
      </c>
    </row>
    <row r="19" spans="1:12" x14ac:dyDescent="0.25">
      <c r="A19" s="48" t="s">
        <v>89</v>
      </c>
      <c r="B19" s="21">
        <v>6200</v>
      </c>
      <c r="C19" s="20">
        <v>4300</v>
      </c>
      <c r="D19" s="20">
        <v>6000</v>
      </c>
      <c r="E19" s="22">
        <v>1395</v>
      </c>
      <c r="F19" s="21">
        <v>330000</v>
      </c>
      <c r="G19" s="20">
        <v>288000</v>
      </c>
      <c r="H19" s="20">
        <v>470000</v>
      </c>
      <c r="I19" s="22">
        <v>1632</v>
      </c>
      <c r="J19" s="66">
        <f t="shared" si="1"/>
        <v>1.8787878787878787E-2</v>
      </c>
      <c r="K19" s="67">
        <f t="shared" si="0"/>
        <v>1.4930555555555556E-2</v>
      </c>
      <c r="L19" s="68">
        <f t="shared" si="0"/>
        <v>1.276595744680851E-2</v>
      </c>
    </row>
    <row r="20" spans="1:12" x14ac:dyDescent="0.25">
      <c r="A20" s="48" t="s">
        <v>90</v>
      </c>
      <c r="B20" s="21">
        <v>5200</v>
      </c>
      <c r="C20" s="20">
        <v>3900</v>
      </c>
      <c r="D20" s="20">
        <v>4400</v>
      </c>
      <c r="E20" s="22">
        <v>1128</v>
      </c>
      <c r="F20" s="21">
        <v>222000</v>
      </c>
      <c r="G20" s="20">
        <v>198000</v>
      </c>
      <c r="H20" s="20">
        <v>286000</v>
      </c>
      <c r="I20" s="22">
        <v>1444</v>
      </c>
      <c r="J20" s="66">
        <f t="shared" si="1"/>
        <v>2.3423423423423424E-2</v>
      </c>
      <c r="K20" s="67">
        <f t="shared" si="0"/>
        <v>1.9696969696969695E-2</v>
      </c>
      <c r="L20" s="68">
        <f t="shared" si="0"/>
        <v>1.5384615384615385E-2</v>
      </c>
    </row>
    <row r="21" spans="1:12" x14ac:dyDescent="0.25">
      <c r="A21" s="48" t="s">
        <v>91</v>
      </c>
      <c r="B21" s="21">
        <v>4800</v>
      </c>
      <c r="C21" s="20">
        <v>4200</v>
      </c>
      <c r="D21" s="20">
        <v>4900</v>
      </c>
      <c r="E21" s="22">
        <v>1167</v>
      </c>
      <c r="F21" s="21">
        <v>176700</v>
      </c>
      <c r="G21" s="20">
        <v>132200</v>
      </c>
      <c r="H21" s="20">
        <v>170000</v>
      </c>
      <c r="I21" s="22">
        <v>1286</v>
      </c>
      <c r="J21" s="66">
        <f t="shared" si="1"/>
        <v>2.7164685908319185E-2</v>
      </c>
      <c r="K21" s="67">
        <f t="shared" si="0"/>
        <v>3.1770045385779121E-2</v>
      </c>
      <c r="L21" s="68">
        <f t="shared" si="0"/>
        <v>2.8823529411764706E-2</v>
      </c>
    </row>
    <row r="22" spans="1:12" x14ac:dyDescent="0.25">
      <c r="A22" s="48" t="s">
        <v>92</v>
      </c>
      <c r="B22" s="21">
        <v>3200</v>
      </c>
      <c r="C22" s="20">
        <v>2800</v>
      </c>
      <c r="D22" s="20">
        <v>3300</v>
      </c>
      <c r="E22" s="22">
        <v>1179</v>
      </c>
      <c r="F22" s="21">
        <v>140000</v>
      </c>
      <c r="G22" s="20">
        <v>98000</v>
      </c>
      <c r="H22" s="20">
        <v>115800</v>
      </c>
      <c r="I22" s="22">
        <v>1182</v>
      </c>
      <c r="J22" s="66">
        <f t="shared" si="1"/>
        <v>2.2857142857142857E-2</v>
      </c>
      <c r="K22" s="67">
        <f t="shared" si="0"/>
        <v>2.8571428571428571E-2</v>
      </c>
      <c r="L22" s="68">
        <f t="shared" si="0"/>
        <v>2.8497409326424871E-2</v>
      </c>
    </row>
    <row r="23" spans="1:12" x14ac:dyDescent="0.25">
      <c r="A23" s="48" t="s">
        <v>93</v>
      </c>
      <c r="B23" s="21">
        <v>3100</v>
      </c>
      <c r="C23" s="20">
        <v>1800</v>
      </c>
      <c r="D23" s="20">
        <v>2300</v>
      </c>
      <c r="E23" s="22">
        <v>1278</v>
      </c>
      <c r="F23" s="21">
        <v>103000</v>
      </c>
      <c r="G23" s="20">
        <v>95500</v>
      </c>
      <c r="H23" s="20">
        <v>180000</v>
      </c>
      <c r="I23" s="22">
        <v>1885</v>
      </c>
      <c r="J23" s="66">
        <f t="shared" si="1"/>
        <v>3.0097087378640777E-2</v>
      </c>
      <c r="K23" s="67">
        <f t="shared" si="0"/>
        <v>1.8848167539267015E-2</v>
      </c>
      <c r="L23" s="68">
        <f t="shared" si="0"/>
        <v>1.2777777777777779E-2</v>
      </c>
    </row>
    <row r="24" spans="1:12" x14ac:dyDescent="0.25">
      <c r="A24" s="48" t="s">
        <v>94</v>
      </c>
      <c r="B24" s="21">
        <v>3700</v>
      </c>
      <c r="C24" s="20">
        <v>2200</v>
      </c>
      <c r="D24" s="20">
        <v>2400</v>
      </c>
      <c r="E24" s="22">
        <v>1091</v>
      </c>
      <c r="F24" s="21">
        <v>79000</v>
      </c>
      <c r="G24" s="20">
        <v>74000</v>
      </c>
      <c r="H24" s="20">
        <v>140000</v>
      </c>
      <c r="I24" s="22">
        <v>1892</v>
      </c>
      <c r="J24" s="66">
        <f t="shared" si="1"/>
        <v>4.6835443037974683E-2</v>
      </c>
      <c r="K24" s="67">
        <f t="shared" si="0"/>
        <v>2.9729729729729731E-2</v>
      </c>
      <c r="L24" s="68">
        <f t="shared" si="0"/>
        <v>1.7142857142857144E-2</v>
      </c>
    </row>
    <row r="25" spans="1:12" x14ac:dyDescent="0.25">
      <c r="A25" s="48" t="s">
        <v>95</v>
      </c>
      <c r="B25" s="21">
        <v>2800</v>
      </c>
      <c r="C25" s="20">
        <v>1500</v>
      </c>
      <c r="D25" s="20">
        <v>2000</v>
      </c>
      <c r="E25" s="22">
        <v>1333</v>
      </c>
      <c r="F25" s="21">
        <v>89000</v>
      </c>
      <c r="G25" s="20">
        <v>86500</v>
      </c>
      <c r="H25" s="20">
        <v>200000</v>
      </c>
      <c r="I25" s="22">
        <v>2312</v>
      </c>
      <c r="J25" s="66">
        <f t="shared" si="1"/>
        <v>3.1460674157303373E-2</v>
      </c>
      <c r="K25" s="67">
        <f t="shared" si="0"/>
        <v>1.7341040462427744E-2</v>
      </c>
      <c r="L25" s="68">
        <f t="shared" si="0"/>
        <v>0.01</v>
      </c>
    </row>
    <row r="26" spans="1:12" x14ac:dyDescent="0.25">
      <c r="A26" s="48" t="s">
        <v>96</v>
      </c>
      <c r="B26" s="21">
        <v>3500</v>
      </c>
      <c r="C26" s="20">
        <v>3500</v>
      </c>
      <c r="D26" s="20">
        <v>6000</v>
      </c>
      <c r="E26" s="22">
        <v>1714</v>
      </c>
      <c r="F26" s="21">
        <v>60000</v>
      </c>
      <c r="G26" s="20">
        <v>60000</v>
      </c>
      <c r="H26" s="20">
        <v>100000</v>
      </c>
      <c r="I26" s="22">
        <v>1667</v>
      </c>
      <c r="J26" s="66">
        <f t="shared" si="1"/>
        <v>5.8333333333333334E-2</v>
      </c>
      <c r="K26" s="67">
        <f t="shared" si="1"/>
        <v>5.8333333333333334E-2</v>
      </c>
      <c r="L26" s="68">
        <f t="shared" si="1"/>
        <v>0.06</v>
      </c>
    </row>
    <row r="27" spans="1:12" x14ac:dyDescent="0.25">
      <c r="A27" s="48" t="s">
        <v>97</v>
      </c>
      <c r="B27" s="21">
        <v>5000</v>
      </c>
      <c r="C27" s="20">
        <v>4500</v>
      </c>
      <c r="D27" s="20">
        <v>8100</v>
      </c>
      <c r="E27" s="22">
        <v>1800</v>
      </c>
      <c r="F27" s="21">
        <v>59300</v>
      </c>
      <c r="G27" s="20">
        <v>56255</v>
      </c>
      <c r="H27" s="20">
        <v>114900</v>
      </c>
      <c r="I27" s="22">
        <v>2042</v>
      </c>
      <c r="J27" s="66">
        <f t="shared" si="1"/>
        <v>8.4317032040472181E-2</v>
      </c>
      <c r="K27" s="67">
        <f t="shared" si="1"/>
        <v>7.9992889520931476E-2</v>
      </c>
      <c r="L27" s="68">
        <f t="shared" si="1"/>
        <v>7.0496083550913843E-2</v>
      </c>
    </row>
    <row r="28" spans="1:12" x14ac:dyDescent="0.25">
      <c r="A28" s="48" t="s">
        <v>98</v>
      </c>
      <c r="B28" s="21">
        <v>4000</v>
      </c>
      <c r="C28" s="20">
        <v>4000</v>
      </c>
      <c r="D28" s="20">
        <v>7600</v>
      </c>
      <c r="E28" s="22">
        <v>1900</v>
      </c>
      <c r="F28" s="21">
        <v>123700</v>
      </c>
      <c r="G28" s="20">
        <v>113998</v>
      </c>
      <c r="H28" s="20">
        <v>262000</v>
      </c>
      <c r="I28" s="22">
        <v>2298</v>
      </c>
      <c r="J28" s="66">
        <f t="shared" si="1"/>
        <v>3.2336297493936947E-2</v>
      </c>
      <c r="K28" s="67">
        <f t="shared" si="1"/>
        <v>3.5088334883068124E-2</v>
      </c>
      <c r="L28" s="68">
        <f t="shared" si="1"/>
        <v>2.9007633587786259E-2</v>
      </c>
    </row>
    <row r="29" spans="1:12" x14ac:dyDescent="0.25">
      <c r="A29" s="48" t="s">
        <v>99</v>
      </c>
      <c r="B29" s="21">
        <v>6000</v>
      </c>
      <c r="C29" s="20">
        <v>5100</v>
      </c>
      <c r="D29" s="20">
        <v>11000</v>
      </c>
      <c r="E29" s="22">
        <v>2157</v>
      </c>
      <c r="F29" s="21">
        <v>150000</v>
      </c>
      <c r="G29" s="20">
        <v>133200</v>
      </c>
      <c r="H29" s="20">
        <v>322500</v>
      </c>
      <c r="I29" s="22">
        <v>2421</v>
      </c>
      <c r="J29" s="66">
        <f t="shared" si="1"/>
        <v>0.04</v>
      </c>
      <c r="K29" s="67">
        <f t="shared" si="1"/>
        <v>3.8288288288288286E-2</v>
      </c>
      <c r="L29" s="68">
        <f t="shared" si="1"/>
        <v>3.4108527131782945E-2</v>
      </c>
    </row>
    <row r="30" spans="1:12" x14ac:dyDescent="0.25">
      <c r="A30" s="48" t="s">
        <v>100</v>
      </c>
      <c r="B30" s="21">
        <v>11300</v>
      </c>
      <c r="C30" s="20">
        <v>10350</v>
      </c>
      <c r="D30" s="20">
        <v>21800</v>
      </c>
      <c r="E30" s="22">
        <v>2106</v>
      </c>
      <c r="F30" s="21">
        <v>179400</v>
      </c>
      <c r="G30" s="20">
        <v>158400</v>
      </c>
      <c r="H30" s="20">
        <v>361100</v>
      </c>
      <c r="I30" s="22">
        <v>2280</v>
      </c>
      <c r="J30" s="66">
        <f t="shared" si="1"/>
        <v>6.2987736900780383E-2</v>
      </c>
      <c r="K30" s="67">
        <f t="shared" si="1"/>
        <v>6.5340909090909088E-2</v>
      </c>
      <c r="L30" s="68">
        <f t="shared" si="1"/>
        <v>6.0371088341179727E-2</v>
      </c>
    </row>
    <row r="31" spans="1:12" x14ac:dyDescent="0.25">
      <c r="A31" s="48" t="s">
        <v>101</v>
      </c>
      <c r="B31" s="21">
        <v>4000</v>
      </c>
      <c r="C31" s="20">
        <v>4000</v>
      </c>
      <c r="D31" s="20">
        <v>8600</v>
      </c>
      <c r="E31" s="22">
        <v>2150</v>
      </c>
      <c r="F31" s="21">
        <v>147300</v>
      </c>
      <c r="G31" s="20">
        <v>146000</v>
      </c>
      <c r="H31" s="20">
        <v>323400</v>
      </c>
      <c r="I31" s="22">
        <v>2215</v>
      </c>
      <c r="J31" s="66">
        <f t="shared" si="1"/>
        <v>2.7155465037338764E-2</v>
      </c>
      <c r="K31" s="67">
        <f t="shared" si="1"/>
        <v>2.7397260273972601E-2</v>
      </c>
      <c r="L31" s="68">
        <f t="shared" si="1"/>
        <v>2.6592455163883734E-2</v>
      </c>
    </row>
    <row r="32" spans="1:12" x14ac:dyDescent="0.25">
      <c r="A32" s="48" t="s">
        <v>102</v>
      </c>
      <c r="B32" s="21">
        <v>8500</v>
      </c>
      <c r="C32" s="20">
        <v>8500</v>
      </c>
      <c r="D32" s="20">
        <v>20400</v>
      </c>
      <c r="E32" s="22">
        <v>2400</v>
      </c>
      <c r="F32" s="21">
        <v>233400</v>
      </c>
      <c r="G32" s="20">
        <v>230400</v>
      </c>
      <c r="H32" s="20">
        <v>570100</v>
      </c>
      <c r="I32" s="22">
        <v>2474</v>
      </c>
      <c r="J32" s="66">
        <f t="shared" si="1"/>
        <v>3.6418166238217649E-2</v>
      </c>
      <c r="K32" s="67">
        <f t="shared" si="1"/>
        <v>3.6892361111111112E-2</v>
      </c>
      <c r="L32" s="68">
        <f t="shared" si="1"/>
        <v>3.5783195930538504E-2</v>
      </c>
    </row>
    <row r="33" spans="1:12" x14ac:dyDescent="0.25">
      <c r="A33" s="48" t="s">
        <v>103</v>
      </c>
      <c r="B33" s="21">
        <v>12900</v>
      </c>
      <c r="C33" s="20">
        <v>12900</v>
      </c>
      <c r="D33" s="20">
        <v>33300</v>
      </c>
      <c r="E33" s="22">
        <v>2581</v>
      </c>
      <c r="F33" s="21">
        <v>239300</v>
      </c>
      <c r="G33" s="20">
        <v>226400</v>
      </c>
      <c r="H33" s="20">
        <v>580100</v>
      </c>
      <c r="I33" s="22">
        <v>2562</v>
      </c>
      <c r="J33" s="66">
        <f t="shared" si="1"/>
        <v>5.3907229419139155E-2</v>
      </c>
      <c r="K33" s="67">
        <f t="shared" si="1"/>
        <v>5.6978798586572441E-2</v>
      </c>
      <c r="L33" s="68">
        <f t="shared" si="1"/>
        <v>5.7403895880020685E-2</v>
      </c>
    </row>
    <row r="34" spans="1:12" x14ac:dyDescent="0.25">
      <c r="A34" s="48" t="s">
        <v>104</v>
      </c>
      <c r="B34" s="21">
        <v>12950</v>
      </c>
      <c r="C34" s="20">
        <v>12900</v>
      </c>
      <c r="D34" s="20">
        <v>27300</v>
      </c>
      <c r="E34" s="22">
        <v>2116</v>
      </c>
      <c r="F34" s="21">
        <v>202050</v>
      </c>
      <c r="G34" s="20">
        <v>196270</v>
      </c>
      <c r="H34" s="20">
        <v>455602</v>
      </c>
      <c r="I34" s="22">
        <v>2321</v>
      </c>
      <c r="J34" s="66">
        <f t="shared" si="1"/>
        <v>6.4093046275674331E-2</v>
      </c>
      <c r="K34" s="67">
        <f t="shared" si="1"/>
        <v>6.5725785907168696E-2</v>
      </c>
      <c r="L34" s="68">
        <f t="shared" si="1"/>
        <v>5.9920720277786312E-2</v>
      </c>
    </row>
    <row r="35" spans="1:12" x14ac:dyDescent="0.25">
      <c r="A35" s="48" t="s">
        <v>105</v>
      </c>
      <c r="B35" s="21">
        <v>8700</v>
      </c>
      <c r="C35" s="20">
        <v>8700</v>
      </c>
      <c r="D35" s="20">
        <v>20550</v>
      </c>
      <c r="E35" s="22">
        <v>2362</v>
      </c>
      <c r="F35" s="21">
        <v>147450</v>
      </c>
      <c r="G35" s="20">
        <v>146710</v>
      </c>
      <c r="H35" s="20">
        <v>341340</v>
      </c>
      <c r="I35" s="22">
        <v>2327</v>
      </c>
      <c r="J35" s="66">
        <f t="shared" si="1"/>
        <v>5.9003051881993895E-2</v>
      </c>
      <c r="K35" s="67">
        <f t="shared" si="1"/>
        <v>5.9300661168291184E-2</v>
      </c>
      <c r="L35" s="68">
        <f t="shared" si="1"/>
        <v>6.0203902267533839E-2</v>
      </c>
    </row>
    <row r="36" spans="1:12" x14ac:dyDescent="0.25">
      <c r="A36" s="48" t="s">
        <v>106</v>
      </c>
      <c r="B36" s="21">
        <v>7500</v>
      </c>
      <c r="C36" s="20">
        <v>7500</v>
      </c>
      <c r="D36" s="20">
        <v>17000</v>
      </c>
      <c r="E36" s="22">
        <v>2267</v>
      </c>
      <c r="F36" s="21">
        <v>230750</v>
      </c>
      <c r="G36" s="20">
        <v>216600</v>
      </c>
      <c r="H36" s="20">
        <v>384705</v>
      </c>
      <c r="I36" s="22">
        <v>1776</v>
      </c>
      <c r="J36" s="66">
        <f t="shared" si="1"/>
        <v>3.2502708559046585E-2</v>
      </c>
      <c r="K36" s="67">
        <f t="shared" si="1"/>
        <v>3.4626038781163437E-2</v>
      </c>
      <c r="L36" s="68">
        <f t="shared" si="1"/>
        <v>4.418970379901483E-2</v>
      </c>
    </row>
    <row r="37" spans="1:12" x14ac:dyDescent="0.25">
      <c r="A37" s="48" t="s">
        <v>23</v>
      </c>
      <c r="B37" s="21">
        <v>12100</v>
      </c>
      <c r="C37" s="20">
        <v>12100</v>
      </c>
      <c r="D37" s="20">
        <v>36200</v>
      </c>
      <c r="E37" s="22">
        <v>2992</v>
      </c>
      <c r="F37" s="21">
        <v>278100</v>
      </c>
      <c r="G37" s="20">
        <v>246430</v>
      </c>
      <c r="H37" s="20">
        <v>532700</v>
      </c>
      <c r="I37" s="22">
        <v>2162</v>
      </c>
      <c r="J37" s="66">
        <f t="shared" si="1"/>
        <v>4.3509528946422148E-2</v>
      </c>
      <c r="K37" s="67">
        <f t="shared" si="1"/>
        <v>4.9101164630929672E-2</v>
      </c>
      <c r="L37" s="68">
        <f t="shared" si="1"/>
        <v>6.7955697390651396E-2</v>
      </c>
    </row>
    <row r="38" spans="1:12" x14ac:dyDescent="0.25">
      <c r="A38" s="48" t="s">
        <v>24</v>
      </c>
      <c r="B38" s="21">
        <v>24120</v>
      </c>
      <c r="C38" s="20">
        <v>24120</v>
      </c>
      <c r="D38" s="20">
        <v>60700</v>
      </c>
      <c r="E38" s="22">
        <v>2517</v>
      </c>
      <c r="F38" s="21">
        <v>323930</v>
      </c>
      <c r="G38" s="20">
        <v>319990</v>
      </c>
      <c r="H38" s="20">
        <v>921200</v>
      </c>
      <c r="I38" s="22">
        <v>2879</v>
      </c>
      <c r="J38" s="66">
        <f t="shared" si="1"/>
        <v>7.4460531596332535E-2</v>
      </c>
      <c r="K38" s="67">
        <f t="shared" si="1"/>
        <v>7.5377355542360705E-2</v>
      </c>
      <c r="L38" s="68">
        <f t="shared" si="1"/>
        <v>6.5892314372557534E-2</v>
      </c>
    </row>
    <row r="39" spans="1:12" x14ac:dyDescent="0.25">
      <c r="A39" s="48" t="s">
        <v>25</v>
      </c>
      <c r="B39" s="21">
        <v>14420</v>
      </c>
      <c r="C39" s="20">
        <v>13270</v>
      </c>
      <c r="D39" s="20">
        <v>32900</v>
      </c>
      <c r="E39" s="22">
        <v>2479</v>
      </c>
      <c r="F39" s="21">
        <v>217165</v>
      </c>
      <c r="G39" s="20">
        <v>209485</v>
      </c>
      <c r="H39" s="20">
        <v>534758</v>
      </c>
      <c r="I39" s="22">
        <v>2553</v>
      </c>
      <c r="J39" s="66">
        <f t="shared" si="1"/>
        <v>6.6401123569635997E-2</v>
      </c>
      <c r="K39" s="67">
        <f t="shared" si="1"/>
        <v>6.3345824283361579E-2</v>
      </c>
      <c r="L39" s="68">
        <f t="shared" si="1"/>
        <v>6.1523156268816923E-2</v>
      </c>
    </row>
    <row r="40" spans="1:12" x14ac:dyDescent="0.25">
      <c r="A40" s="48" t="s">
        <v>26</v>
      </c>
      <c r="B40" s="21">
        <v>3700</v>
      </c>
      <c r="C40" s="20">
        <v>3000</v>
      </c>
      <c r="D40" s="20">
        <v>8640</v>
      </c>
      <c r="E40" s="22">
        <v>2880</v>
      </c>
      <c r="F40" s="21">
        <v>182490</v>
      </c>
      <c r="G40" s="20">
        <v>180495</v>
      </c>
      <c r="H40" s="20">
        <v>414160</v>
      </c>
      <c r="I40" s="22">
        <v>2295</v>
      </c>
      <c r="J40" s="66">
        <f t="shared" si="1"/>
        <v>2.0275083566222808E-2</v>
      </c>
      <c r="K40" s="67">
        <f t="shared" si="1"/>
        <v>1.6620959029335993E-2</v>
      </c>
      <c r="L40" s="68">
        <f t="shared" si="1"/>
        <v>2.0861502800849915E-2</v>
      </c>
    </row>
    <row r="41" spans="1:12" x14ac:dyDescent="0.25">
      <c r="A41" s="48" t="s">
        <v>27</v>
      </c>
      <c r="B41" s="21">
        <v>2000</v>
      </c>
      <c r="C41" s="20">
        <v>2000</v>
      </c>
      <c r="D41" s="20">
        <v>5920</v>
      </c>
      <c r="E41" s="22">
        <v>2960</v>
      </c>
      <c r="F41" s="21">
        <v>246240</v>
      </c>
      <c r="G41" s="20">
        <v>245130</v>
      </c>
      <c r="H41" s="20">
        <v>717300</v>
      </c>
      <c r="I41" s="22">
        <v>2926</v>
      </c>
      <c r="J41" s="66">
        <f t="shared" si="1"/>
        <v>8.1221572449642621E-3</v>
      </c>
      <c r="K41" s="67">
        <f t="shared" si="1"/>
        <v>8.158936074735855E-3</v>
      </c>
      <c r="L41" s="68">
        <f t="shared" si="1"/>
        <v>8.2531716157814017E-3</v>
      </c>
    </row>
    <row r="42" spans="1:12" x14ac:dyDescent="0.25">
      <c r="A42" s="48" t="s">
        <v>28</v>
      </c>
      <c r="B42" s="21">
        <v>3350</v>
      </c>
      <c r="C42" s="20">
        <v>3350</v>
      </c>
      <c r="D42" s="20">
        <v>6160</v>
      </c>
      <c r="E42" s="22">
        <v>1839</v>
      </c>
      <c r="F42" s="21">
        <v>260330</v>
      </c>
      <c r="G42" s="20">
        <v>241660</v>
      </c>
      <c r="H42" s="20">
        <v>521150</v>
      </c>
      <c r="I42" s="22">
        <v>2157</v>
      </c>
      <c r="J42" s="66">
        <f t="shared" si="1"/>
        <v>1.2868282564437445E-2</v>
      </c>
      <c r="K42" s="67">
        <f t="shared" si="1"/>
        <v>1.3862451377969048E-2</v>
      </c>
      <c r="L42" s="68">
        <f t="shared" si="1"/>
        <v>1.1820013431833445E-2</v>
      </c>
    </row>
    <row r="43" spans="1:12" x14ac:dyDescent="0.25">
      <c r="A43" s="48" t="s">
        <v>29</v>
      </c>
      <c r="B43" s="21">
        <v>3950</v>
      </c>
      <c r="C43" s="20">
        <v>3950</v>
      </c>
      <c r="D43" s="20">
        <v>7900</v>
      </c>
      <c r="E43" s="22">
        <v>2000</v>
      </c>
      <c r="F43" s="21">
        <v>269240</v>
      </c>
      <c r="G43" s="20">
        <v>247125</v>
      </c>
      <c r="H43" s="20">
        <v>543420</v>
      </c>
      <c r="I43" s="22">
        <v>2199</v>
      </c>
      <c r="J43" s="66">
        <f t="shared" si="1"/>
        <v>1.4670925568266231E-2</v>
      </c>
      <c r="K43" s="67">
        <f t="shared" si="1"/>
        <v>1.5983813859382905E-2</v>
      </c>
      <c r="L43" s="68">
        <f t="shared" si="1"/>
        <v>1.4537558426263296E-2</v>
      </c>
    </row>
    <row r="44" spans="1:12" x14ac:dyDescent="0.25">
      <c r="A44" s="48" t="s">
        <v>30</v>
      </c>
      <c r="B44" s="21">
        <v>1500</v>
      </c>
      <c r="C44" s="20">
        <v>1500</v>
      </c>
      <c r="D44" s="20">
        <v>3300</v>
      </c>
      <c r="E44" s="22">
        <v>2200</v>
      </c>
      <c r="F44" s="21">
        <v>343128</v>
      </c>
      <c r="G44" s="20">
        <v>331413</v>
      </c>
      <c r="H44" s="20">
        <v>1001730</v>
      </c>
      <c r="I44" s="22">
        <v>3023</v>
      </c>
      <c r="J44" s="66">
        <f t="shared" si="1"/>
        <v>4.3715464782821574E-3</v>
      </c>
      <c r="K44" s="67">
        <f t="shared" si="1"/>
        <v>4.5260747164414189E-3</v>
      </c>
      <c r="L44" s="68">
        <f t="shared" si="1"/>
        <v>3.2943008595130423E-3</v>
      </c>
    </row>
    <row r="45" spans="1:12" x14ac:dyDescent="0.25">
      <c r="A45" s="48" t="s">
        <v>31</v>
      </c>
      <c r="B45" s="21">
        <v>1000</v>
      </c>
      <c r="C45" s="20">
        <v>1000</v>
      </c>
      <c r="D45" s="20">
        <v>2800</v>
      </c>
      <c r="E45" s="22">
        <v>2800</v>
      </c>
      <c r="F45" s="21">
        <v>271715</v>
      </c>
      <c r="G45" s="20">
        <v>270685</v>
      </c>
      <c r="H45" s="20">
        <v>886260</v>
      </c>
      <c r="I45" s="22">
        <v>3274</v>
      </c>
      <c r="J45" s="66">
        <f t="shared" si="1"/>
        <v>3.6803268130209963E-3</v>
      </c>
      <c r="K45" s="67">
        <f t="shared" si="1"/>
        <v>3.6943310490053015E-3</v>
      </c>
      <c r="L45" s="68">
        <f t="shared" si="1"/>
        <v>3.1593437591677384E-3</v>
      </c>
    </row>
    <row r="46" spans="1:12" x14ac:dyDescent="0.25">
      <c r="A46" s="48" t="s">
        <v>32</v>
      </c>
      <c r="B46" s="21">
        <v>2880</v>
      </c>
      <c r="C46" s="20">
        <v>2880</v>
      </c>
      <c r="D46" s="20">
        <v>10520</v>
      </c>
      <c r="E46" s="22">
        <v>3653</v>
      </c>
      <c r="F46" s="21">
        <v>273050</v>
      </c>
      <c r="G46" s="20">
        <v>265150</v>
      </c>
      <c r="H46" s="20">
        <v>796190</v>
      </c>
      <c r="I46" s="22">
        <v>3003</v>
      </c>
      <c r="J46" s="66">
        <f t="shared" si="1"/>
        <v>1.0547518769456143E-2</v>
      </c>
      <c r="K46" s="67">
        <f t="shared" si="1"/>
        <v>1.0861776353007731E-2</v>
      </c>
      <c r="L46" s="68">
        <f t="shared" si="1"/>
        <v>1.3212926562755122E-2</v>
      </c>
    </row>
    <row r="47" spans="1:12" x14ac:dyDescent="0.25">
      <c r="A47" s="48" t="s">
        <v>33</v>
      </c>
      <c r="B47" s="21">
        <v>4020</v>
      </c>
      <c r="C47" s="20">
        <v>4020</v>
      </c>
      <c r="D47" s="20">
        <v>15050</v>
      </c>
      <c r="E47" s="22">
        <v>3744</v>
      </c>
      <c r="F47" s="21">
        <v>339360</v>
      </c>
      <c r="G47" s="20">
        <v>335815</v>
      </c>
      <c r="H47" s="20">
        <v>1265660</v>
      </c>
      <c r="I47" s="22">
        <v>3769</v>
      </c>
      <c r="J47" s="66">
        <f t="shared" si="1"/>
        <v>1.1845827439886845E-2</v>
      </c>
      <c r="K47" s="67">
        <f t="shared" si="1"/>
        <v>1.1970876822059766E-2</v>
      </c>
      <c r="L47" s="68">
        <f t="shared" si="1"/>
        <v>1.1891029186353366E-2</v>
      </c>
    </row>
    <row r="48" spans="1:12" x14ac:dyDescent="0.25">
      <c r="A48" s="48" t="s">
        <v>34</v>
      </c>
      <c r="B48" s="21">
        <v>4600</v>
      </c>
      <c r="C48" s="20">
        <v>4600</v>
      </c>
      <c r="D48" s="20">
        <v>17960</v>
      </c>
      <c r="E48" s="22">
        <v>3904</v>
      </c>
      <c r="F48" s="21">
        <v>439915</v>
      </c>
      <c r="G48" s="20">
        <v>416325</v>
      </c>
      <c r="H48" s="20">
        <v>1474510</v>
      </c>
      <c r="I48" s="22">
        <v>3542</v>
      </c>
      <c r="J48" s="66">
        <f t="shared" si="1"/>
        <v>1.0456565472875441E-2</v>
      </c>
      <c r="K48" s="67">
        <f t="shared" si="1"/>
        <v>1.1049060229388098E-2</v>
      </c>
      <c r="L48" s="68">
        <f t="shared" si="1"/>
        <v>1.2180317529213095E-2</v>
      </c>
    </row>
    <row r="49" spans="1:12" x14ac:dyDescent="0.25">
      <c r="A49" s="48" t="s">
        <v>35</v>
      </c>
      <c r="B49" s="21">
        <v>4350</v>
      </c>
      <c r="C49" s="20">
        <v>4000</v>
      </c>
      <c r="D49" s="20">
        <v>9375</v>
      </c>
      <c r="E49" s="22">
        <v>2344</v>
      </c>
      <c r="F49" s="21">
        <v>589230</v>
      </c>
      <c r="G49" s="20">
        <v>570125</v>
      </c>
      <c r="H49" s="20">
        <v>1681880</v>
      </c>
      <c r="I49" s="22">
        <v>2950</v>
      </c>
      <c r="J49" s="66">
        <f t="shared" si="1"/>
        <v>7.3825161651647061E-3</v>
      </c>
      <c r="K49" s="67">
        <f t="shared" si="1"/>
        <v>7.0160052620039468E-3</v>
      </c>
      <c r="L49" s="68">
        <f t="shared" si="1"/>
        <v>5.5741194377720172E-3</v>
      </c>
    </row>
    <row r="50" spans="1:12" x14ac:dyDescent="0.25">
      <c r="A50" s="48" t="s">
        <v>36</v>
      </c>
      <c r="B50" s="21">
        <v>4700</v>
      </c>
      <c r="C50" s="20">
        <v>4700</v>
      </c>
      <c r="D50" s="20">
        <v>13790</v>
      </c>
      <c r="E50" s="22">
        <v>2934</v>
      </c>
      <c r="F50" s="21">
        <v>544885</v>
      </c>
      <c r="G50" s="20">
        <v>502640</v>
      </c>
      <c r="H50" s="20">
        <v>1355801</v>
      </c>
      <c r="I50" s="22">
        <v>2697</v>
      </c>
      <c r="J50" s="66">
        <f t="shared" si="1"/>
        <v>8.6256733072116142E-3</v>
      </c>
      <c r="K50" s="67">
        <f t="shared" si="1"/>
        <v>9.350628680566608E-3</v>
      </c>
      <c r="L50" s="68">
        <f t="shared" si="1"/>
        <v>1.0171109181952218E-2</v>
      </c>
    </row>
    <row r="51" spans="1:12" x14ac:dyDescent="0.25">
      <c r="A51" s="48" t="s">
        <v>37</v>
      </c>
      <c r="B51" s="21">
        <v>5500</v>
      </c>
      <c r="C51" s="20">
        <v>5500</v>
      </c>
      <c r="D51" s="20">
        <v>26700</v>
      </c>
      <c r="E51" s="22">
        <v>4855</v>
      </c>
      <c r="F51" s="21">
        <v>755420</v>
      </c>
      <c r="G51" s="20">
        <v>746435</v>
      </c>
      <c r="H51" s="20">
        <v>2964075</v>
      </c>
      <c r="I51" s="22">
        <v>3971</v>
      </c>
      <c r="J51" s="66">
        <f t="shared" si="1"/>
        <v>7.2807180111725926E-3</v>
      </c>
      <c r="K51" s="67">
        <f t="shared" si="1"/>
        <v>7.3683575930924994E-3</v>
      </c>
      <c r="L51" s="68">
        <f t="shared" si="1"/>
        <v>9.007869234078085E-3</v>
      </c>
    </row>
    <row r="52" spans="1:12" x14ac:dyDescent="0.25">
      <c r="A52" s="48" t="s">
        <v>38</v>
      </c>
      <c r="B52" s="21">
        <v>9300</v>
      </c>
      <c r="C52" s="20">
        <v>9300</v>
      </c>
      <c r="D52" s="20">
        <v>33760</v>
      </c>
      <c r="E52" s="22">
        <v>3630</v>
      </c>
      <c r="F52" s="21">
        <v>1171237</v>
      </c>
      <c r="G52" s="20">
        <v>1121278</v>
      </c>
      <c r="H52" s="20">
        <v>4085772</v>
      </c>
      <c r="I52" s="22">
        <v>3644</v>
      </c>
      <c r="J52" s="66">
        <f t="shared" si="1"/>
        <v>7.9403229235415207E-3</v>
      </c>
      <c r="K52" s="67">
        <f t="shared" si="1"/>
        <v>8.2941072597518192E-3</v>
      </c>
      <c r="L52" s="68">
        <f t="shared" si="1"/>
        <v>8.2628203433769681E-3</v>
      </c>
    </row>
    <row r="53" spans="1:12" x14ac:dyDescent="0.25">
      <c r="A53" s="48" t="s">
        <v>39</v>
      </c>
      <c r="B53" s="21">
        <v>90275</v>
      </c>
      <c r="C53" s="20">
        <v>88375</v>
      </c>
      <c r="D53" s="20">
        <v>198350</v>
      </c>
      <c r="E53" s="22">
        <v>2244</v>
      </c>
      <c r="F53" s="21">
        <v>1811235</v>
      </c>
      <c r="G53" s="20">
        <v>1695695</v>
      </c>
      <c r="H53" s="20">
        <v>5158190</v>
      </c>
      <c r="I53" s="22">
        <v>3042</v>
      </c>
      <c r="J53" s="66">
        <f t="shared" si="1"/>
        <v>4.9841682608827681E-2</v>
      </c>
      <c r="K53" s="67">
        <f t="shared" si="1"/>
        <v>5.2117273448350085E-2</v>
      </c>
      <c r="L53" s="68">
        <f t="shared" si="1"/>
        <v>3.8453410983310038E-2</v>
      </c>
    </row>
    <row r="54" spans="1:12" x14ac:dyDescent="0.25">
      <c r="A54" s="48" t="s">
        <v>40</v>
      </c>
      <c r="B54" s="21">
        <v>37555</v>
      </c>
      <c r="C54" s="20">
        <v>37055</v>
      </c>
      <c r="D54" s="20">
        <v>82080</v>
      </c>
      <c r="E54" s="22">
        <v>2215</v>
      </c>
      <c r="F54" s="21">
        <v>1263026</v>
      </c>
      <c r="G54" s="20">
        <v>1203306</v>
      </c>
      <c r="H54" s="20">
        <v>4705160</v>
      </c>
      <c r="I54" s="22">
        <v>3910</v>
      </c>
      <c r="J54" s="66">
        <f t="shared" si="1"/>
        <v>2.9734146407120677E-2</v>
      </c>
      <c r="K54" s="67">
        <f t="shared" si="1"/>
        <v>3.0794328292221597E-2</v>
      </c>
      <c r="L54" s="68">
        <f t="shared" si="1"/>
        <v>1.7444677758035858E-2</v>
      </c>
    </row>
    <row r="55" spans="1:12" x14ac:dyDescent="0.25">
      <c r="A55" s="48" t="s">
        <v>41</v>
      </c>
      <c r="B55" s="21">
        <v>31500</v>
      </c>
      <c r="C55" s="20">
        <v>31000</v>
      </c>
      <c r="D55" s="20">
        <v>95270</v>
      </c>
      <c r="E55" s="22">
        <v>3073</v>
      </c>
      <c r="F55" s="21">
        <v>1006118</v>
      </c>
      <c r="G55" s="20">
        <v>888873</v>
      </c>
      <c r="H55" s="20">
        <v>2901495</v>
      </c>
      <c r="I55" s="22">
        <v>3264</v>
      </c>
      <c r="J55" s="66">
        <f t="shared" si="1"/>
        <v>3.1308454873086457E-2</v>
      </c>
      <c r="K55" s="67">
        <f t="shared" si="1"/>
        <v>3.4875623401768308E-2</v>
      </c>
      <c r="L55" s="68">
        <f t="shared" si="1"/>
        <v>3.2834797233839794E-2</v>
      </c>
    </row>
    <row r="56" spans="1:12" x14ac:dyDescent="0.25">
      <c r="A56" s="48" t="s">
        <v>42</v>
      </c>
      <c r="B56" s="21">
        <v>29585</v>
      </c>
      <c r="C56" s="20">
        <v>23275</v>
      </c>
      <c r="D56" s="20">
        <v>75245</v>
      </c>
      <c r="E56" s="22">
        <v>3233</v>
      </c>
      <c r="F56" s="21">
        <v>1467421</v>
      </c>
      <c r="G56" s="20">
        <v>1246891</v>
      </c>
      <c r="H56" s="20">
        <v>4938723</v>
      </c>
      <c r="I56" s="22">
        <v>3961</v>
      </c>
      <c r="J56" s="66">
        <f t="shared" si="1"/>
        <v>2.0161221626240868E-2</v>
      </c>
      <c r="K56" s="67">
        <f t="shared" si="1"/>
        <v>1.8666427137576581E-2</v>
      </c>
      <c r="L56" s="68">
        <f t="shared" si="1"/>
        <v>1.523571984093864E-2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CAD4470E-67D9-44EC-997E-927432A9293D}"/>
  </hyperlinks>
  <pageMargins left="0.7" right="0.7" top="0.75" bottom="0.75" header="0.3" footer="0.3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F949-D2A5-4B97-B256-A36D4D6F2C66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63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58300</v>
      </c>
      <c r="C10" s="40">
        <v>2700</v>
      </c>
      <c r="D10" s="40">
        <v>1400</v>
      </c>
      <c r="E10" s="50">
        <v>519</v>
      </c>
      <c r="F10" s="41">
        <v>423685</v>
      </c>
      <c r="G10" s="40">
        <v>63586</v>
      </c>
      <c r="H10" s="40">
        <v>70486</v>
      </c>
      <c r="I10" s="50">
        <v>1109</v>
      </c>
      <c r="J10" s="63">
        <f>B10/F10</f>
        <v>0.13760222807038247</v>
      </c>
      <c r="K10" s="64">
        <f t="shared" ref="K10:L25" si="0">C10/G10</f>
        <v>4.2462177208819549E-2</v>
      </c>
      <c r="L10" s="65">
        <f t="shared" si="0"/>
        <v>1.9862100275231959E-2</v>
      </c>
    </row>
    <row r="11" spans="1:12" x14ac:dyDescent="0.25">
      <c r="A11" s="48" t="s">
        <v>81</v>
      </c>
      <c r="B11" s="21">
        <v>81000</v>
      </c>
      <c r="C11" s="20">
        <v>6000</v>
      </c>
      <c r="D11" s="20">
        <v>5700</v>
      </c>
      <c r="E11" s="22">
        <v>950</v>
      </c>
      <c r="F11" s="21">
        <v>402340</v>
      </c>
      <c r="G11" s="20">
        <v>48182</v>
      </c>
      <c r="H11" s="20">
        <v>48478</v>
      </c>
      <c r="I11" s="22">
        <v>1006</v>
      </c>
      <c r="J11" s="66">
        <f t="shared" ref="J11:L66" si="1">B11/F11</f>
        <v>0.20132226475120546</v>
      </c>
      <c r="K11" s="67">
        <f t="shared" si="0"/>
        <v>0.1245278319704454</v>
      </c>
      <c r="L11" s="68">
        <f t="shared" si="0"/>
        <v>0.11757910804901192</v>
      </c>
    </row>
    <row r="12" spans="1:12" x14ac:dyDescent="0.25">
      <c r="A12" s="48" t="s">
        <v>82</v>
      </c>
      <c r="B12" s="21">
        <v>98000</v>
      </c>
      <c r="C12" s="20">
        <v>6400</v>
      </c>
      <c r="D12" s="20">
        <v>5700</v>
      </c>
      <c r="E12" s="22">
        <v>891</v>
      </c>
      <c r="F12" s="21">
        <v>445715</v>
      </c>
      <c r="G12" s="20">
        <v>74200</v>
      </c>
      <c r="H12" s="20">
        <v>77000</v>
      </c>
      <c r="I12" s="22">
        <v>1038</v>
      </c>
      <c r="J12" s="66">
        <f t="shared" si="1"/>
        <v>0.21987144251371393</v>
      </c>
      <c r="K12" s="67">
        <f t="shared" si="0"/>
        <v>8.6253369272237201E-2</v>
      </c>
      <c r="L12" s="68">
        <f t="shared" si="0"/>
        <v>7.4025974025974023E-2</v>
      </c>
    </row>
    <row r="13" spans="1:12" x14ac:dyDescent="0.25">
      <c r="A13" s="48" t="s">
        <v>83</v>
      </c>
      <c r="B13" s="21">
        <v>115000</v>
      </c>
      <c r="C13" s="20">
        <v>5800</v>
      </c>
      <c r="D13" s="20">
        <v>5000</v>
      </c>
      <c r="E13" s="22">
        <v>862</v>
      </c>
      <c r="F13" s="21">
        <v>576730</v>
      </c>
      <c r="G13" s="20">
        <v>108000</v>
      </c>
      <c r="H13" s="20">
        <v>120000</v>
      </c>
      <c r="I13" s="22">
        <v>1111</v>
      </c>
      <c r="J13" s="66">
        <f t="shared" si="1"/>
        <v>0.19940006588871742</v>
      </c>
      <c r="K13" s="67">
        <f t="shared" si="0"/>
        <v>5.3703703703703705E-2</v>
      </c>
      <c r="L13" s="68">
        <f t="shared" si="0"/>
        <v>4.1666666666666664E-2</v>
      </c>
    </row>
    <row r="14" spans="1:12" x14ac:dyDescent="0.25">
      <c r="A14" s="48" t="s">
        <v>84</v>
      </c>
      <c r="B14" s="21">
        <v>103000</v>
      </c>
      <c r="C14" s="20">
        <v>6300</v>
      </c>
      <c r="D14" s="20">
        <v>5700</v>
      </c>
      <c r="E14" s="22">
        <v>905</v>
      </c>
      <c r="F14" s="21">
        <v>580990</v>
      </c>
      <c r="G14" s="20">
        <v>101500</v>
      </c>
      <c r="H14" s="20">
        <v>124000</v>
      </c>
      <c r="I14" s="22">
        <v>1222</v>
      </c>
      <c r="J14" s="66">
        <f t="shared" si="1"/>
        <v>0.17728360212740324</v>
      </c>
      <c r="K14" s="67">
        <f t="shared" si="0"/>
        <v>6.2068965517241378E-2</v>
      </c>
      <c r="L14" s="68">
        <f t="shared" si="0"/>
        <v>4.596774193548387E-2</v>
      </c>
    </row>
    <row r="15" spans="1:12" x14ac:dyDescent="0.25">
      <c r="A15" s="48" t="s">
        <v>85</v>
      </c>
      <c r="B15" s="21">
        <v>85000</v>
      </c>
      <c r="C15" s="20">
        <v>5600</v>
      </c>
      <c r="D15" s="20">
        <v>3700</v>
      </c>
      <c r="E15" s="22">
        <v>661</v>
      </c>
      <c r="F15" s="21">
        <v>530000</v>
      </c>
      <c r="G15" s="20">
        <v>65400</v>
      </c>
      <c r="H15" s="20">
        <v>65000</v>
      </c>
      <c r="I15" s="22">
        <v>994</v>
      </c>
      <c r="J15" s="66">
        <f t="shared" si="1"/>
        <v>0.16037735849056603</v>
      </c>
      <c r="K15" s="67">
        <f t="shared" si="0"/>
        <v>8.5626911314984705E-2</v>
      </c>
      <c r="L15" s="68">
        <f t="shared" si="0"/>
        <v>5.6923076923076923E-2</v>
      </c>
    </row>
    <row r="16" spans="1:12" x14ac:dyDescent="0.25">
      <c r="A16" s="48" t="s">
        <v>86</v>
      </c>
      <c r="B16" s="21">
        <v>77500</v>
      </c>
      <c r="C16" s="20">
        <v>5900</v>
      </c>
      <c r="D16" s="20">
        <v>6400</v>
      </c>
      <c r="E16" s="22">
        <v>1085</v>
      </c>
      <c r="F16" s="21">
        <v>536080</v>
      </c>
      <c r="G16" s="20">
        <v>67700</v>
      </c>
      <c r="H16" s="20">
        <v>74900</v>
      </c>
      <c r="I16" s="22">
        <v>1106</v>
      </c>
      <c r="J16" s="66">
        <f t="shared" si="1"/>
        <v>0.14456797492911505</v>
      </c>
      <c r="K16" s="67">
        <f t="shared" si="0"/>
        <v>8.7149187592319058E-2</v>
      </c>
      <c r="L16" s="68">
        <f t="shared" si="0"/>
        <v>8.5447263017356473E-2</v>
      </c>
    </row>
    <row r="17" spans="1:12" x14ac:dyDescent="0.25">
      <c r="A17" s="48" t="s">
        <v>87</v>
      </c>
      <c r="B17" s="21">
        <v>61500</v>
      </c>
      <c r="C17" s="20">
        <v>5600</v>
      </c>
      <c r="D17" s="20">
        <v>6100</v>
      </c>
      <c r="E17" s="22">
        <v>1089</v>
      </c>
      <c r="F17" s="21">
        <v>496985</v>
      </c>
      <c r="G17" s="20">
        <v>64300</v>
      </c>
      <c r="H17" s="20">
        <v>90000</v>
      </c>
      <c r="I17" s="22">
        <v>1400</v>
      </c>
      <c r="J17" s="66">
        <f t="shared" si="1"/>
        <v>0.12374618952282262</v>
      </c>
      <c r="K17" s="67">
        <f t="shared" si="0"/>
        <v>8.7091757387247282E-2</v>
      </c>
      <c r="L17" s="68">
        <f t="shared" si="0"/>
        <v>6.7777777777777784E-2</v>
      </c>
    </row>
    <row r="18" spans="1:12" x14ac:dyDescent="0.25">
      <c r="A18" s="48" t="s">
        <v>88</v>
      </c>
      <c r="B18" s="21">
        <v>54000</v>
      </c>
      <c r="C18" s="20">
        <v>5300</v>
      </c>
      <c r="D18" s="20">
        <v>5000</v>
      </c>
      <c r="E18" s="22">
        <v>943</v>
      </c>
      <c r="F18" s="21">
        <v>459890</v>
      </c>
      <c r="G18" s="20">
        <v>60000</v>
      </c>
      <c r="H18" s="20">
        <v>63000</v>
      </c>
      <c r="I18" s="22">
        <v>1050</v>
      </c>
      <c r="J18" s="66">
        <f t="shared" si="1"/>
        <v>0.11741938289590989</v>
      </c>
      <c r="K18" s="67">
        <f t="shared" si="0"/>
        <v>8.8333333333333333E-2</v>
      </c>
      <c r="L18" s="68">
        <f t="shared" si="0"/>
        <v>7.9365079365079361E-2</v>
      </c>
    </row>
    <row r="19" spans="1:12" x14ac:dyDescent="0.25">
      <c r="A19" s="48" t="s">
        <v>89</v>
      </c>
      <c r="B19" s="21">
        <v>44000</v>
      </c>
      <c r="C19" s="20">
        <v>5000</v>
      </c>
      <c r="D19" s="20">
        <v>6000</v>
      </c>
      <c r="E19" s="22">
        <v>1200</v>
      </c>
      <c r="F19" s="21">
        <v>430900</v>
      </c>
      <c r="G19" s="20">
        <v>67000</v>
      </c>
      <c r="H19" s="20">
        <v>84000</v>
      </c>
      <c r="I19" s="22">
        <v>1254</v>
      </c>
      <c r="J19" s="66">
        <f t="shared" si="1"/>
        <v>0.10211185889997679</v>
      </c>
      <c r="K19" s="67">
        <f t="shared" si="0"/>
        <v>7.4626865671641784E-2</v>
      </c>
      <c r="L19" s="68">
        <f t="shared" si="0"/>
        <v>7.1428571428571425E-2</v>
      </c>
    </row>
    <row r="20" spans="1:12" x14ac:dyDescent="0.25">
      <c r="A20" s="48" t="s">
        <v>90</v>
      </c>
      <c r="B20" s="21">
        <v>31300</v>
      </c>
      <c r="C20" s="20">
        <v>2650</v>
      </c>
      <c r="D20" s="20">
        <v>3000</v>
      </c>
      <c r="E20" s="22">
        <v>1132</v>
      </c>
      <c r="F20" s="21">
        <v>369910</v>
      </c>
      <c r="G20" s="20">
        <v>48000</v>
      </c>
      <c r="H20" s="20">
        <v>53000</v>
      </c>
      <c r="I20" s="22">
        <v>1104</v>
      </c>
      <c r="J20" s="66">
        <f t="shared" si="1"/>
        <v>8.4615176664594088E-2</v>
      </c>
      <c r="K20" s="67">
        <f t="shared" si="0"/>
        <v>5.5208333333333331E-2</v>
      </c>
      <c r="L20" s="68">
        <f t="shared" si="0"/>
        <v>5.6603773584905662E-2</v>
      </c>
    </row>
    <row r="21" spans="1:12" x14ac:dyDescent="0.25">
      <c r="A21" s="48" t="s">
        <v>91</v>
      </c>
      <c r="B21" s="21">
        <v>34300</v>
      </c>
      <c r="C21" s="20">
        <v>2480</v>
      </c>
      <c r="D21" s="20">
        <v>1800</v>
      </c>
      <c r="E21" s="22">
        <v>726</v>
      </c>
      <c r="F21" s="21">
        <v>377900</v>
      </c>
      <c r="G21" s="20">
        <v>40400</v>
      </c>
      <c r="H21" s="20">
        <v>47000</v>
      </c>
      <c r="I21" s="22">
        <v>1163</v>
      </c>
      <c r="J21" s="66">
        <f t="shared" si="1"/>
        <v>9.0764752580047625E-2</v>
      </c>
      <c r="K21" s="67">
        <f t="shared" si="0"/>
        <v>6.1386138613861385E-2</v>
      </c>
      <c r="L21" s="68">
        <f t="shared" si="0"/>
        <v>3.8297872340425532E-2</v>
      </c>
    </row>
    <row r="22" spans="1:12" x14ac:dyDescent="0.25">
      <c r="A22" s="48" t="s">
        <v>92</v>
      </c>
      <c r="B22" s="21">
        <v>27500</v>
      </c>
      <c r="C22" s="20">
        <v>1400</v>
      </c>
      <c r="D22" s="20">
        <v>930</v>
      </c>
      <c r="E22" s="22">
        <v>664</v>
      </c>
      <c r="F22" s="21">
        <v>268905</v>
      </c>
      <c r="G22" s="20">
        <v>16700</v>
      </c>
      <c r="H22" s="20">
        <v>15700</v>
      </c>
      <c r="I22" s="22">
        <v>940</v>
      </c>
      <c r="J22" s="66">
        <f t="shared" si="1"/>
        <v>0.10226659972852867</v>
      </c>
      <c r="K22" s="67">
        <f t="shared" si="0"/>
        <v>8.3832335329341312E-2</v>
      </c>
      <c r="L22" s="68">
        <f t="shared" si="0"/>
        <v>5.9235668789808918E-2</v>
      </c>
    </row>
    <row r="23" spans="1:12" x14ac:dyDescent="0.25">
      <c r="A23" s="48" t="s">
        <v>93</v>
      </c>
      <c r="B23" s="21">
        <v>28300</v>
      </c>
      <c r="C23" s="20">
        <v>1300</v>
      </c>
      <c r="D23" s="20">
        <v>1000</v>
      </c>
      <c r="E23" s="22">
        <v>769</v>
      </c>
      <c r="F23" s="21">
        <v>250300</v>
      </c>
      <c r="G23" s="20">
        <v>23400</v>
      </c>
      <c r="H23" s="20">
        <v>31400</v>
      </c>
      <c r="I23" s="22">
        <v>1342</v>
      </c>
      <c r="J23" s="66">
        <f t="shared" si="1"/>
        <v>0.11306432281262485</v>
      </c>
      <c r="K23" s="67">
        <f t="shared" si="0"/>
        <v>5.5555555555555552E-2</v>
      </c>
      <c r="L23" s="68">
        <f t="shared" si="0"/>
        <v>3.1847133757961783E-2</v>
      </c>
    </row>
    <row r="24" spans="1:12" x14ac:dyDescent="0.25">
      <c r="A24" s="48" t="s">
        <v>94</v>
      </c>
      <c r="B24" s="21">
        <v>29300</v>
      </c>
      <c r="C24" s="20">
        <v>2100</v>
      </c>
      <c r="D24" s="20">
        <v>1600</v>
      </c>
      <c r="E24" s="22">
        <v>762</v>
      </c>
      <c r="F24" s="21">
        <v>212900</v>
      </c>
      <c r="G24" s="20">
        <v>22300</v>
      </c>
      <c r="H24" s="20">
        <v>26000</v>
      </c>
      <c r="I24" s="22">
        <v>1166</v>
      </c>
      <c r="J24" s="66">
        <f t="shared" si="1"/>
        <v>0.13762329732268672</v>
      </c>
      <c r="K24" s="67">
        <f t="shared" si="0"/>
        <v>9.417040358744394E-2</v>
      </c>
      <c r="L24" s="68">
        <f t="shared" si="0"/>
        <v>6.1538461538461542E-2</v>
      </c>
    </row>
    <row r="25" spans="1:12" x14ac:dyDescent="0.25">
      <c r="A25" s="48" t="s">
        <v>95</v>
      </c>
      <c r="B25" s="21">
        <v>26100</v>
      </c>
      <c r="C25" s="20">
        <v>1700</v>
      </c>
      <c r="D25" s="20">
        <v>1630</v>
      </c>
      <c r="E25" s="22">
        <v>959</v>
      </c>
      <c r="F25" s="21">
        <v>192700</v>
      </c>
      <c r="G25" s="20">
        <v>20700</v>
      </c>
      <c r="H25" s="20">
        <v>24000</v>
      </c>
      <c r="I25" s="22">
        <v>1159</v>
      </c>
      <c r="J25" s="66">
        <f t="shared" si="1"/>
        <v>0.13544369486248053</v>
      </c>
      <c r="K25" s="67">
        <f t="shared" si="0"/>
        <v>8.2125603864734303E-2</v>
      </c>
      <c r="L25" s="68">
        <f t="shared" si="0"/>
        <v>6.7916666666666667E-2</v>
      </c>
    </row>
    <row r="26" spans="1:12" x14ac:dyDescent="0.25">
      <c r="A26" s="48" t="s">
        <v>96</v>
      </c>
      <c r="B26" s="21">
        <v>24800</v>
      </c>
      <c r="C26" s="20">
        <v>1200</v>
      </c>
      <c r="D26" s="20">
        <v>1070</v>
      </c>
      <c r="E26" s="22">
        <v>892</v>
      </c>
      <c r="F26" s="21">
        <v>165900</v>
      </c>
      <c r="G26" s="20">
        <v>15700</v>
      </c>
      <c r="H26" s="20">
        <v>18000</v>
      </c>
      <c r="I26" s="22">
        <v>1147</v>
      </c>
      <c r="J26" s="66">
        <f t="shared" si="1"/>
        <v>0.14948764315852922</v>
      </c>
      <c r="K26" s="67">
        <f t="shared" si="1"/>
        <v>7.6433121019108277E-2</v>
      </c>
      <c r="L26" s="68">
        <f t="shared" si="1"/>
        <v>5.9444444444444446E-2</v>
      </c>
    </row>
    <row r="27" spans="1:12" x14ac:dyDescent="0.25">
      <c r="A27" s="48" t="s">
        <v>97</v>
      </c>
      <c r="B27" s="21">
        <v>24800</v>
      </c>
      <c r="C27" s="20">
        <v>1160</v>
      </c>
      <c r="D27" s="20">
        <v>1160</v>
      </c>
      <c r="E27" s="22">
        <v>1000</v>
      </c>
      <c r="F27" s="21">
        <v>149900</v>
      </c>
      <c r="G27" s="20">
        <v>20000</v>
      </c>
      <c r="H27" s="20">
        <v>25000</v>
      </c>
      <c r="I27" s="22">
        <v>1250</v>
      </c>
      <c r="J27" s="66">
        <f t="shared" si="1"/>
        <v>0.16544362908605736</v>
      </c>
      <c r="K27" s="67">
        <f t="shared" si="1"/>
        <v>5.8000000000000003E-2</v>
      </c>
      <c r="L27" s="68">
        <f t="shared" si="1"/>
        <v>4.6399999999999997E-2</v>
      </c>
    </row>
    <row r="28" spans="1:12" x14ac:dyDescent="0.25">
      <c r="A28" s="48" t="s">
        <v>98</v>
      </c>
      <c r="B28" s="21">
        <v>20000</v>
      </c>
      <c r="C28" s="20">
        <v>9950</v>
      </c>
      <c r="D28" s="20">
        <v>10000</v>
      </c>
      <c r="E28" s="22">
        <v>1005</v>
      </c>
      <c r="F28" s="21">
        <v>121850</v>
      </c>
      <c r="G28" s="20">
        <v>17140</v>
      </c>
      <c r="H28" s="20">
        <v>19700</v>
      </c>
      <c r="I28" s="22">
        <v>1149</v>
      </c>
      <c r="J28" s="66">
        <f t="shared" si="1"/>
        <v>0.16413623307345096</v>
      </c>
      <c r="K28" s="67">
        <f t="shared" si="1"/>
        <v>0.58051341890315056</v>
      </c>
      <c r="L28" s="68">
        <f t="shared" si="1"/>
        <v>0.50761421319796951</v>
      </c>
    </row>
    <row r="29" spans="1:12" x14ac:dyDescent="0.25">
      <c r="A29" s="48" t="s">
        <v>99</v>
      </c>
      <c r="B29" s="21">
        <v>8250</v>
      </c>
      <c r="C29" s="20">
        <v>150</v>
      </c>
      <c r="D29" s="20">
        <v>110</v>
      </c>
      <c r="E29" s="22">
        <v>733</v>
      </c>
      <c r="F29" s="21">
        <v>99860</v>
      </c>
      <c r="G29" s="20">
        <v>5960</v>
      </c>
      <c r="H29" s="20">
        <v>6300</v>
      </c>
      <c r="I29" s="22">
        <v>1057</v>
      </c>
      <c r="J29" s="66">
        <f t="shared" si="1"/>
        <v>8.2615661926697379E-2</v>
      </c>
      <c r="K29" s="67">
        <f t="shared" si="1"/>
        <v>2.5167785234899327E-2</v>
      </c>
      <c r="L29" s="68">
        <f t="shared" si="1"/>
        <v>1.7460317460317461E-2</v>
      </c>
    </row>
    <row r="30" spans="1:12" x14ac:dyDescent="0.25">
      <c r="A30" s="48" t="s">
        <v>100</v>
      </c>
      <c r="B30" s="21">
        <v>8400</v>
      </c>
      <c r="C30" s="20">
        <v>560</v>
      </c>
      <c r="D30" s="20">
        <v>500</v>
      </c>
      <c r="E30" s="22">
        <v>893</v>
      </c>
      <c r="F30" s="21">
        <v>94700</v>
      </c>
      <c r="G30" s="20">
        <v>3630</v>
      </c>
      <c r="H30" s="20">
        <v>3670</v>
      </c>
      <c r="I30" s="22">
        <v>1011</v>
      </c>
      <c r="J30" s="66">
        <f t="shared" si="1"/>
        <v>8.8701161562829992E-2</v>
      </c>
      <c r="K30" s="67">
        <f t="shared" si="1"/>
        <v>0.15426997245179064</v>
      </c>
      <c r="L30" s="68">
        <f t="shared" si="1"/>
        <v>0.13623978201634879</v>
      </c>
    </row>
    <row r="31" spans="1:12" x14ac:dyDescent="0.25">
      <c r="A31" s="48" t="s">
        <v>101</v>
      </c>
      <c r="B31" s="21">
        <v>7000</v>
      </c>
      <c r="C31" s="20">
        <v>500</v>
      </c>
      <c r="D31" s="20">
        <v>500</v>
      </c>
      <c r="E31" s="22">
        <v>1000</v>
      </c>
      <c r="F31" s="21">
        <v>66200</v>
      </c>
      <c r="G31" s="20">
        <v>2900</v>
      </c>
      <c r="H31" s="20">
        <v>3200</v>
      </c>
      <c r="I31" s="22">
        <v>1103</v>
      </c>
      <c r="J31" s="66">
        <f t="shared" si="1"/>
        <v>0.10574018126888217</v>
      </c>
      <c r="K31" s="67">
        <f t="shared" si="1"/>
        <v>0.17241379310344829</v>
      </c>
      <c r="L31" s="68">
        <f t="shared" si="1"/>
        <v>0.15625</v>
      </c>
    </row>
    <row r="32" spans="1:12" x14ac:dyDescent="0.25">
      <c r="A32" s="48" t="s">
        <v>102</v>
      </c>
      <c r="B32" s="21">
        <v>5500</v>
      </c>
      <c r="C32" s="20">
        <v>600</v>
      </c>
      <c r="D32" s="20">
        <v>400</v>
      </c>
      <c r="E32" s="22">
        <v>667</v>
      </c>
      <c r="F32" s="21">
        <v>54000</v>
      </c>
      <c r="G32" s="20">
        <v>3080</v>
      </c>
      <c r="H32" s="20">
        <v>3260</v>
      </c>
      <c r="I32" s="22">
        <v>1058</v>
      </c>
      <c r="J32" s="66">
        <f t="shared" si="1"/>
        <v>0.10185185185185185</v>
      </c>
      <c r="K32" s="67">
        <f t="shared" si="1"/>
        <v>0.19480519480519481</v>
      </c>
      <c r="L32" s="68">
        <f t="shared" si="1"/>
        <v>0.12269938650306748</v>
      </c>
    </row>
    <row r="33" spans="1:12" x14ac:dyDescent="0.25">
      <c r="A33" s="48" t="s">
        <v>103</v>
      </c>
      <c r="B33" s="21">
        <v>3800</v>
      </c>
      <c r="C33" s="20">
        <v>0</v>
      </c>
      <c r="D33" s="20">
        <v>0</v>
      </c>
      <c r="E33" s="22">
        <v>0</v>
      </c>
      <c r="F33" s="21">
        <v>45500</v>
      </c>
      <c r="G33" s="20">
        <v>2300</v>
      </c>
      <c r="H33" s="20">
        <v>3100</v>
      </c>
      <c r="I33" s="22">
        <v>1348</v>
      </c>
      <c r="J33" s="66">
        <f t="shared" si="1"/>
        <v>8.3516483516483511E-2</v>
      </c>
      <c r="K33" s="67">
        <f t="shared" si="1"/>
        <v>0</v>
      </c>
      <c r="L33" s="68">
        <f t="shared" si="1"/>
        <v>0</v>
      </c>
    </row>
    <row r="34" spans="1:12" x14ac:dyDescent="0.25">
      <c r="A34" s="48" t="s">
        <v>104</v>
      </c>
      <c r="B34" s="21">
        <v>2500</v>
      </c>
      <c r="C34" s="20">
        <v>0</v>
      </c>
      <c r="D34" s="20">
        <v>0</v>
      </c>
      <c r="E34" s="22">
        <v>0</v>
      </c>
      <c r="F34" s="21">
        <v>40300</v>
      </c>
      <c r="G34" s="20">
        <v>2580</v>
      </c>
      <c r="H34" s="20">
        <v>3837</v>
      </c>
      <c r="I34" s="22">
        <v>1487</v>
      </c>
      <c r="J34" s="66">
        <f t="shared" si="1"/>
        <v>6.2034739454094295E-2</v>
      </c>
      <c r="K34" s="67">
        <f t="shared" si="1"/>
        <v>0</v>
      </c>
      <c r="L34" s="68">
        <f t="shared" si="1"/>
        <v>0</v>
      </c>
    </row>
    <row r="35" spans="1:12" x14ac:dyDescent="0.25">
      <c r="A35" s="48" t="s">
        <v>105</v>
      </c>
      <c r="B35" s="21">
        <v>2550</v>
      </c>
      <c r="C35" s="20">
        <v>0</v>
      </c>
      <c r="D35" s="20">
        <v>0</v>
      </c>
      <c r="E35" s="22">
        <v>0</v>
      </c>
      <c r="F35" s="21">
        <v>41375</v>
      </c>
      <c r="G35" s="20">
        <v>2550</v>
      </c>
      <c r="H35" s="20">
        <v>3352</v>
      </c>
      <c r="I35" s="22">
        <v>1315</v>
      </c>
      <c r="J35" s="66">
        <f t="shared" si="1"/>
        <v>6.1631419939577041E-2</v>
      </c>
      <c r="K35" s="67">
        <f t="shared" si="1"/>
        <v>0</v>
      </c>
      <c r="L35" s="68">
        <f t="shared" si="1"/>
        <v>0</v>
      </c>
    </row>
    <row r="36" spans="1:12" x14ac:dyDescent="0.25">
      <c r="A36" s="48" t="s">
        <v>106</v>
      </c>
      <c r="B36" s="21">
        <v>3350</v>
      </c>
      <c r="C36" s="20">
        <v>0</v>
      </c>
      <c r="D36" s="20">
        <v>0</v>
      </c>
      <c r="E36" s="22">
        <v>0</v>
      </c>
      <c r="F36" s="21">
        <v>31435</v>
      </c>
      <c r="G36" s="20">
        <v>1280</v>
      </c>
      <c r="H36" s="20">
        <v>1143</v>
      </c>
      <c r="I36" s="22">
        <v>893</v>
      </c>
      <c r="J36" s="66">
        <f t="shared" si="1"/>
        <v>0.10656911086368698</v>
      </c>
      <c r="K36" s="67">
        <f t="shared" si="1"/>
        <v>0</v>
      </c>
      <c r="L36" s="68">
        <f t="shared" si="1"/>
        <v>0</v>
      </c>
    </row>
    <row r="37" spans="1:12" x14ac:dyDescent="0.25">
      <c r="A37" s="48" t="s">
        <v>23</v>
      </c>
      <c r="B37" s="21">
        <v>3100</v>
      </c>
      <c r="C37" s="20">
        <v>0</v>
      </c>
      <c r="D37" s="20">
        <v>0</v>
      </c>
      <c r="E37" s="22">
        <v>0</v>
      </c>
      <c r="F37" s="21">
        <v>28750</v>
      </c>
      <c r="G37" s="20">
        <v>3430</v>
      </c>
      <c r="H37" s="20">
        <v>3743</v>
      </c>
      <c r="I37" s="22">
        <v>1091</v>
      </c>
      <c r="J37" s="66">
        <f t="shared" si="1"/>
        <v>0.10782608695652174</v>
      </c>
      <c r="K37" s="67">
        <f t="shared" si="1"/>
        <v>0</v>
      </c>
      <c r="L37" s="68">
        <f t="shared" si="1"/>
        <v>0</v>
      </c>
    </row>
    <row r="38" spans="1:12" x14ac:dyDescent="0.25">
      <c r="A38" s="48" t="s">
        <v>24</v>
      </c>
      <c r="B38" s="21">
        <v>1500</v>
      </c>
      <c r="C38" s="20">
        <v>0</v>
      </c>
      <c r="D38" s="20">
        <v>0</v>
      </c>
      <c r="E38" s="22">
        <v>0</v>
      </c>
      <c r="F38" s="21">
        <v>19390</v>
      </c>
      <c r="G38" s="20">
        <v>3010</v>
      </c>
      <c r="H38" s="20">
        <v>4590</v>
      </c>
      <c r="I38" s="22">
        <v>1525</v>
      </c>
      <c r="J38" s="66">
        <f t="shared" si="1"/>
        <v>7.735946364105209E-2</v>
      </c>
      <c r="K38" s="67">
        <f t="shared" si="1"/>
        <v>0</v>
      </c>
      <c r="L38" s="68">
        <f t="shared" si="1"/>
        <v>0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>
        <v>24230</v>
      </c>
      <c r="G39" s="20">
        <v>2680</v>
      </c>
      <c r="H39" s="20">
        <v>3650</v>
      </c>
      <c r="I39" s="22">
        <v>1362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>
        <v>20050</v>
      </c>
      <c r="G40" s="20">
        <v>4110</v>
      </c>
      <c r="H40" s="20">
        <v>5396</v>
      </c>
      <c r="I40" s="22">
        <v>1313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>
        <v>15550</v>
      </c>
      <c r="G41" s="20">
        <v>2700</v>
      </c>
      <c r="H41" s="20">
        <v>5190</v>
      </c>
      <c r="I41" s="22">
        <v>1922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19788</v>
      </c>
      <c r="G42" s="20">
        <v>4830</v>
      </c>
      <c r="H42" s="20">
        <v>8895</v>
      </c>
      <c r="I42" s="22">
        <v>1842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18863</v>
      </c>
      <c r="G43" s="20">
        <v>3635</v>
      </c>
      <c r="H43" s="20">
        <v>6410</v>
      </c>
      <c r="I43" s="22">
        <v>1763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>
        <v>900</v>
      </c>
      <c r="C44" s="20">
        <v>0</v>
      </c>
      <c r="D44" s="20">
        <v>0</v>
      </c>
      <c r="E44" s="22">
        <v>0</v>
      </c>
      <c r="F44" s="21">
        <v>25061</v>
      </c>
      <c r="G44" s="20">
        <v>2935</v>
      </c>
      <c r="H44" s="20">
        <v>3730</v>
      </c>
      <c r="I44" s="22">
        <v>1271</v>
      </c>
      <c r="J44" s="66">
        <f t="shared" si="1"/>
        <v>3.5912373807908703E-2</v>
      </c>
      <c r="K44" s="67">
        <f t="shared" si="1"/>
        <v>0</v>
      </c>
      <c r="L44" s="68">
        <f t="shared" si="1"/>
        <v>0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27995</v>
      </c>
      <c r="G45" s="20">
        <v>4622</v>
      </c>
      <c r="H45" s="20">
        <v>8350</v>
      </c>
      <c r="I45" s="22">
        <v>1807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22300</v>
      </c>
      <c r="G46" s="20">
        <v>2300</v>
      </c>
      <c r="H46" s="20">
        <v>3233</v>
      </c>
      <c r="I46" s="22">
        <v>1406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27030</v>
      </c>
      <c r="G47" s="20">
        <v>1777</v>
      </c>
      <c r="H47" s="20">
        <v>2805</v>
      </c>
      <c r="I47" s="22">
        <v>1579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31770</v>
      </c>
      <c r="G48" s="20">
        <v>2855</v>
      </c>
      <c r="H48" s="20">
        <v>7180</v>
      </c>
      <c r="I48" s="22">
        <v>2515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37900</v>
      </c>
      <c r="G49" s="20">
        <v>5675</v>
      </c>
      <c r="H49" s="20">
        <v>8205</v>
      </c>
      <c r="I49" s="22">
        <v>1446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42910</v>
      </c>
      <c r="G50" s="20">
        <v>6510</v>
      </c>
      <c r="H50" s="20">
        <v>9648</v>
      </c>
      <c r="I50" s="22">
        <v>1482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49030</v>
      </c>
      <c r="G51" s="20">
        <v>6875</v>
      </c>
      <c r="H51" s="20">
        <v>18978</v>
      </c>
      <c r="I51" s="22">
        <v>2760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>
        <v>58370</v>
      </c>
      <c r="G52" s="20">
        <v>10800</v>
      </c>
      <c r="H52" s="20">
        <v>16459</v>
      </c>
      <c r="I52" s="22">
        <v>1524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66000</v>
      </c>
      <c r="G53" s="20">
        <v>8210</v>
      </c>
      <c r="H53" s="20">
        <v>14750</v>
      </c>
      <c r="I53" s="22">
        <v>1797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>
        <v>5200</v>
      </c>
      <c r="C54" s="20">
        <v>1500</v>
      </c>
      <c r="D54" s="20">
        <v>2400</v>
      </c>
      <c r="E54" s="22">
        <v>1600</v>
      </c>
      <c r="F54" s="21">
        <v>79100</v>
      </c>
      <c r="G54" s="20">
        <v>12960</v>
      </c>
      <c r="H54" s="20">
        <v>24790</v>
      </c>
      <c r="I54" s="22">
        <v>1913</v>
      </c>
      <c r="J54" s="66">
        <f t="shared" si="1"/>
        <v>6.5739570164348921E-2</v>
      </c>
      <c r="K54" s="67">
        <f t="shared" si="1"/>
        <v>0.11574074074074074</v>
      </c>
      <c r="L54" s="68">
        <f t="shared" si="1"/>
        <v>9.6813231141589351E-2</v>
      </c>
    </row>
    <row r="55" spans="1:12" x14ac:dyDescent="0.25">
      <c r="A55" s="48" t="s">
        <v>41</v>
      </c>
      <c r="B55" s="21">
        <v>4000</v>
      </c>
      <c r="C55" s="20">
        <v>0</v>
      </c>
      <c r="D55" s="20">
        <v>0</v>
      </c>
      <c r="E55" s="22">
        <v>0</v>
      </c>
      <c r="F55" s="21">
        <v>75940</v>
      </c>
      <c r="G55" s="20">
        <v>11600</v>
      </c>
      <c r="H55" s="20">
        <v>23308</v>
      </c>
      <c r="I55" s="22">
        <v>2009</v>
      </c>
      <c r="J55" s="66">
        <f t="shared" si="1"/>
        <v>5.2673163023439558E-2</v>
      </c>
      <c r="K55" s="67">
        <f t="shared" si="1"/>
        <v>0</v>
      </c>
      <c r="L55" s="68">
        <f t="shared" si="1"/>
        <v>0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46840</v>
      </c>
      <c r="G56" s="20">
        <v>5175</v>
      </c>
      <c r="H56" s="20">
        <v>14510</v>
      </c>
      <c r="I56" s="22">
        <v>2804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0206414C-2A98-43F9-B83F-B92800D317E9}"/>
  </hyperlinks>
  <pageMargins left="0.7" right="0.7" top="0.75" bottom="0.75" header="0.3" footer="0.3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AE16-B79D-4674-B74A-14AE0AA319DC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64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60" t="e">
        <v>#N/A</v>
      </c>
      <c r="C10" s="61" t="e">
        <v>#N/A</v>
      </c>
      <c r="D10" s="61" t="e">
        <v>#N/A</v>
      </c>
      <c r="E10" s="62" t="e">
        <v>#N/A</v>
      </c>
      <c r="F10" s="60" t="e">
        <v>#N/A</v>
      </c>
      <c r="G10" s="61" t="e">
        <v>#N/A</v>
      </c>
      <c r="H10" s="61" t="e">
        <v>#N/A</v>
      </c>
      <c r="I10" s="62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 t="e">
        <v>#N/A</v>
      </c>
      <c r="G19" s="20" t="e">
        <v>#N/A</v>
      </c>
      <c r="H19" s="20" t="e">
        <v>#N/A</v>
      </c>
      <c r="I19" s="22" t="e">
        <v>#N/A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 t="e">
        <v>#N/A</v>
      </c>
      <c r="G20" s="20" t="e">
        <v>#N/A</v>
      </c>
      <c r="H20" s="20" t="e">
        <v>#N/A</v>
      </c>
      <c r="I20" s="22" t="e">
        <v>#N/A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 t="e">
        <v>#N/A</v>
      </c>
      <c r="G21" s="20" t="e">
        <v>#N/A</v>
      </c>
      <c r="H21" s="20" t="e">
        <v>#N/A</v>
      </c>
      <c r="I21" s="22" t="e">
        <v>#N/A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 t="e">
        <v>#N/A</v>
      </c>
      <c r="G33" s="20" t="e">
        <v>#N/A</v>
      </c>
      <c r="H33" s="20" t="e">
        <v>#N/A</v>
      </c>
      <c r="I33" s="22" t="e">
        <v>#N/A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 t="e">
        <v>#N/A</v>
      </c>
      <c r="G34" s="20" t="e">
        <v>#N/A</v>
      </c>
      <c r="H34" s="20" t="e">
        <v>#N/A</v>
      </c>
      <c r="I34" s="22" t="e">
        <v>#N/A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 t="e">
        <v>#N/A</v>
      </c>
      <c r="G35" s="20" t="e">
        <v>#N/A</v>
      </c>
      <c r="H35" s="20" t="e">
        <v>#N/A</v>
      </c>
      <c r="I35" s="22" t="e">
        <v>#N/A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 t="e">
        <v>#N/A</v>
      </c>
      <c r="G36" s="20" t="e">
        <v>#N/A</v>
      </c>
      <c r="H36" s="20" t="e">
        <v>#N/A</v>
      </c>
      <c r="I36" s="22" t="e">
        <v>#N/A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>
        <v>27412</v>
      </c>
      <c r="C57" s="20">
        <v>19525</v>
      </c>
      <c r="D57" s="20">
        <v>76913</v>
      </c>
      <c r="E57" s="22">
        <v>3939</v>
      </c>
      <c r="F57" s="21">
        <v>980043</v>
      </c>
      <c r="G57" s="20">
        <v>870213</v>
      </c>
      <c r="H57" s="20">
        <v>3308384</v>
      </c>
      <c r="I57" s="22">
        <v>3802</v>
      </c>
      <c r="J57" s="66">
        <f t="shared" si="1"/>
        <v>2.7970201307493652E-2</v>
      </c>
      <c r="K57" s="67">
        <f t="shared" si="1"/>
        <v>2.2437035530381642E-2</v>
      </c>
      <c r="L57" s="68">
        <f t="shared" si="1"/>
        <v>2.3247905926276999E-2</v>
      </c>
    </row>
    <row r="58" spans="1:12" x14ac:dyDescent="0.25">
      <c r="A58" s="48" t="s">
        <v>44</v>
      </c>
      <c r="B58" s="21">
        <v>15730</v>
      </c>
      <c r="C58" s="20">
        <v>10730</v>
      </c>
      <c r="D58" s="20">
        <v>39888</v>
      </c>
      <c r="E58" s="22">
        <v>3717</v>
      </c>
      <c r="F58" s="21">
        <v>1019710</v>
      </c>
      <c r="G58" s="20">
        <v>936434</v>
      </c>
      <c r="H58" s="20">
        <v>3741158</v>
      </c>
      <c r="I58" s="22">
        <v>3995</v>
      </c>
      <c r="J58" s="66">
        <f t="shared" si="1"/>
        <v>1.5425954438026497E-2</v>
      </c>
      <c r="K58" s="67">
        <f t="shared" si="1"/>
        <v>1.1458362255108209E-2</v>
      </c>
      <c r="L58" s="68">
        <f t="shared" si="1"/>
        <v>1.0661939431587759E-2</v>
      </c>
    </row>
    <row r="59" spans="1:12" x14ac:dyDescent="0.25">
      <c r="A59" s="48" t="s">
        <v>45</v>
      </c>
      <c r="B59" s="21">
        <v>18080</v>
      </c>
      <c r="C59" s="20">
        <v>12080</v>
      </c>
      <c r="D59" s="20">
        <v>32424</v>
      </c>
      <c r="E59" s="22">
        <v>2684</v>
      </c>
      <c r="F59" s="21">
        <v>1353128</v>
      </c>
      <c r="G59" s="20">
        <v>1124019</v>
      </c>
      <c r="H59" s="20">
        <v>4636957</v>
      </c>
      <c r="I59" s="22">
        <v>4125</v>
      </c>
      <c r="J59" s="66">
        <f t="shared" si="1"/>
        <v>1.3361633193607701E-2</v>
      </c>
      <c r="K59" s="67">
        <f t="shared" si="1"/>
        <v>1.0747149291960367E-2</v>
      </c>
      <c r="L59" s="68">
        <f t="shared" si="1"/>
        <v>6.9925168596560198E-3</v>
      </c>
    </row>
    <row r="60" spans="1:12" x14ac:dyDescent="0.25">
      <c r="A60" s="49" t="s">
        <v>46</v>
      </c>
      <c r="B60" s="21">
        <v>19435</v>
      </c>
      <c r="C60" s="20">
        <v>14135</v>
      </c>
      <c r="D60" s="20">
        <v>50265</v>
      </c>
      <c r="E60" s="22">
        <v>3556</v>
      </c>
      <c r="F60" s="21">
        <v>1277045</v>
      </c>
      <c r="G60" s="20">
        <v>1078835</v>
      </c>
      <c r="H60" s="20">
        <v>3612804</v>
      </c>
      <c r="I60" s="22">
        <v>3349</v>
      </c>
      <c r="J60" s="66">
        <f t="shared" si="1"/>
        <v>1.5218727609442111E-2</v>
      </c>
      <c r="K60" s="67">
        <f t="shared" si="1"/>
        <v>1.3102096242706253E-2</v>
      </c>
      <c r="L60" s="68">
        <f t="shared" si="1"/>
        <v>1.3913016039619088E-2</v>
      </c>
    </row>
    <row r="61" spans="1:12" x14ac:dyDescent="0.25">
      <c r="A61" s="49" t="s">
        <v>47</v>
      </c>
      <c r="B61" s="21">
        <v>23265</v>
      </c>
      <c r="C61" s="20">
        <v>14122</v>
      </c>
      <c r="D61" s="20">
        <v>32138</v>
      </c>
      <c r="E61" s="22">
        <v>2276</v>
      </c>
      <c r="F61" s="21">
        <v>1237023</v>
      </c>
      <c r="G61" s="20">
        <v>1006503</v>
      </c>
      <c r="H61" s="20">
        <v>4036130</v>
      </c>
      <c r="I61" s="22">
        <v>4010</v>
      </c>
      <c r="J61" s="66">
        <f t="shared" si="1"/>
        <v>1.8807249339745501E-2</v>
      </c>
      <c r="K61" s="67">
        <f t="shared" si="1"/>
        <v>1.4030757980850529E-2</v>
      </c>
      <c r="L61" s="68">
        <f t="shared" si="1"/>
        <v>7.9625780140877532E-3</v>
      </c>
    </row>
    <row r="62" spans="1:12" x14ac:dyDescent="0.25">
      <c r="A62" s="49" t="s">
        <v>48</v>
      </c>
      <c r="B62" s="21">
        <v>25316</v>
      </c>
      <c r="C62" s="20">
        <v>22566</v>
      </c>
      <c r="D62" s="20">
        <v>89017</v>
      </c>
      <c r="E62" s="22">
        <v>3945</v>
      </c>
      <c r="F62" s="21">
        <v>1635623</v>
      </c>
      <c r="G62" s="20">
        <v>1335623</v>
      </c>
      <c r="H62" s="20">
        <v>5279608</v>
      </c>
      <c r="I62" s="22">
        <v>3953</v>
      </c>
      <c r="J62" s="66">
        <f t="shared" si="1"/>
        <v>1.547789435585095E-2</v>
      </c>
      <c r="K62" s="67">
        <f t="shared" si="1"/>
        <v>1.6895486226277925E-2</v>
      </c>
      <c r="L62" s="68">
        <f t="shared" si="1"/>
        <v>1.6860532069805183E-2</v>
      </c>
    </row>
    <row r="63" spans="1:12" x14ac:dyDescent="0.25">
      <c r="A63" s="49" t="s">
        <v>49</v>
      </c>
      <c r="B63" s="21">
        <v>23882</v>
      </c>
      <c r="C63" s="20">
        <v>17582</v>
      </c>
      <c r="D63" s="20">
        <v>29538</v>
      </c>
      <c r="E63" s="22">
        <v>1680</v>
      </c>
      <c r="F63" s="21">
        <v>1801943</v>
      </c>
      <c r="G63" s="20">
        <v>1589966</v>
      </c>
      <c r="H63" s="20">
        <v>4695914</v>
      </c>
      <c r="I63" s="22">
        <v>2953</v>
      </c>
      <c r="J63" s="66">
        <f t="shared" si="1"/>
        <v>1.3253471391714388E-2</v>
      </c>
      <c r="K63" s="67">
        <f t="shared" si="1"/>
        <v>1.105809809769517E-2</v>
      </c>
      <c r="L63" s="68">
        <f t="shared" si="1"/>
        <v>6.2901492659363008E-3</v>
      </c>
    </row>
    <row r="64" spans="1:12" x14ac:dyDescent="0.25">
      <c r="A64" s="49" t="s">
        <v>50</v>
      </c>
      <c r="B64" s="21">
        <v>16210</v>
      </c>
      <c r="C64" s="20">
        <v>12510</v>
      </c>
      <c r="D64" s="20">
        <v>31245</v>
      </c>
      <c r="E64" s="22">
        <v>2498</v>
      </c>
      <c r="F64" s="21">
        <v>1484473</v>
      </c>
      <c r="G64" s="20">
        <v>1296636</v>
      </c>
      <c r="H64" s="20">
        <v>5097340</v>
      </c>
      <c r="I64" s="22">
        <v>3931</v>
      </c>
      <c r="J64" s="66">
        <f t="shared" si="1"/>
        <v>1.0919700122535068E-2</v>
      </c>
      <c r="K64" s="67">
        <f t="shared" si="1"/>
        <v>9.6480430899651103E-3</v>
      </c>
      <c r="L64" s="68">
        <f t="shared" si="1"/>
        <v>6.1296676305681004E-3</v>
      </c>
    </row>
    <row r="65" spans="1:12" x14ac:dyDescent="0.25">
      <c r="A65" s="49" t="s">
        <v>51</v>
      </c>
      <c r="B65" s="21">
        <v>23094</v>
      </c>
      <c r="C65" s="20">
        <v>20794</v>
      </c>
      <c r="D65" s="20">
        <v>48143</v>
      </c>
      <c r="E65" s="22">
        <v>2315</v>
      </c>
      <c r="F65" s="21">
        <v>1690458</v>
      </c>
      <c r="G65" s="20">
        <v>1314219</v>
      </c>
      <c r="H65" s="20">
        <v>4823506</v>
      </c>
      <c r="I65" s="22">
        <v>3670</v>
      </c>
      <c r="J65" s="66">
        <f t="shared" si="1"/>
        <v>1.3661386440834377E-2</v>
      </c>
      <c r="K65" s="67">
        <f t="shared" si="1"/>
        <v>1.5822324894100601E-2</v>
      </c>
      <c r="L65" s="68">
        <f t="shared" si="1"/>
        <v>9.9809142976084193E-3</v>
      </c>
    </row>
    <row r="66" spans="1:12" x14ac:dyDescent="0.25">
      <c r="A66" s="49" t="s">
        <v>52</v>
      </c>
      <c r="B66" s="21">
        <v>12500</v>
      </c>
      <c r="C66" s="20">
        <v>10600</v>
      </c>
      <c r="D66" s="20">
        <v>36860</v>
      </c>
      <c r="E66" s="22">
        <v>3477</v>
      </c>
      <c r="F66" s="21">
        <v>1329404</v>
      </c>
      <c r="G66" s="20">
        <v>1193920</v>
      </c>
      <c r="H66" s="20">
        <v>5571445</v>
      </c>
      <c r="I66" s="22">
        <v>4667</v>
      </c>
      <c r="J66" s="66">
        <f t="shared" si="1"/>
        <v>9.4027097857385718E-3</v>
      </c>
      <c r="K66" s="67">
        <f t="shared" si="1"/>
        <v>8.8783168051460738E-3</v>
      </c>
      <c r="L66" s="68">
        <f t="shared" si="1"/>
        <v>6.6158779275394446E-3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6B1D3178-ABD9-45A6-8941-6A0EA2553E28}"/>
  </hyperlinks>
  <pageMargins left="0.7" right="0.7" top="0.75" bottom="0.75" header="0.3" footer="0.3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7259-1CDB-4CC7-AAA2-C98B9332580E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8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209900</v>
      </c>
      <c r="C10" s="40">
        <v>6600</v>
      </c>
      <c r="D10" s="40">
        <v>3100</v>
      </c>
      <c r="E10" s="50">
        <v>470</v>
      </c>
      <c r="F10" s="41">
        <v>2488900</v>
      </c>
      <c r="G10" s="40">
        <v>528400</v>
      </c>
      <c r="H10" s="40">
        <v>377000</v>
      </c>
      <c r="I10" s="50">
        <v>713</v>
      </c>
      <c r="J10" s="63">
        <f>B10/F10</f>
        <v>8.4334444935513675E-2</v>
      </c>
      <c r="K10" s="64">
        <f t="shared" ref="K10:L25" si="0">C10/G10</f>
        <v>1.2490537471612415E-2</v>
      </c>
      <c r="L10" s="65">
        <f t="shared" si="0"/>
        <v>8.2228116710875328E-3</v>
      </c>
    </row>
    <row r="11" spans="1:12" x14ac:dyDescent="0.25">
      <c r="A11" s="48" t="s">
        <v>81</v>
      </c>
      <c r="B11" s="21">
        <v>244000</v>
      </c>
      <c r="C11" s="20">
        <v>21200</v>
      </c>
      <c r="D11" s="20">
        <v>14300</v>
      </c>
      <c r="E11" s="22">
        <v>675</v>
      </c>
      <c r="F11" s="21">
        <v>1976900</v>
      </c>
      <c r="G11" s="20">
        <v>360300</v>
      </c>
      <c r="H11" s="20">
        <v>180700</v>
      </c>
      <c r="I11" s="22">
        <v>502</v>
      </c>
      <c r="J11" s="66">
        <f t="shared" ref="J11:L66" si="1">B11/F11</f>
        <v>0.12342556527897212</v>
      </c>
      <c r="K11" s="67">
        <f t="shared" si="0"/>
        <v>5.8839855675825697E-2</v>
      </c>
      <c r="L11" s="68">
        <f t="shared" si="0"/>
        <v>7.9136690647482008E-2</v>
      </c>
    </row>
    <row r="12" spans="1:12" x14ac:dyDescent="0.25">
      <c r="A12" s="48" t="s">
        <v>82</v>
      </c>
      <c r="B12" s="21">
        <v>280000</v>
      </c>
      <c r="C12" s="20">
        <v>14500</v>
      </c>
      <c r="D12" s="20">
        <v>7350</v>
      </c>
      <c r="E12" s="22">
        <v>507</v>
      </c>
      <c r="F12" s="21">
        <v>2202200</v>
      </c>
      <c r="G12" s="20">
        <v>432700</v>
      </c>
      <c r="H12" s="20">
        <v>256000</v>
      </c>
      <c r="I12" s="22">
        <v>592</v>
      </c>
      <c r="J12" s="66">
        <f t="shared" si="1"/>
        <v>0.12714558169103624</v>
      </c>
      <c r="K12" s="67">
        <f t="shared" si="0"/>
        <v>3.351051536861567E-2</v>
      </c>
      <c r="L12" s="68">
        <f t="shared" si="0"/>
        <v>2.8710937499999999E-2</v>
      </c>
    </row>
    <row r="13" spans="1:12" x14ac:dyDescent="0.25">
      <c r="A13" s="48" t="s">
        <v>83</v>
      </c>
      <c r="B13" s="21">
        <v>346000</v>
      </c>
      <c r="C13" s="20">
        <v>17000</v>
      </c>
      <c r="D13" s="20">
        <v>10000</v>
      </c>
      <c r="E13" s="22">
        <v>588</v>
      </c>
      <c r="F13" s="21">
        <v>2533990</v>
      </c>
      <c r="G13" s="20">
        <v>746500</v>
      </c>
      <c r="H13" s="20">
        <v>690000</v>
      </c>
      <c r="I13" s="22">
        <v>924</v>
      </c>
      <c r="J13" s="66">
        <f t="shared" si="1"/>
        <v>0.13654355384196465</v>
      </c>
      <c r="K13" s="67">
        <f t="shared" si="0"/>
        <v>2.277294038847957E-2</v>
      </c>
      <c r="L13" s="68">
        <f t="shared" si="0"/>
        <v>1.4492753623188406E-2</v>
      </c>
    </row>
    <row r="14" spans="1:12" x14ac:dyDescent="0.25">
      <c r="A14" s="48" t="s">
        <v>84</v>
      </c>
      <c r="B14" s="21">
        <v>328000</v>
      </c>
      <c r="C14" s="20">
        <v>18700</v>
      </c>
      <c r="D14" s="20">
        <v>14300</v>
      </c>
      <c r="E14" s="22">
        <v>765</v>
      </c>
      <c r="F14" s="21">
        <v>2515180</v>
      </c>
      <c r="G14" s="20">
        <v>656000</v>
      </c>
      <c r="H14" s="20">
        <v>613000</v>
      </c>
      <c r="I14" s="22">
        <v>934</v>
      </c>
      <c r="J14" s="66">
        <f t="shared" si="1"/>
        <v>0.13040816164250671</v>
      </c>
      <c r="K14" s="67">
        <f t="shared" si="0"/>
        <v>2.8506097560975611E-2</v>
      </c>
      <c r="L14" s="68">
        <f t="shared" si="0"/>
        <v>2.3327895595432298E-2</v>
      </c>
    </row>
    <row r="15" spans="1:12" x14ac:dyDescent="0.25">
      <c r="A15" s="48" t="s">
        <v>85</v>
      </c>
      <c r="B15" s="21">
        <v>320000</v>
      </c>
      <c r="C15" s="20">
        <v>15550</v>
      </c>
      <c r="D15" s="20">
        <v>9200</v>
      </c>
      <c r="E15" s="22">
        <v>592</v>
      </c>
      <c r="F15" s="21">
        <v>2369780</v>
      </c>
      <c r="G15" s="20">
        <v>374700</v>
      </c>
      <c r="H15" s="20">
        <v>306000</v>
      </c>
      <c r="I15" s="22">
        <v>817</v>
      </c>
      <c r="J15" s="66">
        <f t="shared" si="1"/>
        <v>0.13503363181392367</v>
      </c>
      <c r="K15" s="67">
        <f t="shared" si="0"/>
        <v>4.1499866559914597E-2</v>
      </c>
      <c r="L15" s="68">
        <f t="shared" si="0"/>
        <v>3.0065359477124184E-2</v>
      </c>
    </row>
    <row r="16" spans="1:12" x14ac:dyDescent="0.25">
      <c r="A16" s="48" t="s">
        <v>86</v>
      </c>
      <c r="B16" s="21">
        <v>323000</v>
      </c>
      <c r="C16" s="20">
        <v>17400</v>
      </c>
      <c r="D16" s="20">
        <v>15000</v>
      </c>
      <c r="E16" s="22">
        <v>862</v>
      </c>
      <c r="F16" s="21">
        <v>2407576</v>
      </c>
      <c r="G16" s="20">
        <v>299500</v>
      </c>
      <c r="H16" s="20">
        <v>273200</v>
      </c>
      <c r="I16" s="22">
        <v>912</v>
      </c>
      <c r="J16" s="66">
        <f t="shared" si="1"/>
        <v>0.13415983545275414</v>
      </c>
      <c r="K16" s="67">
        <f t="shared" si="0"/>
        <v>5.8096828046744577E-2</v>
      </c>
      <c r="L16" s="68">
        <f t="shared" si="0"/>
        <v>5.4904831625183018E-2</v>
      </c>
    </row>
    <row r="17" spans="1:12" x14ac:dyDescent="0.25">
      <c r="A17" s="48" t="s">
        <v>87</v>
      </c>
      <c r="B17" s="21">
        <v>268500</v>
      </c>
      <c r="C17" s="20">
        <v>22250</v>
      </c>
      <c r="D17" s="20">
        <v>20200</v>
      </c>
      <c r="E17" s="22">
        <v>908</v>
      </c>
      <c r="F17" s="21">
        <v>2299985</v>
      </c>
      <c r="G17" s="20">
        <v>340000</v>
      </c>
      <c r="H17" s="20">
        <v>330000</v>
      </c>
      <c r="I17" s="22">
        <v>971</v>
      </c>
      <c r="J17" s="66">
        <f t="shared" si="1"/>
        <v>0.11673989178190293</v>
      </c>
      <c r="K17" s="67">
        <f t="shared" si="0"/>
        <v>6.5441176470588239E-2</v>
      </c>
      <c r="L17" s="68">
        <f t="shared" si="0"/>
        <v>6.1212121212121211E-2</v>
      </c>
    </row>
    <row r="18" spans="1:12" x14ac:dyDescent="0.25">
      <c r="A18" s="48" t="s">
        <v>88</v>
      </c>
      <c r="B18" s="21">
        <v>240000</v>
      </c>
      <c r="C18" s="20">
        <v>14000</v>
      </c>
      <c r="D18" s="20">
        <v>13000</v>
      </c>
      <c r="E18" s="22">
        <v>929</v>
      </c>
      <c r="F18" s="21">
        <v>2139950</v>
      </c>
      <c r="G18" s="20">
        <v>240000</v>
      </c>
      <c r="H18" s="20">
        <v>170000</v>
      </c>
      <c r="I18" s="22">
        <v>708</v>
      </c>
      <c r="J18" s="66">
        <f t="shared" si="1"/>
        <v>0.11215215308768897</v>
      </c>
      <c r="K18" s="67">
        <f t="shared" si="0"/>
        <v>5.8333333333333334E-2</v>
      </c>
      <c r="L18" s="68">
        <f t="shared" si="0"/>
        <v>7.6470588235294124E-2</v>
      </c>
    </row>
    <row r="19" spans="1:12" x14ac:dyDescent="0.25">
      <c r="A19" s="48" t="s">
        <v>89</v>
      </c>
      <c r="B19" s="21">
        <v>198000</v>
      </c>
      <c r="C19" s="20">
        <v>12800</v>
      </c>
      <c r="D19" s="20">
        <v>11600</v>
      </c>
      <c r="E19" s="22">
        <v>906</v>
      </c>
      <c r="F19" s="21">
        <v>1721940</v>
      </c>
      <c r="G19" s="20">
        <v>260000</v>
      </c>
      <c r="H19" s="20">
        <v>210000</v>
      </c>
      <c r="I19" s="22">
        <v>808</v>
      </c>
      <c r="J19" s="66">
        <f t="shared" si="1"/>
        <v>0.11498658489842851</v>
      </c>
      <c r="K19" s="67">
        <f t="shared" si="0"/>
        <v>4.9230769230769231E-2</v>
      </c>
      <c r="L19" s="68">
        <f t="shared" si="0"/>
        <v>5.5238095238095239E-2</v>
      </c>
    </row>
    <row r="20" spans="1:12" x14ac:dyDescent="0.25">
      <c r="A20" s="48" t="s">
        <v>90</v>
      </c>
      <c r="B20" s="21">
        <v>133000</v>
      </c>
      <c r="C20" s="20">
        <v>9200</v>
      </c>
      <c r="D20" s="20">
        <v>9400</v>
      </c>
      <c r="E20" s="22">
        <v>1022</v>
      </c>
      <c r="F20" s="21">
        <v>1493980</v>
      </c>
      <c r="G20" s="20">
        <v>225000</v>
      </c>
      <c r="H20" s="20">
        <v>202000</v>
      </c>
      <c r="I20" s="22">
        <v>898</v>
      </c>
      <c r="J20" s="66">
        <f t="shared" si="1"/>
        <v>8.9023949450461187E-2</v>
      </c>
      <c r="K20" s="67">
        <f t="shared" si="0"/>
        <v>4.0888888888888891E-2</v>
      </c>
      <c r="L20" s="68">
        <f t="shared" si="0"/>
        <v>4.6534653465346534E-2</v>
      </c>
    </row>
    <row r="21" spans="1:12" x14ac:dyDescent="0.25">
      <c r="A21" s="48" t="s">
        <v>91</v>
      </c>
      <c r="B21" s="21">
        <v>146600</v>
      </c>
      <c r="C21" s="20">
        <v>7500</v>
      </c>
      <c r="D21" s="20">
        <v>5700</v>
      </c>
      <c r="E21" s="22">
        <v>760</v>
      </c>
      <c r="F21" s="21">
        <v>1489185</v>
      </c>
      <c r="G21" s="20">
        <v>210000</v>
      </c>
      <c r="H21" s="20">
        <v>155000</v>
      </c>
      <c r="I21" s="22">
        <v>738</v>
      </c>
      <c r="J21" s="66">
        <f t="shared" si="1"/>
        <v>9.8443108143044689E-2</v>
      </c>
      <c r="K21" s="67">
        <f t="shared" si="0"/>
        <v>3.5714285714285712E-2</v>
      </c>
      <c r="L21" s="68">
        <f t="shared" si="0"/>
        <v>3.6774193548387096E-2</v>
      </c>
    </row>
    <row r="22" spans="1:12" x14ac:dyDescent="0.25">
      <c r="A22" s="48" t="s">
        <v>92</v>
      </c>
      <c r="B22" s="21">
        <v>128100</v>
      </c>
      <c r="C22" s="20">
        <v>6700</v>
      </c>
      <c r="D22" s="20">
        <v>4200</v>
      </c>
      <c r="E22" s="22">
        <v>627</v>
      </c>
      <c r="F22" s="21">
        <v>1338385</v>
      </c>
      <c r="G22" s="20">
        <v>162200</v>
      </c>
      <c r="H22" s="20">
        <v>149000</v>
      </c>
      <c r="I22" s="22">
        <v>919</v>
      </c>
      <c r="J22" s="66">
        <f t="shared" si="1"/>
        <v>9.5712369759075308E-2</v>
      </c>
      <c r="K22" s="67">
        <f t="shared" si="0"/>
        <v>4.1307028360049319E-2</v>
      </c>
      <c r="L22" s="68">
        <f t="shared" si="0"/>
        <v>2.8187919463087248E-2</v>
      </c>
    </row>
    <row r="23" spans="1:12" x14ac:dyDescent="0.25">
      <c r="A23" s="48" t="s">
        <v>93</v>
      </c>
      <c r="B23" s="21">
        <v>126000</v>
      </c>
      <c r="C23" s="20">
        <v>4900</v>
      </c>
      <c r="D23" s="20">
        <v>4000</v>
      </c>
      <c r="E23" s="22">
        <v>816</v>
      </c>
      <c r="F23" s="21">
        <v>1482985</v>
      </c>
      <c r="G23" s="20">
        <v>173700</v>
      </c>
      <c r="H23" s="20">
        <v>148000</v>
      </c>
      <c r="I23" s="22">
        <v>852</v>
      </c>
      <c r="J23" s="66">
        <f t="shared" si="1"/>
        <v>8.4963772391494177E-2</v>
      </c>
      <c r="K23" s="67">
        <f t="shared" si="0"/>
        <v>2.8209556706966035E-2</v>
      </c>
      <c r="L23" s="68">
        <f t="shared" si="0"/>
        <v>2.7027027027027029E-2</v>
      </c>
    </row>
    <row r="24" spans="1:12" x14ac:dyDescent="0.25">
      <c r="A24" s="48" t="s">
        <v>94</v>
      </c>
      <c r="B24" s="21">
        <v>131400</v>
      </c>
      <c r="C24" s="20">
        <v>9650</v>
      </c>
      <c r="D24" s="20">
        <v>7300</v>
      </c>
      <c r="E24" s="22">
        <v>756</v>
      </c>
      <c r="F24" s="21">
        <v>1222485</v>
      </c>
      <c r="G24" s="20">
        <v>160400</v>
      </c>
      <c r="H24" s="20">
        <v>130000</v>
      </c>
      <c r="I24" s="22">
        <v>810</v>
      </c>
      <c r="J24" s="66">
        <f t="shared" si="1"/>
        <v>0.10748598142308495</v>
      </c>
      <c r="K24" s="67">
        <f t="shared" si="0"/>
        <v>6.0162094763092269E-2</v>
      </c>
      <c r="L24" s="68">
        <f t="shared" si="0"/>
        <v>5.6153846153846151E-2</v>
      </c>
    </row>
    <row r="25" spans="1:12" x14ac:dyDescent="0.25">
      <c r="A25" s="48" t="s">
        <v>95</v>
      </c>
      <c r="B25" s="21">
        <v>92900</v>
      </c>
      <c r="C25" s="20">
        <v>7400</v>
      </c>
      <c r="D25" s="20">
        <v>8400</v>
      </c>
      <c r="E25" s="22">
        <v>1135</v>
      </c>
      <c r="F25" s="21">
        <v>1070285</v>
      </c>
      <c r="G25" s="20">
        <v>159200</v>
      </c>
      <c r="H25" s="20">
        <v>155800</v>
      </c>
      <c r="I25" s="22">
        <v>979</v>
      </c>
      <c r="J25" s="66">
        <f t="shared" si="1"/>
        <v>8.6799310464035287E-2</v>
      </c>
      <c r="K25" s="67">
        <f t="shared" si="0"/>
        <v>4.6482412060301508E-2</v>
      </c>
      <c r="L25" s="68">
        <f t="shared" si="0"/>
        <v>5.391527599486521E-2</v>
      </c>
    </row>
    <row r="26" spans="1:12" x14ac:dyDescent="0.25">
      <c r="A26" s="48" t="s">
        <v>96</v>
      </c>
      <c r="B26" s="21">
        <v>87500</v>
      </c>
      <c r="C26" s="20">
        <v>5540</v>
      </c>
      <c r="D26" s="20">
        <v>4640</v>
      </c>
      <c r="E26" s="22">
        <v>838</v>
      </c>
      <c r="F26" s="21">
        <v>829985</v>
      </c>
      <c r="G26" s="20">
        <v>90000</v>
      </c>
      <c r="H26" s="20">
        <v>94000</v>
      </c>
      <c r="I26" s="22">
        <v>1044</v>
      </c>
      <c r="J26" s="66">
        <f t="shared" si="1"/>
        <v>0.10542359199262637</v>
      </c>
      <c r="K26" s="67">
        <f t="shared" si="1"/>
        <v>6.1555555555555558E-2</v>
      </c>
      <c r="L26" s="68">
        <f t="shared" si="1"/>
        <v>4.9361702127659578E-2</v>
      </c>
    </row>
    <row r="27" spans="1:12" x14ac:dyDescent="0.25">
      <c r="A27" s="48" t="s">
        <v>97</v>
      </c>
      <c r="B27" s="21">
        <v>87500</v>
      </c>
      <c r="C27" s="20">
        <v>5520</v>
      </c>
      <c r="D27" s="20">
        <v>4600</v>
      </c>
      <c r="E27" s="22">
        <v>833</v>
      </c>
      <c r="F27" s="21">
        <v>775500</v>
      </c>
      <c r="G27" s="20">
        <v>64700</v>
      </c>
      <c r="H27" s="20">
        <v>60000</v>
      </c>
      <c r="I27" s="22">
        <v>927</v>
      </c>
      <c r="J27" s="66">
        <f t="shared" si="1"/>
        <v>0.11283043197936815</v>
      </c>
      <c r="K27" s="67">
        <f t="shared" si="1"/>
        <v>8.5316846986089642E-2</v>
      </c>
      <c r="L27" s="68">
        <f t="shared" si="1"/>
        <v>7.6666666666666661E-2</v>
      </c>
    </row>
    <row r="28" spans="1:12" x14ac:dyDescent="0.25">
      <c r="A28" s="48" t="s">
        <v>98</v>
      </c>
      <c r="B28" s="21">
        <v>70000</v>
      </c>
      <c r="C28" s="20">
        <v>38000</v>
      </c>
      <c r="D28" s="20">
        <v>35000</v>
      </c>
      <c r="E28" s="22">
        <v>921</v>
      </c>
      <c r="F28" s="21">
        <v>581200</v>
      </c>
      <c r="G28" s="20">
        <v>96325</v>
      </c>
      <c r="H28" s="20">
        <v>88300</v>
      </c>
      <c r="I28" s="22">
        <v>917</v>
      </c>
      <c r="J28" s="66">
        <f t="shared" si="1"/>
        <v>0.12044046799724707</v>
      </c>
      <c r="K28" s="67">
        <f t="shared" si="1"/>
        <v>0.39449779392681028</v>
      </c>
      <c r="L28" s="68">
        <f t="shared" si="1"/>
        <v>0.39637599093997733</v>
      </c>
    </row>
    <row r="29" spans="1:12" x14ac:dyDescent="0.25">
      <c r="A29" s="48" t="s">
        <v>99</v>
      </c>
      <c r="B29" s="21">
        <v>31000</v>
      </c>
      <c r="C29" s="20">
        <v>2400</v>
      </c>
      <c r="D29" s="20">
        <v>1690</v>
      </c>
      <c r="E29" s="22">
        <v>704</v>
      </c>
      <c r="F29" s="21">
        <v>460000</v>
      </c>
      <c r="G29" s="20">
        <v>54580</v>
      </c>
      <c r="H29" s="20">
        <v>41200</v>
      </c>
      <c r="I29" s="22">
        <v>755</v>
      </c>
      <c r="J29" s="66">
        <f t="shared" si="1"/>
        <v>6.7391304347826086E-2</v>
      </c>
      <c r="K29" s="67">
        <f t="shared" si="1"/>
        <v>4.3972150971051664E-2</v>
      </c>
      <c r="L29" s="68">
        <f t="shared" si="1"/>
        <v>4.1019417475728154E-2</v>
      </c>
    </row>
    <row r="30" spans="1:12" x14ac:dyDescent="0.25">
      <c r="A30" s="48" t="s">
        <v>100</v>
      </c>
      <c r="B30" s="21">
        <v>30500</v>
      </c>
      <c r="C30" s="20">
        <v>2300</v>
      </c>
      <c r="D30" s="20">
        <v>1750</v>
      </c>
      <c r="E30" s="22">
        <v>761</v>
      </c>
      <c r="F30" s="21">
        <v>595000</v>
      </c>
      <c r="G30" s="20">
        <v>80570</v>
      </c>
      <c r="H30" s="20">
        <v>62500</v>
      </c>
      <c r="I30" s="22">
        <v>776</v>
      </c>
      <c r="J30" s="66">
        <f t="shared" si="1"/>
        <v>5.1260504201680671E-2</v>
      </c>
      <c r="K30" s="67">
        <f t="shared" si="1"/>
        <v>2.8546605436266602E-2</v>
      </c>
      <c r="L30" s="68">
        <f t="shared" si="1"/>
        <v>2.8000000000000001E-2</v>
      </c>
    </row>
    <row r="31" spans="1:12" x14ac:dyDescent="0.25">
      <c r="A31" s="48" t="s">
        <v>101</v>
      </c>
      <c r="B31" s="21">
        <v>17000</v>
      </c>
      <c r="C31" s="20">
        <v>1000</v>
      </c>
      <c r="D31" s="20">
        <v>800</v>
      </c>
      <c r="E31" s="22">
        <v>800</v>
      </c>
      <c r="F31" s="21">
        <v>507000</v>
      </c>
      <c r="G31" s="20">
        <v>68000</v>
      </c>
      <c r="H31" s="20">
        <v>55100</v>
      </c>
      <c r="I31" s="22">
        <v>810</v>
      </c>
      <c r="J31" s="66">
        <f t="shared" si="1"/>
        <v>3.3530571992110451E-2</v>
      </c>
      <c r="K31" s="67">
        <f t="shared" si="1"/>
        <v>1.4705882352941176E-2</v>
      </c>
      <c r="L31" s="68">
        <f t="shared" si="1"/>
        <v>1.4519056261343012E-2</v>
      </c>
    </row>
    <row r="32" spans="1:12" x14ac:dyDescent="0.25">
      <c r="A32" s="48" t="s">
        <v>102</v>
      </c>
      <c r="B32" s="21">
        <v>10000</v>
      </c>
      <c r="C32" s="20">
        <v>500</v>
      </c>
      <c r="D32" s="20">
        <v>400</v>
      </c>
      <c r="E32" s="22">
        <v>800</v>
      </c>
      <c r="F32" s="21">
        <v>451800</v>
      </c>
      <c r="G32" s="20">
        <v>50800</v>
      </c>
      <c r="H32" s="20">
        <v>46000</v>
      </c>
      <c r="I32" s="22">
        <v>906</v>
      </c>
      <c r="J32" s="66">
        <f t="shared" si="1"/>
        <v>2.2133687472332891E-2</v>
      </c>
      <c r="K32" s="67">
        <f t="shared" si="1"/>
        <v>9.8425196850393699E-3</v>
      </c>
      <c r="L32" s="68">
        <f t="shared" si="1"/>
        <v>8.6956521739130436E-3</v>
      </c>
    </row>
    <row r="33" spans="1:12" x14ac:dyDescent="0.25">
      <c r="A33" s="48" t="s">
        <v>103</v>
      </c>
      <c r="B33" s="21">
        <v>5700</v>
      </c>
      <c r="C33" s="20">
        <v>0</v>
      </c>
      <c r="D33" s="20">
        <v>0</v>
      </c>
      <c r="E33" s="22">
        <v>0</v>
      </c>
      <c r="F33" s="21">
        <v>462900</v>
      </c>
      <c r="G33" s="20">
        <v>48100</v>
      </c>
      <c r="H33" s="20">
        <v>34000</v>
      </c>
      <c r="I33" s="22">
        <v>707</v>
      </c>
      <c r="J33" s="66">
        <f t="shared" si="1"/>
        <v>1.2313674659753726E-2</v>
      </c>
      <c r="K33" s="67">
        <f t="shared" si="1"/>
        <v>0</v>
      </c>
      <c r="L33" s="68">
        <f t="shared" si="1"/>
        <v>0</v>
      </c>
    </row>
    <row r="34" spans="1:12" x14ac:dyDescent="0.25">
      <c r="A34" s="48" t="s">
        <v>104</v>
      </c>
      <c r="B34" s="21">
        <v>5500</v>
      </c>
      <c r="C34" s="20">
        <v>0</v>
      </c>
      <c r="D34" s="20">
        <v>0</v>
      </c>
      <c r="E34" s="22">
        <v>0</v>
      </c>
      <c r="F34" s="21">
        <v>460400</v>
      </c>
      <c r="G34" s="20">
        <v>73850</v>
      </c>
      <c r="H34" s="20">
        <v>63700</v>
      </c>
      <c r="I34" s="22">
        <v>863</v>
      </c>
      <c r="J34" s="66">
        <f t="shared" si="1"/>
        <v>1.1946133796698523E-2</v>
      </c>
      <c r="K34" s="67">
        <f t="shared" si="1"/>
        <v>0</v>
      </c>
      <c r="L34" s="68">
        <f t="shared" si="1"/>
        <v>0</v>
      </c>
    </row>
    <row r="35" spans="1:12" x14ac:dyDescent="0.25">
      <c r="A35" s="48" t="s">
        <v>105</v>
      </c>
      <c r="B35" s="21">
        <v>5700</v>
      </c>
      <c r="C35" s="20">
        <v>0</v>
      </c>
      <c r="D35" s="20">
        <v>0</v>
      </c>
      <c r="E35" s="22">
        <v>0</v>
      </c>
      <c r="F35" s="21">
        <v>473000</v>
      </c>
      <c r="G35" s="20">
        <v>56255</v>
      </c>
      <c r="H35" s="20">
        <v>54030</v>
      </c>
      <c r="I35" s="22">
        <v>960</v>
      </c>
      <c r="J35" s="66">
        <f t="shared" si="1"/>
        <v>1.2050739957716702E-2</v>
      </c>
      <c r="K35" s="67">
        <f t="shared" si="1"/>
        <v>0</v>
      </c>
      <c r="L35" s="68">
        <f t="shared" si="1"/>
        <v>0</v>
      </c>
    </row>
    <row r="36" spans="1:12" x14ac:dyDescent="0.25">
      <c r="A36" s="48" t="s">
        <v>106</v>
      </c>
      <c r="B36" s="21">
        <v>5300</v>
      </c>
      <c r="C36" s="20">
        <v>0</v>
      </c>
      <c r="D36" s="20">
        <v>0</v>
      </c>
      <c r="E36" s="22">
        <v>0</v>
      </c>
      <c r="F36" s="21">
        <v>390305</v>
      </c>
      <c r="G36" s="20">
        <v>50930</v>
      </c>
      <c r="H36" s="20">
        <v>40200</v>
      </c>
      <c r="I36" s="22">
        <v>789</v>
      </c>
      <c r="J36" s="66">
        <f t="shared" si="1"/>
        <v>1.357912401839587E-2</v>
      </c>
      <c r="K36" s="67">
        <f t="shared" si="1"/>
        <v>0</v>
      </c>
      <c r="L36" s="68">
        <f t="shared" si="1"/>
        <v>0</v>
      </c>
    </row>
    <row r="37" spans="1:12" x14ac:dyDescent="0.25">
      <c r="A37" s="48" t="s">
        <v>23</v>
      </c>
      <c r="B37" s="21">
        <v>4800</v>
      </c>
      <c r="C37" s="20">
        <v>0</v>
      </c>
      <c r="D37" s="20">
        <v>0</v>
      </c>
      <c r="E37" s="22">
        <v>0</v>
      </c>
      <c r="F37" s="21">
        <v>380200</v>
      </c>
      <c r="G37" s="20">
        <v>42600</v>
      </c>
      <c r="H37" s="20">
        <v>36340</v>
      </c>
      <c r="I37" s="22">
        <v>853</v>
      </c>
      <c r="J37" s="66">
        <f t="shared" si="1"/>
        <v>1.262493424513414E-2</v>
      </c>
      <c r="K37" s="67">
        <f t="shared" si="1"/>
        <v>0</v>
      </c>
      <c r="L37" s="68">
        <f t="shared" si="1"/>
        <v>0</v>
      </c>
    </row>
    <row r="38" spans="1:12" x14ac:dyDescent="0.25">
      <c r="A38" s="48" t="s">
        <v>24</v>
      </c>
      <c r="B38" s="21">
        <v>3500</v>
      </c>
      <c r="C38" s="20">
        <v>0</v>
      </c>
      <c r="D38" s="20">
        <v>0</v>
      </c>
      <c r="E38" s="22">
        <v>0</v>
      </c>
      <c r="F38" s="21">
        <v>352900</v>
      </c>
      <c r="G38" s="20">
        <v>63150</v>
      </c>
      <c r="H38" s="20">
        <v>61740</v>
      </c>
      <c r="I38" s="22">
        <v>978</v>
      </c>
      <c r="J38" s="66">
        <f t="shared" si="1"/>
        <v>9.9178237461037128E-3</v>
      </c>
      <c r="K38" s="67">
        <f t="shared" si="1"/>
        <v>0</v>
      </c>
      <c r="L38" s="68">
        <f t="shared" si="1"/>
        <v>0</v>
      </c>
    </row>
    <row r="39" spans="1:12" x14ac:dyDescent="0.25">
      <c r="A39" s="48" t="s">
        <v>25</v>
      </c>
      <c r="B39" s="21">
        <v>3500</v>
      </c>
      <c r="C39" s="20">
        <v>0</v>
      </c>
      <c r="D39" s="20">
        <v>0</v>
      </c>
      <c r="E39" s="22">
        <v>0</v>
      </c>
      <c r="F39" s="21">
        <v>372300</v>
      </c>
      <c r="G39" s="20">
        <v>60500</v>
      </c>
      <c r="H39" s="20">
        <v>66240</v>
      </c>
      <c r="I39" s="22">
        <v>1095</v>
      </c>
      <c r="J39" s="66">
        <f t="shared" si="1"/>
        <v>9.4010206822455009E-3</v>
      </c>
      <c r="K39" s="67">
        <f t="shared" si="1"/>
        <v>0</v>
      </c>
      <c r="L39" s="68">
        <f t="shared" si="1"/>
        <v>0</v>
      </c>
    </row>
    <row r="40" spans="1:12" x14ac:dyDescent="0.25">
      <c r="A40" s="48" t="s">
        <v>26</v>
      </c>
      <c r="B40" s="21">
        <v>3500</v>
      </c>
      <c r="C40" s="20">
        <v>0</v>
      </c>
      <c r="D40" s="20">
        <v>0</v>
      </c>
      <c r="E40" s="22">
        <v>0</v>
      </c>
      <c r="F40" s="21">
        <v>386750</v>
      </c>
      <c r="G40" s="20">
        <v>94065</v>
      </c>
      <c r="H40" s="20">
        <v>120345</v>
      </c>
      <c r="I40" s="22">
        <v>1279</v>
      </c>
      <c r="J40" s="66">
        <f t="shared" si="1"/>
        <v>9.0497737556561094E-3</v>
      </c>
      <c r="K40" s="67">
        <f t="shared" si="1"/>
        <v>0</v>
      </c>
      <c r="L40" s="68">
        <f t="shared" si="1"/>
        <v>0</v>
      </c>
    </row>
    <row r="41" spans="1:12" x14ac:dyDescent="0.25">
      <c r="A41" s="48" t="s">
        <v>27</v>
      </c>
      <c r="B41" s="21">
        <v>3500</v>
      </c>
      <c r="C41" s="20">
        <v>0</v>
      </c>
      <c r="D41" s="20">
        <v>0</v>
      </c>
      <c r="E41" s="22">
        <v>0</v>
      </c>
      <c r="F41" s="21">
        <v>394950</v>
      </c>
      <c r="G41" s="20">
        <v>89495</v>
      </c>
      <c r="H41" s="20">
        <v>129750</v>
      </c>
      <c r="I41" s="22">
        <v>1450</v>
      </c>
      <c r="J41" s="66">
        <f t="shared" si="1"/>
        <v>8.8618812507912387E-3</v>
      </c>
      <c r="K41" s="67">
        <f t="shared" si="1"/>
        <v>0</v>
      </c>
      <c r="L41" s="68">
        <f t="shared" si="1"/>
        <v>0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359650</v>
      </c>
      <c r="G42" s="20">
        <v>64029</v>
      </c>
      <c r="H42" s="20">
        <v>86530</v>
      </c>
      <c r="I42" s="22">
        <v>1351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338040</v>
      </c>
      <c r="G43" s="20">
        <v>56450</v>
      </c>
      <c r="H43" s="20">
        <v>79150</v>
      </c>
      <c r="I43" s="22">
        <v>1402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>
        <v>340490</v>
      </c>
      <c r="G44" s="20">
        <v>38601</v>
      </c>
      <c r="H44" s="20">
        <v>36670</v>
      </c>
      <c r="I44" s="22">
        <v>950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293700</v>
      </c>
      <c r="G45" s="20">
        <v>62460</v>
      </c>
      <c r="H45" s="20">
        <v>91870</v>
      </c>
      <c r="I45" s="22">
        <v>1471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206990</v>
      </c>
      <c r="G46" s="20">
        <v>28675</v>
      </c>
      <c r="H46" s="20">
        <v>33070</v>
      </c>
      <c r="I46" s="22">
        <v>1153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221100</v>
      </c>
      <c r="G47" s="20">
        <v>14750</v>
      </c>
      <c r="H47" s="20">
        <v>17483</v>
      </c>
      <c r="I47" s="22">
        <v>1185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227180</v>
      </c>
      <c r="G48" s="20">
        <v>38700</v>
      </c>
      <c r="H48" s="20">
        <v>77180</v>
      </c>
      <c r="I48" s="22">
        <v>1994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202850</v>
      </c>
      <c r="G49" s="20">
        <v>33580</v>
      </c>
      <c r="H49" s="20">
        <v>33859</v>
      </c>
      <c r="I49" s="22">
        <v>1008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152100</v>
      </c>
      <c r="G50" s="20">
        <v>26430</v>
      </c>
      <c r="H50" s="20">
        <v>25135</v>
      </c>
      <c r="I50" s="22">
        <v>951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158600</v>
      </c>
      <c r="G51" s="20">
        <v>24100</v>
      </c>
      <c r="H51" s="20">
        <v>44460</v>
      </c>
      <c r="I51" s="22">
        <v>1845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>
        <v>156040</v>
      </c>
      <c r="G52" s="20">
        <v>23405</v>
      </c>
      <c r="H52" s="20">
        <v>43110</v>
      </c>
      <c r="I52" s="22">
        <v>1842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162850</v>
      </c>
      <c r="G53" s="20">
        <v>22725</v>
      </c>
      <c r="H53" s="20">
        <v>39700</v>
      </c>
      <c r="I53" s="22">
        <v>1747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310280</v>
      </c>
      <c r="G54" s="20">
        <v>31965</v>
      </c>
      <c r="H54" s="20">
        <v>52130</v>
      </c>
      <c r="I54" s="22">
        <v>1631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319170</v>
      </c>
      <c r="G55" s="20">
        <v>51112</v>
      </c>
      <c r="H55" s="20">
        <v>97398</v>
      </c>
      <c r="I55" s="22">
        <v>1906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331690</v>
      </c>
      <c r="G56" s="20">
        <v>34390</v>
      </c>
      <c r="H56" s="20">
        <v>60676</v>
      </c>
      <c r="I56" s="22">
        <v>1764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307520</v>
      </c>
      <c r="G57" s="20">
        <v>40890</v>
      </c>
      <c r="H57" s="20">
        <v>78810</v>
      </c>
      <c r="I57" s="22">
        <v>1927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322710</v>
      </c>
      <c r="G58" s="20">
        <v>45034</v>
      </c>
      <c r="H58" s="20">
        <v>86098</v>
      </c>
      <c r="I58" s="22">
        <v>1912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>
        <v>891</v>
      </c>
      <c r="C59" s="20">
        <v>0</v>
      </c>
      <c r="D59" s="20">
        <v>0</v>
      </c>
      <c r="E59" s="22">
        <v>0</v>
      </c>
      <c r="F59" s="21">
        <v>344708</v>
      </c>
      <c r="G59" s="20">
        <v>49321</v>
      </c>
      <c r="H59" s="20">
        <v>86566</v>
      </c>
      <c r="I59" s="22">
        <v>1755</v>
      </c>
      <c r="J59" s="66">
        <f t="shared" si="1"/>
        <v>2.5847964073940841E-3</v>
      </c>
      <c r="K59" s="67">
        <f t="shared" si="1"/>
        <v>0</v>
      </c>
      <c r="L59" s="68">
        <f t="shared" si="1"/>
        <v>0</v>
      </c>
    </row>
    <row r="60" spans="1:12" x14ac:dyDescent="0.25">
      <c r="A60" s="49" t="s">
        <v>46</v>
      </c>
      <c r="B60" s="21">
        <v>2251</v>
      </c>
      <c r="C60" s="20">
        <v>227</v>
      </c>
      <c r="D60" s="20">
        <v>499</v>
      </c>
      <c r="E60" s="22">
        <v>2198</v>
      </c>
      <c r="F60" s="21">
        <v>726379</v>
      </c>
      <c r="G60" s="20">
        <v>108532</v>
      </c>
      <c r="H60" s="20">
        <v>221201</v>
      </c>
      <c r="I60" s="22">
        <v>2038</v>
      </c>
      <c r="J60" s="66">
        <f t="shared" si="1"/>
        <v>3.0989332015380401E-3</v>
      </c>
      <c r="K60" s="67">
        <f t="shared" si="1"/>
        <v>2.0915490362289463E-3</v>
      </c>
      <c r="L60" s="68">
        <f t="shared" si="1"/>
        <v>2.2558668360450449E-3</v>
      </c>
    </row>
    <row r="61" spans="1:12" x14ac:dyDescent="0.25">
      <c r="A61" s="49" t="s">
        <v>47</v>
      </c>
      <c r="B61" s="21">
        <v>446</v>
      </c>
      <c r="C61" s="20">
        <v>0</v>
      </c>
      <c r="D61" s="20">
        <v>0</v>
      </c>
      <c r="E61" s="22">
        <v>0</v>
      </c>
      <c r="F61" s="21">
        <v>667809</v>
      </c>
      <c r="G61" s="20">
        <v>86000</v>
      </c>
      <c r="H61" s="20">
        <v>135945</v>
      </c>
      <c r="I61" s="22">
        <v>1581</v>
      </c>
      <c r="J61" s="66">
        <f t="shared" si="1"/>
        <v>6.6785562937905893E-4</v>
      </c>
      <c r="K61" s="67">
        <f t="shared" si="1"/>
        <v>0</v>
      </c>
      <c r="L61" s="68">
        <f t="shared" si="1"/>
        <v>0</v>
      </c>
    </row>
    <row r="62" spans="1:12" x14ac:dyDescent="0.25">
      <c r="A62" s="49" t="s">
        <v>48</v>
      </c>
      <c r="B62" s="21">
        <v>2570</v>
      </c>
      <c r="C62" s="20">
        <v>0</v>
      </c>
      <c r="D62" s="20">
        <v>0</v>
      </c>
      <c r="E62" s="22">
        <v>0</v>
      </c>
      <c r="F62" s="21">
        <v>919737</v>
      </c>
      <c r="G62" s="20">
        <v>116508</v>
      </c>
      <c r="H62" s="20">
        <v>225510</v>
      </c>
      <c r="I62" s="22">
        <v>1936</v>
      </c>
      <c r="J62" s="66">
        <f t="shared" si="1"/>
        <v>2.794277059637701E-3</v>
      </c>
      <c r="K62" s="67">
        <f t="shared" si="1"/>
        <v>0</v>
      </c>
      <c r="L62" s="68">
        <f t="shared" si="1"/>
        <v>0</v>
      </c>
    </row>
    <row r="63" spans="1:12" x14ac:dyDescent="0.25">
      <c r="A63" s="49" t="s">
        <v>49</v>
      </c>
      <c r="B63" s="21">
        <v>11445</v>
      </c>
      <c r="C63" s="20">
        <v>370</v>
      </c>
      <c r="D63" s="20">
        <v>624</v>
      </c>
      <c r="E63" s="22">
        <v>1686</v>
      </c>
      <c r="F63" s="21">
        <v>886967</v>
      </c>
      <c r="G63" s="20">
        <v>107792</v>
      </c>
      <c r="H63" s="20">
        <v>179428</v>
      </c>
      <c r="I63" s="22">
        <v>1665</v>
      </c>
      <c r="J63" s="66">
        <f t="shared" si="1"/>
        <v>1.2903524031897467E-2</v>
      </c>
      <c r="K63" s="67">
        <f t="shared" si="1"/>
        <v>3.4325367374202168E-3</v>
      </c>
      <c r="L63" s="68">
        <f t="shared" si="1"/>
        <v>3.4777180819047194E-3</v>
      </c>
    </row>
    <row r="64" spans="1:12" x14ac:dyDescent="0.25">
      <c r="A64" s="49" t="s">
        <v>50</v>
      </c>
      <c r="B64" s="21">
        <v>7942</v>
      </c>
      <c r="C64" s="20">
        <v>50</v>
      </c>
      <c r="D64" s="20">
        <v>115</v>
      </c>
      <c r="E64" s="22">
        <v>2300</v>
      </c>
      <c r="F64" s="21">
        <v>970260</v>
      </c>
      <c r="G64" s="20">
        <v>118002</v>
      </c>
      <c r="H64" s="20">
        <v>217699</v>
      </c>
      <c r="I64" s="22">
        <v>1845</v>
      </c>
      <c r="J64" s="66">
        <f t="shared" si="1"/>
        <v>8.1854348319007272E-3</v>
      </c>
      <c r="K64" s="67">
        <f t="shared" si="1"/>
        <v>4.2372163183674851E-4</v>
      </c>
      <c r="L64" s="68">
        <f t="shared" si="1"/>
        <v>5.2825231167805088E-4</v>
      </c>
    </row>
    <row r="65" spans="1:12" x14ac:dyDescent="0.25">
      <c r="A65" s="49" t="s">
        <v>51</v>
      </c>
      <c r="B65" s="21">
        <v>5844</v>
      </c>
      <c r="C65" s="20">
        <v>650</v>
      </c>
      <c r="D65" s="20">
        <v>340</v>
      </c>
      <c r="E65" s="22">
        <v>523</v>
      </c>
      <c r="F65" s="21">
        <v>957215</v>
      </c>
      <c r="G65" s="20">
        <v>126825</v>
      </c>
      <c r="H65" s="20">
        <v>215368</v>
      </c>
      <c r="I65" s="22">
        <v>1698</v>
      </c>
      <c r="J65" s="66">
        <f t="shared" si="1"/>
        <v>6.1052114728665976E-3</v>
      </c>
      <c r="K65" s="67">
        <f t="shared" si="1"/>
        <v>5.1251724817662136E-3</v>
      </c>
      <c r="L65" s="68">
        <f t="shared" si="1"/>
        <v>1.5786932134764682E-3</v>
      </c>
    </row>
    <row r="66" spans="1:12" x14ac:dyDescent="0.25">
      <c r="A66" s="49" t="s">
        <v>52</v>
      </c>
      <c r="B66" s="21">
        <v>16088</v>
      </c>
      <c r="C66" s="20">
        <v>300</v>
      </c>
      <c r="D66" s="20">
        <v>620</v>
      </c>
      <c r="E66" s="22">
        <v>2067</v>
      </c>
      <c r="F66" s="21">
        <v>1091993</v>
      </c>
      <c r="G66" s="20">
        <v>96109</v>
      </c>
      <c r="H66" s="20">
        <v>184586</v>
      </c>
      <c r="I66" s="22">
        <v>1921</v>
      </c>
      <c r="J66" s="66">
        <f t="shared" si="1"/>
        <v>1.4732695172954405E-2</v>
      </c>
      <c r="K66" s="67">
        <f t="shared" si="1"/>
        <v>3.1214558470070439E-3</v>
      </c>
      <c r="L66" s="68">
        <f t="shared" si="1"/>
        <v>3.3588679531492095E-3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66F4D5B8-7B94-431B-A8A3-C80947C93621}"/>
  </hyperlinks>
  <pageMargins left="0.7" right="0.7" top="0.75" bottom="0.75" header="0.3" footer="0.3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7489-0006-4493-A4EF-C68652DDA382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4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1005000</v>
      </c>
      <c r="C10" s="40">
        <v>963900</v>
      </c>
      <c r="D10" s="40">
        <v>2760000</v>
      </c>
      <c r="E10" s="50">
        <v>2863</v>
      </c>
      <c r="F10" s="41">
        <v>4663760</v>
      </c>
      <c r="G10" s="40">
        <v>4015602</v>
      </c>
      <c r="H10" s="40">
        <v>9358372</v>
      </c>
      <c r="I10" s="50">
        <v>2331</v>
      </c>
      <c r="J10" s="63">
        <f>B10/F10</f>
        <v>0.21549136319193096</v>
      </c>
      <c r="K10" s="64">
        <f t="shared" ref="K10:L25" si="0">C10/G10</f>
        <v>0.2400387289377782</v>
      </c>
      <c r="L10" s="65">
        <f t="shared" si="0"/>
        <v>0.29492309132400379</v>
      </c>
    </row>
    <row r="11" spans="1:12" x14ac:dyDescent="0.25">
      <c r="A11" s="48" t="s">
        <v>81</v>
      </c>
      <c r="B11" s="21">
        <v>1090000</v>
      </c>
      <c r="C11" s="20">
        <v>1030000</v>
      </c>
      <c r="D11" s="20">
        <v>3040000</v>
      </c>
      <c r="E11" s="22">
        <v>2951</v>
      </c>
      <c r="F11" s="21">
        <v>4990990</v>
      </c>
      <c r="G11" s="20">
        <v>4063996</v>
      </c>
      <c r="H11" s="20">
        <v>9928194</v>
      </c>
      <c r="I11" s="22">
        <v>2443</v>
      </c>
      <c r="J11" s="66">
        <f t="shared" ref="J11:L65" si="1">B11/F11</f>
        <v>0.21839354516839343</v>
      </c>
      <c r="K11" s="67">
        <f t="shared" si="0"/>
        <v>0.25344513134363322</v>
      </c>
      <c r="L11" s="68">
        <f t="shared" si="0"/>
        <v>0.30619869031568075</v>
      </c>
    </row>
    <row r="12" spans="1:12" x14ac:dyDescent="0.25">
      <c r="A12" s="48" t="s">
        <v>82</v>
      </c>
      <c r="B12" s="21">
        <v>1175000</v>
      </c>
      <c r="C12" s="20">
        <v>1068000</v>
      </c>
      <c r="D12" s="20">
        <v>2070000</v>
      </c>
      <c r="E12" s="22">
        <v>1938</v>
      </c>
      <c r="F12" s="21">
        <v>4437630</v>
      </c>
      <c r="G12" s="20">
        <v>3145971</v>
      </c>
      <c r="H12" s="20">
        <v>5858318</v>
      </c>
      <c r="I12" s="22">
        <v>1862</v>
      </c>
      <c r="J12" s="66">
        <f t="shared" si="1"/>
        <v>0.26478097543057894</v>
      </c>
      <c r="K12" s="67">
        <f t="shared" si="0"/>
        <v>0.33948183247715891</v>
      </c>
      <c r="L12" s="68">
        <f t="shared" si="0"/>
        <v>0.35334374132643531</v>
      </c>
    </row>
    <row r="13" spans="1:12" x14ac:dyDescent="0.25">
      <c r="A13" s="48" t="s">
        <v>83</v>
      </c>
      <c r="B13" s="21">
        <v>991000</v>
      </c>
      <c r="C13" s="20">
        <v>893000</v>
      </c>
      <c r="D13" s="20">
        <v>2910000</v>
      </c>
      <c r="E13" s="22">
        <v>3259</v>
      </c>
      <c r="F13" s="21">
        <v>4249455</v>
      </c>
      <c r="G13" s="20">
        <v>3564285</v>
      </c>
      <c r="H13" s="20">
        <v>9698405</v>
      </c>
      <c r="I13" s="22">
        <v>2721</v>
      </c>
      <c r="J13" s="66">
        <f t="shared" si="1"/>
        <v>0.23320637587643592</v>
      </c>
      <c r="K13" s="67">
        <f t="shared" si="0"/>
        <v>0.25054113237297243</v>
      </c>
      <c r="L13" s="68">
        <f t="shared" si="0"/>
        <v>0.30004933800970368</v>
      </c>
    </row>
    <row r="14" spans="1:12" x14ac:dyDescent="0.25">
      <c r="A14" s="48" t="s">
        <v>84</v>
      </c>
      <c r="B14" s="21">
        <v>872000</v>
      </c>
      <c r="C14" s="20">
        <v>829000</v>
      </c>
      <c r="D14" s="20">
        <v>2700000</v>
      </c>
      <c r="E14" s="22">
        <v>3257</v>
      </c>
      <c r="F14" s="21">
        <v>4132500</v>
      </c>
      <c r="G14" s="20">
        <v>3484950</v>
      </c>
      <c r="H14" s="20">
        <v>9898570</v>
      </c>
      <c r="I14" s="22">
        <v>2840</v>
      </c>
      <c r="J14" s="66">
        <f t="shared" si="1"/>
        <v>0.21101028433151844</v>
      </c>
      <c r="K14" s="67">
        <f t="shared" si="0"/>
        <v>0.2378800269731273</v>
      </c>
      <c r="L14" s="68">
        <f t="shared" si="0"/>
        <v>0.27276667235772439</v>
      </c>
    </row>
    <row r="15" spans="1:12" x14ac:dyDescent="0.25">
      <c r="A15" s="48" t="s">
        <v>85</v>
      </c>
      <c r="B15" s="21">
        <v>828000</v>
      </c>
      <c r="C15" s="20">
        <v>801200</v>
      </c>
      <c r="D15" s="20">
        <v>2253000</v>
      </c>
      <c r="E15" s="22">
        <v>2812</v>
      </c>
      <c r="F15" s="21">
        <v>3869850</v>
      </c>
      <c r="G15" s="20">
        <v>3069150</v>
      </c>
      <c r="H15" s="20">
        <v>7698750</v>
      </c>
      <c r="I15" s="22">
        <v>2508</v>
      </c>
      <c r="J15" s="66">
        <f t="shared" si="1"/>
        <v>0.21396178146439784</v>
      </c>
      <c r="K15" s="67">
        <f t="shared" si="0"/>
        <v>0.26104947623934965</v>
      </c>
      <c r="L15" s="68">
        <f t="shared" si="0"/>
        <v>0.29264490988796882</v>
      </c>
    </row>
    <row r="16" spans="1:12" x14ac:dyDescent="0.25">
      <c r="A16" s="48" t="s">
        <v>86</v>
      </c>
      <c r="B16" s="21">
        <v>860000</v>
      </c>
      <c r="C16" s="20">
        <v>759500</v>
      </c>
      <c r="D16" s="20">
        <v>1382000</v>
      </c>
      <c r="E16" s="22">
        <v>1820</v>
      </c>
      <c r="F16" s="21">
        <v>3694900</v>
      </c>
      <c r="G16" s="20">
        <v>2765200</v>
      </c>
      <c r="H16" s="20">
        <v>5854090</v>
      </c>
      <c r="I16" s="22">
        <v>2117</v>
      </c>
      <c r="J16" s="66">
        <f t="shared" si="1"/>
        <v>0.23275325448591302</v>
      </c>
      <c r="K16" s="67">
        <f t="shared" si="0"/>
        <v>0.27466367713004486</v>
      </c>
      <c r="L16" s="68">
        <f t="shared" si="0"/>
        <v>0.236074266025975</v>
      </c>
    </row>
    <row r="17" spans="1:12" x14ac:dyDescent="0.25">
      <c r="A17" s="48" t="s">
        <v>87</v>
      </c>
      <c r="B17" s="21">
        <v>470000</v>
      </c>
      <c r="C17" s="20">
        <v>441400</v>
      </c>
      <c r="D17" s="20">
        <v>1850000</v>
      </c>
      <c r="E17" s="22">
        <v>4191</v>
      </c>
      <c r="F17" s="21">
        <v>2978900</v>
      </c>
      <c r="G17" s="20">
        <v>2531120</v>
      </c>
      <c r="H17" s="20">
        <v>8298552</v>
      </c>
      <c r="I17" s="22">
        <v>3279</v>
      </c>
      <c r="J17" s="66">
        <f t="shared" si="1"/>
        <v>0.15777636040149048</v>
      </c>
      <c r="K17" s="67">
        <f t="shared" si="0"/>
        <v>0.17438920319858403</v>
      </c>
      <c r="L17" s="68">
        <f t="shared" si="0"/>
        <v>0.2229304582293393</v>
      </c>
    </row>
    <row r="18" spans="1:12" x14ac:dyDescent="0.25">
      <c r="A18" s="48" t="s">
        <v>88</v>
      </c>
      <c r="B18" s="21">
        <v>470000</v>
      </c>
      <c r="C18" s="20">
        <v>450000</v>
      </c>
      <c r="D18" s="20">
        <v>2200000</v>
      </c>
      <c r="E18" s="22">
        <v>4889</v>
      </c>
      <c r="F18" s="21">
        <v>3099200</v>
      </c>
      <c r="G18" s="20">
        <v>2659300</v>
      </c>
      <c r="H18" s="20">
        <v>9698550</v>
      </c>
      <c r="I18" s="22">
        <v>3647</v>
      </c>
      <c r="J18" s="66">
        <f t="shared" si="1"/>
        <v>0.15165203923593185</v>
      </c>
      <c r="K18" s="67">
        <f t="shared" si="0"/>
        <v>0.1692174632422066</v>
      </c>
      <c r="L18" s="68">
        <f t="shared" si="0"/>
        <v>0.22683803248939274</v>
      </c>
    </row>
    <row r="19" spans="1:12" x14ac:dyDescent="0.25">
      <c r="A19" s="48" t="s">
        <v>89</v>
      </c>
      <c r="B19" s="21">
        <v>519000</v>
      </c>
      <c r="C19" s="20">
        <v>502000</v>
      </c>
      <c r="D19" s="20">
        <v>2100000</v>
      </c>
      <c r="E19" s="22">
        <v>4183</v>
      </c>
      <c r="F19" s="21">
        <v>3299350</v>
      </c>
      <c r="G19" s="20">
        <v>2799500</v>
      </c>
      <c r="H19" s="20">
        <v>8699080</v>
      </c>
      <c r="I19" s="22">
        <v>3107</v>
      </c>
      <c r="J19" s="66">
        <f t="shared" si="1"/>
        <v>0.15730371133708154</v>
      </c>
      <c r="K19" s="67">
        <f t="shared" si="0"/>
        <v>0.17931773530987677</v>
      </c>
      <c r="L19" s="68">
        <f t="shared" si="0"/>
        <v>0.24140483821277653</v>
      </c>
    </row>
    <row r="20" spans="1:12" x14ac:dyDescent="0.25">
      <c r="A20" s="48" t="s">
        <v>90</v>
      </c>
      <c r="B20" s="21">
        <v>460000</v>
      </c>
      <c r="C20" s="20">
        <v>436000</v>
      </c>
      <c r="D20" s="20">
        <v>1515000</v>
      </c>
      <c r="E20" s="22">
        <v>3475</v>
      </c>
      <c r="F20" s="21">
        <v>3309450</v>
      </c>
      <c r="G20" s="20">
        <v>2489600</v>
      </c>
      <c r="H20" s="20">
        <v>6399220</v>
      </c>
      <c r="I20" s="22">
        <v>2570</v>
      </c>
      <c r="J20" s="66">
        <f t="shared" si="1"/>
        <v>0.13899590566408315</v>
      </c>
      <c r="K20" s="67">
        <f t="shared" si="0"/>
        <v>0.17512853470437018</v>
      </c>
      <c r="L20" s="68">
        <f t="shared" si="0"/>
        <v>0.23674760361419048</v>
      </c>
    </row>
    <row r="21" spans="1:12" x14ac:dyDescent="0.25">
      <c r="A21" s="48" t="s">
        <v>91</v>
      </c>
      <c r="B21" s="21">
        <v>541000</v>
      </c>
      <c r="C21" s="20">
        <v>522000</v>
      </c>
      <c r="D21" s="20">
        <v>2505000</v>
      </c>
      <c r="E21" s="22">
        <v>4799</v>
      </c>
      <c r="F21" s="21">
        <v>3999550</v>
      </c>
      <c r="G21" s="20">
        <v>3393700</v>
      </c>
      <c r="H21" s="20">
        <v>12899150</v>
      </c>
      <c r="I21" s="22">
        <v>3801</v>
      </c>
      <c r="J21" s="66">
        <f t="shared" si="1"/>
        <v>0.13526521733695041</v>
      </c>
      <c r="K21" s="67">
        <f t="shared" si="0"/>
        <v>0.15381442083861271</v>
      </c>
      <c r="L21" s="68">
        <f t="shared" si="0"/>
        <v>0.19419884255939346</v>
      </c>
    </row>
    <row r="22" spans="1:12" x14ac:dyDescent="0.25">
      <c r="A22" s="48" t="s">
        <v>92</v>
      </c>
      <c r="B22" s="21">
        <v>530000</v>
      </c>
      <c r="C22" s="20">
        <v>513900</v>
      </c>
      <c r="D22" s="20">
        <v>2000000</v>
      </c>
      <c r="E22" s="22">
        <v>3892</v>
      </c>
      <c r="F22" s="21">
        <v>3694650</v>
      </c>
      <c r="G22" s="20">
        <v>3169650</v>
      </c>
      <c r="H22" s="20">
        <v>9599125</v>
      </c>
      <c r="I22" s="22">
        <v>3028</v>
      </c>
      <c r="J22" s="66">
        <f t="shared" si="1"/>
        <v>0.14345066515096153</v>
      </c>
      <c r="K22" s="67">
        <f t="shared" si="0"/>
        <v>0.16213146561923242</v>
      </c>
      <c r="L22" s="68">
        <f t="shared" si="0"/>
        <v>0.20835232377951116</v>
      </c>
    </row>
    <row r="23" spans="1:12" x14ac:dyDescent="0.25">
      <c r="A23" s="48" t="s">
        <v>93</v>
      </c>
      <c r="B23" s="21">
        <v>523000</v>
      </c>
      <c r="C23" s="20">
        <v>462400</v>
      </c>
      <c r="D23" s="20">
        <v>1630000</v>
      </c>
      <c r="E23" s="22">
        <v>3525</v>
      </c>
      <c r="F23" s="21">
        <v>3439500</v>
      </c>
      <c r="G23" s="20">
        <v>2969500</v>
      </c>
      <c r="H23" s="20">
        <v>8999000</v>
      </c>
      <c r="I23" s="22">
        <v>3030</v>
      </c>
      <c r="J23" s="66">
        <f t="shared" si="1"/>
        <v>0.15205698502689344</v>
      </c>
      <c r="K23" s="67">
        <f t="shared" si="0"/>
        <v>0.15571645058090589</v>
      </c>
      <c r="L23" s="68">
        <f t="shared" si="0"/>
        <v>0.18113123680408935</v>
      </c>
    </row>
    <row r="24" spans="1:12" x14ac:dyDescent="0.25">
      <c r="A24" s="48" t="s">
        <v>94</v>
      </c>
      <c r="B24" s="21">
        <v>465000</v>
      </c>
      <c r="C24" s="20">
        <v>432000</v>
      </c>
      <c r="D24" s="20">
        <v>1270000</v>
      </c>
      <c r="E24" s="22">
        <v>2940</v>
      </c>
      <c r="F24" s="21">
        <v>3483100</v>
      </c>
      <c r="G24" s="20">
        <v>3023900</v>
      </c>
      <c r="H24" s="20">
        <v>9497390</v>
      </c>
      <c r="I24" s="22">
        <v>3141</v>
      </c>
      <c r="J24" s="66">
        <f t="shared" si="1"/>
        <v>0.13350176566851368</v>
      </c>
      <c r="K24" s="67">
        <f t="shared" si="0"/>
        <v>0.14286186712523563</v>
      </c>
      <c r="L24" s="68">
        <f t="shared" si="0"/>
        <v>0.13372094859745678</v>
      </c>
    </row>
    <row r="25" spans="1:12" x14ac:dyDescent="0.25">
      <c r="A25" s="48" t="s">
        <v>95</v>
      </c>
      <c r="B25" s="21">
        <v>441000</v>
      </c>
      <c r="C25" s="20">
        <v>441000</v>
      </c>
      <c r="D25" s="20">
        <v>1780000</v>
      </c>
      <c r="E25" s="22">
        <v>4036</v>
      </c>
      <c r="F25" s="21">
        <v>3619900</v>
      </c>
      <c r="G25" s="20">
        <v>3339900</v>
      </c>
      <c r="H25" s="20">
        <v>11899730</v>
      </c>
      <c r="I25" s="22">
        <v>3563</v>
      </c>
      <c r="J25" s="66">
        <f t="shared" si="1"/>
        <v>0.12182656979474571</v>
      </c>
      <c r="K25" s="67">
        <f t="shared" si="0"/>
        <v>0.13203988143357587</v>
      </c>
      <c r="L25" s="68">
        <f t="shared" si="0"/>
        <v>0.14958322583789715</v>
      </c>
    </row>
    <row r="26" spans="1:12" x14ac:dyDescent="0.25">
      <c r="A26" s="48" t="s">
        <v>96</v>
      </c>
      <c r="B26" s="21">
        <v>467000</v>
      </c>
      <c r="C26" s="20">
        <v>465000</v>
      </c>
      <c r="D26" s="20">
        <v>2170000</v>
      </c>
      <c r="E26" s="22">
        <v>4667</v>
      </c>
      <c r="F26" s="21">
        <v>3819800</v>
      </c>
      <c r="G26" s="20">
        <v>3230800</v>
      </c>
      <c r="H26" s="20">
        <v>12099500</v>
      </c>
      <c r="I26" s="22">
        <v>3745</v>
      </c>
      <c r="J26" s="66">
        <f t="shared" si="1"/>
        <v>0.12225770982773967</v>
      </c>
      <c r="K26" s="67">
        <f t="shared" si="1"/>
        <v>0.14392720069332673</v>
      </c>
      <c r="L26" s="68">
        <f t="shared" si="1"/>
        <v>0.17934625397743709</v>
      </c>
    </row>
    <row r="27" spans="1:12" x14ac:dyDescent="0.25">
      <c r="A27" s="48" t="s">
        <v>97</v>
      </c>
      <c r="B27" s="21">
        <v>486000</v>
      </c>
      <c r="C27" s="20">
        <v>478100</v>
      </c>
      <c r="D27" s="20">
        <v>1823000</v>
      </c>
      <c r="E27" s="22">
        <v>3813</v>
      </c>
      <c r="F27" s="21">
        <v>3649880</v>
      </c>
      <c r="G27" s="20">
        <v>2899880</v>
      </c>
      <c r="H27" s="20">
        <v>9249730</v>
      </c>
      <c r="I27" s="22">
        <v>3190</v>
      </c>
      <c r="J27" s="66">
        <f t="shared" si="1"/>
        <v>0.13315506263219612</v>
      </c>
      <c r="K27" s="67">
        <f t="shared" si="1"/>
        <v>0.16486889112652936</v>
      </c>
      <c r="L27" s="68">
        <f t="shared" si="1"/>
        <v>0.19708683388596207</v>
      </c>
    </row>
    <row r="28" spans="1:12" x14ac:dyDescent="0.25">
      <c r="A28" s="48" t="s">
        <v>98</v>
      </c>
      <c r="B28" s="21">
        <v>330000</v>
      </c>
      <c r="C28" s="20">
        <v>328700</v>
      </c>
      <c r="D28" s="20">
        <v>1403000</v>
      </c>
      <c r="E28" s="22">
        <v>4268</v>
      </c>
      <c r="F28" s="21">
        <v>2824894</v>
      </c>
      <c r="G28" s="20">
        <v>2437394</v>
      </c>
      <c r="H28" s="20">
        <v>9199690</v>
      </c>
      <c r="I28" s="22">
        <v>3774</v>
      </c>
      <c r="J28" s="66">
        <f t="shared" si="1"/>
        <v>0.11681854257186287</v>
      </c>
      <c r="K28" s="67">
        <f t="shared" si="1"/>
        <v>0.13485714660822173</v>
      </c>
      <c r="L28" s="68">
        <f t="shared" si="1"/>
        <v>0.1525051387601104</v>
      </c>
    </row>
    <row r="29" spans="1:12" x14ac:dyDescent="0.25">
      <c r="A29" s="48" t="s">
        <v>99</v>
      </c>
      <c r="B29" s="21">
        <v>300000</v>
      </c>
      <c r="C29" s="20">
        <v>210000</v>
      </c>
      <c r="D29" s="20">
        <v>500000</v>
      </c>
      <c r="E29" s="22">
        <v>2381</v>
      </c>
      <c r="F29" s="21">
        <v>2684800</v>
      </c>
      <c r="G29" s="20">
        <v>1683550</v>
      </c>
      <c r="H29" s="20">
        <v>4899620</v>
      </c>
      <c r="I29" s="22">
        <v>2910</v>
      </c>
      <c r="J29" s="66">
        <f t="shared" si="1"/>
        <v>0.11174016686531585</v>
      </c>
      <c r="K29" s="67">
        <f t="shared" si="1"/>
        <v>0.12473642006474414</v>
      </c>
      <c r="L29" s="68">
        <f t="shared" si="1"/>
        <v>0.10204873030969748</v>
      </c>
    </row>
    <row r="30" spans="1:12" x14ac:dyDescent="0.25">
      <c r="A30" s="48" t="s">
        <v>100</v>
      </c>
      <c r="B30" s="21">
        <v>201000</v>
      </c>
      <c r="C30" s="20">
        <v>181400</v>
      </c>
      <c r="D30" s="20">
        <v>503000</v>
      </c>
      <c r="E30" s="22">
        <v>2773</v>
      </c>
      <c r="F30" s="21">
        <v>2069820</v>
      </c>
      <c r="G30" s="20">
        <v>1560149</v>
      </c>
      <c r="H30" s="20">
        <v>5399580</v>
      </c>
      <c r="I30" s="22">
        <v>3461</v>
      </c>
      <c r="J30" s="66">
        <f t="shared" si="1"/>
        <v>9.7109893613937445E-2</v>
      </c>
      <c r="K30" s="67">
        <f t="shared" si="1"/>
        <v>0.11627094591606314</v>
      </c>
      <c r="L30" s="68">
        <f t="shared" si="1"/>
        <v>9.3155393567647848E-2</v>
      </c>
    </row>
    <row r="31" spans="1:12" x14ac:dyDescent="0.25">
      <c r="A31" s="48" t="s">
        <v>101</v>
      </c>
      <c r="B31" s="21">
        <v>238600</v>
      </c>
      <c r="C31" s="20">
        <v>228600</v>
      </c>
      <c r="D31" s="20">
        <v>1089000</v>
      </c>
      <c r="E31" s="22">
        <v>4764</v>
      </c>
      <c r="F31" s="21">
        <v>2159700</v>
      </c>
      <c r="G31" s="20">
        <v>1899700</v>
      </c>
      <c r="H31" s="20">
        <v>7683800</v>
      </c>
      <c r="I31" s="22">
        <v>4045</v>
      </c>
      <c r="J31" s="66">
        <f t="shared" si="1"/>
        <v>0.11047830717229244</v>
      </c>
      <c r="K31" s="67">
        <f t="shared" si="1"/>
        <v>0.12033478970363741</v>
      </c>
      <c r="L31" s="68">
        <f t="shared" si="1"/>
        <v>0.14172674978526251</v>
      </c>
    </row>
    <row r="32" spans="1:12" x14ac:dyDescent="0.25">
      <c r="A32" s="48" t="s">
        <v>102</v>
      </c>
      <c r="B32" s="21">
        <v>327700</v>
      </c>
      <c r="C32" s="20">
        <v>315500</v>
      </c>
      <c r="D32" s="20">
        <v>1790400</v>
      </c>
      <c r="E32" s="22">
        <v>5675</v>
      </c>
      <c r="F32" s="21">
        <v>2684000</v>
      </c>
      <c r="G32" s="20">
        <v>2363940</v>
      </c>
      <c r="H32" s="20">
        <v>10696000</v>
      </c>
      <c r="I32" s="22">
        <v>4525</v>
      </c>
      <c r="J32" s="66">
        <f t="shared" si="1"/>
        <v>0.12209388971684054</v>
      </c>
      <c r="K32" s="67">
        <f t="shared" si="1"/>
        <v>0.1334636242882645</v>
      </c>
      <c r="L32" s="68">
        <f t="shared" si="1"/>
        <v>0.16738967838444277</v>
      </c>
    </row>
    <row r="33" spans="1:12" x14ac:dyDescent="0.25">
      <c r="A33" s="48" t="s">
        <v>103</v>
      </c>
      <c r="B33" s="21">
        <v>392200</v>
      </c>
      <c r="C33" s="20">
        <v>387700</v>
      </c>
      <c r="D33" s="20">
        <v>2161000</v>
      </c>
      <c r="E33" s="22">
        <v>5574</v>
      </c>
      <c r="F33" s="21">
        <v>2960820</v>
      </c>
      <c r="G33" s="20">
        <v>2501110</v>
      </c>
      <c r="H33" s="20">
        <v>10895500</v>
      </c>
      <c r="I33" s="22">
        <v>4356</v>
      </c>
      <c r="J33" s="66">
        <f t="shared" si="1"/>
        <v>0.13246330408467924</v>
      </c>
      <c r="K33" s="67">
        <f t="shared" si="1"/>
        <v>0.15501117503828299</v>
      </c>
      <c r="L33" s="68">
        <f t="shared" si="1"/>
        <v>0.19833876370978845</v>
      </c>
    </row>
    <row r="34" spans="1:12" x14ac:dyDescent="0.25">
      <c r="A34" s="48" t="s">
        <v>104</v>
      </c>
      <c r="B34" s="21">
        <v>363300</v>
      </c>
      <c r="C34" s="20">
        <v>362000</v>
      </c>
      <c r="D34" s="20">
        <v>1966400</v>
      </c>
      <c r="E34" s="22">
        <v>5432</v>
      </c>
      <c r="F34" s="21">
        <v>2780580</v>
      </c>
      <c r="G34" s="20">
        <v>2444240</v>
      </c>
      <c r="H34" s="20">
        <v>10357200</v>
      </c>
      <c r="I34" s="22">
        <v>4237</v>
      </c>
      <c r="J34" s="66">
        <f t="shared" si="1"/>
        <v>0.13065619403146106</v>
      </c>
      <c r="K34" s="67">
        <f t="shared" si="1"/>
        <v>0.14810329591202173</v>
      </c>
      <c r="L34" s="68">
        <f t="shared" si="1"/>
        <v>0.18985826285096358</v>
      </c>
    </row>
    <row r="35" spans="1:12" x14ac:dyDescent="0.25">
      <c r="A35" s="48" t="s">
        <v>105</v>
      </c>
      <c r="B35" s="21">
        <v>364900</v>
      </c>
      <c r="C35" s="20">
        <v>352900</v>
      </c>
      <c r="D35" s="20">
        <v>2043300</v>
      </c>
      <c r="E35" s="22">
        <v>5790</v>
      </c>
      <c r="F35" s="21">
        <v>2957200</v>
      </c>
      <c r="G35" s="20">
        <v>2521250</v>
      </c>
      <c r="H35" s="20">
        <v>11402541</v>
      </c>
      <c r="I35" s="22">
        <v>4523</v>
      </c>
      <c r="J35" s="66">
        <f t="shared" si="1"/>
        <v>0.12339375084539429</v>
      </c>
      <c r="K35" s="67">
        <f t="shared" si="1"/>
        <v>0.13997025285076847</v>
      </c>
      <c r="L35" s="68">
        <f t="shared" si="1"/>
        <v>0.17919690005938149</v>
      </c>
    </row>
    <row r="36" spans="1:12" x14ac:dyDescent="0.25">
      <c r="A36" s="48" t="s">
        <v>106</v>
      </c>
      <c r="B36" s="21">
        <v>442800</v>
      </c>
      <c r="C36" s="20">
        <v>423500</v>
      </c>
      <c r="D36" s="20">
        <v>2293100</v>
      </c>
      <c r="E36" s="22">
        <v>5415</v>
      </c>
      <c r="F36" s="21">
        <v>3414350</v>
      </c>
      <c r="G36" s="20">
        <v>2603520</v>
      </c>
      <c r="H36" s="20">
        <v>10517630</v>
      </c>
      <c r="I36" s="22">
        <v>4040</v>
      </c>
      <c r="J36" s="66">
        <f t="shared" si="1"/>
        <v>0.12968793474599852</v>
      </c>
      <c r="K36" s="67">
        <f t="shared" si="1"/>
        <v>0.16266439282202558</v>
      </c>
      <c r="L36" s="68">
        <f t="shared" si="1"/>
        <v>0.21802440283600014</v>
      </c>
    </row>
    <row r="37" spans="1:12" x14ac:dyDescent="0.25">
      <c r="A37" s="48" t="s">
        <v>23</v>
      </c>
      <c r="B37" s="21">
        <v>558900</v>
      </c>
      <c r="C37" s="20">
        <v>505150</v>
      </c>
      <c r="D37" s="20">
        <v>2326800</v>
      </c>
      <c r="E37" s="22">
        <v>4606</v>
      </c>
      <c r="F37" s="21">
        <v>4153200</v>
      </c>
      <c r="G37" s="20">
        <v>3410185</v>
      </c>
      <c r="H37" s="20">
        <v>15536120</v>
      </c>
      <c r="I37" s="22">
        <v>4556</v>
      </c>
      <c r="J37" s="66">
        <f t="shared" si="1"/>
        <v>0.1345709332562843</v>
      </c>
      <c r="K37" s="67">
        <f t="shared" si="1"/>
        <v>0.14812979354492498</v>
      </c>
      <c r="L37" s="68">
        <f t="shared" si="1"/>
        <v>0.14976712332294034</v>
      </c>
    </row>
    <row r="38" spans="1:12" x14ac:dyDescent="0.25">
      <c r="A38" s="48" t="s">
        <v>24</v>
      </c>
      <c r="B38" s="21">
        <v>479300</v>
      </c>
      <c r="C38" s="20">
        <v>441400</v>
      </c>
      <c r="D38" s="20">
        <v>3133600</v>
      </c>
      <c r="E38" s="22">
        <v>7099</v>
      </c>
      <c r="F38" s="21">
        <v>3751630</v>
      </c>
      <c r="G38" s="20">
        <v>3185390</v>
      </c>
      <c r="H38" s="20">
        <v>19360655</v>
      </c>
      <c r="I38" s="22">
        <v>6078</v>
      </c>
      <c r="J38" s="66">
        <f t="shared" si="1"/>
        <v>0.12775780127571215</v>
      </c>
      <c r="K38" s="67">
        <f t="shared" si="1"/>
        <v>0.1385701593839373</v>
      </c>
      <c r="L38" s="68">
        <f t="shared" si="1"/>
        <v>0.16185402818241429</v>
      </c>
    </row>
    <row r="39" spans="1:12" x14ac:dyDescent="0.25">
      <c r="A39" s="48" t="s">
        <v>25</v>
      </c>
      <c r="B39" s="21">
        <v>446800</v>
      </c>
      <c r="C39" s="20">
        <v>389500</v>
      </c>
      <c r="D39" s="20">
        <v>2556200</v>
      </c>
      <c r="E39" s="22">
        <v>6563</v>
      </c>
      <c r="F39" s="21">
        <v>3270050</v>
      </c>
      <c r="G39" s="20">
        <v>2514450</v>
      </c>
      <c r="H39" s="20">
        <v>13503400</v>
      </c>
      <c r="I39" s="22">
        <v>5370</v>
      </c>
      <c r="J39" s="66">
        <f t="shared" si="1"/>
        <v>0.13663399642207305</v>
      </c>
      <c r="K39" s="67">
        <f t="shared" si="1"/>
        <v>0.15490465111654636</v>
      </c>
      <c r="L39" s="68">
        <f t="shared" si="1"/>
        <v>0.18930047247359924</v>
      </c>
    </row>
    <row r="40" spans="1:12" x14ac:dyDescent="0.25">
      <c r="A40" s="48" t="s">
        <v>26</v>
      </c>
      <c r="B40" s="21">
        <v>492500</v>
      </c>
      <c r="C40" s="20">
        <v>435000</v>
      </c>
      <c r="D40" s="20">
        <v>2521860</v>
      </c>
      <c r="E40" s="22">
        <v>5797</v>
      </c>
      <c r="F40" s="21">
        <v>3651900</v>
      </c>
      <c r="G40" s="20">
        <v>3088715</v>
      </c>
      <c r="H40" s="20">
        <v>16780650</v>
      </c>
      <c r="I40" s="22">
        <v>5433</v>
      </c>
      <c r="J40" s="66">
        <f t="shared" si="1"/>
        <v>0.13486130507407104</v>
      </c>
      <c r="K40" s="67">
        <f t="shared" si="1"/>
        <v>0.14083526644575495</v>
      </c>
      <c r="L40" s="68">
        <f t="shared" si="1"/>
        <v>0.15028380903004354</v>
      </c>
    </row>
    <row r="41" spans="1:12" x14ac:dyDescent="0.25">
      <c r="A41" s="48" t="s">
        <v>27</v>
      </c>
      <c r="B41" s="21">
        <v>433000</v>
      </c>
      <c r="C41" s="20">
        <v>398200</v>
      </c>
      <c r="D41" s="20">
        <v>2531270</v>
      </c>
      <c r="E41" s="22">
        <v>6357</v>
      </c>
      <c r="F41" s="21">
        <v>3494523</v>
      </c>
      <c r="G41" s="20">
        <v>2815504</v>
      </c>
      <c r="H41" s="20">
        <v>15359397</v>
      </c>
      <c r="I41" s="22">
        <v>5455</v>
      </c>
      <c r="J41" s="66">
        <f t="shared" si="1"/>
        <v>0.1239081843215798</v>
      </c>
      <c r="K41" s="67">
        <f t="shared" si="1"/>
        <v>0.14143116117043342</v>
      </c>
      <c r="L41" s="68">
        <f t="shared" si="1"/>
        <v>0.16480269375158413</v>
      </c>
    </row>
    <row r="42" spans="1:12" x14ac:dyDescent="0.25">
      <c r="A42" s="48" t="s">
        <v>28</v>
      </c>
      <c r="B42" s="21">
        <v>359800</v>
      </c>
      <c r="C42" s="20">
        <v>304700</v>
      </c>
      <c r="D42" s="20">
        <v>2083370</v>
      </c>
      <c r="E42" s="22">
        <v>6837</v>
      </c>
      <c r="F42" s="21">
        <v>3061661</v>
      </c>
      <c r="G42" s="20">
        <v>2420124</v>
      </c>
      <c r="H42" s="20">
        <v>14712080</v>
      </c>
      <c r="I42" s="22">
        <v>6079</v>
      </c>
      <c r="J42" s="66">
        <f t="shared" si="1"/>
        <v>0.11751790939623949</v>
      </c>
      <c r="K42" s="67">
        <f t="shared" si="1"/>
        <v>0.12590263969945342</v>
      </c>
      <c r="L42" s="68">
        <f t="shared" si="1"/>
        <v>0.14160948010070637</v>
      </c>
    </row>
    <row r="43" spans="1:12" x14ac:dyDescent="0.25">
      <c r="A43" s="48" t="s">
        <v>29</v>
      </c>
      <c r="B43" s="21">
        <v>369500</v>
      </c>
      <c r="C43" s="20">
        <v>279700</v>
      </c>
      <c r="D43" s="20">
        <v>1909140</v>
      </c>
      <c r="E43" s="22">
        <v>6826</v>
      </c>
      <c r="F43" s="21">
        <v>3060374</v>
      </c>
      <c r="G43" s="20">
        <v>2300857</v>
      </c>
      <c r="H43" s="20">
        <v>15002219</v>
      </c>
      <c r="I43" s="22">
        <v>6520</v>
      </c>
      <c r="J43" s="66">
        <f t="shared" si="1"/>
        <v>0.12073687725748553</v>
      </c>
      <c r="K43" s="67">
        <f t="shared" si="1"/>
        <v>0.12156340007223396</v>
      </c>
      <c r="L43" s="68">
        <f t="shared" si="1"/>
        <v>0.12725717442199716</v>
      </c>
    </row>
    <row r="44" spans="1:12" x14ac:dyDescent="0.25">
      <c r="A44" s="48" t="s">
        <v>30</v>
      </c>
      <c r="B44" s="21">
        <v>390550</v>
      </c>
      <c r="C44" s="20">
        <v>339200</v>
      </c>
      <c r="D44" s="20">
        <v>2558860</v>
      </c>
      <c r="E44" s="22">
        <v>7544</v>
      </c>
      <c r="F44" s="21">
        <v>2962400</v>
      </c>
      <c r="G44" s="20">
        <v>2307602</v>
      </c>
      <c r="H44" s="20">
        <v>14818788</v>
      </c>
      <c r="I44" s="22">
        <v>6422</v>
      </c>
      <c r="J44" s="66">
        <f t="shared" si="1"/>
        <v>0.13183567377801783</v>
      </c>
      <c r="K44" s="67">
        <f t="shared" si="1"/>
        <v>0.14699241896999568</v>
      </c>
      <c r="L44" s="68">
        <f t="shared" si="1"/>
        <v>0.17267673982514628</v>
      </c>
    </row>
    <row r="45" spans="1:12" x14ac:dyDescent="0.25">
      <c r="A45" s="48" t="s">
        <v>31</v>
      </c>
      <c r="B45" s="21">
        <v>422900</v>
      </c>
      <c r="C45" s="20">
        <v>365020</v>
      </c>
      <c r="D45" s="20">
        <v>3006660</v>
      </c>
      <c r="E45" s="22">
        <v>8237</v>
      </c>
      <c r="F45" s="21">
        <v>3403837</v>
      </c>
      <c r="G45" s="20">
        <v>2783436</v>
      </c>
      <c r="H45" s="20">
        <v>20482572</v>
      </c>
      <c r="I45" s="22">
        <v>7359</v>
      </c>
      <c r="J45" s="66">
        <f t="shared" si="1"/>
        <v>0.12424214202971529</v>
      </c>
      <c r="K45" s="67">
        <f t="shared" si="1"/>
        <v>0.13114007291707083</v>
      </c>
      <c r="L45" s="68">
        <f t="shared" si="1"/>
        <v>0.14679113541014283</v>
      </c>
    </row>
    <row r="46" spans="1:12" x14ac:dyDescent="0.25">
      <c r="A46" s="48" t="s">
        <v>32</v>
      </c>
      <c r="B46" s="21">
        <v>372045</v>
      </c>
      <c r="C46" s="20">
        <v>301835</v>
      </c>
      <c r="D46" s="20">
        <v>1984720</v>
      </c>
      <c r="E46" s="22">
        <v>6576</v>
      </c>
      <c r="F46" s="21">
        <v>3190440</v>
      </c>
      <c r="G46" s="20">
        <v>2447166</v>
      </c>
      <c r="H46" s="20">
        <v>14445538</v>
      </c>
      <c r="I46" s="22">
        <v>5903</v>
      </c>
      <c r="J46" s="66">
        <f t="shared" si="1"/>
        <v>0.11661244217098582</v>
      </c>
      <c r="K46" s="67">
        <f t="shared" si="1"/>
        <v>0.12334063157137685</v>
      </c>
      <c r="L46" s="68">
        <f t="shared" si="1"/>
        <v>0.13739329057872404</v>
      </c>
    </row>
    <row r="47" spans="1:12" x14ac:dyDescent="0.25">
      <c r="A47" s="48" t="s">
        <v>33</v>
      </c>
      <c r="B47" s="21">
        <v>375370</v>
      </c>
      <c r="C47" s="20">
        <v>309530</v>
      </c>
      <c r="D47" s="20">
        <v>2635120</v>
      </c>
      <c r="E47" s="22">
        <v>8513</v>
      </c>
      <c r="F47" s="21">
        <v>3578235</v>
      </c>
      <c r="G47" s="20">
        <v>2838072</v>
      </c>
      <c r="H47" s="20">
        <v>21755365</v>
      </c>
      <c r="I47" s="22">
        <v>7666</v>
      </c>
      <c r="J47" s="66">
        <f t="shared" si="1"/>
        <v>0.10490367457699117</v>
      </c>
      <c r="K47" s="67">
        <f t="shared" si="1"/>
        <v>0.10906347689558263</v>
      </c>
      <c r="L47" s="68">
        <f t="shared" si="1"/>
        <v>0.12112506501269917</v>
      </c>
    </row>
    <row r="48" spans="1:12" x14ac:dyDescent="0.25">
      <c r="A48" s="48" t="s">
        <v>34</v>
      </c>
      <c r="B48" s="21">
        <v>453600</v>
      </c>
      <c r="C48" s="20">
        <v>334900</v>
      </c>
      <c r="D48" s="20">
        <v>2538680</v>
      </c>
      <c r="E48" s="22">
        <v>7580</v>
      </c>
      <c r="F48" s="21">
        <v>4238329</v>
      </c>
      <c r="G48" s="20">
        <v>3413784</v>
      </c>
      <c r="H48" s="20">
        <v>22026803</v>
      </c>
      <c r="I48" s="22">
        <v>6452</v>
      </c>
      <c r="J48" s="66">
        <f t="shared" si="1"/>
        <v>0.10702331036594846</v>
      </c>
      <c r="K48" s="67">
        <f t="shared" si="1"/>
        <v>9.8102281808105027E-2</v>
      </c>
      <c r="L48" s="68">
        <f t="shared" si="1"/>
        <v>0.11525412925334648</v>
      </c>
    </row>
    <row r="49" spans="1:12" x14ac:dyDescent="0.25">
      <c r="A49" s="48" t="s">
        <v>35</v>
      </c>
      <c r="B49" s="21">
        <v>365300</v>
      </c>
      <c r="C49" s="20">
        <v>235500</v>
      </c>
      <c r="D49" s="20">
        <v>1601660</v>
      </c>
      <c r="E49" s="22">
        <v>6801</v>
      </c>
      <c r="F49" s="21">
        <v>3501328</v>
      </c>
      <c r="G49" s="20">
        <v>2362508</v>
      </c>
      <c r="H49" s="20">
        <v>13134436</v>
      </c>
      <c r="I49" s="22">
        <v>5560</v>
      </c>
      <c r="J49" s="66">
        <f t="shared" si="1"/>
        <v>0.10433184208962999</v>
      </c>
      <c r="K49" s="67">
        <f t="shared" si="1"/>
        <v>9.968220213434198E-2</v>
      </c>
      <c r="L49" s="68">
        <f t="shared" si="1"/>
        <v>0.12194356879884298</v>
      </c>
    </row>
    <row r="50" spans="1:12" x14ac:dyDescent="0.25">
      <c r="A50" s="48" t="s">
        <v>36</v>
      </c>
      <c r="B50" s="21">
        <v>491850</v>
      </c>
      <c r="C50" s="20">
        <v>412250</v>
      </c>
      <c r="D50" s="20">
        <v>4006170</v>
      </c>
      <c r="E50" s="22">
        <v>9718</v>
      </c>
      <c r="F50" s="21">
        <v>3671260</v>
      </c>
      <c r="G50" s="20">
        <v>2904035</v>
      </c>
      <c r="H50" s="20">
        <v>22663096</v>
      </c>
      <c r="I50" s="22">
        <v>7804</v>
      </c>
      <c r="J50" s="66">
        <f t="shared" si="1"/>
        <v>0.13397307736308514</v>
      </c>
      <c r="K50" s="67">
        <f t="shared" si="1"/>
        <v>0.14195765546902844</v>
      </c>
      <c r="L50" s="68">
        <f t="shared" si="1"/>
        <v>0.17677064069269266</v>
      </c>
    </row>
    <row r="51" spans="1:12" x14ac:dyDescent="0.25">
      <c r="A51" s="48" t="s">
        <v>37</v>
      </c>
      <c r="B51" s="21">
        <v>567423</v>
      </c>
      <c r="C51" s="20">
        <v>488173</v>
      </c>
      <c r="D51" s="20">
        <v>3656820</v>
      </c>
      <c r="E51" s="22">
        <v>7491</v>
      </c>
      <c r="F51" s="21">
        <v>4561101</v>
      </c>
      <c r="G51" s="20">
        <v>3747838</v>
      </c>
      <c r="H51" s="20">
        <v>23799830</v>
      </c>
      <c r="I51" s="22">
        <v>6350</v>
      </c>
      <c r="J51" s="66">
        <f t="shared" si="1"/>
        <v>0.12440483120194006</v>
      </c>
      <c r="K51" s="67">
        <f t="shared" si="1"/>
        <v>0.13025456276391884</v>
      </c>
      <c r="L51" s="68">
        <f t="shared" si="1"/>
        <v>0.15364899665249709</v>
      </c>
    </row>
    <row r="52" spans="1:12" x14ac:dyDescent="0.25">
      <c r="A52" s="48" t="s">
        <v>38</v>
      </c>
      <c r="B52" s="21">
        <v>648400</v>
      </c>
      <c r="C52" s="20">
        <v>553150</v>
      </c>
      <c r="D52" s="20">
        <v>3830970</v>
      </c>
      <c r="E52" s="22">
        <v>6926</v>
      </c>
      <c r="F52" s="21">
        <v>5000330</v>
      </c>
      <c r="G52" s="20">
        <v>3696300</v>
      </c>
      <c r="H52" s="20">
        <v>21196637</v>
      </c>
      <c r="I52" s="22">
        <v>5735</v>
      </c>
      <c r="J52" s="66">
        <f t="shared" si="1"/>
        <v>0.12967144168484879</v>
      </c>
      <c r="K52" s="67">
        <f t="shared" si="1"/>
        <v>0.14964964964964966</v>
      </c>
      <c r="L52" s="68">
        <f t="shared" si="1"/>
        <v>0.18073480241228831</v>
      </c>
    </row>
    <row r="53" spans="1:12" x14ac:dyDescent="0.25">
      <c r="A53" s="48" t="s">
        <v>39</v>
      </c>
      <c r="B53" s="21">
        <v>699200</v>
      </c>
      <c r="C53" s="20">
        <v>625560</v>
      </c>
      <c r="D53" s="20">
        <v>5463970</v>
      </c>
      <c r="E53" s="22">
        <v>8735</v>
      </c>
      <c r="F53" s="21">
        <v>6133378</v>
      </c>
      <c r="G53" s="20">
        <v>4863801</v>
      </c>
      <c r="H53" s="20">
        <v>32045751</v>
      </c>
      <c r="I53" s="22">
        <v>6589</v>
      </c>
      <c r="J53" s="66">
        <f t="shared" si="1"/>
        <v>0.11399916978865481</v>
      </c>
      <c r="K53" s="67">
        <f t="shared" si="1"/>
        <v>0.12861545939071109</v>
      </c>
      <c r="L53" s="68">
        <f t="shared" si="1"/>
        <v>0.17050528789292535</v>
      </c>
    </row>
    <row r="54" spans="1:12" x14ac:dyDescent="0.25">
      <c r="A54" s="48" t="s">
        <v>40</v>
      </c>
      <c r="B54" s="21">
        <v>541900</v>
      </c>
      <c r="C54" s="20">
        <v>479150</v>
      </c>
      <c r="D54" s="20">
        <v>3708460</v>
      </c>
      <c r="E54" s="22">
        <v>7740</v>
      </c>
      <c r="F54" s="21">
        <v>6098885</v>
      </c>
      <c r="G54" s="20">
        <v>4836655</v>
      </c>
      <c r="H54" s="20">
        <v>33087165</v>
      </c>
      <c r="I54" s="22">
        <v>6841</v>
      </c>
      <c r="J54" s="66">
        <f t="shared" si="1"/>
        <v>8.8852306610142678E-2</v>
      </c>
      <c r="K54" s="67">
        <f t="shared" si="1"/>
        <v>9.9066400229083945E-2</v>
      </c>
      <c r="L54" s="68">
        <f t="shared" si="1"/>
        <v>0.11208152768603777</v>
      </c>
    </row>
    <row r="55" spans="1:12" x14ac:dyDescent="0.25">
      <c r="A55" s="48" t="s">
        <v>41</v>
      </c>
      <c r="B55" s="21">
        <v>685850</v>
      </c>
      <c r="C55" s="20">
        <v>518550</v>
      </c>
      <c r="D55" s="20">
        <v>4370455</v>
      </c>
      <c r="E55" s="22">
        <v>8428</v>
      </c>
      <c r="F55" s="21">
        <v>6034480</v>
      </c>
      <c r="G55" s="20">
        <v>4626880</v>
      </c>
      <c r="H55" s="20">
        <v>33817449</v>
      </c>
      <c r="I55" s="22">
        <v>7309</v>
      </c>
      <c r="J55" s="66">
        <f t="shared" si="1"/>
        <v>0.11365519481380335</v>
      </c>
      <c r="K55" s="67">
        <f t="shared" si="1"/>
        <v>0.11207336261152223</v>
      </c>
      <c r="L55" s="68">
        <f t="shared" si="1"/>
        <v>0.12923668488418508</v>
      </c>
    </row>
    <row r="56" spans="1:12" x14ac:dyDescent="0.25">
      <c r="A56" s="48" t="s">
        <v>42</v>
      </c>
      <c r="B56" s="21">
        <v>629170</v>
      </c>
      <c r="C56" s="20">
        <v>476450</v>
      </c>
      <c r="D56" s="20">
        <v>3942387</v>
      </c>
      <c r="E56" s="22">
        <v>8275</v>
      </c>
      <c r="F56" s="21">
        <v>6904538</v>
      </c>
      <c r="G56" s="20">
        <v>5346593</v>
      </c>
      <c r="H56" s="20">
        <v>39792854</v>
      </c>
      <c r="I56" s="22">
        <v>7443</v>
      </c>
      <c r="J56" s="66">
        <f t="shared" si="1"/>
        <v>9.112412734928825E-2</v>
      </c>
      <c r="K56" s="67">
        <f t="shared" si="1"/>
        <v>8.9112823811350522E-2</v>
      </c>
      <c r="L56" s="68">
        <f t="shared" si="1"/>
        <v>9.907273803482404E-2</v>
      </c>
    </row>
    <row r="57" spans="1:12" x14ac:dyDescent="0.25">
      <c r="A57" s="48" t="s">
        <v>43</v>
      </c>
      <c r="B57" s="21">
        <v>890800</v>
      </c>
      <c r="C57" s="20">
        <v>712700</v>
      </c>
      <c r="D57" s="20">
        <v>5802581</v>
      </c>
      <c r="E57" s="22">
        <v>8142</v>
      </c>
      <c r="F57" s="21">
        <v>8486694</v>
      </c>
      <c r="G57" s="20">
        <v>6536763</v>
      </c>
      <c r="H57" s="20">
        <v>49490326</v>
      </c>
      <c r="I57" s="22">
        <v>7571</v>
      </c>
      <c r="J57" s="66">
        <f t="shared" si="1"/>
        <v>0.10496431236945741</v>
      </c>
      <c r="K57" s="67">
        <f t="shared" si="1"/>
        <v>0.10902949976922828</v>
      </c>
      <c r="L57" s="68">
        <f t="shared" si="1"/>
        <v>0.11724677263188769</v>
      </c>
    </row>
    <row r="58" spans="1:12" x14ac:dyDescent="0.25">
      <c r="A58" s="48" t="s">
        <v>44</v>
      </c>
      <c r="B58" s="21">
        <v>1074413</v>
      </c>
      <c r="C58" s="20">
        <v>756133</v>
      </c>
      <c r="D58" s="20">
        <v>5179679</v>
      </c>
      <c r="E58" s="22">
        <v>6850</v>
      </c>
      <c r="F58" s="21">
        <v>9139766</v>
      </c>
      <c r="G58" s="20">
        <v>7138620</v>
      </c>
      <c r="H58" s="20">
        <v>43462323</v>
      </c>
      <c r="I58" s="22">
        <v>6088</v>
      </c>
      <c r="J58" s="66">
        <f t="shared" si="1"/>
        <v>0.11755366603477595</v>
      </c>
      <c r="K58" s="67">
        <f t="shared" si="1"/>
        <v>0.1059214526056857</v>
      </c>
      <c r="L58" s="68">
        <f t="shared" si="1"/>
        <v>0.11917630357677844</v>
      </c>
    </row>
    <row r="59" spans="1:12" x14ac:dyDescent="0.25">
      <c r="A59" s="48" t="s">
        <v>45</v>
      </c>
      <c r="B59" s="21">
        <v>923800</v>
      </c>
      <c r="C59" s="20">
        <v>651100</v>
      </c>
      <c r="D59" s="20">
        <v>5910470</v>
      </c>
      <c r="E59" s="22">
        <v>9078</v>
      </c>
      <c r="F59" s="21">
        <v>9039594</v>
      </c>
      <c r="G59" s="20">
        <v>7232761</v>
      </c>
      <c r="H59" s="20">
        <v>56860704</v>
      </c>
      <c r="I59" s="22">
        <v>7862</v>
      </c>
      <c r="J59" s="66">
        <f t="shared" si="1"/>
        <v>0.10219485521141768</v>
      </c>
      <c r="K59" s="67">
        <f t="shared" si="1"/>
        <v>9.002094774042721E-2</v>
      </c>
      <c r="L59" s="68">
        <f t="shared" si="1"/>
        <v>0.10394647945266383</v>
      </c>
    </row>
    <row r="60" spans="1:12" x14ac:dyDescent="0.25">
      <c r="A60" s="49" t="s">
        <v>46</v>
      </c>
      <c r="B60" s="21">
        <v>1120960</v>
      </c>
      <c r="C60" s="20">
        <v>872060</v>
      </c>
      <c r="D60" s="20">
        <v>7370856</v>
      </c>
      <c r="E60" s="22">
        <v>8452</v>
      </c>
      <c r="F60" s="21">
        <v>9504473</v>
      </c>
      <c r="G60" s="20">
        <v>7730506</v>
      </c>
      <c r="H60" s="20">
        <v>58395811</v>
      </c>
      <c r="I60" s="22">
        <v>7554</v>
      </c>
      <c r="J60" s="66">
        <f t="shared" si="1"/>
        <v>0.11794025823420194</v>
      </c>
      <c r="K60" s="67">
        <f t="shared" si="1"/>
        <v>0.11280762216600052</v>
      </c>
      <c r="L60" s="68">
        <f t="shared" si="1"/>
        <v>0.12622234153062795</v>
      </c>
    </row>
    <row r="61" spans="1:12" x14ac:dyDescent="0.25">
      <c r="A61" s="49" t="s">
        <v>47</v>
      </c>
      <c r="B61" s="21">
        <v>1097830</v>
      </c>
      <c r="C61" s="20">
        <v>904130</v>
      </c>
      <c r="D61" s="20">
        <v>7122440</v>
      </c>
      <c r="E61" s="22">
        <v>7878</v>
      </c>
      <c r="F61" s="21">
        <v>9742230</v>
      </c>
      <c r="G61" s="20">
        <v>8146596</v>
      </c>
      <c r="H61" s="20">
        <v>60525805</v>
      </c>
      <c r="I61" s="22">
        <v>7430</v>
      </c>
      <c r="J61" s="66">
        <f t="shared" si="1"/>
        <v>0.11268775218815405</v>
      </c>
      <c r="K61" s="67">
        <f t="shared" si="1"/>
        <v>0.11098255025780093</v>
      </c>
      <c r="L61" s="68">
        <f t="shared" si="1"/>
        <v>0.11767608873603581</v>
      </c>
    </row>
    <row r="62" spans="1:12" x14ac:dyDescent="0.25">
      <c r="A62" s="49" t="s">
        <v>48</v>
      </c>
      <c r="B62" s="21">
        <v>1289094</v>
      </c>
      <c r="C62" s="20">
        <v>934611</v>
      </c>
      <c r="D62" s="20">
        <v>5774668</v>
      </c>
      <c r="E62" s="22">
        <v>6179</v>
      </c>
      <c r="F62" s="21">
        <v>10670126</v>
      </c>
      <c r="G62" s="20">
        <v>8768441</v>
      </c>
      <c r="H62" s="20">
        <v>59037179</v>
      </c>
      <c r="I62" s="22">
        <v>6733</v>
      </c>
      <c r="J62" s="66">
        <f t="shared" si="1"/>
        <v>0.12081338121030623</v>
      </c>
      <c r="K62" s="67">
        <f t="shared" si="1"/>
        <v>0.10658804683751649</v>
      </c>
      <c r="L62" s="68">
        <f t="shared" si="1"/>
        <v>9.7814091015426055E-2</v>
      </c>
    </row>
    <row r="63" spans="1:12" x14ac:dyDescent="0.25">
      <c r="A63" s="49" t="s">
        <v>49</v>
      </c>
      <c r="B63" s="21">
        <v>1261512</v>
      </c>
      <c r="C63" s="20">
        <v>777740</v>
      </c>
      <c r="D63" s="20">
        <v>2777749</v>
      </c>
      <c r="E63" s="22">
        <v>3572</v>
      </c>
      <c r="F63" s="21">
        <v>10533195</v>
      </c>
      <c r="G63" s="20">
        <v>8104641</v>
      </c>
      <c r="H63" s="20">
        <v>41409448</v>
      </c>
      <c r="I63" s="22">
        <v>5109</v>
      </c>
      <c r="J63" s="66">
        <f t="shared" si="1"/>
        <v>0.11976537033635094</v>
      </c>
      <c r="K63" s="67">
        <f t="shared" si="1"/>
        <v>9.5962301106242709E-2</v>
      </c>
      <c r="L63" s="68">
        <f t="shared" si="1"/>
        <v>6.7080077957088438E-2</v>
      </c>
    </row>
    <row r="64" spans="1:12" x14ac:dyDescent="0.25">
      <c r="A64" s="49" t="s">
        <v>50</v>
      </c>
      <c r="B64" s="21">
        <v>1239380</v>
      </c>
      <c r="C64" s="20">
        <v>851091</v>
      </c>
      <c r="D64" s="20">
        <v>6755795</v>
      </c>
      <c r="E64" s="22">
        <v>7938</v>
      </c>
      <c r="F64" s="21">
        <v>11103250</v>
      </c>
      <c r="G64" s="20">
        <v>8736712</v>
      </c>
      <c r="H64" s="20">
        <v>57494500</v>
      </c>
      <c r="I64" s="22">
        <v>6581</v>
      </c>
      <c r="J64" s="66">
        <f t="shared" si="1"/>
        <v>0.11162317339517709</v>
      </c>
      <c r="K64" s="67">
        <f t="shared" si="1"/>
        <v>9.7415480789569353E-2</v>
      </c>
      <c r="L64" s="68">
        <f t="shared" si="1"/>
        <v>0.1175033264051344</v>
      </c>
    </row>
    <row r="65" spans="1:12" x14ac:dyDescent="0.25">
      <c r="A65" s="49" t="s">
        <v>51</v>
      </c>
      <c r="B65" s="21">
        <v>781643</v>
      </c>
      <c r="C65" s="20">
        <v>637144</v>
      </c>
      <c r="D65" s="20">
        <v>5219638</v>
      </c>
      <c r="E65" s="22">
        <v>8192</v>
      </c>
      <c r="F65" s="21">
        <v>9234043</v>
      </c>
      <c r="G65" s="20">
        <v>7422498</v>
      </c>
      <c r="H65" s="20">
        <v>51690950</v>
      </c>
      <c r="I65" s="22">
        <v>6964</v>
      </c>
      <c r="J65" s="66">
        <f t="shared" si="1"/>
        <v>8.464797055850834E-2</v>
      </c>
      <c r="K65" s="67">
        <f t="shared" si="1"/>
        <v>8.5839565062866982E-2</v>
      </c>
      <c r="L65" s="68">
        <f t="shared" si="1"/>
        <v>0.10097779205063942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D20A0991-12EE-48AD-B90B-1B5F8595BD99}"/>
  </hyperlinks>
  <pageMargins left="0.7" right="0.7" top="0.75" bottom="0.75" header="0.3" footer="0.3"/>
  <pageSetup paperSize="9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D27B-9A3D-4B6B-87B7-3FFA1FAD3944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89800</v>
      </c>
      <c r="C10" s="40">
        <v>46830</v>
      </c>
      <c r="D10" s="40">
        <v>52600</v>
      </c>
      <c r="E10" s="50">
        <v>1123</v>
      </c>
      <c r="F10" s="41">
        <v>242700</v>
      </c>
      <c r="G10" s="40">
        <v>131580</v>
      </c>
      <c r="H10" s="40">
        <v>125200</v>
      </c>
      <c r="I10" s="50">
        <v>952</v>
      </c>
      <c r="J10" s="63">
        <f>B10/F10</f>
        <v>0.37000412031314378</v>
      </c>
      <c r="K10" s="64">
        <f t="shared" ref="K10:L25" si="0">C10/G10</f>
        <v>0.35590515275877793</v>
      </c>
      <c r="L10" s="65">
        <f t="shared" si="0"/>
        <v>0.42012779552715657</v>
      </c>
    </row>
    <row r="11" spans="1:12" x14ac:dyDescent="0.25">
      <c r="A11" s="48" t="s">
        <v>81</v>
      </c>
      <c r="B11" s="21">
        <v>95000</v>
      </c>
      <c r="C11" s="20">
        <v>64000</v>
      </c>
      <c r="D11" s="20">
        <v>73000</v>
      </c>
      <c r="E11" s="22">
        <v>1141</v>
      </c>
      <c r="F11" s="21">
        <v>231000</v>
      </c>
      <c r="G11" s="20">
        <v>151350</v>
      </c>
      <c r="H11" s="20">
        <v>183000</v>
      </c>
      <c r="I11" s="22">
        <v>1209</v>
      </c>
      <c r="J11" s="66">
        <f t="shared" ref="J11:L65" si="1">B11/F11</f>
        <v>0.41125541125541126</v>
      </c>
      <c r="K11" s="67">
        <f t="shared" si="0"/>
        <v>0.42286091840105716</v>
      </c>
      <c r="L11" s="68">
        <f t="shared" si="0"/>
        <v>0.39890710382513661</v>
      </c>
    </row>
    <row r="12" spans="1:12" x14ac:dyDescent="0.25">
      <c r="A12" s="48" t="s">
        <v>82</v>
      </c>
      <c r="B12" s="21">
        <v>76000</v>
      </c>
      <c r="C12" s="20">
        <v>40600</v>
      </c>
      <c r="D12" s="20">
        <v>32000</v>
      </c>
      <c r="E12" s="22">
        <v>788</v>
      </c>
      <c r="F12" s="21">
        <v>217200</v>
      </c>
      <c r="G12" s="20">
        <v>115800</v>
      </c>
      <c r="H12" s="20">
        <v>105000</v>
      </c>
      <c r="I12" s="22">
        <v>907</v>
      </c>
      <c r="J12" s="66">
        <f t="shared" si="1"/>
        <v>0.34990791896869244</v>
      </c>
      <c r="K12" s="67">
        <f t="shared" si="0"/>
        <v>0.35060449050086356</v>
      </c>
      <c r="L12" s="68">
        <f t="shared" si="0"/>
        <v>0.30476190476190479</v>
      </c>
    </row>
    <row r="13" spans="1:12" x14ac:dyDescent="0.25">
      <c r="A13" s="48" t="s">
        <v>83</v>
      </c>
      <c r="B13" s="21">
        <v>76000</v>
      </c>
      <c r="C13" s="20">
        <v>45000</v>
      </c>
      <c r="D13" s="20">
        <v>47000</v>
      </c>
      <c r="E13" s="22">
        <v>1044</v>
      </c>
      <c r="F13" s="21">
        <v>276900</v>
      </c>
      <c r="G13" s="20">
        <v>198450</v>
      </c>
      <c r="H13" s="20">
        <v>227000</v>
      </c>
      <c r="I13" s="22">
        <v>1144</v>
      </c>
      <c r="J13" s="66">
        <f t="shared" si="1"/>
        <v>0.27446731672083785</v>
      </c>
      <c r="K13" s="67">
        <f t="shared" si="0"/>
        <v>0.22675736961451248</v>
      </c>
      <c r="L13" s="68">
        <f t="shared" si="0"/>
        <v>0.20704845814977973</v>
      </c>
    </row>
    <row r="14" spans="1:12" x14ac:dyDescent="0.25">
      <c r="A14" s="48" t="s">
        <v>84</v>
      </c>
      <c r="B14" s="21">
        <v>76000</v>
      </c>
      <c r="C14" s="20">
        <v>50600</v>
      </c>
      <c r="D14" s="20">
        <v>56000</v>
      </c>
      <c r="E14" s="22">
        <v>1107</v>
      </c>
      <c r="F14" s="21">
        <v>271500</v>
      </c>
      <c r="G14" s="20">
        <v>208100</v>
      </c>
      <c r="H14" s="20">
        <v>228500</v>
      </c>
      <c r="I14" s="22">
        <v>1098</v>
      </c>
      <c r="J14" s="66">
        <f t="shared" si="1"/>
        <v>0.27992633517495397</v>
      </c>
      <c r="K14" s="67">
        <f t="shared" si="0"/>
        <v>0.24315233061028352</v>
      </c>
      <c r="L14" s="68">
        <f t="shared" si="0"/>
        <v>0.24507658643326038</v>
      </c>
    </row>
    <row r="15" spans="1:12" x14ac:dyDescent="0.25">
      <c r="A15" s="48" t="s">
        <v>85</v>
      </c>
      <c r="B15" s="21">
        <v>68000</v>
      </c>
      <c r="C15" s="20">
        <v>40000</v>
      </c>
      <c r="D15" s="20">
        <v>38000</v>
      </c>
      <c r="E15" s="22">
        <v>950</v>
      </c>
      <c r="F15" s="21">
        <v>278000</v>
      </c>
      <c r="G15" s="20">
        <v>194400</v>
      </c>
      <c r="H15" s="20">
        <v>200000</v>
      </c>
      <c r="I15" s="22">
        <v>1029</v>
      </c>
      <c r="J15" s="66">
        <f t="shared" si="1"/>
        <v>0.2446043165467626</v>
      </c>
      <c r="K15" s="67">
        <f t="shared" si="0"/>
        <v>0.20576131687242799</v>
      </c>
      <c r="L15" s="68">
        <f t="shared" si="0"/>
        <v>0.19</v>
      </c>
    </row>
    <row r="16" spans="1:12" x14ac:dyDescent="0.25">
      <c r="A16" s="48" t="s">
        <v>86</v>
      </c>
      <c r="B16" s="21">
        <v>61000</v>
      </c>
      <c r="C16" s="20">
        <v>39600</v>
      </c>
      <c r="D16" s="20">
        <v>50500</v>
      </c>
      <c r="E16" s="22">
        <v>1275</v>
      </c>
      <c r="F16" s="21">
        <v>319200</v>
      </c>
      <c r="G16" s="20">
        <v>230600</v>
      </c>
      <c r="H16" s="20">
        <v>293700</v>
      </c>
      <c r="I16" s="22">
        <v>1274</v>
      </c>
      <c r="J16" s="66">
        <f t="shared" si="1"/>
        <v>0.19110275689223058</v>
      </c>
      <c r="K16" s="67">
        <f t="shared" si="0"/>
        <v>0.1717259323503903</v>
      </c>
      <c r="L16" s="68">
        <f t="shared" si="0"/>
        <v>0.17194416070820565</v>
      </c>
    </row>
    <row r="17" spans="1:12" x14ac:dyDescent="0.25">
      <c r="A17" s="48" t="s">
        <v>87</v>
      </c>
      <c r="B17" s="21">
        <v>54000</v>
      </c>
      <c r="C17" s="20">
        <v>39700</v>
      </c>
      <c r="D17" s="20">
        <v>45700</v>
      </c>
      <c r="E17" s="22">
        <v>1151</v>
      </c>
      <c r="F17" s="21">
        <v>350000</v>
      </c>
      <c r="G17" s="20">
        <v>255000</v>
      </c>
      <c r="H17" s="20">
        <v>340000</v>
      </c>
      <c r="I17" s="22">
        <v>1333</v>
      </c>
      <c r="J17" s="66">
        <f t="shared" si="1"/>
        <v>0.15428571428571428</v>
      </c>
      <c r="K17" s="67">
        <f t="shared" si="0"/>
        <v>0.15568627450980393</v>
      </c>
      <c r="L17" s="68">
        <f t="shared" si="0"/>
        <v>0.13441176470588234</v>
      </c>
    </row>
    <row r="18" spans="1:12" x14ac:dyDescent="0.25">
      <c r="A18" s="48" t="s">
        <v>88</v>
      </c>
      <c r="B18" s="21">
        <v>56000</v>
      </c>
      <c r="C18" s="20">
        <v>36000</v>
      </c>
      <c r="D18" s="20">
        <v>40000</v>
      </c>
      <c r="E18" s="22">
        <v>1111</v>
      </c>
      <c r="F18" s="21">
        <v>340000</v>
      </c>
      <c r="G18" s="20">
        <v>244000</v>
      </c>
      <c r="H18" s="20">
        <v>330000</v>
      </c>
      <c r="I18" s="22">
        <v>1352</v>
      </c>
      <c r="J18" s="66">
        <f t="shared" si="1"/>
        <v>0.16470588235294117</v>
      </c>
      <c r="K18" s="67">
        <f t="shared" si="0"/>
        <v>0.14754098360655737</v>
      </c>
      <c r="L18" s="68">
        <f t="shared" si="0"/>
        <v>0.12121212121212122</v>
      </c>
    </row>
    <row r="19" spans="1:12" x14ac:dyDescent="0.25">
      <c r="A19" s="48" t="s">
        <v>89</v>
      </c>
      <c r="B19" s="21">
        <v>44000</v>
      </c>
      <c r="C19" s="20">
        <v>31200</v>
      </c>
      <c r="D19" s="20">
        <v>31000</v>
      </c>
      <c r="E19" s="22">
        <v>994</v>
      </c>
      <c r="F19" s="21">
        <v>345000</v>
      </c>
      <c r="G19" s="20">
        <v>238000</v>
      </c>
      <c r="H19" s="20">
        <v>310000</v>
      </c>
      <c r="I19" s="22">
        <v>1303</v>
      </c>
      <c r="J19" s="66">
        <f t="shared" si="1"/>
        <v>0.12753623188405797</v>
      </c>
      <c r="K19" s="67">
        <f t="shared" si="0"/>
        <v>0.13109243697478992</v>
      </c>
      <c r="L19" s="68">
        <f t="shared" si="0"/>
        <v>0.1</v>
      </c>
    </row>
    <row r="20" spans="1:12" x14ac:dyDescent="0.25">
      <c r="A20" s="48" t="s">
        <v>90</v>
      </c>
      <c r="B20" s="21">
        <v>40000</v>
      </c>
      <c r="C20" s="20">
        <v>30400</v>
      </c>
      <c r="D20" s="20">
        <v>30000</v>
      </c>
      <c r="E20" s="22">
        <v>987</v>
      </c>
      <c r="F20" s="21">
        <v>278000</v>
      </c>
      <c r="G20" s="20">
        <v>182200</v>
      </c>
      <c r="H20" s="20">
        <v>188000</v>
      </c>
      <c r="I20" s="22">
        <v>1032</v>
      </c>
      <c r="J20" s="66">
        <f t="shared" si="1"/>
        <v>0.14388489208633093</v>
      </c>
      <c r="K20" s="67">
        <f t="shared" si="0"/>
        <v>0.16684961580680571</v>
      </c>
      <c r="L20" s="68">
        <f t="shared" si="0"/>
        <v>0.15957446808510639</v>
      </c>
    </row>
    <row r="21" spans="1:12" x14ac:dyDescent="0.25">
      <c r="A21" s="48" t="s">
        <v>91</v>
      </c>
      <c r="B21" s="21">
        <v>34800</v>
      </c>
      <c r="C21" s="20">
        <v>27200</v>
      </c>
      <c r="D21" s="20">
        <v>26600</v>
      </c>
      <c r="E21" s="22">
        <v>978</v>
      </c>
      <c r="F21" s="21">
        <v>338200</v>
      </c>
      <c r="G21" s="20">
        <v>187400</v>
      </c>
      <c r="H21" s="20">
        <v>238000</v>
      </c>
      <c r="I21" s="22">
        <v>1270</v>
      </c>
      <c r="J21" s="66">
        <f t="shared" si="1"/>
        <v>0.1028976936723832</v>
      </c>
      <c r="K21" s="67">
        <f t="shared" si="0"/>
        <v>0.14514407684098185</v>
      </c>
      <c r="L21" s="68">
        <f t="shared" si="0"/>
        <v>0.11176470588235295</v>
      </c>
    </row>
    <row r="22" spans="1:12" x14ac:dyDescent="0.25">
      <c r="A22" s="48" t="s">
        <v>92</v>
      </c>
      <c r="B22" s="21">
        <v>33100</v>
      </c>
      <c r="C22" s="20">
        <v>28800</v>
      </c>
      <c r="D22" s="20">
        <v>28600</v>
      </c>
      <c r="E22" s="22">
        <v>993</v>
      </c>
      <c r="F22" s="21">
        <v>236000</v>
      </c>
      <c r="G22" s="20">
        <v>131800</v>
      </c>
      <c r="H22" s="20">
        <v>154000</v>
      </c>
      <c r="I22" s="22">
        <v>1168</v>
      </c>
      <c r="J22" s="66">
        <f t="shared" si="1"/>
        <v>0.1402542372881356</v>
      </c>
      <c r="K22" s="67">
        <f t="shared" si="0"/>
        <v>0.21851289833080426</v>
      </c>
      <c r="L22" s="68">
        <f t="shared" si="0"/>
        <v>0.18571428571428572</v>
      </c>
    </row>
    <row r="23" spans="1:12" x14ac:dyDescent="0.25">
      <c r="A23" s="48" t="s">
        <v>93</v>
      </c>
      <c r="B23" s="21">
        <v>39500</v>
      </c>
      <c r="C23" s="20">
        <v>34600</v>
      </c>
      <c r="D23" s="20">
        <v>35500</v>
      </c>
      <c r="E23" s="22">
        <v>1026</v>
      </c>
      <c r="F23" s="21">
        <v>224000</v>
      </c>
      <c r="G23" s="20">
        <v>160200</v>
      </c>
      <c r="H23" s="20">
        <v>178600</v>
      </c>
      <c r="I23" s="22">
        <v>1115</v>
      </c>
      <c r="J23" s="66">
        <f t="shared" si="1"/>
        <v>0.17633928571428573</v>
      </c>
      <c r="K23" s="67">
        <f t="shared" si="0"/>
        <v>0.21598002496878901</v>
      </c>
      <c r="L23" s="68">
        <f t="shared" si="0"/>
        <v>0.19876819708846585</v>
      </c>
    </row>
    <row r="24" spans="1:12" x14ac:dyDescent="0.25">
      <c r="A24" s="48" t="s">
        <v>94</v>
      </c>
      <c r="B24" s="21">
        <v>33000</v>
      </c>
      <c r="C24" s="20">
        <v>27640</v>
      </c>
      <c r="D24" s="20">
        <v>28000</v>
      </c>
      <c r="E24" s="22">
        <v>1013</v>
      </c>
      <c r="F24" s="21">
        <v>207300</v>
      </c>
      <c r="G24" s="20">
        <v>113700</v>
      </c>
      <c r="H24" s="20">
        <v>136000</v>
      </c>
      <c r="I24" s="22">
        <v>1196</v>
      </c>
      <c r="J24" s="66">
        <f t="shared" si="1"/>
        <v>0.15918958031837915</v>
      </c>
      <c r="K24" s="67">
        <f t="shared" si="0"/>
        <v>0.24309586631486368</v>
      </c>
      <c r="L24" s="68">
        <f t="shared" si="0"/>
        <v>0.20588235294117646</v>
      </c>
    </row>
    <row r="25" spans="1:12" x14ac:dyDescent="0.25">
      <c r="A25" s="48" t="s">
        <v>95</v>
      </c>
      <c r="B25" s="21">
        <v>31300</v>
      </c>
      <c r="C25" s="20">
        <v>25100</v>
      </c>
      <c r="D25" s="20">
        <v>24500</v>
      </c>
      <c r="E25" s="22">
        <v>976</v>
      </c>
      <c r="F25" s="21">
        <v>228000</v>
      </c>
      <c r="G25" s="20">
        <v>125400</v>
      </c>
      <c r="H25" s="20">
        <v>158000</v>
      </c>
      <c r="I25" s="22">
        <v>1260</v>
      </c>
      <c r="J25" s="66">
        <f t="shared" si="1"/>
        <v>0.13728070175438598</v>
      </c>
      <c r="K25" s="67">
        <f t="shared" si="0"/>
        <v>0.20015948963317384</v>
      </c>
      <c r="L25" s="68">
        <f t="shared" si="0"/>
        <v>0.1550632911392405</v>
      </c>
    </row>
    <row r="26" spans="1:12" x14ac:dyDescent="0.25">
      <c r="A26" s="48" t="s">
        <v>96</v>
      </c>
      <c r="B26" s="21">
        <v>26000</v>
      </c>
      <c r="C26" s="20">
        <v>20800</v>
      </c>
      <c r="D26" s="20">
        <v>19800</v>
      </c>
      <c r="E26" s="22">
        <v>952</v>
      </c>
      <c r="F26" s="21">
        <v>176000</v>
      </c>
      <c r="G26" s="20">
        <v>93900</v>
      </c>
      <c r="H26" s="20">
        <v>107000</v>
      </c>
      <c r="I26" s="22">
        <v>1140</v>
      </c>
      <c r="J26" s="66">
        <f t="shared" si="1"/>
        <v>0.14772727272727273</v>
      </c>
      <c r="K26" s="67">
        <f t="shared" si="1"/>
        <v>0.2215122470713525</v>
      </c>
      <c r="L26" s="68">
        <f t="shared" si="1"/>
        <v>0.18504672897196262</v>
      </c>
    </row>
    <row r="27" spans="1:12" x14ac:dyDescent="0.25">
      <c r="A27" s="48" t="s">
        <v>97</v>
      </c>
      <c r="B27" s="21">
        <v>14000</v>
      </c>
      <c r="C27" s="20">
        <v>9800</v>
      </c>
      <c r="D27" s="20">
        <v>9800</v>
      </c>
      <c r="E27" s="22">
        <v>1000</v>
      </c>
      <c r="F27" s="21">
        <v>136200</v>
      </c>
      <c r="G27" s="20">
        <v>62200</v>
      </c>
      <c r="H27" s="20">
        <v>76900</v>
      </c>
      <c r="I27" s="22">
        <v>1236</v>
      </c>
      <c r="J27" s="66">
        <f t="shared" si="1"/>
        <v>0.10279001468428781</v>
      </c>
      <c r="K27" s="67">
        <f t="shared" si="1"/>
        <v>0.15755627009646303</v>
      </c>
      <c r="L27" s="68">
        <f t="shared" si="1"/>
        <v>0.12743823146944083</v>
      </c>
    </row>
    <row r="28" spans="1:12" x14ac:dyDescent="0.25">
      <c r="A28" s="48" t="s">
        <v>98</v>
      </c>
      <c r="B28" s="21">
        <v>14000</v>
      </c>
      <c r="C28" s="20">
        <v>10800</v>
      </c>
      <c r="D28" s="20">
        <v>12000</v>
      </c>
      <c r="E28" s="22">
        <v>1111</v>
      </c>
      <c r="F28" s="21">
        <v>106300</v>
      </c>
      <c r="G28" s="20">
        <v>58500</v>
      </c>
      <c r="H28" s="20">
        <v>80000</v>
      </c>
      <c r="I28" s="22">
        <v>1368</v>
      </c>
      <c r="J28" s="66">
        <f t="shared" si="1"/>
        <v>0.13170272812793979</v>
      </c>
      <c r="K28" s="67">
        <f t="shared" si="1"/>
        <v>0.18461538461538463</v>
      </c>
      <c r="L28" s="68">
        <f t="shared" si="1"/>
        <v>0.15</v>
      </c>
    </row>
    <row r="29" spans="1:12" x14ac:dyDescent="0.25">
      <c r="A29" s="48" t="s">
        <v>99</v>
      </c>
      <c r="B29" s="21">
        <v>11400</v>
      </c>
      <c r="C29" s="20">
        <v>2950</v>
      </c>
      <c r="D29" s="20">
        <v>2690</v>
      </c>
      <c r="E29" s="22">
        <v>912</v>
      </c>
      <c r="F29" s="21">
        <v>87200</v>
      </c>
      <c r="G29" s="20">
        <v>25710</v>
      </c>
      <c r="H29" s="20">
        <v>30000</v>
      </c>
      <c r="I29" s="22">
        <v>1167</v>
      </c>
      <c r="J29" s="66">
        <f t="shared" si="1"/>
        <v>0.13073394495412843</v>
      </c>
      <c r="K29" s="67">
        <f t="shared" si="1"/>
        <v>0.11474134577985219</v>
      </c>
      <c r="L29" s="68">
        <f t="shared" si="1"/>
        <v>8.9666666666666672E-2</v>
      </c>
    </row>
    <row r="30" spans="1:12" x14ac:dyDescent="0.25">
      <c r="A30" s="48" t="s">
        <v>100</v>
      </c>
      <c r="B30" s="21">
        <v>13200</v>
      </c>
      <c r="C30" s="20">
        <v>3700</v>
      </c>
      <c r="D30" s="20">
        <v>3000</v>
      </c>
      <c r="E30" s="22">
        <v>811</v>
      </c>
      <c r="F30" s="21">
        <v>105300</v>
      </c>
      <c r="G30" s="20">
        <v>49400</v>
      </c>
      <c r="H30" s="20">
        <v>65300</v>
      </c>
      <c r="I30" s="22">
        <v>1322</v>
      </c>
      <c r="J30" s="66">
        <f t="shared" si="1"/>
        <v>0.12535612535612536</v>
      </c>
      <c r="K30" s="67">
        <f t="shared" si="1"/>
        <v>7.4898785425101214E-2</v>
      </c>
      <c r="L30" s="68">
        <f t="shared" si="1"/>
        <v>4.5941807044410414E-2</v>
      </c>
    </row>
    <row r="31" spans="1:12" x14ac:dyDescent="0.25">
      <c r="A31" s="48" t="s">
        <v>101</v>
      </c>
      <c r="B31" s="21">
        <v>10000</v>
      </c>
      <c r="C31" s="20">
        <v>5000</v>
      </c>
      <c r="D31" s="20">
        <v>9000</v>
      </c>
      <c r="E31" s="22">
        <v>1800</v>
      </c>
      <c r="F31" s="21">
        <v>148000</v>
      </c>
      <c r="G31" s="20">
        <v>90000</v>
      </c>
      <c r="H31" s="20">
        <v>136000</v>
      </c>
      <c r="I31" s="22">
        <v>1511</v>
      </c>
      <c r="J31" s="66">
        <f t="shared" si="1"/>
        <v>6.7567567567567571E-2</v>
      </c>
      <c r="K31" s="67">
        <f t="shared" si="1"/>
        <v>5.5555555555555552E-2</v>
      </c>
      <c r="L31" s="68">
        <f t="shared" si="1"/>
        <v>6.6176470588235295E-2</v>
      </c>
    </row>
    <row r="32" spans="1:12" x14ac:dyDescent="0.25">
      <c r="A32" s="48" t="s">
        <v>102</v>
      </c>
      <c r="B32" s="21">
        <v>7000</v>
      </c>
      <c r="C32" s="20">
        <v>6500</v>
      </c>
      <c r="D32" s="20">
        <v>13000</v>
      </c>
      <c r="E32" s="22">
        <v>2000</v>
      </c>
      <c r="F32" s="21">
        <v>122000</v>
      </c>
      <c r="G32" s="20">
        <v>72500</v>
      </c>
      <c r="H32" s="20">
        <v>117000</v>
      </c>
      <c r="I32" s="22">
        <v>1614</v>
      </c>
      <c r="J32" s="66">
        <f t="shared" si="1"/>
        <v>5.737704918032787E-2</v>
      </c>
      <c r="K32" s="67">
        <f t="shared" si="1"/>
        <v>8.9655172413793102E-2</v>
      </c>
      <c r="L32" s="68">
        <f t="shared" si="1"/>
        <v>0.1111111111111111</v>
      </c>
    </row>
    <row r="33" spans="1:12" x14ac:dyDescent="0.25">
      <c r="A33" s="48" t="s">
        <v>103</v>
      </c>
      <c r="B33" s="21">
        <v>3000</v>
      </c>
      <c r="C33" s="20">
        <v>3000</v>
      </c>
      <c r="D33" s="20">
        <v>6300</v>
      </c>
      <c r="E33" s="22">
        <v>2100</v>
      </c>
      <c r="F33" s="21">
        <v>57700</v>
      </c>
      <c r="G33" s="20">
        <v>35700</v>
      </c>
      <c r="H33" s="20">
        <v>59300</v>
      </c>
      <c r="I33" s="22">
        <v>1661</v>
      </c>
      <c r="J33" s="66">
        <f t="shared" si="1"/>
        <v>5.1993067590987867E-2</v>
      </c>
      <c r="K33" s="67">
        <f t="shared" si="1"/>
        <v>8.4033613445378158E-2</v>
      </c>
      <c r="L33" s="68">
        <f t="shared" si="1"/>
        <v>0.10623946037099494</v>
      </c>
    </row>
    <row r="34" spans="1:12" x14ac:dyDescent="0.25">
      <c r="A34" s="48" t="s">
        <v>104</v>
      </c>
      <c r="B34" s="21">
        <v>3100</v>
      </c>
      <c r="C34" s="20">
        <v>3100</v>
      </c>
      <c r="D34" s="20">
        <v>6300</v>
      </c>
      <c r="E34" s="22">
        <v>2032</v>
      </c>
      <c r="F34" s="21">
        <v>69200</v>
      </c>
      <c r="G34" s="20">
        <v>35800</v>
      </c>
      <c r="H34" s="20">
        <v>52500</v>
      </c>
      <c r="I34" s="22">
        <v>1466</v>
      </c>
      <c r="J34" s="66">
        <f t="shared" si="1"/>
        <v>4.4797687861271675E-2</v>
      </c>
      <c r="K34" s="67">
        <f t="shared" si="1"/>
        <v>8.6592178770949726E-2</v>
      </c>
      <c r="L34" s="68">
        <f t="shared" si="1"/>
        <v>0.12</v>
      </c>
    </row>
    <row r="35" spans="1:12" x14ac:dyDescent="0.25">
      <c r="A35" s="48" t="s">
        <v>105</v>
      </c>
      <c r="B35" s="21">
        <v>5800</v>
      </c>
      <c r="C35" s="20">
        <v>5000</v>
      </c>
      <c r="D35" s="20">
        <v>8320</v>
      </c>
      <c r="E35" s="22">
        <v>1664</v>
      </c>
      <c r="F35" s="21">
        <v>86700</v>
      </c>
      <c r="G35" s="20">
        <v>48025</v>
      </c>
      <c r="H35" s="20">
        <v>65450</v>
      </c>
      <c r="I35" s="22">
        <v>1363</v>
      </c>
      <c r="J35" s="66">
        <f t="shared" si="1"/>
        <v>6.6897347174163777E-2</v>
      </c>
      <c r="K35" s="67">
        <f t="shared" si="1"/>
        <v>0.10411244143675169</v>
      </c>
      <c r="L35" s="68">
        <f t="shared" si="1"/>
        <v>0.12711993888464476</v>
      </c>
    </row>
    <row r="36" spans="1:12" x14ac:dyDescent="0.25">
      <c r="A36" s="48" t="s">
        <v>106</v>
      </c>
      <c r="B36" s="21">
        <v>8100</v>
      </c>
      <c r="C36" s="20">
        <v>7060</v>
      </c>
      <c r="D36" s="20">
        <v>9186</v>
      </c>
      <c r="E36" s="22">
        <v>1301</v>
      </c>
      <c r="F36" s="21">
        <v>89000</v>
      </c>
      <c r="G36" s="20">
        <v>44460</v>
      </c>
      <c r="H36" s="20">
        <v>46819</v>
      </c>
      <c r="I36" s="22">
        <v>1053</v>
      </c>
      <c r="J36" s="66">
        <f t="shared" si="1"/>
        <v>9.1011235955056183E-2</v>
      </c>
      <c r="K36" s="67">
        <f t="shared" si="1"/>
        <v>0.15879442195231669</v>
      </c>
      <c r="L36" s="68">
        <f t="shared" si="1"/>
        <v>0.19620239646297444</v>
      </c>
    </row>
    <row r="37" spans="1:12" x14ac:dyDescent="0.25">
      <c r="A37" s="48" t="s">
        <v>23</v>
      </c>
      <c r="B37" s="21">
        <v>6010</v>
      </c>
      <c r="C37" s="20">
        <v>1470</v>
      </c>
      <c r="D37" s="20">
        <v>1534</v>
      </c>
      <c r="E37" s="22">
        <v>1044</v>
      </c>
      <c r="F37" s="21">
        <v>121310</v>
      </c>
      <c r="G37" s="20">
        <v>43120</v>
      </c>
      <c r="H37" s="20">
        <v>44224</v>
      </c>
      <c r="I37" s="22">
        <v>1026</v>
      </c>
      <c r="J37" s="66">
        <f t="shared" si="1"/>
        <v>4.9542494435743135E-2</v>
      </c>
      <c r="K37" s="67">
        <f t="shared" si="1"/>
        <v>3.4090909090909088E-2</v>
      </c>
      <c r="L37" s="68">
        <f t="shared" si="1"/>
        <v>3.4687047756874097E-2</v>
      </c>
    </row>
    <row r="38" spans="1:12" x14ac:dyDescent="0.25">
      <c r="A38" s="48" t="s">
        <v>24</v>
      </c>
      <c r="B38" s="21">
        <v>6010</v>
      </c>
      <c r="C38" s="20">
        <v>4610</v>
      </c>
      <c r="D38" s="20">
        <v>5903</v>
      </c>
      <c r="E38" s="22">
        <v>1280</v>
      </c>
      <c r="F38" s="21">
        <v>106510</v>
      </c>
      <c r="G38" s="20">
        <v>36755</v>
      </c>
      <c r="H38" s="20">
        <v>46185</v>
      </c>
      <c r="I38" s="22">
        <v>1257</v>
      </c>
      <c r="J38" s="66">
        <f t="shared" si="1"/>
        <v>5.6426626607830252E-2</v>
      </c>
      <c r="K38" s="67">
        <f t="shared" si="1"/>
        <v>0.12542511222962863</v>
      </c>
      <c r="L38" s="68">
        <f t="shared" si="1"/>
        <v>0.12781206019270325</v>
      </c>
    </row>
    <row r="39" spans="1:12" x14ac:dyDescent="0.25">
      <c r="A39" s="48" t="s">
        <v>25</v>
      </c>
      <c r="B39" s="21">
        <v>4000</v>
      </c>
      <c r="C39" s="20">
        <v>3300</v>
      </c>
      <c r="D39" s="20">
        <v>5300</v>
      </c>
      <c r="E39" s="22">
        <v>1606</v>
      </c>
      <c r="F39" s="21">
        <v>88900</v>
      </c>
      <c r="G39" s="20">
        <v>32250</v>
      </c>
      <c r="H39" s="20">
        <v>45660</v>
      </c>
      <c r="I39" s="22">
        <v>1416</v>
      </c>
      <c r="J39" s="66">
        <f t="shared" si="1"/>
        <v>4.4994375703037118E-2</v>
      </c>
      <c r="K39" s="67">
        <f t="shared" si="1"/>
        <v>0.10232558139534884</v>
      </c>
      <c r="L39" s="68">
        <f t="shared" si="1"/>
        <v>0.11607533946561542</v>
      </c>
    </row>
    <row r="40" spans="1:12" x14ac:dyDescent="0.25">
      <c r="A40" s="48" t="s">
        <v>26</v>
      </c>
      <c r="B40" s="21">
        <v>4000</v>
      </c>
      <c r="C40" s="20">
        <v>3000</v>
      </c>
      <c r="D40" s="20">
        <v>4960</v>
      </c>
      <c r="E40" s="22">
        <v>1653</v>
      </c>
      <c r="F40" s="21">
        <v>91100</v>
      </c>
      <c r="G40" s="20">
        <v>30810</v>
      </c>
      <c r="H40" s="20">
        <v>47620</v>
      </c>
      <c r="I40" s="22">
        <v>1546</v>
      </c>
      <c r="J40" s="66">
        <f t="shared" si="1"/>
        <v>4.3907793633369926E-2</v>
      </c>
      <c r="K40" s="67">
        <f t="shared" si="1"/>
        <v>9.7370983446932818E-2</v>
      </c>
      <c r="L40" s="68">
        <f t="shared" si="1"/>
        <v>0.10415791684166317</v>
      </c>
    </row>
    <row r="41" spans="1:12" x14ac:dyDescent="0.25">
      <c r="A41" s="48" t="s">
        <v>27</v>
      </c>
      <c r="B41" s="21">
        <v>3500</v>
      </c>
      <c r="C41" s="20">
        <v>2700</v>
      </c>
      <c r="D41" s="20">
        <v>4310</v>
      </c>
      <c r="E41" s="22">
        <v>1596</v>
      </c>
      <c r="F41" s="21">
        <v>79500</v>
      </c>
      <c r="G41" s="20">
        <v>17680</v>
      </c>
      <c r="H41" s="20">
        <v>31210</v>
      </c>
      <c r="I41" s="22">
        <v>1765</v>
      </c>
      <c r="J41" s="66">
        <f t="shared" si="1"/>
        <v>4.40251572327044E-2</v>
      </c>
      <c r="K41" s="67">
        <f t="shared" si="1"/>
        <v>0.15271493212669685</v>
      </c>
      <c r="L41" s="68">
        <f t="shared" si="1"/>
        <v>0.13809676385773789</v>
      </c>
    </row>
    <row r="42" spans="1:12" x14ac:dyDescent="0.25">
      <c r="A42" s="48" t="s">
        <v>28</v>
      </c>
      <c r="B42" s="21">
        <v>1500</v>
      </c>
      <c r="C42" s="20">
        <v>600</v>
      </c>
      <c r="D42" s="20">
        <v>960</v>
      </c>
      <c r="E42" s="22">
        <v>1600</v>
      </c>
      <c r="F42" s="21">
        <v>55200</v>
      </c>
      <c r="G42" s="20">
        <v>14730</v>
      </c>
      <c r="H42" s="20">
        <v>28070</v>
      </c>
      <c r="I42" s="22">
        <v>1906</v>
      </c>
      <c r="J42" s="66">
        <f t="shared" si="1"/>
        <v>2.717391304347826E-2</v>
      </c>
      <c r="K42" s="67">
        <f t="shared" si="1"/>
        <v>4.0733197556008148E-2</v>
      </c>
      <c r="L42" s="68">
        <f t="shared" si="1"/>
        <v>3.4200213751335945E-2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49850</v>
      </c>
      <c r="G43" s="20">
        <v>11850</v>
      </c>
      <c r="H43" s="20">
        <v>21850</v>
      </c>
      <c r="I43" s="22">
        <v>1844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>
        <v>49800</v>
      </c>
      <c r="G44" s="20">
        <v>7207</v>
      </c>
      <c r="H44" s="20">
        <v>11375</v>
      </c>
      <c r="I44" s="22">
        <v>1578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27638</v>
      </c>
      <c r="G45" s="20">
        <v>9368</v>
      </c>
      <c r="H45" s="20">
        <v>16276</v>
      </c>
      <c r="I45" s="22">
        <v>1737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30710</v>
      </c>
      <c r="G46" s="20">
        <v>9770</v>
      </c>
      <c r="H46" s="20">
        <v>15518</v>
      </c>
      <c r="I46" s="22">
        <v>1588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38310</v>
      </c>
      <c r="G47" s="20">
        <v>10230</v>
      </c>
      <c r="H47" s="20">
        <v>14484</v>
      </c>
      <c r="I47" s="22">
        <v>1416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41965</v>
      </c>
      <c r="G48" s="20">
        <v>10475</v>
      </c>
      <c r="H48" s="20">
        <v>14824</v>
      </c>
      <c r="I48" s="22">
        <v>1415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25930</v>
      </c>
      <c r="G49" s="20">
        <v>3410</v>
      </c>
      <c r="H49" s="20">
        <v>5880</v>
      </c>
      <c r="I49" s="22">
        <v>1724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32800</v>
      </c>
      <c r="G50" s="20">
        <v>6675</v>
      </c>
      <c r="H50" s="20">
        <v>9115</v>
      </c>
      <c r="I50" s="22">
        <v>1366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36700</v>
      </c>
      <c r="G51" s="20">
        <v>4700</v>
      </c>
      <c r="H51" s="20">
        <v>7990</v>
      </c>
      <c r="I51" s="22">
        <v>1700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>
        <v>41700</v>
      </c>
      <c r="G52" s="20">
        <v>9890</v>
      </c>
      <c r="H52" s="20">
        <v>17414</v>
      </c>
      <c r="I52" s="22">
        <v>1761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41350</v>
      </c>
      <c r="G53" s="20">
        <v>6120</v>
      </c>
      <c r="H53" s="20">
        <v>11192</v>
      </c>
      <c r="I53" s="22">
        <v>1829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16170</v>
      </c>
      <c r="G54" s="20">
        <v>2250</v>
      </c>
      <c r="H54" s="20">
        <v>2670</v>
      </c>
      <c r="I54" s="22">
        <v>1187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11120</v>
      </c>
      <c r="G55" s="20">
        <v>2040</v>
      </c>
      <c r="H55" s="20">
        <v>4640</v>
      </c>
      <c r="I55" s="22">
        <v>2275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12980</v>
      </c>
      <c r="G56" s="20">
        <v>4420</v>
      </c>
      <c r="H56" s="20">
        <v>6867</v>
      </c>
      <c r="I56" s="22">
        <v>1554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6940</v>
      </c>
      <c r="G57" s="20">
        <v>2770</v>
      </c>
      <c r="H57" s="20">
        <v>5328</v>
      </c>
      <c r="I57" s="22">
        <v>1923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6380</v>
      </c>
      <c r="G58" s="20">
        <v>1800</v>
      </c>
      <c r="H58" s="20">
        <v>2254</v>
      </c>
      <c r="I58" s="22">
        <v>1252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7998</v>
      </c>
      <c r="G59" s="20">
        <v>2188</v>
      </c>
      <c r="H59" s="20">
        <v>4140</v>
      </c>
      <c r="I59" s="22">
        <v>1892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11173</v>
      </c>
      <c r="G60" s="20">
        <v>3513</v>
      </c>
      <c r="H60" s="20">
        <v>5441</v>
      </c>
      <c r="I60" s="22">
        <v>1549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>
        <v>17360</v>
      </c>
      <c r="G61" s="20">
        <v>6240</v>
      </c>
      <c r="H61" s="20">
        <v>9508</v>
      </c>
      <c r="I61" s="22">
        <v>1524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>
        <v>22850</v>
      </c>
      <c r="G62" s="20">
        <v>5824</v>
      </c>
      <c r="H62" s="20">
        <v>9480</v>
      </c>
      <c r="I62" s="22">
        <v>1628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26841</v>
      </c>
      <c r="G63" s="20">
        <v>7254</v>
      </c>
      <c r="H63" s="20">
        <v>9746</v>
      </c>
      <c r="I63" s="22">
        <v>1344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>
        <v>22522</v>
      </c>
      <c r="G64" s="20">
        <v>5682</v>
      </c>
      <c r="H64" s="20">
        <v>6630</v>
      </c>
      <c r="I64" s="22">
        <v>1167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>
        <v>22867</v>
      </c>
      <c r="G65" s="20">
        <v>4804</v>
      </c>
      <c r="H65" s="20">
        <v>6626</v>
      </c>
      <c r="I65" s="22">
        <v>1379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B4457DC4-4810-4104-AEC8-B234FCE4997C}"/>
  </hyperlinks>
  <pageMargins left="0.7" right="0.7" top="0.75" bottom="0.75" header="0.3" footer="0.3"/>
  <pageSetup paperSize="9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0E68-9D46-4F95-8124-F8ED38FE4602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5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632000</v>
      </c>
      <c r="C10" s="40">
        <v>377700</v>
      </c>
      <c r="D10" s="40">
        <v>868000</v>
      </c>
      <c r="E10" s="50">
        <v>2298</v>
      </c>
      <c r="F10" s="41">
        <v>2567500</v>
      </c>
      <c r="G10" s="40">
        <v>1872300</v>
      </c>
      <c r="H10" s="40">
        <v>3820000</v>
      </c>
      <c r="I10" s="50">
        <v>2040</v>
      </c>
      <c r="J10" s="63">
        <f>B10/F10</f>
        <v>0.24615384615384617</v>
      </c>
      <c r="K10" s="64">
        <f t="shared" ref="K10:L25" si="0">C10/G10</f>
        <v>0.20173049190834802</v>
      </c>
      <c r="L10" s="65">
        <f t="shared" si="0"/>
        <v>0.22722513089005236</v>
      </c>
    </row>
    <row r="11" spans="1:12" x14ac:dyDescent="0.25">
      <c r="A11" s="48" t="s">
        <v>81</v>
      </c>
      <c r="B11" s="21">
        <v>730000</v>
      </c>
      <c r="C11" s="20">
        <v>462000</v>
      </c>
      <c r="D11" s="20">
        <v>966000</v>
      </c>
      <c r="E11" s="22">
        <v>2091</v>
      </c>
      <c r="F11" s="21">
        <v>3121600</v>
      </c>
      <c r="G11" s="20">
        <v>2234600</v>
      </c>
      <c r="H11" s="20">
        <v>4660000</v>
      </c>
      <c r="I11" s="22">
        <v>2085</v>
      </c>
      <c r="J11" s="66">
        <f t="shared" ref="J11:L65" si="1">B11/F11</f>
        <v>0.23385443362378266</v>
      </c>
      <c r="K11" s="67">
        <f t="shared" si="0"/>
        <v>0.20674841134878724</v>
      </c>
      <c r="L11" s="68">
        <f t="shared" si="0"/>
        <v>0.2072961373390558</v>
      </c>
    </row>
    <row r="12" spans="1:12" x14ac:dyDescent="0.25">
      <c r="A12" s="48" t="s">
        <v>82</v>
      </c>
      <c r="B12" s="21">
        <v>740000</v>
      </c>
      <c r="C12" s="20">
        <v>370000</v>
      </c>
      <c r="D12" s="20">
        <v>590000</v>
      </c>
      <c r="E12" s="22">
        <v>1595</v>
      </c>
      <c r="F12" s="21">
        <v>2759000</v>
      </c>
      <c r="G12" s="20">
        <v>1419400</v>
      </c>
      <c r="H12" s="20">
        <v>2360000</v>
      </c>
      <c r="I12" s="22">
        <v>1663</v>
      </c>
      <c r="J12" s="66">
        <f t="shared" si="1"/>
        <v>0.26821312069590431</v>
      </c>
      <c r="K12" s="67">
        <f t="shared" si="0"/>
        <v>0.2606735240242356</v>
      </c>
      <c r="L12" s="68">
        <f t="shared" si="0"/>
        <v>0.25</v>
      </c>
    </row>
    <row r="13" spans="1:12" x14ac:dyDescent="0.25">
      <c r="A13" s="48" t="s">
        <v>83</v>
      </c>
      <c r="B13" s="21">
        <v>700000</v>
      </c>
      <c r="C13" s="20">
        <v>439000</v>
      </c>
      <c r="D13" s="20">
        <v>1038000</v>
      </c>
      <c r="E13" s="22">
        <v>2364</v>
      </c>
      <c r="F13" s="21">
        <v>2974400</v>
      </c>
      <c r="G13" s="20">
        <v>2130800</v>
      </c>
      <c r="H13" s="20">
        <v>4960000</v>
      </c>
      <c r="I13" s="22">
        <v>2328</v>
      </c>
      <c r="J13" s="66">
        <f t="shared" si="1"/>
        <v>0.23534158149542764</v>
      </c>
      <c r="K13" s="67">
        <f t="shared" si="0"/>
        <v>0.20602590576309368</v>
      </c>
      <c r="L13" s="68">
        <f t="shared" si="0"/>
        <v>0.20927419354838708</v>
      </c>
    </row>
    <row r="14" spans="1:12" x14ac:dyDescent="0.25">
      <c r="A14" s="48" t="s">
        <v>84</v>
      </c>
      <c r="B14" s="21">
        <v>660000</v>
      </c>
      <c r="C14" s="20">
        <v>406000</v>
      </c>
      <c r="D14" s="20">
        <v>1000000</v>
      </c>
      <c r="E14" s="22">
        <v>2463</v>
      </c>
      <c r="F14" s="21">
        <v>3114000</v>
      </c>
      <c r="G14" s="20">
        <v>2323700</v>
      </c>
      <c r="H14" s="20">
        <v>5900000</v>
      </c>
      <c r="I14" s="22">
        <v>2539</v>
      </c>
      <c r="J14" s="66">
        <f t="shared" si="1"/>
        <v>0.2119460500963391</v>
      </c>
      <c r="K14" s="67">
        <f t="shared" si="0"/>
        <v>0.1747213495718036</v>
      </c>
      <c r="L14" s="68">
        <f t="shared" si="0"/>
        <v>0.16949152542372881</v>
      </c>
    </row>
    <row r="15" spans="1:12" x14ac:dyDescent="0.25">
      <c r="A15" s="48" t="s">
        <v>85</v>
      </c>
      <c r="B15" s="21">
        <v>480000</v>
      </c>
      <c r="C15" s="20">
        <v>317300</v>
      </c>
      <c r="D15" s="20">
        <v>790000</v>
      </c>
      <c r="E15" s="22">
        <v>2490</v>
      </c>
      <c r="F15" s="21">
        <v>2601800</v>
      </c>
      <c r="G15" s="20">
        <v>1937500</v>
      </c>
      <c r="H15" s="20">
        <v>4830000</v>
      </c>
      <c r="I15" s="22">
        <v>2493</v>
      </c>
      <c r="J15" s="66">
        <f t="shared" si="1"/>
        <v>0.18448766238757783</v>
      </c>
      <c r="K15" s="67">
        <f t="shared" si="0"/>
        <v>0.16376774193548388</v>
      </c>
      <c r="L15" s="68">
        <f t="shared" si="0"/>
        <v>0.16356107660455488</v>
      </c>
    </row>
    <row r="16" spans="1:12" x14ac:dyDescent="0.25">
      <c r="A16" s="48" t="s">
        <v>86</v>
      </c>
      <c r="B16" s="21">
        <v>440000</v>
      </c>
      <c r="C16" s="20">
        <v>348100</v>
      </c>
      <c r="D16" s="20">
        <v>1050000</v>
      </c>
      <c r="E16" s="22">
        <v>3016</v>
      </c>
      <c r="F16" s="21">
        <v>2357800</v>
      </c>
      <c r="G16" s="20">
        <v>1834400</v>
      </c>
      <c r="H16" s="20">
        <v>5060000</v>
      </c>
      <c r="I16" s="22">
        <v>2758</v>
      </c>
      <c r="J16" s="66">
        <f t="shared" si="1"/>
        <v>0.18661464076681653</v>
      </c>
      <c r="K16" s="67">
        <f t="shared" si="0"/>
        <v>0.18976232010466637</v>
      </c>
      <c r="L16" s="68">
        <f t="shared" si="0"/>
        <v>0.2075098814229249</v>
      </c>
    </row>
    <row r="17" spans="1:12" x14ac:dyDescent="0.25">
      <c r="A17" s="48" t="s">
        <v>87</v>
      </c>
      <c r="B17" s="21">
        <v>530000</v>
      </c>
      <c r="C17" s="20">
        <v>420000</v>
      </c>
      <c r="D17" s="20">
        <v>1230000</v>
      </c>
      <c r="E17" s="22">
        <v>2929</v>
      </c>
      <c r="F17" s="21">
        <v>2779950</v>
      </c>
      <c r="G17" s="20">
        <v>2377000</v>
      </c>
      <c r="H17" s="20">
        <v>6600000</v>
      </c>
      <c r="I17" s="22">
        <v>2777</v>
      </c>
      <c r="J17" s="66">
        <f t="shared" si="1"/>
        <v>0.1906509109876077</v>
      </c>
      <c r="K17" s="67">
        <f t="shared" si="0"/>
        <v>0.1766933108960875</v>
      </c>
      <c r="L17" s="68">
        <f t="shared" si="0"/>
        <v>0.18636363636363637</v>
      </c>
    </row>
    <row r="18" spans="1:12" x14ac:dyDescent="0.25">
      <c r="A18" s="48" t="s">
        <v>88</v>
      </c>
      <c r="B18" s="21">
        <v>534000</v>
      </c>
      <c r="C18" s="20">
        <v>412600</v>
      </c>
      <c r="D18" s="20">
        <v>1225000</v>
      </c>
      <c r="E18" s="22">
        <v>2969</v>
      </c>
      <c r="F18" s="21">
        <v>2649920</v>
      </c>
      <c r="G18" s="20">
        <v>2254000</v>
      </c>
      <c r="H18" s="20">
        <v>7200000</v>
      </c>
      <c r="I18" s="22">
        <v>3194</v>
      </c>
      <c r="J18" s="66">
        <f t="shared" si="1"/>
        <v>0.20151551744958338</v>
      </c>
      <c r="K18" s="67">
        <f t="shared" si="0"/>
        <v>0.18305235137533274</v>
      </c>
      <c r="L18" s="68">
        <f t="shared" si="0"/>
        <v>0.1701388888888889</v>
      </c>
    </row>
    <row r="19" spans="1:12" x14ac:dyDescent="0.25">
      <c r="A19" s="48" t="s">
        <v>89</v>
      </c>
      <c r="B19" s="21">
        <v>480000</v>
      </c>
      <c r="C19" s="20">
        <v>402400</v>
      </c>
      <c r="D19" s="20">
        <v>1058000</v>
      </c>
      <c r="E19" s="22">
        <v>2629</v>
      </c>
      <c r="F19" s="21">
        <v>2539970</v>
      </c>
      <c r="G19" s="20">
        <v>2044000</v>
      </c>
      <c r="H19" s="20">
        <v>6200000</v>
      </c>
      <c r="I19" s="22">
        <v>3033</v>
      </c>
      <c r="J19" s="66">
        <f t="shared" si="1"/>
        <v>0.18897860998358249</v>
      </c>
      <c r="K19" s="67">
        <f t="shared" si="0"/>
        <v>0.19686888454011742</v>
      </c>
      <c r="L19" s="68">
        <f t="shared" si="0"/>
        <v>0.17064516129032259</v>
      </c>
    </row>
    <row r="20" spans="1:12" x14ac:dyDescent="0.25">
      <c r="A20" s="48" t="s">
        <v>90</v>
      </c>
      <c r="B20" s="21">
        <v>394000</v>
      </c>
      <c r="C20" s="20">
        <v>327100</v>
      </c>
      <c r="D20" s="20">
        <v>796000</v>
      </c>
      <c r="E20" s="22">
        <v>2434</v>
      </c>
      <c r="F20" s="21">
        <v>1883970</v>
      </c>
      <c r="G20" s="20">
        <v>1279000</v>
      </c>
      <c r="H20" s="20">
        <v>2960000</v>
      </c>
      <c r="I20" s="22">
        <v>2314</v>
      </c>
      <c r="J20" s="66">
        <f t="shared" si="1"/>
        <v>0.20913284181807565</v>
      </c>
      <c r="K20" s="67">
        <f t="shared" si="0"/>
        <v>0.25574667709147769</v>
      </c>
      <c r="L20" s="68">
        <f t="shared" si="0"/>
        <v>0.26891891891891889</v>
      </c>
    </row>
    <row r="21" spans="1:12" x14ac:dyDescent="0.25">
      <c r="A21" s="48" t="s">
        <v>91</v>
      </c>
      <c r="B21" s="21">
        <v>416000</v>
      </c>
      <c r="C21" s="20">
        <v>306400</v>
      </c>
      <c r="D21" s="20">
        <v>1115000</v>
      </c>
      <c r="E21" s="22">
        <v>3639</v>
      </c>
      <c r="F21" s="21">
        <v>2399970</v>
      </c>
      <c r="G21" s="20">
        <v>2100000</v>
      </c>
      <c r="H21" s="20">
        <v>7550000</v>
      </c>
      <c r="I21" s="22">
        <v>3595</v>
      </c>
      <c r="J21" s="66">
        <f t="shared" si="1"/>
        <v>0.17333550002708367</v>
      </c>
      <c r="K21" s="67">
        <f t="shared" si="0"/>
        <v>0.1459047619047619</v>
      </c>
      <c r="L21" s="68">
        <f t="shared" si="0"/>
        <v>0.147682119205298</v>
      </c>
    </row>
    <row r="22" spans="1:12" x14ac:dyDescent="0.25">
      <c r="A22" s="48" t="s">
        <v>92</v>
      </c>
      <c r="B22" s="21">
        <v>396000</v>
      </c>
      <c r="C22" s="20">
        <v>371700</v>
      </c>
      <c r="D22" s="20">
        <v>1477000</v>
      </c>
      <c r="E22" s="22">
        <v>3974</v>
      </c>
      <c r="F22" s="21">
        <v>2711970</v>
      </c>
      <c r="G22" s="20">
        <v>2509970</v>
      </c>
      <c r="H22" s="20">
        <v>7999925</v>
      </c>
      <c r="I22" s="22">
        <v>3187</v>
      </c>
      <c r="J22" s="66">
        <f t="shared" si="1"/>
        <v>0.1460193143729466</v>
      </c>
      <c r="K22" s="67">
        <f t="shared" si="0"/>
        <v>0.14808941939545095</v>
      </c>
      <c r="L22" s="68">
        <f t="shared" si="0"/>
        <v>0.18462673087560197</v>
      </c>
    </row>
    <row r="23" spans="1:12" x14ac:dyDescent="0.25">
      <c r="A23" s="48" t="s">
        <v>93</v>
      </c>
      <c r="B23" s="21">
        <v>441000</v>
      </c>
      <c r="C23" s="20">
        <v>414400</v>
      </c>
      <c r="D23" s="20">
        <v>1330000</v>
      </c>
      <c r="E23" s="22">
        <v>3209</v>
      </c>
      <c r="F23" s="21">
        <v>2656950</v>
      </c>
      <c r="G23" s="20">
        <v>2519950</v>
      </c>
      <c r="H23" s="20">
        <v>8099900</v>
      </c>
      <c r="I23" s="22">
        <v>3214</v>
      </c>
      <c r="J23" s="66">
        <f t="shared" si="1"/>
        <v>0.16597978885564274</v>
      </c>
      <c r="K23" s="67">
        <f t="shared" si="0"/>
        <v>0.16444770729577968</v>
      </c>
      <c r="L23" s="68">
        <f t="shared" si="0"/>
        <v>0.1641995580192348</v>
      </c>
    </row>
    <row r="24" spans="1:12" x14ac:dyDescent="0.25">
      <c r="A24" s="48" t="s">
        <v>94</v>
      </c>
      <c r="B24" s="21">
        <v>438400</v>
      </c>
      <c r="C24" s="20">
        <v>412000</v>
      </c>
      <c r="D24" s="20">
        <v>1000000</v>
      </c>
      <c r="E24" s="22">
        <v>2427</v>
      </c>
      <c r="F24" s="21">
        <v>2549950</v>
      </c>
      <c r="G24" s="20">
        <v>2369950</v>
      </c>
      <c r="H24" s="20">
        <v>6899865</v>
      </c>
      <c r="I24" s="22">
        <v>2911</v>
      </c>
      <c r="J24" s="66">
        <f t="shared" si="1"/>
        <v>0.1719249397047001</v>
      </c>
      <c r="K24" s="67">
        <f t="shared" si="0"/>
        <v>0.17384333002805966</v>
      </c>
      <c r="L24" s="68">
        <f t="shared" si="0"/>
        <v>0.14493037182611543</v>
      </c>
    </row>
    <row r="25" spans="1:12" x14ac:dyDescent="0.25">
      <c r="A25" s="48" t="s">
        <v>95</v>
      </c>
      <c r="B25" s="21">
        <v>380000</v>
      </c>
      <c r="C25" s="20">
        <v>380000</v>
      </c>
      <c r="D25" s="20">
        <v>1072000</v>
      </c>
      <c r="E25" s="22">
        <v>2821</v>
      </c>
      <c r="F25" s="21">
        <v>2039900</v>
      </c>
      <c r="G25" s="20">
        <v>1964900</v>
      </c>
      <c r="H25" s="20">
        <v>6199700</v>
      </c>
      <c r="I25" s="22">
        <v>3155</v>
      </c>
      <c r="J25" s="66">
        <f t="shared" si="1"/>
        <v>0.18628364135496839</v>
      </c>
      <c r="K25" s="67">
        <f t="shared" si="0"/>
        <v>0.19339406585576874</v>
      </c>
      <c r="L25" s="68">
        <f t="shared" si="0"/>
        <v>0.17291159249641111</v>
      </c>
    </row>
    <row r="26" spans="1:12" x14ac:dyDescent="0.25">
      <c r="A26" s="48" t="s">
        <v>96</v>
      </c>
      <c r="B26" s="21">
        <v>229000</v>
      </c>
      <c r="C26" s="20">
        <v>203000</v>
      </c>
      <c r="D26" s="20">
        <v>623000</v>
      </c>
      <c r="E26" s="22">
        <v>3069</v>
      </c>
      <c r="F26" s="21">
        <v>1399950</v>
      </c>
      <c r="G26" s="20">
        <v>1279950</v>
      </c>
      <c r="H26" s="20">
        <v>3999875</v>
      </c>
      <c r="I26" s="22">
        <v>3125</v>
      </c>
      <c r="J26" s="66">
        <f t="shared" si="1"/>
        <v>0.16357727061680774</v>
      </c>
      <c r="K26" s="67">
        <f t="shared" si="1"/>
        <v>0.1585999453103637</v>
      </c>
      <c r="L26" s="68">
        <f t="shared" si="1"/>
        <v>0.15575486733960436</v>
      </c>
    </row>
    <row r="27" spans="1:12" x14ac:dyDescent="0.25">
      <c r="A27" s="48" t="s">
        <v>97</v>
      </c>
      <c r="B27" s="21">
        <v>146500</v>
      </c>
      <c r="C27" s="20">
        <v>133500</v>
      </c>
      <c r="D27" s="20">
        <v>448800</v>
      </c>
      <c r="E27" s="22">
        <v>3362</v>
      </c>
      <c r="F27" s="21">
        <v>1126950</v>
      </c>
      <c r="G27" s="20">
        <v>976950</v>
      </c>
      <c r="H27" s="20">
        <v>2996630</v>
      </c>
      <c r="I27" s="22">
        <v>3067</v>
      </c>
      <c r="J27" s="66">
        <f t="shared" si="1"/>
        <v>0.1299968942721505</v>
      </c>
      <c r="K27" s="67">
        <f t="shared" si="1"/>
        <v>0.13664977736834025</v>
      </c>
      <c r="L27" s="68">
        <f t="shared" si="1"/>
        <v>0.1497682396558801</v>
      </c>
    </row>
    <row r="28" spans="1:12" x14ac:dyDescent="0.25">
      <c r="A28" s="48" t="s">
        <v>98</v>
      </c>
      <c r="B28" s="21">
        <v>142700</v>
      </c>
      <c r="C28" s="20">
        <v>140700</v>
      </c>
      <c r="D28" s="20">
        <v>515000</v>
      </c>
      <c r="E28" s="22">
        <v>3660</v>
      </c>
      <c r="F28" s="21">
        <v>1075000</v>
      </c>
      <c r="G28" s="20">
        <v>956000</v>
      </c>
      <c r="H28" s="20">
        <v>3200000</v>
      </c>
      <c r="I28" s="22">
        <v>3347</v>
      </c>
      <c r="J28" s="66">
        <f t="shared" si="1"/>
        <v>0.13274418604651161</v>
      </c>
      <c r="K28" s="67">
        <f t="shared" si="1"/>
        <v>0.14717573221757321</v>
      </c>
      <c r="L28" s="68">
        <f t="shared" si="1"/>
        <v>0.16093750000000001</v>
      </c>
    </row>
    <row r="29" spans="1:12" x14ac:dyDescent="0.25">
      <c r="A29" s="48" t="s">
        <v>99</v>
      </c>
      <c r="B29" s="21">
        <v>135000</v>
      </c>
      <c r="C29" s="20">
        <v>114000</v>
      </c>
      <c r="D29" s="20">
        <v>275000</v>
      </c>
      <c r="E29" s="22">
        <v>2412</v>
      </c>
      <c r="F29" s="21">
        <v>830000</v>
      </c>
      <c r="G29" s="20">
        <v>592630</v>
      </c>
      <c r="H29" s="20">
        <v>1500000</v>
      </c>
      <c r="I29" s="22">
        <v>2531</v>
      </c>
      <c r="J29" s="66">
        <f t="shared" si="1"/>
        <v>0.16265060240963855</v>
      </c>
      <c r="K29" s="67">
        <f t="shared" si="1"/>
        <v>0.1923628570946459</v>
      </c>
      <c r="L29" s="68">
        <f t="shared" si="1"/>
        <v>0.18333333333333332</v>
      </c>
    </row>
    <row r="30" spans="1:12" x14ac:dyDescent="0.25">
      <c r="A30" s="48" t="s">
        <v>100</v>
      </c>
      <c r="B30" s="21">
        <v>168000</v>
      </c>
      <c r="C30" s="20">
        <v>154000</v>
      </c>
      <c r="D30" s="20">
        <v>465000</v>
      </c>
      <c r="E30" s="22">
        <v>3019</v>
      </c>
      <c r="F30" s="21">
        <v>800000</v>
      </c>
      <c r="G30" s="20">
        <v>729135</v>
      </c>
      <c r="H30" s="20">
        <v>2050000</v>
      </c>
      <c r="I30" s="22">
        <v>2812</v>
      </c>
      <c r="J30" s="66">
        <f t="shared" si="1"/>
        <v>0.21</v>
      </c>
      <c r="K30" s="67">
        <f t="shared" si="1"/>
        <v>0.21120917251263482</v>
      </c>
      <c r="L30" s="68">
        <f t="shared" si="1"/>
        <v>0.22682926829268293</v>
      </c>
    </row>
    <row r="31" spans="1:12" x14ac:dyDescent="0.25">
      <c r="A31" s="48" t="s">
        <v>101</v>
      </c>
      <c r="B31" s="21">
        <v>111700</v>
      </c>
      <c r="C31" s="20">
        <v>99700</v>
      </c>
      <c r="D31" s="20">
        <v>369700</v>
      </c>
      <c r="E31" s="22">
        <v>3708</v>
      </c>
      <c r="F31" s="21">
        <v>751900</v>
      </c>
      <c r="G31" s="20">
        <v>676000</v>
      </c>
      <c r="H31" s="20">
        <v>2252400</v>
      </c>
      <c r="I31" s="22">
        <v>3332</v>
      </c>
      <c r="J31" s="66">
        <f t="shared" si="1"/>
        <v>0.14855698896129804</v>
      </c>
      <c r="K31" s="67">
        <f t="shared" si="1"/>
        <v>0.14748520710059171</v>
      </c>
      <c r="L31" s="68">
        <f t="shared" si="1"/>
        <v>0.16413603267625643</v>
      </c>
    </row>
    <row r="32" spans="1:12" x14ac:dyDescent="0.25">
      <c r="A32" s="48" t="s">
        <v>102</v>
      </c>
      <c r="B32" s="21">
        <v>112200</v>
      </c>
      <c r="C32" s="20">
        <v>104000</v>
      </c>
      <c r="D32" s="20">
        <v>369600</v>
      </c>
      <c r="E32" s="22">
        <v>3554</v>
      </c>
      <c r="F32" s="21">
        <v>823200</v>
      </c>
      <c r="G32" s="20">
        <v>764000</v>
      </c>
      <c r="H32" s="20">
        <v>2767000</v>
      </c>
      <c r="I32" s="22">
        <v>3622</v>
      </c>
      <c r="J32" s="66">
        <f t="shared" si="1"/>
        <v>0.13629737609329445</v>
      </c>
      <c r="K32" s="67">
        <f t="shared" si="1"/>
        <v>0.13612565445026178</v>
      </c>
      <c r="L32" s="68">
        <f t="shared" si="1"/>
        <v>0.13357426816046258</v>
      </c>
    </row>
    <row r="33" spans="1:12" x14ac:dyDescent="0.25">
      <c r="A33" s="48" t="s">
        <v>103</v>
      </c>
      <c r="B33" s="21">
        <v>96200</v>
      </c>
      <c r="C33" s="20">
        <v>84300</v>
      </c>
      <c r="D33" s="20">
        <v>325600</v>
      </c>
      <c r="E33" s="22">
        <v>3862</v>
      </c>
      <c r="F33" s="21">
        <v>809900</v>
      </c>
      <c r="G33" s="20">
        <v>723450</v>
      </c>
      <c r="H33" s="20">
        <v>2859700</v>
      </c>
      <c r="I33" s="22">
        <v>3953</v>
      </c>
      <c r="J33" s="66">
        <f t="shared" si="1"/>
        <v>0.1187800963081862</v>
      </c>
      <c r="K33" s="67">
        <f t="shared" si="1"/>
        <v>0.11652498444951274</v>
      </c>
      <c r="L33" s="68">
        <f t="shared" si="1"/>
        <v>0.11385809700318215</v>
      </c>
    </row>
    <row r="34" spans="1:12" x14ac:dyDescent="0.25">
      <c r="A34" s="48" t="s">
        <v>104</v>
      </c>
      <c r="B34" s="21">
        <v>77100</v>
      </c>
      <c r="C34" s="20">
        <v>69200</v>
      </c>
      <c r="D34" s="20">
        <v>267600</v>
      </c>
      <c r="E34" s="22">
        <v>3867</v>
      </c>
      <c r="F34" s="21">
        <v>670380</v>
      </c>
      <c r="G34" s="20">
        <v>612580</v>
      </c>
      <c r="H34" s="20">
        <v>2148000</v>
      </c>
      <c r="I34" s="22">
        <v>3506</v>
      </c>
      <c r="J34" s="66">
        <f t="shared" si="1"/>
        <v>0.11500939765506131</v>
      </c>
      <c r="K34" s="67">
        <f t="shared" si="1"/>
        <v>0.11296483724574749</v>
      </c>
      <c r="L34" s="68">
        <f t="shared" si="1"/>
        <v>0.12458100558659217</v>
      </c>
    </row>
    <row r="35" spans="1:12" x14ac:dyDescent="0.25">
      <c r="A35" s="48" t="s">
        <v>105</v>
      </c>
      <c r="B35" s="21">
        <v>71500</v>
      </c>
      <c r="C35" s="20">
        <v>66400</v>
      </c>
      <c r="D35" s="20">
        <v>286900</v>
      </c>
      <c r="E35" s="22">
        <v>4321</v>
      </c>
      <c r="F35" s="21">
        <v>621860</v>
      </c>
      <c r="G35" s="20">
        <v>476890</v>
      </c>
      <c r="H35" s="20">
        <v>1649482</v>
      </c>
      <c r="I35" s="22">
        <v>3459</v>
      </c>
      <c r="J35" s="66">
        <f t="shared" si="1"/>
        <v>0.11497764770205512</v>
      </c>
      <c r="K35" s="67">
        <f t="shared" si="1"/>
        <v>0.1392354631046992</v>
      </c>
      <c r="L35" s="68">
        <f t="shared" si="1"/>
        <v>0.17393339242259084</v>
      </c>
    </row>
    <row r="36" spans="1:12" x14ac:dyDescent="0.25">
      <c r="A36" s="48" t="s">
        <v>106</v>
      </c>
      <c r="B36" s="21">
        <v>92800</v>
      </c>
      <c r="C36" s="20">
        <v>80800</v>
      </c>
      <c r="D36" s="20">
        <v>385000</v>
      </c>
      <c r="E36" s="22">
        <v>4765</v>
      </c>
      <c r="F36" s="21">
        <v>670680</v>
      </c>
      <c r="G36" s="20">
        <v>549930</v>
      </c>
      <c r="H36" s="20">
        <v>2131720</v>
      </c>
      <c r="I36" s="22">
        <v>3876</v>
      </c>
      <c r="J36" s="66">
        <f t="shared" si="1"/>
        <v>0.13836703047653129</v>
      </c>
      <c r="K36" s="67">
        <f t="shared" si="1"/>
        <v>0.14692779080973942</v>
      </c>
      <c r="L36" s="68">
        <f t="shared" si="1"/>
        <v>0.18060533278291707</v>
      </c>
    </row>
    <row r="37" spans="1:12" x14ac:dyDescent="0.25">
      <c r="A37" s="48" t="s">
        <v>23</v>
      </c>
      <c r="B37" s="21">
        <v>124900</v>
      </c>
      <c r="C37" s="20">
        <v>104900</v>
      </c>
      <c r="D37" s="20">
        <v>436800</v>
      </c>
      <c r="E37" s="22">
        <v>4164</v>
      </c>
      <c r="F37" s="21">
        <v>804450</v>
      </c>
      <c r="G37" s="20">
        <v>678250</v>
      </c>
      <c r="H37" s="20">
        <v>2499000</v>
      </c>
      <c r="I37" s="22">
        <v>3684</v>
      </c>
      <c r="J37" s="66">
        <f t="shared" si="1"/>
        <v>0.15526135869227423</v>
      </c>
      <c r="K37" s="67">
        <f t="shared" si="1"/>
        <v>0.15466273497972724</v>
      </c>
      <c r="L37" s="68">
        <f t="shared" si="1"/>
        <v>0.17478991596638654</v>
      </c>
    </row>
    <row r="38" spans="1:12" x14ac:dyDescent="0.25">
      <c r="A38" s="48" t="s">
        <v>24</v>
      </c>
      <c r="B38" s="21">
        <v>161600</v>
      </c>
      <c r="C38" s="20">
        <v>141350</v>
      </c>
      <c r="D38" s="20">
        <v>823545</v>
      </c>
      <c r="E38" s="22">
        <v>5826</v>
      </c>
      <c r="F38" s="21">
        <v>920060</v>
      </c>
      <c r="G38" s="20">
        <v>782110</v>
      </c>
      <c r="H38" s="20">
        <v>3762335</v>
      </c>
      <c r="I38" s="22">
        <v>4810</v>
      </c>
      <c r="J38" s="66">
        <f t="shared" si="1"/>
        <v>0.17564071908353804</v>
      </c>
      <c r="K38" s="67">
        <f t="shared" si="1"/>
        <v>0.18072905345795348</v>
      </c>
      <c r="L38" s="68">
        <f t="shared" si="1"/>
        <v>0.21889199127669387</v>
      </c>
    </row>
    <row r="39" spans="1:12" x14ac:dyDescent="0.25">
      <c r="A39" s="48" t="s">
        <v>25</v>
      </c>
      <c r="B39" s="21">
        <v>182550</v>
      </c>
      <c r="C39" s="20">
        <v>164300</v>
      </c>
      <c r="D39" s="20">
        <v>850600</v>
      </c>
      <c r="E39" s="22">
        <v>5177</v>
      </c>
      <c r="F39" s="21">
        <v>879800</v>
      </c>
      <c r="G39" s="20">
        <v>734800</v>
      </c>
      <c r="H39" s="20">
        <v>3221750</v>
      </c>
      <c r="I39" s="22">
        <v>4385</v>
      </c>
      <c r="J39" s="66">
        <f t="shared" si="1"/>
        <v>0.20749033871334394</v>
      </c>
      <c r="K39" s="67">
        <f t="shared" si="1"/>
        <v>0.22359825802939576</v>
      </c>
      <c r="L39" s="68">
        <f t="shared" si="1"/>
        <v>0.26401800263831771</v>
      </c>
    </row>
    <row r="40" spans="1:12" x14ac:dyDescent="0.25">
      <c r="A40" s="48" t="s">
        <v>26</v>
      </c>
      <c r="B40" s="21">
        <v>166050</v>
      </c>
      <c r="C40" s="20">
        <v>150150</v>
      </c>
      <c r="D40" s="20">
        <v>713580</v>
      </c>
      <c r="E40" s="22">
        <v>4752</v>
      </c>
      <c r="F40" s="21">
        <v>819005</v>
      </c>
      <c r="G40" s="20">
        <v>719598</v>
      </c>
      <c r="H40" s="20">
        <v>3344493</v>
      </c>
      <c r="I40" s="22">
        <v>4648</v>
      </c>
      <c r="J40" s="66">
        <f t="shared" si="1"/>
        <v>0.20274601498159353</v>
      </c>
      <c r="K40" s="67">
        <f t="shared" si="1"/>
        <v>0.20865816747684124</v>
      </c>
      <c r="L40" s="68">
        <f t="shared" si="1"/>
        <v>0.21335969308352568</v>
      </c>
    </row>
    <row r="41" spans="1:12" x14ac:dyDescent="0.25">
      <c r="A41" s="48" t="s">
        <v>27</v>
      </c>
      <c r="B41" s="21">
        <v>153000</v>
      </c>
      <c r="C41" s="20">
        <v>130100</v>
      </c>
      <c r="D41" s="20">
        <v>697080</v>
      </c>
      <c r="E41" s="22">
        <v>5358</v>
      </c>
      <c r="F41" s="21">
        <v>698170</v>
      </c>
      <c r="G41" s="20">
        <v>613285</v>
      </c>
      <c r="H41" s="20">
        <v>2908775</v>
      </c>
      <c r="I41" s="22">
        <v>4743</v>
      </c>
      <c r="J41" s="66">
        <f t="shared" si="1"/>
        <v>0.21914433447441167</v>
      </c>
      <c r="K41" s="67">
        <f t="shared" si="1"/>
        <v>0.2121362824787823</v>
      </c>
      <c r="L41" s="68">
        <f t="shared" si="1"/>
        <v>0.23964727419618223</v>
      </c>
    </row>
    <row r="42" spans="1:12" x14ac:dyDescent="0.25">
      <c r="A42" s="48" t="s">
        <v>28</v>
      </c>
      <c r="B42" s="21">
        <v>155300</v>
      </c>
      <c r="C42" s="20">
        <v>133600</v>
      </c>
      <c r="D42" s="20">
        <v>690080</v>
      </c>
      <c r="E42" s="22">
        <v>5165</v>
      </c>
      <c r="F42" s="21">
        <v>574982</v>
      </c>
      <c r="G42" s="20">
        <v>523367</v>
      </c>
      <c r="H42" s="20">
        <v>2804725</v>
      </c>
      <c r="I42" s="22">
        <v>5359</v>
      </c>
      <c r="J42" s="66">
        <f t="shared" si="1"/>
        <v>0.27009541168245266</v>
      </c>
      <c r="K42" s="67">
        <f t="shared" si="1"/>
        <v>0.25527020236277792</v>
      </c>
      <c r="L42" s="68">
        <f t="shared" si="1"/>
        <v>0.24604194707145977</v>
      </c>
    </row>
    <row r="43" spans="1:12" x14ac:dyDescent="0.25">
      <c r="A43" s="48" t="s">
        <v>29</v>
      </c>
      <c r="B43" s="21">
        <v>181100</v>
      </c>
      <c r="C43" s="20">
        <v>157250</v>
      </c>
      <c r="D43" s="20">
        <v>809670</v>
      </c>
      <c r="E43" s="22">
        <v>5149</v>
      </c>
      <c r="F43" s="21">
        <v>579740</v>
      </c>
      <c r="G43" s="20">
        <v>521095</v>
      </c>
      <c r="H43" s="20">
        <v>2663550</v>
      </c>
      <c r="I43" s="22">
        <v>5111</v>
      </c>
      <c r="J43" s="66">
        <f t="shared" si="1"/>
        <v>0.31238141235726358</v>
      </c>
      <c r="K43" s="67">
        <f t="shared" si="1"/>
        <v>0.30176839156008023</v>
      </c>
      <c r="L43" s="68">
        <f t="shared" si="1"/>
        <v>0.30398152841133075</v>
      </c>
    </row>
    <row r="44" spans="1:12" x14ac:dyDescent="0.25">
      <c r="A44" s="48" t="s">
        <v>30</v>
      </c>
      <c r="B44" s="21">
        <v>169800</v>
      </c>
      <c r="C44" s="20">
        <v>152700</v>
      </c>
      <c r="D44" s="20">
        <v>768600</v>
      </c>
      <c r="E44" s="22">
        <v>5033</v>
      </c>
      <c r="F44" s="21">
        <v>531125</v>
      </c>
      <c r="G44" s="20">
        <v>461994</v>
      </c>
      <c r="H44" s="20">
        <v>2121733</v>
      </c>
      <c r="I44" s="22">
        <v>4593</v>
      </c>
      <c r="J44" s="66">
        <f t="shared" si="1"/>
        <v>0.31969875264768183</v>
      </c>
      <c r="K44" s="67">
        <f t="shared" si="1"/>
        <v>0.33052377303601344</v>
      </c>
      <c r="L44" s="68">
        <f t="shared" si="1"/>
        <v>0.36225104666798319</v>
      </c>
    </row>
    <row r="45" spans="1:12" x14ac:dyDescent="0.25">
      <c r="A45" s="48" t="s">
        <v>31</v>
      </c>
      <c r="B45" s="21">
        <v>180100</v>
      </c>
      <c r="C45" s="20">
        <v>159600</v>
      </c>
      <c r="D45" s="20">
        <v>888210</v>
      </c>
      <c r="E45" s="22">
        <v>5565</v>
      </c>
      <c r="F45" s="21">
        <v>617452</v>
      </c>
      <c r="G45" s="20">
        <v>557962</v>
      </c>
      <c r="H45" s="20">
        <v>2894250</v>
      </c>
      <c r="I45" s="22">
        <v>5187</v>
      </c>
      <c r="J45" s="66">
        <f t="shared" si="1"/>
        <v>0.29168259233106381</v>
      </c>
      <c r="K45" s="67">
        <f t="shared" si="1"/>
        <v>0.2860409848699374</v>
      </c>
      <c r="L45" s="68">
        <f t="shared" si="1"/>
        <v>0.30688779476548328</v>
      </c>
    </row>
    <row r="46" spans="1:12" x14ac:dyDescent="0.25">
      <c r="A46" s="48" t="s">
        <v>32</v>
      </c>
      <c r="B46" s="21">
        <v>147640</v>
      </c>
      <c r="C46" s="20">
        <v>121340</v>
      </c>
      <c r="D46" s="20">
        <v>539140</v>
      </c>
      <c r="E46" s="22">
        <v>4443</v>
      </c>
      <c r="F46" s="21">
        <v>577010</v>
      </c>
      <c r="G46" s="20">
        <v>497640</v>
      </c>
      <c r="H46" s="20">
        <v>2327865</v>
      </c>
      <c r="I46" s="22">
        <v>4678</v>
      </c>
      <c r="J46" s="66">
        <f t="shared" si="1"/>
        <v>0.25587078213549158</v>
      </c>
      <c r="K46" s="67">
        <f t="shared" si="1"/>
        <v>0.24383088176191625</v>
      </c>
      <c r="L46" s="68">
        <f t="shared" si="1"/>
        <v>0.23160277765248413</v>
      </c>
    </row>
    <row r="47" spans="1:12" x14ac:dyDescent="0.25">
      <c r="A47" s="48" t="s">
        <v>33</v>
      </c>
      <c r="B47" s="21">
        <v>171350</v>
      </c>
      <c r="C47" s="20">
        <v>145050</v>
      </c>
      <c r="D47" s="20">
        <v>736650</v>
      </c>
      <c r="E47" s="22">
        <v>5079</v>
      </c>
      <c r="F47" s="21">
        <v>700010</v>
      </c>
      <c r="G47" s="20">
        <v>594410</v>
      </c>
      <c r="H47" s="20">
        <v>2794967</v>
      </c>
      <c r="I47" s="22">
        <v>4702</v>
      </c>
      <c r="J47" s="66">
        <f t="shared" si="1"/>
        <v>0.24478221739689432</v>
      </c>
      <c r="K47" s="67">
        <f t="shared" si="1"/>
        <v>0.24402348547299002</v>
      </c>
      <c r="L47" s="68">
        <f t="shared" si="1"/>
        <v>0.26356304027918753</v>
      </c>
    </row>
    <row r="48" spans="1:12" x14ac:dyDescent="0.25">
      <c r="A48" s="48" t="s">
        <v>34</v>
      </c>
      <c r="B48" s="21">
        <v>184000</v>
      </c>
      <c r="C48" s="20">
        <v>108500</v>
      </c>
      <c r="D48" s="20">
        <v>577470</v>
      </c>
      <c r="E48" s="22">
        <v>5322</v>
      </c>
      <c r="F48" s="21">
        <v>808340</v>
      </c>
      <c r="G48" s="20">
        <v>620410</v>
      </c>
      <c r="H48" s="20">
        <v>2940788</v>
      </c>
      <c r="I48" s="22">
        <v>4740</v>
      </c>
      <c r="J48" s="66">
        <f t="shared" si="1"/>
        <v>0.22762698864339262</v>
      </c>
      <c r="K48" s="67">
        <f t="shared" si="1"/>
        <v>0.17488435067133026</v>
      </c>
      <c r="L48" s="68">
        <f t="shared" si="1"/>
        <v>0.19636573598640908</v>
      </c>
    </row>
    <row r="49" spans="1:12" x14ac:dyDescent="0.25">
      <c r="A49" s="48" t="s">
        <v>35</v>
      </c>
      <c r="B49" s="21">
        <v>193100</v>
      </c>
      <c r="C49" s="20">
        <v>154700</v>
      </c>
      <c r="D49" s="20">
        <v>836680</v>
      </c>
      <c r="E49" s="22">
        <v>5408</v>
      </c>
      <c r="F49" s="21">
        <v>662350</v>
      </c>
      <c r="G49" s="20">
        <v>382843</v>
      </c>
      <c r="H49" s="20">
        <v>1475870</v>
      </c>
      <c r="I49" s="22">
        <v>3855</v>
      </c>
      <c r="J49" s="66">
        <f t="shared" si="1"/>
        <v>0.29153770665056239</v>
      </c>
      <c r="K49" s="67">
        <f t="shared" si="1"/>
        <v>0.40408209109217097</v>
      </c>
      <c r="L49" s="68">
        <f t="shared" si="1"/>
        <v>0.56690629933530734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1033150</v>
      </c>
      <c r="G50" s="20">
        <v>755235</v>
      </c>
      <c r="H50" s="20">
        <v>3637427</v>
      </c>
      <c r="I50" s="22">
        <v>4816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>
        <v>188012</v>
      </c>
      <c r="C51" s="20">
        <v>146512</v>
      </c>
      <c r="D51" s="20">
        <v>743830</v>
      </c>
      <c r="E51" s="22">
        <v>5077</v>
      </c>
      <c r="F51" s="21">
        <v>1233452</v>
      </c>
      <c r="G51" s="20">
        <v>1012617</v>
      </c>
      <c r="H51" s="20">
        <v>4458442</v>
      </c>
      <c r="I51" s="22">
        <v>4403</v>
      </c>
      <c r="J51" s="66">
        <f t="shared" si="1"/>
        <v>0.15242749616523382</v>
      </c>
      <c r="K51" s="67">
        <f t="shared" si="1"/>
        <v>0.14468649054874647</v>
      </c>
      <c r="L51" s="68">
        <f t="shared" si="1"/>
        <v>0.16683630739168526</v>
      </c>
    </row>
    <row r="52" spans="1:12" x14ac:dyDescent="0.25">
      <c r="A52" s="48" t="s">
        <v>38</v>
      </c>
      <c r="B52" s="21">
        <v>188900</v>
      </c>
      <c r="C52" s="20">
        <v>128800</v>
      </c>
      <c r="D52" s="20">
        <v>651890</v>
      </c>
      <c r="E52" s="22">
        <v>5061</v>
      </c>
      <c r="F52" s="21">
        <v>1266304</v>
      </c>
      <c r="G52" s="20">
        <v>913815</v>
      </c>
      <c r="H52" s="20">
        <v>4252310</v>
      </c>
      <c r="I52" s="22">
        <v>4653</v>
      </c>
      <c r="J52" s="66">
        <f t="shared" si="1"/>
        <v>0.14917428990195086</v>
      </c>
      <c r="K52" s="67">
        <f t="shared" si="1"/>
        <v>0.14094756597341912</v>
      </c>
      <c r="L52" s="68">
        <f t="shared" si="1"/>
        <v>0.15330255790382169</v>
      </c>
    </row>
    <row r="53" spans="1:12" x14ac:dyDescent="0.25">
      <c r="A53" s="48" t="s">
        <v>39</v>
      </c>
      <c r="B53" s="21">
        <v>186700</v>
      </c>
      <c r="C53" s="20">
        <v>152000</v>
      </c>
      <c r="D53" s="20">
        <v>724140</v>
      </c>
      <c r="E53" s="22">
        <v>4764</v>
      </c>
      <c r="F53" s="21">
        <v>1157963</v>
      </c>
      <c r="G53" s="20">
        <v>889993</v>
      </c>
      <c r="H53" s="20">
        <v>3635837</v>
      </c>
      <c r="I53" s="22">
        <v>4085</v>
      </c>
      <c r="J53" s="66">
        <f t="shared" si="1"/>
        <v>0.16123140376678702</v>
      </c>
      <c r="K53" s="67">
        <f t="shared" si="1"/>
        <v>0.17078786012923697</v>
      </c>
      <c r="L53" s="68">
        <f t="shared" si="1"/>
        <v>0.19916734441065428</v>
      </c>
    </row>
    <row r="54" spans="1:12" x14ac:dyDescent="0.25">
      <c r="A54" s="48" t="s">
        <v>40</v>
      </c>
      <c r="B54" s="21">
        <v>148430</v>
      </c>
      <c r="C54" s="20">
        <v>108430</v>
      </c>
      <c r="D54" s="20">
        <v>536410</v>
      </c>
      <c r="E54" s="22">
        <v>4947</v>
      </c>
      <c r="F54" s="21">
        <v>997425</v>
      </c>
      <c r="G54" s="20">
        <v>787657</v>
      </c>
      <c r="H54" s="20">
        <v>3466410</v>
      </c>
      <c r="I54" s="22">
        <v>4401</v>
      </c>
      <c r="J54" s="66">
        <f t="shared" si="1"/>
        <v>0.14881319397448431</v>
      </c>
      <c r="K54" s="67">
        <f t="shared" si="1"/>
        <v>0.13766144400417948</v>
      </c>
      <c r="L54" s="68">
        <f t="shared" si="1"/>
        <v>0.15474511093609816</v>
      </c>
    </row>
    <row r="55" spans="1:12" x14ac:dyDescent="0.25">
      <c r="A55" s="48" t="s">
        <v>41</v>
      </c>
      <c r="B55" s="21">
        <v>145300</v>
      </c>
      <c r="C55" s="20">
        <v>101000</v>
      </c>
      <c r="D55" s="20">
        <v>500350</v>
      </c>
      <c r="E55" s="22">
        <v>4954</v>
      </c>
      <c r="F55" s="21">
        <v>844086</v>
      </c>
      <c r="G55" s="20">
        <v>658576</v>
      </c>
      <c r="H55" s="20">
        <v>3098148</v>
      </c>
      <c r="I55" s="22">
        <v>4704</v>
      </c>
      <c r="J55" s="66">
        <f t="shared" si="1"/>
        <v>0.17213885788888811</v>
      </c>
      <c r="K55" s="67">
        <f t="shared" si="1"/>
        <v>0.15336119141906174</v>
      </c>
      <c r="L55" s="68">
        <f t="shared" si="1"/>
        <v>0.1614997088583244</v>
      </c>
    </row>
    <row r="56" spans="1:12" x14ac:dyDescent="0.25">
      <c r="A56" s="48" t="s">
        <v>42</v>
      </c>
      <c r="B56" s="21">
        <v>135200</v>
      </c>
      <c r="C56" s="20">
        <v>90200</v>
      </c>
      <c r="D56" s="20">
        <v>404560</v>
      </c>
      <c r="E56" s="22">
        <v>4485</v>
      </c>
      <c r="F56" s="21">
        <v>842571</v>
      </c>
      <c r="G56" s="20">
        <v>673550</v>
      </c>
      <c r="H56" s="20">
        <v>3029330</v>
      </c>
      <c r="I56" s="22">
        <v>4498</v>
      </c>
      <c r="J56" s="66">
        <f t="shared" si="1"/>
        <v>0.16046125489721341</v>
      </c>
      <c r="K56" s="67">
        <f t="shared" si="1"/>
        <v>0.13391730383787395</v>
      </c>
      <c r="L56" s="68">
        <f t="shared" si="1"/>
        <v>0.13354768216074181</v>
      </c>
    </row>
    <row r="57" spans="1:12" x14ac:dyDescent="0.25">
      <c r="A57" s="48" t="s">
        <v>43</v>
      </c>
      <c r="B57" s="21">
        <v>113030</v>
      </c>
      <c r="C57" s="20">
        <v>78380</v>
      </c>
      <c r="D57" s="20">
        <v>357090</v>
      </c>
      <c r="E57" s="22">
        <v>4556</v>
      </c>
      <c r="F57" s="21">
        <v>728280</v>
      </c>
      <c r="G57" s="20">
        <v>541955</v>
      </c>
      <c r="H57" s="20">
        <v>2526931</v>
      </c>
      <c r="I57" s="22">
        <v>4663</v>
      </c>
      <c r="J57" s="66">
        <f t="shared" si="1"/>
        <v>0.15520129620475642</v>
      </c>
      <c r="K57" s="67">
        <f t="shared" si="1"/>
        <v>0.14462455369910787</v>
      </c>
      <c r="L57" s="68">
        <f t="shared" si="1"/>
        <v>0.14131371216705166</v>
      </c>
    </row>
    <row r="58" spans="1:12" x14ac:dyDescent="0.25">
      <c r="A58" s="48" t="s">
        <v>44</v>
      </c>
      <c r="B58" s="21">
        <v>104030</v>
      </c>
      <c r="C58" s="20">
        <v>56530</v>
      </c>
      <c r="D58" s="20">
        <v>195790</v>
      </c>
      <c r="E58" s="22">
        <v>3463</v>
      </c>
      <c r="F58" s="21">
        <v>640620</v>
      </c>
      <c r="G58" s="20">
        <v>437463</v>
      </c>
      <c r="H58" s="20">
        <v>1563445</v>
      </c>
      <c r="I58" s="22">
        <v>3574</v>
      </c>
      <c r="J58" s="66">
        <f t="shared" si="1"/>
        <v>0.16238956011363992</v>
      </c>
      <c r="K58" s="67">
        <f t="shared" si="1"/>
        <v>0.1292223570907711</v>
      </c>
      <c r="L58" s="68">
        <f t="shared" si="1"/>
        <v>0.12522986098007924</v>
      </c>
    </row>
    <row r="59" spans="1:12" x14ac:dyDescent="0.25">
      <c r="A59" s="48" t="s">
        <v>45</v>
      </c>
      <c r="B59" s="21">
        <v>85774</v>
      </c>
      <c r="C59" s="20">
        <v>41774</v>
      </c>
      <c r="D59" s="20">
        <v>201256</v>
      </c>
      <c r="E59" s="22">
        <v>4818</v>
      </c>
      <c r="F59" s="21">
        <v>522221</v>
      </c>
      <c r="G59" s="20">
        <v>342623</v>
      </c>
      <c r="H59" s="20">
        <v>1601435</v>
      </c>
      <c r="I59" s="22">
        <v>4674</v>
      </c>
      <c r="J59" s="66">
        <f t="shared" si="1"/>
        <v>0.16424846951769462</v>
      </c>
      <c r="K59" s="67">
        <f t="shared" si="1"/>
        <v>0.12192409733146928</v>
      </c>
      <c r="L59" s="68">
        <f t="shared" si="1"/>
        <v>0.12567228766699867</v>
      </c>
    </row>
    <row r="60" spans="1:12" x14ac:dyDescent="0.25">
      <c r="A60" s="49" t="s">
        <v>46</v>
      </c>
      <c r="B60" s="21">
        <v>97130</v>
      </c>
      <c r="C60" s="20">
        <v>70750</v>
      </c>
      <c r="D60" s="20">
        <v>363345</v>
      </c>
      <c r="E60" s="22">
        <v>5136</v>
      </c>
      <c r="F60" s="21">
        <v>520128</v>
      </c>
      <c r="G60" s="20">
        <v>395204</v>
      </c>
      <c r="H60" s="20">
        <v>1829914</v>
      </c>
      <c r="I60" s="22">
        <v>4630</v>
      </c>
      <c r="J60" s="66">
        <f t="shared" si="1"/>
        <v>0.18674249415528485</v>
      </c>
      <c r="K60" s="67">
        <f t="shared" si="1"/>
        <v>0.17902146739405472</v>
      </c>
      <c r="L60" s="68">
        <f t="shared" si="1"/>
        <v>0.19855851149288983</v>
      </c>
    </row>
    <row r="61" spans="1:12" x14ac:dyDescent="0.25">
      <c r="A61" s="49" t="s">
        <v>47</v>
      </c>
      <c r="B61" s="21">
        <v>180980</v>
      </c>
      <c r="C61" s="20">
        <v>140080</v>
      </c>
      <c r="D61" s="20">
        <v>679100</v>
      </c>
      <c r="E61" s="22">
        <v>4848</v>
      </c>
      <c r="F61" s="21">
        <v>985533</v>
      </c>
      <c r="G61" s="20">
        <v>748566</v>
      </c>
      <c r="H61" s="20">
        <v>3319341</v>
      </c>
      <c r="I61" s="22">
        <v>4434</v>
      </c>
      <c r="J61" s="66">
        <f t="shared" si="1"/>
        <v>0.18363667172991671</v>
      </c>
      <c r="K61" s="67">
        <f t="shared" si="1"/>
        <v>0.18713112805016524</v>
      </c>
      <c r="L61" s="68">
        <f t="shared" si="1"/>
        <v>0.20458880241590122</v>
      </c>
    </row>
    <row r="62" spans="1:12" x14ac:dyDescent="0.25">
      <c r="A62" s="49" t="s">
        <v>48</v>
      </c>
      <c r="B62" s="21">
        <v>193416</v>
      </c>
      <c r="C62" s="20">
        <v>142055</v>
      </c>
      <c r="D62" s="20">
        <v>593653</v>
      </c>
      <c r="E62" s="22">
        <v>4179</v>
      </c>
      <c r="F62" s="21">
        <v>943151</v>
      </c>
      <c r="G62" s="20">
        <v>699887</v>
      </c>
      <c r="H62" s="20">
        <v>2883301</v>
      </c>
      <c r="I62" s="22">
        <v>4120</v>
      </c>
      <c r="J62" s="66">
        <f t="shared" si="1"/>
        <v>0.20507426700496528</v>
      </c>
      <c r="K62" s="67">
        <f t="shared" si="1"/>
        <v>0.20296847919735614</v>
      </c>
      <c r="L62" s="68">
        <f t="shared" si="1"/>
        <v>0.20589352273661335</v>
      </c>
    </row>
    <row r="63" spans="1:12" x14ac:dyDescent="0.25">
      <c r="A63" s="49" t="s">
        <v>49</v>
      </c>
      <c r="B63" s="21">
        <v>157243</v>
      </c>
      <c r="C63" s="20">
        <v>96831</v>
      </c>
      <c r="D63" s="20">
        <v>303373</v>
      </c>
      <c r="E63" s="22">
        <v>3133</v>
      </c>
      <c r="F63" s="21">
        <v>749655</v>
      </c>
      <c r="G63" s="20">
        <v>500421</v>
      </c>
      <c r="H63" s="20">
        <v>1610102</v>
      </c>
      <c r="I63" s="22">
        <v>3217</v>
      </c>
      <c r="J63" s="66">
        <f t="shared" si="1"/>
        <v>0.209753820090575</v>
      </c>
      <c r="K63" s="67">
        <f t="shared" si="1"/>
        <v>0.19349907377987735</v>
      </c>
      <c r="L63" s="68">
        <f t="shared" si="1"/>
        <v>0.18841849771008295</v>
      </c>
    </row>
    <row r="64" spans="1:12" x14ac:dyDescent="0.25">
      <c r="A64" s="49" t="s">
        <v>50</v>
      </c>
      <c r="B64" s="21">
        <v>195948</v>
      </c>
      <c r="C64" s="20">
        <v>144748</v>
      </c>
      <c r="D64" s="20">
        <v>662097</v>
      </c>
      <c r="E64" s="22">
        <v>4574</v>
      </c>
      <c r="F64" s="21">
        <v>827086</v>
      </c>
      <c r="G64" s="20">
        <v>626182</v>
      </c>
      <c r="H64" s="20">
        <v>2495532</v>
      </c>
      <c r="I64" s="22">
        <v>3985</v>
      </c>
      <c r="J64" s="66">
        <f t="shared" si="1"/>
        <v>0.2369136945855691</v>
      </c>
      <c r="K64" s="67">
        <f t="shared" si="1"/>
        <v>0.23115963090603051</v>
      </c>
      <c r="L64" s="68">
        <f t="shared" si="1"/>
        <v>0.26531296733522153</v>
      </c>
    </row>
    <row r="65" spans="1:12" x14ac:dyDescent="0.25">
      <c r="A65" s="49" t="s">
        <v>51</v>
      </c>
      <c r="B65" s="21">
        <v>222702</v>
      </c>
      <c r="C65" s="20">
        <v>128802</v>
      </c>
      <c r="D65" s="20">
        <v>584775</v>
      </c>
      <c r="E65" s="22">
        <v>4540</v>
      </c>
      <c r="F65" s="21">
        <v>1005799</v>
      </c>
      <c r="G65" s="20">
        <v>708887</v>
      </c>
      <c r="H65" s="20">
        <v>2853150</v>
      </c>
      <c r="I65" s="22">
        <v>4025</v>
      </c>
      <c r="J65" s="66">
        <f t="shared" si="1"/>
        <v>0.22141799703519291</v>
      </c>
      <c r="K65" s="67">
        <f t="shared" si="1"/>
        <v>0.18169609542846743</v>
      </c>
      <c r="L65" s="68">
        <f t="shared" si="1"/>
        <v>0.20495767835550183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538AF9BC-5D9F-4F18-B644-9527303AE9F3}"/>
  </hyperlinks>
  <pageMargins left="0.7" right="0.7" top="0.75" bottom="0.75" header="0.3" footer="0.3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AAB7-10EA-47F8-8CE3-FF3903A44695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119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2" t="e"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>
        <v>435000</v>
      </c>
      <c r="G17" s="20">
        <v>366900</v>
      </c>
      <c r="H17" s="20">
        <v>582000</v>
      </c>
      <c r="I17" s="22">
        <v>1586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>
        <v>269000</v>
      </c>
      <c r="G18" s="20">
        <v>243000</v>
      </c>
      <c r="H18" s="20">
        <v>353100</v>
      </c>
      <c r="I18" s="22">
        <v>1453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>
        <v>186500</v>
      </c>
      <c r="G19" s="20">
        <v>183600</v>
      </c>
      <c r="H19" s="20">
        <v>369400</v>
      </c>
      <c r="I19" s="22">
        <v>2012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>
        <v>128100</v>
      </c>
      <c r="G20" s="20">
        <v>124800</v>
      </c>
      <c r="H20" s="20">
        <v>217800</v>
      </c>
      <c r="I20" s="22">
        <v>1745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>
        <v>90400</v>
      </c>
      <c r="G21" s="20">
        <v>90400</v>
      </c>
      <c r="H21" s="20">
        <v>194700</v>
      </c>
      <c r="I21" s="22">
        <v>2154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>
        <v>46300</v>
      </c>
      <c r="G22" s="20">
        <v>46300</v>
      </c>
      <c r="H22" s="20">
        <v>69600</v>
      </c>
      <c r="I22" s="22">
        <v>1503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>
        <v>44200</v>
      </c>
      <c r="G23" s="20">
        <v>44200</v>
      </c>
      <c r="H23" s="20">
        <v>97700</v>
      </c>
      <c r="I23" s="22">
        <v>2210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>
        <v>50800</v>
      </c>
      <c r="G24" s="20">
        <v>50800</v>
      </c>
      <c r="H24" s="20">
        <v>111400</v>
      </c>
      <c r="I24" s="22">
        <v>2193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>
        <v>29800</v>
      </c>
      <c r="G25" s="20">
        <v>29800</v>
      </c>
      <c r="H25" s="20">
        <v>78600</v>
      </c>
      <c r="I25" s="22">
        <v>2638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>
        <v>22700</v>
      </c>
      <c r="G26" s="20">
        <v>22700</v>
      </c>
      <c r="H26" s="20">
        <v>42800</v>
      </c>
      <c r="I26" s="22">
        <v>1885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>
        <v>22600</v>
      </c>
      <c r="G27" s="20">
        <v>20700</v>
      </c>
      <c r="H27" s="20">
        <v>56500</v>
      </c>
      <c r="I27" s="22">
        <v>2729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>
        <v>40000</v>
      </c>
      <c r="G28" s="20">
        <v>39800</v>
      </c>
      <c r="H28" s="20">
        <v>101200</v>
      </c>
      <c r="I28" s="22">
        <v>2543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>
        <v>37400</v>
      </c>
      <c r="G29" s="20">
        <v>35300</v>
      </c>
      <c r="H29" s="20">
        <v>56900</v>
      </c>
      <c r="I29" s="22">
        <v>1612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>
        <v>22000</v>
      </c>
      <c r="G30" s="20">
        <v>21800</v>
      </c>
      <c r="H30" s="20">
        <v>55700</v>
      </c>
      <c r="I30" s="22">
        <v>2555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>
        <v>19800</v>
      </c>
      <c r="G31" s="20">
        <v>19800</v>
      </c>
      <c r="H31" s="20">
        <v>44200</v>
      </c>
      <c r="I31" s="22">
        <v>2232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>
        <v>37900</v>
      </c>
      <c r="G32" s="20">
        <v>37900</v>
      </c>
      <c r="H32" s="20">
        <v>114500</v>
      </c>
      <c r="I32" s="22">
        <v>3021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>
        <v>40700</v>
      </c>
      <c r="G33" s="20">
        <v>40500</v>
      </c>
      <c r="H33" s="20">
        <v>121500</v>
      </c>
      <c r="I33" s="22">
        <v>3000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>
        <v>34800</v>
      </c>
      <c r="G34" s="20">
        <v>34500</v>
      </c>
      <c r="H34" s="20">
        <v>78000</v>
      </c>
      <c r="I34" s="22">
        <v>2261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>
        <v>43500</v>
      </c>
      <c r="G35" s="20">
        <v>41870</v>
      </c>
      <c r="H35" s="20">
        <v>100120</v>
      </c>
      <c r="I35" s="22">
        <v>2391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>
        <v>55300</v>
      </c>
      <c r="G36" s="20">
        <v>55300</v>
      </c>
      <c r="H36" s="20">
        <v>97300</v>
      </c>
      <c r="I36" s="22">
        <v>1759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>
        <v>83250</v>
      </c>
      <c r="G37" s="20">
        <v>82530</v>
      </c>
      <c r="H37" s="20">
        <v>193103</v>
      </c>
      <c r="I37" s="22">
        <v>2340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>
        <v>81615</v>
      </c>
      <c r="G38" s="20">
        <v>81215</v>
      </c>
      <c r="H38" s="20">
        <v>286590</v>
      </c>
      <c r="I38" s="22">
        <v>3529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>
        <v>73700</v>
      </c>
      <c r="G39" s="20">
        <v>72780</v>
      </c>
      <c r="H39" s="20">
        <v>157600</v>
      </c>
      <c r="I39" s="22">
        <v>2165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>
        <v>69800</v>
      </c>
      <c r="G40" s="20">
        <v>69540</v>
      </c>
      <c r="H40" s="20">
        <v>176100</v>
      </c>
      <c r="I40" s="22">
        <v>2532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>
        <v>67800</v>
      </c>
      <c r="G41" s="20">
        <v>67650</v>
      </c>
      <c r="H41" s="20">
        <v>187270</v>
      </c>
      <c r="I41" s="22">
        <v>2768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47650</v>
      </c>
      <c r="G42" s="20">
        <v>47250</v>
      </c>
      <c r="H42" s="20">
        <v>136160</v>
      </c>
      <c r="I42" s="22">
        <v>2882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42800</v>
      </c>
      <c r="G43" s="20">
        <v>39420</v>
      </c>
      <c r="H43" s="20">
        <v>97600</v>
      </c>
      <c r="I43" s="22">
        <v>2476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>
        <v>46900</v>
      </c>
      <c r="G44" s="20">
        <v>46780</v>
      </c>
      <c r="H44" s="20">
        <v>147220</v>
      </c>
      <c r="I44" s="22">
        <v>3147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57000</v>
      </c>
      <c r="G45" s="20">
        <v>56940</v>
      </c>
      <c r="H45" s="20">
        <v>179590</v>
      </c>
      <c r="I45" s="22">
        <v>3154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53245</v>
      </c>
      <c r="G46" s="20">
        <v>52220</v>
      </c>
      <c r="H46" s="20">
        <v>128580</v>
      </c>
      <c r="I46" s="22">
        <v>2462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48955</v>
      </c>
      <c r="G47" s="20">
        <v>48825</v>
      </c>
      <c r="H47" s="20">
        <v>114985</v>
      </c>
      <c r="I47" s="22">
        <v>2355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59417</v>
      </c>
      <c r="G48" s="20">
        <v>57717</v>
      </c>
      <c r="H48" s="20">
        <v>138810</v>
      </c>
      <c r="I48" s="22">
        <v>2405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78155</v>
      </c>
      <c r="G49" s="20">
        <v>71540</v>
      </c>
      <c r="H49" s="20">
        <v>135565</v>
      </c>
      <c r="I49" s="22">
        <v>1895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65092</v>
      </c>
      <c r="G50" s="20">
        <v>57072</v>
      </c>
      <c r="H50" s="20">
        <v>100261</v>
      </c>
      <c r="I50" s="22">
        <v>1757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52420</v>
      </c>
      <c r="G51" s="20">
        <v>51055</v>
      </c>
      <c r="H51" s="20">
        <v>192278</v>
      </c>
      <c r="I51" s="22">
        <v>3766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>
        <v>64200</v>
      </c>
      <c r="G52" s="20">
        <v>64135</v>
      </c>
      <c r="H52" s="20">
        <v>182958</v>
      </c>
      <c r="I52" s="22">
        <v>2853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42416</v>
      </c>
      <c r="G53" s="20">
        <v>40796</v>
      </c>
      <c r="H53" s="20">
        <v>109414</v>
      </c>
      <c r="I53" s="22">
        <v>2682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41850</v>
      </c>
      <c r="G54" s="20">
        <v>40950</v>
      </c>
      <c r="H54" s="20">
        <v>126710</v>
      </c>
      <c r="I54" s="22">
        <v>3094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79965</v>
      </c>
      <c r="G55" s="20">
        <v>74085</v>
      </c>
      <c r="H55" s="20">
        <v>213347</v>
      </c>
      <c r="I55" s="22">
        <v>2880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74640</v>
      </c>
      <c r="G56" s="20">
        <v>74365</v>
      </c>
      <c r="H56" s="20">
        <v>256276</v>
      </c>
      <c r="I56" s="22">
        <v>3446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64538</v>
      </c>
      <c r="G57" s="20">
        <v>62828</v>
      </c>
      <c r="H57" s="20">
        <v>162426</v>
      </c>
      <c r="I57" s="22">
        <v>2585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62098</v>
      </c>
      <c r="G58" s="20">
        <v>60478</v>
      </c>
      <c r="H58" s="20">
        <v>181718</v>
      </c>
      <c r="I58" s="22">
        <v>3005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47995</v>
      </c>
      <c r="G59" s="20">
        <v>41865</v>
      </c>
      <c r="H59" s="20">
        <v>150216</v>
      </c>
      <c r="I59" s="22">
        <v>3588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53480</v>
      </c>
      <c r="G60" s="20">
        <v>51430</v>
      </c>
      <c r="H60" s="20">
        <v>156421</v>
      </c>
      <c r="I60" s="22">
        <v>3041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>
        <v>520</v>
      </c>
      <c r="C61" s="20">
        <v>520</v>
      </c>
      <c r="D61" s="20">
        <v>856</v>
      </c>
      <c r="E61" s="22">
        <v>1646</v>
      </c>
      <c r="F61" s="21">
        <v>129255</v>
      </c>
      <c r="G61" s="20">
        <v>128474</v>
      </c>
      <c r="H61" s="20">
        <v>477129</v>
      </c>
      <c r="I61" s="22">
        <v>3714</v>
      </c>
      <c r="J61" s="66">
        <f t="shared" si="1"/>
        <v>4.023055200959344E-3</v>
      </c>
      <c r="K61" s="67">
        <f t="shared" si="1"/>
        <v>4.0475115587589707E-3</v>
      </c>
      <c r="L61" s="68">
        <f t="shared" si="1"/>
        <v>1.7940640791064891E-3</v>
      </c>
    </row>
    <row r="62" spans="1:12" x14ac:dyDescent="0.25">
      <c r="A62" s="49" t="s">
        <v>48</v>
      </c>
      <c r="B62" s="21">
        <v>150</v>
      </c>
      <c r="C62" s="20">
        <v>150</v>
      </c>
      <c r="D62" s="20">
        <v>480</v>
      </c>
      <c r="E62" s="22">
        <v>3200</v>
      </c>
      <c r="F62" s="21">
        <v>104102</v>
      </c>
      <c r="G62" s="20">
        <v>102320</v>
      </c>
      <c r="H62" s="20">
        <v>295776</v>
      </c>
      <c r="I62" s="22">
        <v>2891</v>
      </c>
      <c r="J62" s="66">
        <f t="shared" si="1"/>
        <v>1.4408945073101382E-3</v>
      </c>
      <c r="K62" s="67">
        <f t="shared" si="1"/>
        <v>1.4659890539483972E-3</v>
      </c>
      <c r="L62" s="68">
        <f t="shared" si="1"/>
        <v>1.6228497241155468E-3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94006</v>
      </c>
      <c r="G63" s="20">
        <v>93357</v>
      </c>
      <c r="H63" s="20">
        <v>228803</v>
      </c>
      <c r="I63" s="22">
        <v>2451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>
        <v>50</v>
      </c>
      <c r="C64" s="20">
        <v>50</v>
      </c>
      <c r="D64" s="20">
        <v>110</v>
      </c>
      <c r="E64" s="22">
        <v>2200</v>
      </c>
      <c r="F64" s="21">
        <v>121235</v>
      </c>
      <c r="G64" s="20">
        <v>121212</v>
      </c>
      <c r="H64" s="20">
        <v>302962</v>
      </c>
      <c r="I64" s="22">
        <v>2499</v>
      </c>
      <c r="J64" s="66">
        <f t="shared" si="1"/>
        <v>4.1242215531818368E-4</v>
      </c>
      <c r="K64" s="67">
        <f t="shared" si="1"/>
        <v>4.1250041250041251E-4</v>
      </c>
      <c r="L64" s="68">
        <f t="shared" si="1"/>
        <v>3.6308183864643091E-4</v>
      </c>
    </row>
    <row r="65" spans="1:12" x14ac:dyDescent="0.25">
      <c r="A65" s="49" t="s">
        <v>51</v>
      </c>
      <c r="B65" s="21">
        <v>1200</v>
      </c>
      <c r="C65" s="20">
        <v>1200</v>
      </c>
      <c r="D65" s="20">
        <v>720</v>
      </c>
      <c r="E65" s="22">
        <v>600</v>
      </c>
      <c r="F65" s="21">
        <v>127535</v>
      </c>
      <c r="G65" s="20">
        <v>126969</v>
      </c>
      <c r="H65" s="20">
        <v>349958</v>
      </c>
      <c r="I65" s="22">
        <v>2756</v>
      </c>
      <c r="J65" s="66">
        <f t="shared" si="1"/>
        <v>9.4091817932332299E-3</v>
      </c>
      <c r="K65" s="67">
        <f t="shared" si="1"/>
        <v>9.4511258653687119E-3</v>
      </c>
      <c r="L65" s="68">
        <f t="shared" si="1"/>
        <v>2.0573897439121265E-3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>
        <v>112173</v>
      </c>
      <c r="G66" s="20">
        <v>111423</v>
      </c>
      <c r="H66" s="20">
        <v>411083</v>
      </c>
      <c r="I66" s="22">
        <v>3689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5DE385D4-635E-4C17-947C-446ADB5F65AE}"/>
  </hyperlinks>
  <pageMargins left="0.7" right="0.7" top="0.75" bottom="0.75" header="0.3" footer="0.3"/>
  <pageSetup paperSize="9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EC86-DEDD-4C41-B37D-DCB43D5FAFAE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77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629000</v>
      </c>
      <c r="C10" s="40">
        <v>436500</v>
      </c>
      <c r="D10" s="40">
        <v>598600</v>
      </c>
      <c r="E10" s="50">
        <v>1371</v>
      </c>
      <c r="F10" s="41">
        <v>6238470</v>
      </c>
      <c r="G10" s="40">
        <v>5191080</v>
      </c>
      <c r="H10" s="40">
        <v>7019726</v>
      </c>
      <c r="I10" s="50">
        <v>1352</v>
      </c>
      <c r="J10" s="63">
        <f>B10/F10</f>
        <v>0.10082600381183207</v>
      </c>
      <c r="K10" s="64">
        <f t="shared" ref="K10:L25" si="0">C10/G10</f>
        <v>8.4086548463903468E-2</v>
      </c>
      <c r="L10" s="65">
        <f t="shared" si="0"/>
        <v>8.5273983628420827E-2</v>
      </c>
    </row>
    <row r="11" spans="1:12" x14ac:dyDescent="0.25">
      <c r="A11" s="48" t="s">
        <v>81</v>
      </c>
      <c r="B11" s="21">
        <v>586000</v>
      </c>
      <c r="C11" s="20">
        <v>517500</v>
      </c>
      <c r="D11" s="20">
        <v>882000</v>
      </c>
      <c r="E11" s="22">
        <v>1704</v>
      </c>
      <c r="F11" s="21">
        <v>4467955</v>
      </c>
      <c r="G11" s="20">
        <v>3700577</v>
      </c>
      <c r="H11" s="20">
        <v>4919767</v>
      </c>
      <c r="I11" s="22">
        <v>1329</v>
      </c>
      <c r="J11" s="66">
        <f t="shared" ref="J11:L66" si="1">B11/F11</f>
        <v>0.13115620009601708</v>
      </c>
      <c r="K11" s="67">
        <f t="shared" si="0"/>
        <v>0.13984305690707152</v>
      </c>
      <c r="L11" s="68">
        <f t="shared" si="0"/>
        <v>0.1792767828232516</v>
      </c>
    </row>
    <row r="12" spans="1:12" x14ac:dyDescent="0.25">
      <c r="A12" s="48" t="s">
        <v>82</v>
      </c>
      <c r="B12" s="21">
        <v>740000</v>
      </c>
      <c r="C12" s="20">
        <v>650000</v>
      </c>
      <c r="D12" s="20">
        <v>970000</v>
      </c>
      <c r="E12" s="22">
        <v>1492</v>
      </c>
      <c r="F12" s="21">
        <v>4985687</v>
      </c>
      <c r="G12" s="20">
        <v>4294504</v>
      </c>
      <c r="H12" s="20">
        <v>5439840</v>
      </c>
      <c r="I12" s="22">
        <v>1267</v>
      </c>
      <c r="J12" s="66">
        <f t="shared" si="1"/>
        <v>0.14842488106453533</v>
      </c>
      <c r="K12" s="67">
        <f t="shared" si="0"/>
        <v>0.15135624509838622</v>
      </c>
      <c r="L12" s="68">
        <f t="shared" si="0"/>
        <v>0.17831406806082531</v>
      </c>
    </row>
    <row r="13" spans="1:12" x14ac:dyDescent="0.25">
      <c r="A13" s="48" t="s">
        <v>83</v>
      </c>
      <c r="B13" s="21">
        <v>875000</v>
      </c>
      <c r="C13" s="20">
        <v>788000</v>
      </c>
      <c r="D13" s="20">
        <v>1210000</v>
      </c>
      <c r="E13" s="22">
        <v>1536</v>
      </c>
      <c r="F13" s="21">
        <v>5625107</v>
      </c>
      <c r="G13" s="20">
        <v>4963365</v>
      </c>
      <c r="H13" s="20">
        <v>7896787</v>
      </c>
      <c r="I13" s="22">
        <v>1591</v>
      </c>
      <c r="J13" s="66">
        <f t="shared" si="1"/>
        <v>0.1555525965994958</v>
      </c>
      <c r="K13" s="67">
        <f t="shared" si="0"/>
        <v>0.1587632583942547</v>
      </c>
      <c r="L13" s="68">
        <f t="shared" si="0"/>
        <v>0.15322687569007495</v>
      </c>
    </row>
    <row r="14" spans="1:12" x14ac:dyDescent="0.25">
      <c r="A14" s="48" t="s">
        <v>84</v>
      </c>
      <c r="B14" s="21">
        <v>637500</v>
      </c>
      <c r="C14" s="20">
        <v>549600</v>
      </c>
      <c r="D14" s="20">
        <v>1060000</v>
      </c>
      <c r="E14" s="22">
        <v>1929</v>
      </c>
      <c r="F14" s="21">
        <v>4251550</v>
      </c>
      <c r="G14" s="20">
        <v>3957830</v>
      </c>
      <c r="H14" s="20">
        <v>6559916</v>
      </c>
      <c r="I14" s="22">
        <v>1657</v>
      </c>
      <c r="J14" s="66">
        <f t="shared" si="1"/>
        <v>0.14994531406193035</v>
      </c>
      <c r="K14" s="67">
        <f t="shared" si="0"/>
        <v>0.1388639734399911</v>
      </c>
      <c r="L14" s="68">
        <f t="shared" si="0"/>
        <v>0.16158743496105743</v>
      </c>
    </row>
    <row r="15" spans="1:12" x14ac:dyDescent="0.25">
      <c r="A15" s="48" t="s">
        <v>85</v>
      </c>
      <c r="B15" s="21">
        <v>672000</v>
      </c>
      <c r="C15" s="20">
        <v>550000</v>
      </c>
      <c r="D15" s="20">
        <v>876000</v>
      </c>
      <c r="E15" s="22">
        <v>1593</v>
      </c>
      <c r="F15" s="21">
        <v>5182780</v>
      </c>
      <c r="G15" s="20">
        <v>4232990</v>
      </c>
      <c r="H15" s="20">
        <v>5969991</v>
      </c>
      <c r="I15" s="22">
        <v>1410</v>
      </c>
      <c r="J15" s="66">
        <f t="shared" si="1"/>
        <v>0.12966014378383803</v>
      </c>
      <c r="K15" s="67">
        <f t="shared" si="0"/>
        <v>0.12993179761823204</v>
      </c>
      <c r="L15" s="68">
        <f t="shared" si="0"/>
        <v>0.14673388954857722</v>
      </c>
    </row>
    <row r="16" spans="1:12" x14ac:dyDescent="0.25">
      <c r="A16" s="48" t="s">
        <v>86</v>
      </c>
      <c r="B16" s="21">
        <v>759000</v>
      </c>
      <c r="C16" s="20">
        <v>701900</v>
      </c>
      <c r="D16" s="20">
        <v>1615000</v>
      </c>
      <c r="E16" s="22">
        <v>2301</v>
      </c>
      <c r="F16" s="21">
        <v>5752800</v>
      </c>
      <c r="G16" s="20">
        <v>5270600</v>
      </c>
      <c r="H16" s="20">
        <v>8570000</v>
      </c>
      <c r="I16" s="22">
        <v>1626</v>
      </c>
      <c r="J16" s="66">
        <f t="shared" si="1"/>
        <v>0.13193575302461411</v>
      </c>
      <c r="K16" s="67">
        <f t="shared" si="0"/>
        <v>0.13317269381095131</v>
      </c>
      <c r="L16" s="68">
        <f t="shared" si="0"/>
        <v>0.18844807467911318</v>
      </c>
    </row>
    <row r="17" spans="1:12" x14ac:dyDescent="0.25">
      <c r="A17" s="48" t="s">
        <v>87</v>
      </c>
      <c r="B17" s="21">
        <v>960000</v>
      </c>
      <c r="C17" s="20">
        <v>884000</v>
      </c>
      <c r="D17" s="20">
        <v>1780000</v>
      </c>
      <c r="E17" s="22">
        <v>2014</v>
      </c>
      <c r="F17" s="21">
        <v>7191820</v>
      </c>
      <c r="G17" s="20">
        <v>6428000</v>
      </c>
      <c r="H17" s="20">
        <v>11000000</v>
      </c>
      <c r="I17" s="22">
        <v>1711</v>
      </c>
      <c r="J17" s="66">
        <f t="shared" si="1"/>
        <v>0.13348498711035595</v>
      </c>
      <c r="K17" s="67">
        <f t="shared" si="0"/>
        <v>0.13752333540759179</v>
      </c>
      <c r="L17" s="68">
        <f t="shared" si="0"/>
        <v>0.16181818181818181</v>
      </c>
    </row>
    <row r="18" spans="1:12" x14ac:dyDescent="0.25">
      <c r="A18" s="48" t="s">
        <v>88</v>
      </c>
      <c r="B18" s="21">
        <v>710000</v>
      </c>
      <c r="C18" s="20">
        <v>640000</v>
      </c>
      <c r="D18" s="20">
        <v>1050000</v>
      </c>
      <c r="E18" s="22">
        <v>1641</v>
      </c>
      <c r="F18" s="21">
        <v>4599850</v>
      </c>
      <c r="G18" s="20">
        <v>3909995</v>
      </c>
      <c r="H18" s="20">
        <v>5299995</v>
      </c>
      <c r="I18" s="22">
        <v>1356</v>
      </c>
      <c r="J18" s="66">
        <f t="shared" si="1"/>
        <v>0.15435285933236953</v>
      </c>
      <c r="K18" s="67">
        <f t="shared" si="0"/>
        <v>0.16368307376352143</v>
      </c>
      <c r="L18" s="68">
        <f t="shared" si="0"/>
        <v>0.19811339444659853</v>
      </c>
    </row>
    <row r="19" spans="1:12" x14ac:dyDescent="0.25">
      <c r="A19" s="48" t="s">
        <v>89</v>
      </c>
      <c r="B19" s="21">
        <v>760000</v>
      </c>
      <c r="C19" s="20">
        <v>670000</v>
      </c>
      <c r="D19" s="20">
        <v>1350000</v>
      </c>
      <c r="E19" s="22">
        <v>2015</v>
      </c>
      <c r="F19" s="21">
        <v>5229860</v>
      </c>
      <c r="G19" s="20">
        <v>4685000</v>
      </c>
      <c r="H19" s="20">
        <v>8100000</v>
      </c>
      <c r="I19" s="22">
        <v>1729</v>
      </c>
      <c r="J19" s="66">
        <f t="shared" si="1"/>
        <v>0.14531937757416069</v>
      </c>
      <c r="K19" s="67">
        <f t="shared" si="0"/>
        <v>0.14300960512273211</v>
      </c>
      <c r="L19" s="68">
        <f t="shared" si="0"/>
        <v>0.16666666666666666</v>
      </c>
    </row>
    <row r="20" spans="1:12" x14ac:dyDescent="0.25">
      <c r="A20" s="48" t="s">
        <v>90</v>
      </c>
      <c r="B20" s="21">
        <v>842000</v>
      </c>
      <c r="C20" s="20">
        <v>800000</v>
      </c>
      <c r="D20" s="20">
        <v>1700000</v>
      </c>
      <c r="E20" s="22">
        <v>2125</v>
      </c>
      <c r="F20" s="21">
        <v>4999850</v>
      </c>
      <c r="G20" s="20">
        <v>4787000</v>
      </c>
      <c r="H20" s="20">
        <v>8100000</v>
      </c>
      <c r="I20" s="22">
        <v>1692</v>
      </c>
      <c r="J20" s="66">
        <f t="shared" si="1"/>
        <v>0.16840505215156454</v>
      </c>
      <c r="K20" s="67">
        <f t="shared" si="0"/>
        <v>0.16711928138709004</v>
      </c>
      <c r="L20" s="68">
        <f t="shared" si="0"/>
        <v>0.20987654320987653</v>
      </c>
    </row>
    <row r="21" spans="1:12" x14ac:dyDescent="0.25">
      <c r="A21" s="48" t="s">
        <v>91</v>
      </c>
      <c r="B21" s="21">
        <v>960000</v>
      </c>
      <c r="C21" s="20">
        <v>905000</v>
      </c>
      <c r="D21" s="20">
        <v>1594000</v>
      </c>
      <c r="E21" s="22">
        <v>1761</v>
      </c>
      <c r="F21" s="21">
        <v>6195870</v>
      </c>
      <c r="G21" s="20">
        <v>5022990</v>
      </c>
      <c r="H21" s="20">
        <v>7779990</v>
      </c>
      <c r="I21" s="22">
        <v>1549</v>
      </c>
      <c r="J21" s="66">
        <f t="shared" si="1"/>
        <v>0.15494192098930418</v>
      </c>
      <c r="K21" s="67">
        <f t="shared" si="0"/>
        <v>0.18017157111600859</v>
      </c>
      <c r="L21" s="68">
        <f t="shared" si="0"/>
        <v>0.20488458211385877</v>
      </c>
    </row>
    <row r="22" spans="1:12" x14ac:dyDescent="0.25">
      <c r="A22" s="48" t="s">
        <v>92</v>
      </c>
      <c r="B22" s="21">
        <v>1073000</v>
      </c>
      <c r="C22" s="20">
        <v>1012000</v>
      </c>
      <c r="D22" s="20">
        <v>1900000</v>
      </c>
      <c r="E22" s="22">
        <v>1877</v>
      </c>
      <c r="F22" s="21">
        <v>6565810</v>
      </c>
      <c r="G22" s="20">
        <v>5925860</v>
      </c>
      <c r="H22" s="20">
        <v>8299810</v>
      </c>
      <c r="I22" s="22">
        <v>1401</v>
      </c>
      <c r="J22" s="66">
        <f t="shared" si="1"/>
        <v>0.16342233479189924</v>
      </c>
      <c r="K22" s="67">
        <f t="shared" si="0"/>
        <v>0.17077689989301131</v>
      </c>
      <c r="L22" s="68">
        <f t="shared" si="0"/>
        <v>0.22892090300862308</v>
      </c>
    </row>
    <row r="23" spans="1:12" x14ac:dyDescent="0.25">
      <c r="A23" s="48" t="s">
        <v>93</v>
      </c>
      <c r="B23" s="21">
        <v>1140000</v>
      </c>
      <c r="C23" s="20">
        <v>1112000</v>
      </c>
      <c r="D23" s="20">
        <v>2390000</v>
      </c>
      <c r="E23" s="22">
        <v>2149</v>
      </c>
      <c r="F23" s="21">
        <v>7409800</v>
      </c>
      <c r="G23" s="20">
        <v>7320000</v>
      </c>
      <c r="H23" s="20">
        <v>15000000</v>
      </c>
      <c r="I23" s="22">
        <v>2049</v>
      </c>
      <c r="J23" s="66">
        <f t="shared" si="1"/>
        <v>0.1538503063510486</v>
      </c>
      <c r="K23" s="67">
        <f t="shared" si="0"/>
        <v>0.15191256830601094</v>
      </c>
      <c r="L23" s="68">
        <f t="shared" si="0"/>
        <v>0.15933333333333333</v>
      </c>
    </row>
    <row r="24" spans="1:12" x14ac:dyDescent="0.25">
      <c r="A24" s="48" t="s">
        <v>94</v>
      </c>
      <c r="B24" s="21">
        <v>1030000</v>
      </c>
      <c r="C24" s="20">
        <v>1025000</v>
      </c>
      <c r="D24" s="20">
        <v>2060000</v>
      </c>
      <c r="E24" s="22">
        <v>2010</v>
      </c>
      <c r="F24" s="21">
        <v>7199860</v>
      </c>
      <c r="G24" s="20">
        <v>7072860</v>
      </c>
      <c r="H24" s="20">
        <v>12999720</v>
      </c>
      <c r="I24" s="22">
        <v>1838</v>
      </c>
      <c r="J24" s="66">
        <f t="shared" si="1"/>
        <v>0.14305833724544645</v>
      </c>
      <c r="K24" s="67">
        <f t="shared" si="0"/>
        <v>0.14492015959597673</v>
      </c>
      <c r="L24" s="68">
        <f t="shared" si="0"/>
        <v>0.15846495155280269</v>
      </c>
    </row>
    <row r="25" spans="1:12" x14ac:dyDescent="0.25">
      <c r="A25" s="48" t="s">
        <v>95</v>
      </c>
      <c r="B25" s="21">
        <v>853000</v>
      </c>
      <c r="C25" s="20">
        <v>840000</v>
      </c>
      <c r="D25" s="20">
        <v>2050000</v>
      </c>
      <c r="E25" s="22">
        <v>2440</v>
      </c>
      <c r="F25" s="21">
        <v>6000000</v>
      </c>
      <c r="G25" s="20">
        <v>5900000</v>
      </c>
      <c r="H25" s="20">
        <v>13600000</v>
      </c>
      <c r="I25" s="22">
        <v>2305</v>
      </c>
      <c r="J25" s="66">
        <f t="shared" si="1"/>
        <v>0.14216666666666666</v>
      </c>
      <c r="K25" s="67">
        <f t="shared" si="0"/>
        <v>0.14237288135593221</v>
      </c>
      <c r="L25" s="68">
        <f t="shared" si="0"/>
        <v>0.15073529411764705</v>
      </c>
    </row>
    <row r="26" spans="1:12" x14ac:dyDescent="0.25">
      <c r="A26" s="48" t="s">
        <v>96</v>
      </c>
      <c r="B26" s="21">
        <v>846000</v>
      </c>
      <c r="C26" s="20">
        <v>841000</v>
      </c>
      <c r="D26" s="20">
        <v>1410000</v>
      </c>
      <c r="E26" s="22">
        <v>1677</v>
      </c>
      <c r="F26" s="21">
        <v>5700000</v>
      </c>
      <c r="G26" s="20">
        <v>5381600</v>
      </c>
      <c r="H26" s="20">
        <v>8700000</v>
      </c>
      <c r="I26" s="22">
        <v>1617</v>
      </c>
      <c r="J26" s="66">
        <f t="shared" si="1"/>
        <v>0.14842105263157895</v>
      </c>
      <c r="K26" s="67">
        <f t="shared" si="1"/>
        <v>0.15627322729299836</v>
      </c>
      <c r="L26" s="68">
        <f t="shared" si="1"/>
        <v>0.16206896551724137</v>
      </c>
    </row>
    <row r="27" spans="1:12" x14ac:dyDescent="0.25">
      <c r="A27" s="48" t="s">
        <v>97</v>
      </c>
      <c r="B27" s="21">
        <v>736000</v>
      </c>
      <c r="C27" s="20">
        <v>732000</v>
      </c>
      <c r="D27" s="20">
        <v>1330000</v>
      </c>
      <c r="E27" s="22">
        <v>1817</v>
      </c>
      <c r="F27" s="21">
        <v>5000000</v>
      </c>
      <c r="G27" s="20">
        <v>4893400</v>
      </c>
      <c r="H27" s="20">
        <v>8700000</v>
      </c>
      <c r="I27" s="22">
        <v>1778</v>
      </c>
      <c r="J27" s="66">
        <f t="shared" si="1"/>
        <v>0.1472</v>
      </c>
      <c r="K27" s="67">
        <f t="shared" si="1"/>
        <v>0.14958924265336984</v>
      </c>
      <c r="L27" s="68">
        <f t="shared" si="1"/>
        <v>0.1528735632183908</v>
      </c>
    </row>
    <row r="28" spans="1:12" x14ac:dyDescent="0.25">
      <c r="A28" s="48" t="s">
        <v>98</v>
      </c>
      <c r="B28" s="21">
        <v>805000</v>
      </c>
      <c r="C28" s="20">
        <v>804200</v>
      </c>
      <c r="D28" s="20">
        <v>1810000</v>
      </c>
      <c r="E28" s="22">
        <v>2251</v>
      </c>
      <c r="F28" s="21">
        <v>4850000</v>
      </c>
      <c r="G28" s="20">
        <v>4789100</v>
      </c>
      <c r="H28" s="20">
        <v>9000000</v>
      </c>
      <c r="I28" s="22">
        <v>1879</v>
      </c>
      <c r="J28" s="66">
        <f t="shared" si="1"/>
        <v>0.16597938144329896</v>
      </c>
      <c r="K28" s="67">
        <f t="shared" si="1"/>
        <v>0.16792299179386524</v>
      </c>
      <c r="L28" s="68">
        <f t="shared" si="1"/>
        <v>0.2011111111111111</v>
      </c>
    </row>
    <row r="29" spans="1:12" x14ac:dyDescent="0.25">
      <c r="A29" s="48" t="s">
        <v>99</v>
      </c>
      <c r="B29" s="21">
        <v>850000</v>
      </c>
      <c r="C29" s="20">
        <v>830000</v>
      </c>
      <c r="D29" s="20">
        <v>1650000</v>
      </c>
      <c r="E29" s="22">
        <v>1988</v>
      </c>
      <c r="F29" s="21">
        <v>4750000</v>
      </c>
      <c r="G29" s="20">
        <v>4651315</v>
      </c>
      <c r="H29" s="20">
        <v>8540000</v>
      </c>
      <c r="I29" s="22">
        <v>1836</v>
      </c>
      <c r="J29" s="66">
        <f t="shared" si="1"/>
        <v>0.17894736842105263</v>
      </c>
      <c r="K29" s="67">
        <f t="shared" si="1"/>
        <v>0.17844416041485042</v>
      </c>
      <c r="L29" s="68">
        <f t="shared" si="1"/>
        <v>0.19320843091334894</v>
      </c>
    </row>
    <row r="30" spans="1:12" x14ac:dyDescent="0.25">
      <c r="A30" s="48" t="s">
        <v>100</v>
      </c>
      <c r="B30" s="21">
        <v>822000</v>
      </c>
      <c r="C30" s="20">
        <v>805700</v>
      </c>
      <c r="D30" s="20">
        <v>1430000</v>
      </c>
      <c r="E30" s="22">
        <v>1775</v>
      </c>
      <c r="F30" s="21">
        <v>5500000</v>
      </c>
      <c r="G30" s="20">
        <v>5285474</v>
      </c>
      <c r="H30" s="20">
        <v>10000000</v>
      </c>
      <c r="I30" s="22">
        <v>1892</v>
      </c>
      <c r="J30" s="66">
        <f t="shared" si="1"/>
        <v>0.14945454545454545</v>
      </c>
      <c r="K30" s="67">
        <f t="shared" si="1"/>
        <v>0.15243665941786866</v>
      </c>
      <c r="L30" s="68">
        <f t="shared" si="1"/>
        <v>0.14299999999999999</v>
      </c>
    </row>
    <row r="31" spans="1:12" x14ac:dyDescent="0.25">
      <c r="A31" s="48" t="s">
        <v>101</v>
      </c>
      <c r="B31" s="21">
        <v>935200</v>
      </c>
      <c r="C31" s="20">
        <v>891400</v>
      </c>
      <c r="D31" s="20">
        <v>1936300</v>
      </c>
      <c r="E31" s="22">
        <v>2172</v>
      </c>
      <c r="F31" s="21">
        <v>6178400</v>
      </c>
      <c r="G31" s="20">
        <v>5797500</v>
      </c>
      <c r="H31" s="20">
        <v>10992400</v>
      </c>
      <c r="I31" s="22">
        <v>1896</v>
      </c>
      <c r="J31" s="66">
        <f t="shared" si="1"/>
        <v>0.15136604946264404</v>
      </c>
      <c r="K31" s="67">
        <f t="shared" si="1"/>
        <v>0.15375592927986201</v>
      </c>
      <c r="L31" s="68">
        <f t="shared" si="1"/>
        <v>0.17614897565590773</v>
      </c>
    </row>
    <row r="32" spans="1:12" x14ac:dyDescent="0.25">
      <c r="A32" s="48" t="s">
        <v>102</v>
      </c>
      <c r="B32" s="21">
        <v>666000</v>
      </c>
      <c r="C32" s="20">
        <v>653700</v>
      </c>
      <c r="D32" s="20">
        <v>1545400</v>
      </c>
      <c r="E32" s="22">
        <v>2364</v>
      </c>
      <c r="F32" s="21">
        <v>4750850</v>
      </c>
      <c r="G32" s="20">
        <v>4546650</v>
      </c>
      <c r="H32" s="20">
        <v>9884000</v>
      </c>
      <c r="I32" s="22">
        <v>2174</v>
      </c>
      <c r="J32" s="66">
        <f t="shared" si="1"/>
        <v>0.14018544050012102</v>
      </c>
      <c r="K32" s="67">
        <f t="shared" si="1"/>
        <v>0.14377618686285507</v>
      </c>
      <c r="L32" s="68">
        <f t="shared" si="1"/>
        <v>0.15635370295426954</v>
      </c>
    </row>
    <row r="33" spans="1:12" x14ac:dyDescent="0.25">
      <c r="A33" s="48" t="s">
        <v>103</v>
      </c>
      <c r="B33" s="21">
        <v>713200</v>
      </c>
      <c r="C33" s="20">
        <v>711000</v>
      </c>
      <c r="D33" s="20">
        <v>1909400</v>
      </c>
      <c r="E33" s="22">
        <v>2686</v>
      </c>
      <c r="F33" s="21">
        <v>4547700</v>
      </c>
      <c r="G33" s="20">
        <v>4254700</v>
      </c>
      <c r="H33" s="20">
        <v>9874400</v>
      </c>
      <c r="I33" s="22">
        <v>2321</v>
      </c>
      <c r="J33" s="66">
        <f t="shared" si="1"/>
        <v>0.15682652769531852</v>
      </c>
      <c r="K33" s="67">
        <f t="shared" si="1"/>
        <v>0.16710931440524596</v>
      </c>
      <c r="L33" s="68">
        <f t="shared" si="1"/>
        <v>0.19336871101028924</v>
      </c>
    </row>
    <row r="34" spans="1:12" x14ac:dyDescent="0.25">
      <c r="A34" s="48" t="s">
        <v>104</v>
      </c>
      <c r="B34" s="21">
        <v>870500</v>
      </c>
      <c r="C34" s="20">
        <v>862850</v>
      </c>
      <c r="D34" s="20">
        <v>1723900</v>
      </c>
      <c r="E34" s="22">
        <v>1998</v>
      </c>
      <c r="F34" s="21">
        <v>4909900</v>
      </c>
      <c r="G34" s="20">
        <v>4776700</v>
      </c>
      <c r="H34" s="20">
        <v>9658300</v>
      </c>
      <c r="I34" s="22">
        <v>2022</v>
      </c>
      <c r="J34" s="66">
        <f t="shared" si="1"/>
        <v>0.17729485325566713</v>
      </c>
      <c r="K34" s="67">
        <f t="shared" si="1"/>
        <v>0.18063726003307723</v>
      </c>
      <c r="L34" s="68">
        <f t="shared" si="1"/>
        <v>0.17848896803785344</v>
      </c>
    </row>
    <row r="35" spans="1:12" x14ac:dyDescent="0.25">
      <c r="A35" s="48" t="s">
        <v>105</v>
      </c>
      <c r="B35" s="21">
        <v>863000</v>
      </c>
      <c r="C35" s="20">
        <v>860700</v>
      </c>
      <c r="D35" s="20">
        <v>1832000</v>
      </c>
      <c r="E35" s="22">
        <v>2129</v>
      </c>
      <c r="F35" s="21">
        <v>5307850</v>
      </c>
      <c r="G35" s="20">
        <v>5220590</v>
      </c>
      <c r="H35" s="20">
        <v>11306210</v>
      </c>
      <c r="I35" s="22">
        <v>2166</v>
      </c>
      <c r="J35" s="66">
        <f t="shared" si="1"/>
        <v>0.1625893723447347</v>
      </c>
      <c r="K35" s="67">
        <f t="shared" si="1"/>
        <v>0.16486642314374428</v>
      </c>
      <c r="L35" s="68">
        <f t="shared" si="1"/>
        <v>0.16203484633665924</v>
      </c>
    </row>
    <row r="36" spans="1:12" x14ac:dyDescent="0.25">
      <c r="A36" s="48" t="s">
        <v>106</v>
      </c>
      <c r="B36" s="21">
        <v>761100</v>
      </c>
      <c r="C36" s="20">
        <v>753900</v>
      </c>
      <c r="D36" s="20">
        <v>1435100</v>
      </c>
      <c r="E36" s="22">
        <v>1904</v>
      </c>
      <c r="F36" s="21">
        <v>5087800</v>
      </c>
      <c r="G36" s="20">
        <v>4877650</v>
      </c>
      <c r="H36" s="20">
        <v>9445015</v>
      </c>
      <c r="I36" s="22">
        <v>1936</v>
      </c>
      <c r="J36" s="66">
        <f t="shared" si="1"/>
        <v>0.1495931443846063</v>
      </c>
      <c r="K36" s="67">
        <f t="shared" si="1"/>
        <v>0.15456213545457342</v>
      </c>
      <c r="L36" s="68">
        <f t="shared" si="1"/>
        <v>0.15194258558615312</v>
      </c>
    </row>
    <row r="37" spans="1:12" x14ac:dyDescent="0.25">
      <c r="A37" s="48" t="s">
        <v>23</v>
      </c>
      <c r="B37" s="21">
        <v>1098700</v>
      </c>
      <c r="C37" s="20">
        <v>1078750</v>
      </c>
      <c r="D37" s="20">
        <v>2388700</v>
      </c>
      <c r="E37" s="22">
        <v>2214</v>
      </c>
      <c r="F37" s="21">
        <v>7366850</v>
      </c>
      <c r="G37" s="20">
        <v>7099510</v>
      </c>
      <c r="H37" s="20">
        <v>15913600</v>
      </c>
      <c r="I37" s="22">
        <v>2242</v>
      </c>
      <c r="J37" s="66">
        <f t="shared" si="1"/>
        <v>0.14914108472413581</v>
      </c>
      <c r="K37" s="67">
        <f t="shared" si="1"/>
        <v>0.15194710620873836</v>
      </c>
      <c r="L37" s="68">
        <f t="shared" si="1"/>
        <v>0.15010431329177559</v>
      </c>
    </row>
    <row r="38" spans="1:12" x14ac:dyDescent="0.25">
      <c r="A38" s="48" t="s">
        <v>24</v>
      </c>
      <c r="B38" s="21">
        <v>855700</v>
      </c>
      <c r="C38" s="20">
        <v>777900</v>
      </c>
      <c r="D38" s="20">
        <v>1509200</v>
      </c>
      <c r="E38" s="22">
        <v>1940</v>
      </c>
      <c r="F38" s="21">
        <v>5918665</v>
      </c>
      <c r="G38" s="20">
        <v>5701815</v>
      </c>
      <c r="H38" s="20">
        <v>14800230</v>
      </c>
      <c r="I38" s="22">
        <v>2596</v>
      </c>
      <c r="J38" s="66">
        <f t="shared" si="1"/>
        <v>0.1445765219014761</v>
      </c>
      <c r="K38" s="67">
        <f t="shared" si="1"/>
        <v>0.13643024194927406</v>
      </c>
      <c r="L38" s="68">
        <f t="shared" si="1"/>
        <v>0.1019713882824794</v>
      </c>
    </row>
    <row r="39" spans="1:12" x14ac:dyDescent="0.25">
      <c r="A39" s="48" t="s">
        <v>25</v>
      </c>
      <c r="B39" s="21">
        <v>755000</v>
      </c>
      <c r="C39" s="20">
        <v>750300</v>
      </c>
      <c r="D39" s="20">
        <v>1927400</v>
      </c>
      <c r="E39" s="22">
        <v>2569</v>
      </c>
      <c r="F39" s="21">
        <v>5453250</v>
      </c>
      <c r="G39" s="20">
        <v>5399080</v>
      </c>
      <c r="H39" s="20">
        <v>12443000</v>
      </c>
      <c r="I39" s="22">
        <v>2305</v>
      </c>
      <c r="J39" s="66">
        <f t="shared" si="1"/>
        <v>0.13844954843441984</v>
      </c>
      <c r="K39" s="67">
        <f t="shared" si="1"/>
        <v>0.13896812049460278</v>
      </c>
      <c r="L39" s="68">
        <f t="shared" si="1"/>
        <v>0.15489833641404807</v>
      </c>
    </row>
    <row r="40" spans="1:12" x14ac:dyDescent="0.25">
      <c r="A40" s="48" t="s">
        <v>26</v>
      </c>
      <c r="B40" s="21">
        <v>930400</v>
      </c>
      <c r="C40" s="20">
        <v>925300</v>
      </c>
      <c r="D40" s="20">
        <v>2754000</v>
      </c>
      <c r="E40" s="22">
        <v>2976</v>
      </c>
      <c r="F40" s="21">
        <v>6300000</v>
      </c>
      <c r="G40" s="20">
        <v>6153440</v>
      </c>
      <c r="H40" s="20">
        <v>15302560</v>
      </c>
      <c r="I40" s="22">
        <v>2487</v>
      </c>
      <c r="J40" s="66">
        <f t="shared" si="1"/>
        <v>0.14768253968253969</v>
      </c>
      <c r="K40" s="67">
        <f t="shared" si="1"/>
        <v>0.15037117449751683</v>
      </c>
      <c r="L40" s="68">
        <f t="shared" si="1"/>
        <v>0.17996988739139072</v>
      </c>
    </row>
    <row r="41" spans="1:12" x14ac:dyDescent="0.25">
      <c r="A41" s="48" t="s">
        <v>27</v>
      </c>
      <c r="B41" s="21">
        <v>1005100</v>
      </c>
      <c r="C41" s="20">
        <v>1002300</v>
      </c>
      <c r="D41" s="20">
        <v>2233850</v>
      </c>
      <c r="E41" s="22">
        <v>2229</v>
      </c>
      <c r="F41" s="21">
        <v>6496600</v>
      </c>
      <c r="G41" s="20">
        <v>6408045</v>
      </c>
      <c r="H41" s="20">
        <v>15959352</v>
      </c>
      <c r="I41" s="22">
        <v>2491</v>
      </c>
      <c r="J41" s="66">
        <f t="shared" si="1"/>
        <v>0.15471169534833606</v>
      </c>
      <c r="K41" s="67">
        <f t="shared" si="1"/>
        <v>0.15641275927369425</v>
      </c>
      <c r="L41" s="68">
        <f t="shared" si="1"/>
        <v>0.13997122188920955</v>
      </c>
    </row>
    <row r="42" spans="1:12" x14ac:dyDescent="0.25">
      <c r="A42" s="48" t="s">
        <v>28</v>
      </c>
      <c r="B42" s="21">
        <v>1098000</v>
      </c>
      <c r="C42" s="20">
        <v>1093500</v>
      </c>
      <c r="D42" s="20">
        <v>2138330</v>
      </c>
      <c r="E42" s="22">
        <v>1955</v>
      </c>
      <c r="F42" s="21">
        <v>7108900</v>
      </c>
      <c r="G42" s="20">
        <v>6840720</v>
      </c>
      <c r="H42" s="20">
        <v>15291660</v>
      </c>
      <c r="I42" s="22">
        <v>2235</v>
      </c>
      <c r="J42" s="66">
        <f t="shared" si="1"/>
        <v>0.15445427562632755</v>
      </c>
      <c r="K42" s="67">
        <f t="shared" si="1"/>
        <v>0.15985159456899273</v>
      </c>
      <c r="L42" s="68">
        <f t="shared" si="1"/>
        <v>0.13983635524200774</v>
      </c>
    </row>
    <row r="43" spans="1:12" x14ac:dyDescent="0.25">
      <c r="A43" s="48" t="s">
        <v>29</v>
      </c>
      <c r="B43" s="21">
        <v>836000</v>
      </c>
      <c r="C43" s="20">
        <v>793500</v>
      </c>
      <c r="D43" s="20">
        <v>1651300</v>
      </c>
      <c r="E43" s="22">
        <v>2081</v>
      </c>
      <c r="F43" s="21">
        <v>6300210</v>
      </c>
      <c r="G43" s="20">
        <v>6050210</v>
      </c>
      <c r="H43" s="20">
        <v>12301442</v>
      </c>
      <c r="I43" s="22">
        <v>2033</v>
      </c>
      <c r="J43" s="66">
        <f t="shared" si="1"/>
        <v>0.13269398956542719</v>
      </c>
      <c r="K43" s="67">
        <f t="shared" si="1"/>
        <v>0.13115247239352024</v>
      </c>
      <c r="L43" s="68">
        <f t="shared" si="1"/>
        <v>0.13423629522457611</v>
      </c>
    </row>
    <row r="44" spans="1:12" x14ac:dyDescent="0.25">
      <c r="A44" s="48" t="s">
        <v>30</v>
      </c>
      <c r="B44" s="21">
        <v>685200</v>
      </c>
      <c r="C44" s="20">
        <v>680200</v>
      </c>
      <c r="D44" s="20">
        <v>1897970</v>
      </c>
      <c r="E44" s="22">
        <v>2790</v>
      </c>
      <c r="F44" s="21">
        <v>6039857</v>
      </c>
      <c r="G44" s="20">
        <v>5735292</v>
      </c>
      <c r="H44" s="20">
        <v>14562955</v>
      </c>
      <c r="I44" s="22">
        <v>2539</v>
      </c>
      <c r="J44" s="66">
        <f t="shared" si="1"/>
        <v>0.11344639450900908</v>
      </c>
      <c r="K44" s="67">
        <f t="shared" si="1"/>
        <v>0.11859901814938106</v>
      </c>
      <c r="L44" s="68">
        <f t="shared" si="1"/>
        <v>0.13032863179210538</v>
      </c>
    </row>
    <row r="45" spans="1:12" x14ac:dyDescent="0.25">
      <c r="A45" s="48" t="s">
        <v>31</v>
      </c>
      <c r="B45" s="21">
        <v>678985</v>
      </c>
      <c r="C45" s="20">
        <v>648365</v>
      </c>
      <c r="D45" s="20">
        <v>1752580</v>
      </c>
      <c r="E45" s="22">
        <v>2703</v>
      </c>
      <c r="F45" s="21">
        <v>6255365</v>
      </c>
      <c r="G45" s="20">
        <v>6061930</v>
      </c>
      <c r="H45" s="20">
        <v>15925025</v>
      </c>
      <c r="I45" s="22">
        <v>2627</v>
      </c>
      <c r="J45" s="66">
        <f t="shared" si="1"/>
        <v>0.10854442546518069</v>
      </c>
      <c r="K45" s="67">
        <f t="shared" si="1"/>
        <v>0.10695686027387317</v>
      </c>
      <c r="L45" s="68">
        <f t="shared" si="1"/>
        <v>0.11005194654325504</v>
      </c>
    </row>
    <row r="46" spans="1:12" x14ac:dyDescent="0.25">
      <c r="A46" s="48" t="s">
        <v>32</v>
      </c>
      <c r="B46" s="21">
        <v>589450</v>
      </c>
      <c r="C46" s="20">
        <v>577380</v>
      </c>
      <c r="D46" s="20">
        <v>1847240</v>
      </c>
      <c r="E46" s="22">
        <v>3199</v>
      </c>
      <c r="F46" s="21">
        <v>5222485</v>
      </c>
      <c r="G46" s="20">
        <v>4975920</v>
      </c>
      <c r="H46" s="20">
        <v>12593396</v>
      </c>
      <c r="I46" s="22">
        <v>2531</v>
      </c>
      <c r="J46" s="66">
        <f t="shared" si="1"/>
        <v>0.11286772484746246</v>
      </c>
      <c r="K46" s="67">
        <f t="shared" si="1"/>
        <v>0.11603482371099214</v>
      </c>
      <c r="L46" s="68">
        <f t="shared" si="1"/>
        <v>0.14668322984523</v>
      </c>
    </row>
    <row r="47" spans="1:12" x14ac:dyDescent="0.25">
      <c r="A47" s="48" t="s">
        <v>33</v>
      </c>
      <c r="B47" s="21">
        <v>707700</v>
      </c>
      <c r="C47" s="20">
        <v>690700</v>
      </c>
      <c r="D47" s="20">
        <v>1995600</v>
      </c>
      <c r="E47" s="22">
        <v>2889</v>
      </c>
      <c r="F47" s="21">
        <v>5675975</v>
      </c>
      <c r="G47" s="20">
        <v>5540405</v>
      </c>
      <c r="H47" s="20">
        <v>14547960</v>
      </c>
      <c r="I47" s="22">
        <v>2626</v>
      </c>
      <c r="J47" s="66">
        <f t="shared" si="1"/>
        <v>0.1246834244336876</v>
      </c>
      <c r="K47" s="67">
        <f t="shared" si="1"/>
        <v>0.12466597658474425</v>
      </c>
      <c r="L47" s="68">
        <f t="shared" si="1"/>
        <v>0.13717387180058235</v>
      </c>
    </row>
    <row r="48" spans="1:12" x14ac:dyDescent="0.25">
      <c r="A48" s="48" t="s">
        <v>34</v>
      </c>
      <c r="B48" s="21">
        <v>753920</v>
      </c>
      <c r="C48" s="20">
        <v>753920</v>
      </c>
      <c r="D48" s="20">
        <v>2653620</v>
      </c>
      <c r="E48" s="22">
        <v>3520</v>
      </c>
      <c r="F48" s="21">
        <v>5951577</v>
      </c>
      <c r="G48" s="20">
        <v>5777560</v>
      </c>
      <c r="H48" s="20">
        <v>16354091</v>
      </c>
      <c r="I48" s="22">
        <v>2831</v>
      </c>
      <c r="J48" s="66">
        <f t="shared" si="1"/>
        <v>0.12667566932260138</v>
      </c>
      <c r="K48" s="67">
        <f t="shared" si="1"/>
        <v>0.13049107235580418</v>
      </c>
      <c r="L48" s="68">
        <f t="shared" si="1"/>
        <v>0.16226031761716381</v>
      </c>
    </row>
    <row r="49" spans="1:12" x14ac:dyDescent="0.25">
      <c r="A49" s="48" t="s">
        <v>35</v>
      </c>
      <c r="B49" s="21">
        <v>351280</v>
      </c>
      <c r="C49" s="20">
        <v>321780</v>
      </c>
      <c r="D49" s="20">
        <v>519850</v>
      </c>
      <c r="E49" s="22">
        <v>1616</v>
      </c>
      <c r="F49" s="21">
        <v>4733735</v>
      </c>
      <c r="G49" s="20">
        <v>4266430</v>
      </c>
      <c r="H49" s="20">
        <v>8376452</v>
      </c>
      <c r="I49" s="22">
        <v>1963</v>
      </c>
      <c r="J49" s="66">
        <f t="shared" si="1"/>
        <v>7.4207787296923039E-2</v>
      </c>
      <c r="K49" s="67">
        <f t="shared" si="1"/>
        <v>7.5421371029174275E-2</v>
      </c>
      <c r="L49" s="68">
        <f t="shared" si="1"/>
        <v>6.2060882101395674E-2</v>
      </c>
    </row>
    <row r="50" spans="1:12" x14ac:dyDescent="0.25">
      <c r="A50" s="48" t="s">
        <v>36</v>
      </c>
      <c r="B50" s="21">
        <v>317160</v>
      </c>
      <c r="C50" s="20">
        <v>312620</v>
      </c>
      <c r="D50" s="20">
        <v>993980</v>
      </c>
      <c r="E50" s="22">
        <v>3180</v>
      </c>
      <c r="F50" s="21">
        <v>3556705</v>
      </c>
      <c r="G50" s="20">
        <v>3272740</v>
      </c>
      <c r="H50" s="20">
        <v>9023139</v>
      </c>
      <c r="I50" s="22">
        <v>2757</v>
      </c>
      <c r="J50" s="66">
        <f t="shared" si="1"/>
        <v>8.9172422227876649E-2</v>
      </c>
      <c r="K50" s="67">
        <f t="shared" si="1"/>
        <v>9.5522406301753265E-2</v>
      </c>
      <c r="L50" s="68">
        <f t="shared" si="1"/>
        <v>0.11015900342441805</v>
      </c>
    </row>
    <row r="51" spans="1:12" x14ac:dyDescent="0.25">
      <c r="A51" s="48" t="s">
        <v>37</v>
      </c>
      <c r="B51" s="21">
        <v>444280</v>
      </c>
      <c r="C51" s="20">
        <v>438780</v>
      </c>
      <c r="D51" s="20">
        <v>1826500</v>
      </c>
      <c r="E51" s="22">
        <v>4163</v>
      </c>
      <c r="F51" s="21">
        <v>4582250</v>
      </c>
      <c r="G51" s="20">
        <v>4531520</v>
      </c>
      <c r="H51" s="20">
        <v>15875653</v>
      </c>
      <c r="I51" s="22">
        <v>3503</v>
      </c>
      <c r="J51" s="66">
        <f t="shared" si="1"/>
        <v>9.6956735228326693E-2</v>
      </c>
      <c r="K51" s="67">
        <f t="shared" si="1"/>
        <v>9.6828437257255845E-2</v>
      </c>
      <c r="L51" s="68">
        <f t="shared" si="1"/>
        <v>0.1150503856439795</v>
      </c>
    </row>
    <row r="52" spans="1:12" x14ac:dyDescent="0.25">
      <c r="A52" s="48" t="s">
        <v>38</v>
      </c>
      <c r="B52" s="21">
        <v>433200</v>
      </c>
      <c r="C52" s="20">
        <v>430900</v>
      </c>
      <c r="D52" s="20">
        <v>1533870</v>
      </c>
      <c r="E52" s="22">
        <v>3560</v>
      </c>
      <c r="F52" s="21">
        <v>4630600</v>
      </c>
      <c r="G52" s="20">
        <v>4496078</v>
      </c>
      <c r="H52" s="20">
        <v>14500519</v>
      </c>
      <c r="I52" s="22">
        <v>3225</v>
      </c>
      <c r="J52" s="66">
        <f t="shared" si="1"/>
        <v>9.3551591586403485E-2</v>
      </c>
      <c r="K52" s="67">
        <f t="shared" si="1"/>
        <v>9.5839084642214842E-2</v>
      </c>
      <c r="L52" s="68">
        <f t="shared" si="1"/>
        <v>0.10578035172396243</v>
      </c>
    </row>
    <row r="53" spans="1:12" x14ac:dyDescent="0.25">
      <c r="A53" s="48" t="s">
        <v>39</v>
      </c>
      <c r="B53" s="21">
        <v>502864</v>
      </c>
      <c r="C53" s="20">
        <v>488864</v>
      </c>
      <c r="D53" s="20">
        <v>1369100</v>
      </c>
      <c r="E53" s="22">
        <v>2801</v>
      </c>
      <c r="F53" s="21">
        <v>3162138</v>
      </c>
      <c r="G53" s="20">
        <v>3019403</v>
      </c>
      <c r="H53" s="20">
        <v>8024996</v>
      </c>
      <c r="I53" s="22">
        <v>2658</v>
      </c>
      <c r="J53" s="66">
        <f t="shared" si="1"/>
        <v>0.15902658264756314</v>
      </c>
      <c r="K53" s="67">
        <f t="shared" si="1"/>
        <v>0.16190750290703163</v>
      </c>
      <c r="L53" s="68">
        <f t="shared" si="1"/>
        <v>0.17060444640720071</v>
      </c>
    </row>
    <row r="54" spans="1:12" x14ac:dyDescent="0.25">
      <c r="A54" s="48" t="s">
        <v>40</v>
      </c>
      <c r="B54" s="21">
        <v>643950</v>
      </c>
      <c r="C54" s="20">
        <v>625850</v>
      </c>
      <c r="D54" s="20">
        <v>1332640</v>
      </c>
      <c r="E54" s="22">
        <v>2129</v>
      </c>
      <c r="F54" s="21">
        <v>3648070</v>
      </c>
      <c r="G54" s="20">
        <v>3451785</v>
      </c>
      <c r="H54" s="20">
        <v>9188339</v>
      </c>
      <c r="I54" s="22">
        <v>2662</v>
      </c>
      <c r="J54" s="66">
        <f t="shared" si="1"/>
        <v>0.1765179944463785</v>
      </c>
      <c r="K54" s="67">
        <f t="shared" si="1"/>
        <v>0.1813119878555588</v>
      </c>
      <c r="L54" s="68">
        <f t="shared" si="1"/>
        <v>0.14503600705198186</v>
      </c>
    </row>
    <row r="55" spans="1:12" x14ac:dyDescent="0.25">
      <c r="A55" s="48" t="s">
        <v>41</v>
      </c>
      <c r="B55" s="21">
        <v>925000</v>
      </c>
      <c r="C55" s="20">
        <v>907200</v>
      </c>
      <c r="D55" s="20">
        <v>2519010</v>
      </c>
      <c r="E55" s="22">
        <v>2777</v>
      </c>
      <c r="F55" s="21">
        <v>5261085</v>
      </c>
      <c r="G55" s="20">
        <v>4957300</v>
      </c>
      <c r="H55" s="20">
        <v>13930078</v>
      </c>
      <c r="I55" s="22">
        <v>2810</v>
      </c>
      <c r="J55" s="66">
        <f t="shared" si="1"/>
        <v>0.17581924641019867</v>
      </c>
      <c r="K55" s="67">
        <f t="shared" si="1"/>
        <v>0.18300284429023864</v>
      </c>
      <c r="L55" s="68">
        <f t="shared" si="1"/>
        <v>0.18083244042136734</v>
      </c>
    </row>
    <row r="56" spans="1:12" x14ac:dyDescent="0.25">
      <c r="A56" s="48" t="s">
        <v>42</v>
      </c>
      <c r="B56" s="21">
        <v>647130</v>
      </c>
      <c r="C56" s="20">
        <v>597990</v>
      </c>
      <c r="D56" s="20">
        <v>1872210</v>
      </c>
      <c r="E56" s="22">
        <v>3131</v>
      </c>
      <c r="F56" s="21">
        <v>4381128</v>
      </c>
      <c r="G56" s="20">
        <v>3953102</v>
      </c>
      <c r="H56" s="20">
        <v>11314952</v>
      </c>
      <c r="I56" s="22">
        <v>2862</v>
      </c>
      <c r="J56" s="66">
        <f t="shared" si="1"/>
        <v>0.14770853533610523</v>
      </c>
      <c r="K56" s="67">
        <f t="shared" si="1"/>
        <v>0.15127107775109269</v>
      </c>
      <c r="L56" s="68">
        <f t="shared" si="1"/>
        <v>0.16546336210705975</v>
      </c>
    </row>
    <row r="57" spans="1:12" x14ac:dyDescent="0.25">
      <c r="A57" s="48" t="s">
        <v>43</v>
      </c>
      <c r="B57" s="21">
        <v>943900</v>
      </c>
      <c r="C57" s="20">
        <v>845060</v>
      </c>
      <c r="D57" s="20">
        <v>2911327</v>
      </c>
      <c r="E57" s="22">
        <v>3445</v>
      </c>
      <c r="F57" s="21">
        <v>6364015</v>
      </c>
      <c r="G57" s="20">
        <v>5566385</v>
      </c>
      <c r="H57" s="20">
        <v>18395106</v>
      </c>
      <c r="I57" s="22">
        <v>3305</v>
      </c>
      <c r="J57" s="66">
        <f t="shared" si="1"/>
        <v>0.14831831791722677</v>
      </c>
      <c r="K57" s="67">
        <f t="shared" si="1"/>
        <v>0.15181486727921262</v>
      </c>
      <c r="L57" s="68">
        <f t="shared" si="1"/>
        <v>0.15826638889713385</v>
      </c>
    </row>
    <row r="58" spans="1:12" x14ac:dyDescent="0.25">
      <c r="A58" s="48" t="s">
        <v>44</v>
      </c>
      <c r="B58" s="21">
        <v>978535</v>
      </c>
      <c r="C58" s="20">
        <v>964175</v>
      </c>
      <c r="D58" s="20">
        <v>3266141</v>
      </c>
      <c r="E58" s="22">
        <v>3388</v>
      </c>
      <c r="F58" s="21">
        <v>5927610</v>
      </c>
      <c r="G58" s="20">
        <v>5822173</v>
      </c>
      <c r="H58" s="20">
        <v>18518045</v>
      </c>
      <c r="I58" s="22">
        <v>3181</v>
      </c>
      <c r="J58" s="66">
        <f t="shared" si="1"/>
        <v>0.16508086733101537</v>
      </c>
      <c r="K58" s="67">
        <f t="shared" si="1"/>
        <v>0.16560397638476218</v>
      </c>
      <c r="L58" s="68">
        <f t="shared" si="1"/>
        <v>0.17637612393748908</v>
      </c>
    </row>
    <row r="59" spans="1:12" x14ac:dyDescent="0.25">
      <c r="A59" s="48" t="s">
        <v>45</v>
      </c>
      <c r="B59" s="21">
        <v>1111924</v>
      </c>
      <c r="C59" s="20">
        <v>1091424</v>
      </c>
      <c r="D59" s="20">
        <v>3304693</v>
      </c>
      <c r="E59" s="22">
        <v>3028</v>
      </c>
      <c r="F59" s="21">
        <v>6287149</v>
      </c>
      <c r="G59" s="20">
        <v>6050953</v>
      </c>
      <c r="H59" s="20">
        <v>19459727</v>
      </c>
      <c r="I59" s="22">
        <v>3216</v>
      </c>
      <c r="J59" s="66">
        <f t="shared" si="1"/>
        <v>0.17685663247363789</v>
      </c>
      <c r="K59" s="67">
        <f t="shared" si="1"/>
        <v>0.18037224880113925</v>
      </c>
      <c r="L59" s="68">
        <f t="shared" si="1"/>
        <v>0.16982216656996268</v>
      </c>
    </row>
    <row r="60" spans="1:12" x14ac:dyDescent="0.25">
      <c r="A60" s="49" t="s">
        <v>46</v>
      </c>
      <c r="B60" s="21">
        <v>1300500</v>
      </c>
      <c r="C60" s="20">
        <v>1291399</v>
      </c>
      <c r="D60" s="20">
        <v>4186876</v>
      </c>
      <c r="E60" s="22">
        <v>3242</v>
      </c>
      <c r="F60" s="21">
        <v>6951171</v>
      </c>
      <c r="G60" s="20">
        <v>6729838</v>
      </c>
      <c r="H60" s="20">
        <v>19776942</v>
      </c>
      <c r="I60" s="22">
        <v>2939</v>
      </c>
      <c r="J60" s="66">
        <f t="shared" si="1"/>
        <v>0.18709077938091295</v>
      </c>
      <c r="K60" s="67">
        <f t="shared" si="1"/>
        <v>0.19189154330312261</v>
      </c>
      <c r="L60" s="68">
        <f t="shared" si="1"/>
        <v>0.2117049238451526</v>
      </c>
    </row>
    <row r="61" spans="1:12" x14ac:dyDescent="0.25">
      <c r="A61" s="49" t="s">
        <v>47</v>
      </c>
      <c r="B61" s="21">
        <v>1326620</v>
      </c>
      <c r="C61" s="20">
        <v>1260400</v>
      </c>
      <c r="D61" s="20">
        <v>2658120</v>
      </c>
      <c r="E61" s="22">
        <v>2109</v>
      </c>
      <c r="F61" s="21">
        <v>6729898</v>
      </c>
      <c r="G61" s="20">
        <v>6394102</v>
      </c>
      <c r="H61" s="20">
        <v>17644277</v>
      </c>
      <c r="I61" s="22">
        <v>2759</v>
      </c>
      <c r="J61" s="66">
        <f t="shared" si="1"/>
        <v>0.19712334421710404</v>
      </c>
      <c r="K61" s="67">
        <f t="shared" si="1"/>
        <v>0.19711915762369758</v>
      </c>
      <c r="L61" s="68">
        <f t="shared" si="1"/>
        <v>0.15065054805022615</v>
      </c>
    </row>
    <row r="62" spans="1:12" x14ac:dyDescent="0.25">
      <c r="A62" s="49" t="s">
        <v>48</v>
      </c>
      <c r="B62" s="21">
        <v>1297269</v>
      </c>
      <c r="C62" s="20">
        <v>1287269</v>
      </c>
      <c r="D62" s="20">
        <v>5030544</v>
      </c>
      <c r="E62" s="22">
        <v>3908</v>
      </c>
      <c r="F62" s="21">
        <v>6751729</v>
      </c>
      <c r="G62" s="20">
        <v>6548477</v>
      </c>
      <c r="H62" s="20">
        <v>22150287</v>
      </c>
      <c r="I62" s="22">
        <v>3383</v>
      </c>
      <c r="J62" s="66">
        <f t="shared" si="1"/>
        <v>0.19213878400628936</v>
      </c>
      <c r="K62" s="67">
        <f t="shared" si="1"/>
        <v>0.1965753258353049</v>
      </c>
      <c r="L62" s="68">
        <f t="shared" si="1"/>
        <v>0.22710965325189691</v>
      </c>
    </row>
    <row r="63" spans="1:12" x14ac:dyDescent="0.25">
      <c r="A63" s="49" t="s">
        <v>49</v>
      </c>
      <c r="B63" s="21">
        <v>953175</v>
      </c>
      <c r="C63" s="20">
        <v>857575</v>
      </c>
      <c r="D63" s="20">
        <v>1954134</v>
      </c>
      <c r="E63" s="22">
        <v>2279</v>
      </c>
      <c r="F63" s="21">
        <v>5907287</v>
      </c>
      <c r="G63" s="20">
        <v>5488728</v>
      </c>
      <c r="H63" s="20">
        <v>12555860</v>
      </c>
      <c r="I63" s="22">
        <v>2288</v>
      </c>
      <c r="J63" s="66">
        <f t="shared" si="1"/>
        <v>0.16135579666266425</v>
      </c>
      <c r="K63" s="67">
        <f t="shared" si="1"/>
        <v>0.15624294007646217</v>
      </c>
      <c r="L63" s="68">
        <f t="shared" si="1"/>
        <v>0.15563521734074767</v>
      </c>
    </row>
    <row r="64" spans="1:12" x14ac:dyDescent="0.25">
      <c r="A64" s="49" t="s">
        <v>50</v>
      </c>
      <c r="B64" s="21">
        <v>1117257</v>
      </c>
      <c r="C64" s="20">
        <v>1001157</v>
      </c>
      <c r="D64" s="20">
        <v>2781780</v>
      </c>
      <c r="E64" s="22">
        <v>2779</v>
      </c>
      <c r="F64" s="21">
        <v>5916678</v>
      </c>
      <c r="G64" s="20">
        <v>5575352</v>
      </c>
      <c r="H64" s="20">
        <v>15853154</v>
      </c>
      <c r="I64" s="22">
        <v>2843</v>
      </c>
      <c r="J64" s="66">
        <f t="shared" si="1"/>
        <v>0.18883180730808741</v>
      </c>
      <c r="K64" s="67">
        <f t="shared" si="1"/>
        <v>0.17956839317051193</v>
      </c>
      <c r="L64" s="68">
        <f t="shared" si="1"/>
        <v>0.17547170739652185</v>
      </c>
    </row>
    <row r="65" spans="1:12" x14ac:dyDescent="0.25">
      <c r="A65" s="49" t="s">
        <v>51</v>
      </c>
      <c r="B65" s="21">
        <v>1263491</v>
      </c>
      <c r="C65" s="20">
        <v>1221341</v>
      </c>
      <c r="D65" s="20">
        <v>3494812</v>
      </c>
      <c r="E65" s="22">
        <v>2861</v>
      </c>
      <c r="F65" s="21">
        <v>6550169</v>
      </c>
      <c r="G65" s="20">
        <v>6341303</v>
      </c>
      <c r="H65" s="20">
        <v>18510280</v>
      </c>
      <c r="I65" s="22">
        <v>2919</v>
      </c>
      <c r="J65" s="66">
        <f t="shared" si="1"/>
        <v>0.19289441234264337</v>
      </c>
      <c r="K65" s="67">
        <f t="shared" si="1"/>
        <v>0.19260095283256454</v>
      </c>
      <c r="L65" s="68">
        <f t="shared" si="1"/>
        <v>0.18880384305369774</v>
      </c>
    </row>
    <row r="66" spans="1:12" x14ac:dyDescent="0.25">
      <c r="A66" s="49" t="s">
        <v>52</v>
      </c>
      <c r="B66" s="21">
        <v>1237799</v>
      </c>
      <c r="C66" s="20">
        <v>1232639</v>
      </c>
      <c r="D66" s="20">
        <v>5956212</v>
      </c>
      <c r="E66" s="22">
        <v>4832</v>
      </c>
      <c r="F66" s="21">
        <v>6965236</v>
      </c>
      <c r="G66" s="20">
        <v>6791867</v>
      </c>
      <c r="H66" s="20">
        <v>27886449</v>
      </c>
      <c r="I66" s="22">
        <v>4106</v>
      </c>
      <c r="J66" s="66">
        <f t="shared" si="1"/>
        <v>0.17771099213292987</v>
      </c>
      <c r="K66" s="67">
        <f t="shared" si="1"/>
        <v>0.18148750557100132</v>
      </c>
      <c r="L66" s="68">
        <f t="shared" si="1"/>
        <v>0.21358804055690275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phoneticPr fontId="20" type="noConversion"/>
  <hyperlinks>
    <hyperlink ref="A5" location="Índice!A1" display="VOLVER AL INDICE" xr:uid="{9B1B9A1B-7C96-43A0-9FFD-F14A77696B6B}"/>
  </hyperlinks>
  <pageMargins left="0.7" right="0.7" top="0.75" bottom="0.75" header="0.3" footer="0.3"/>
  <pageSetup paperSize="9"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6501-69F7-4551-9D55-C97A010986F1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14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>
        <v>150</v>
      </c>
      <c r="G10" s="40">
        <v>150</v>
      </c>
      <c r="H10" s="40">
        <v>105</v>
      </c>
      <c r="I10" s="50">
        <v>700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>
        <v>1850</v>
      </c>
      <c r="G11" s="20">
        <v>1850</v>
      </c>
      <c r="H11" s="20">
        <v>1308</v>
      </c>
      <c r="I11" s="22">
        <v>707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>
        <v>7900</v>
      </c>
      <c r="G12" s="20">
        <v>4670</v>
      </c>
      <c r="H12" s="20">
        <v>2850</v>
      </c>
      <c r="I12" s="22">
        <v>610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>
        <v>11050</v>
      </c>
      <c r="G13" s="20">
        <v>7260</v>
      </c>
      <c r="H13" s="20">
        <v>4510</v>
      </c>
      <c r="I13" s="22">
        <v>621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>
        <v>8200</v>
      </c>
      <c r="G14" s="20">
        <v>8200</v>
      </c>
      <c r="H14" s="20">
        <v>7850</v>
      </c>
      <c r="I14" s="22">
        <v>957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>
        <v>5400</v>
      </c>
      <c r="G15" s="20">
        <v>3920</v>
      </c>
      <c r="H15" s="20">
        <v>3330</v>
      </c>
      <c r="I15" s="22">
        <v>849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>
        <v>8150</v>
      </c>
      <c r="G16" s="20">
        <v>7540</v>
      </c>
      <c r="H16" s="20">
        <v>5880</v>
      </c>
      <c r="I16" s="22">
        <v>780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>
        <v>1000</v>
      </c>
      <c r="G17" s="20">
        <v>0</v>
      </c>
      <c r="H17" s="20">
        <v>0</v>
      </c>
      <c r="I17" s="22">
        <v>0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>
        <v>2540</v>
      </c>
      <c r="G18" s="20">
        <v>2040</v>
      </c>
      <c r="H18" s="20">
        <v>1520</v>
      </c>
      <c r="I18" s="22">
        <v>745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>
        <v>3000</v>
      </c>
      <c r="G19" s="20">
        <v>1550</v>
      </c>
      <c r="H19" s="20">
        <v>1320</v>
      </c>
      <c r="I19" s="22">
        <v>852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>
        <v>700</v>
      </c>
      <c r="G20" s="20">
        <v>700</v>
      </c>
      <c r="H20" s="20">
        <v>630</v>
      </c>
      <c r="I20" s="22">
        <v>900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>
        <v>1000</v>
      </c>
      <c r="G21" s="20">
        <v>900</v>
      </c>
      <c r="H21" s="20">
        <v>700</v>
      </c>
      <c r="I21" s="22">
        <v>778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>
        <v>650</v>
      </c>
      <c r="G22" s="20">
        <v>650</v>
      </c>
      <c r="H22" s="20">
        <v>630</v>
      </c>
      <c r="I22" s="22">
        <v>969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>
        <v>3720</v>
      </c>
      <c r="G23" s="20">
        <v>2320</v>
      </c>
      <c r="H23" s="20">
        <v>1860</v>
      </c>
      <c r="I23" s="22">
        <v>802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>
        <v>9400</v>
      </c>
      <c r="G24" s="20">
        <v>9300</v>
      </c>
      <c r="H24" s="20">
        <v>4600</v>
      </c>
      <c r="I24" s="22">
        <v>495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>
        <v>13125</v>
      </c>
      <c r="G25" s="20">
        <v>10225</v>
      </c>
      <c r="H25" s="20">
        <v>5770</v>
      </c>
      <c r="I25" s="22">
        <v>564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>
        <v>14000</v>
      </c>
      <c r="G26" s="20">
        <v>13960</v>
      </c>
      <c r="H26" s="20">
        <v>10400</v>
      </c>
      <c r="I26" s="22">
        <v>745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>
        <v>7300</v>
      </c>
      <c r="G27" s="20">
        <v>7300</v>
      </c>
      <c r="H27" s="20">
        <v>3150</v>
      </c>
      <c r="I27" s="22">
        <v>432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>
        <v>16400</v>
      </c>
      <c r="G28" s="20">
        <v>13800</v>
      </c>
      <c r="H28" s="20">
        <v>6800</v>
      </c>
      <c r="I28" s="22">
        <v>493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>
        <v>22000</v>
      </c>
      <c r="G29" s="20">
        <v>21300</v>
      </c>
      <c r="H29" s="20">
        <v>17900</v>
      </c>
      <c r="I29" s="22">
        <v>840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f t="shared" ref="I30" si="2">H30/G30*10</f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f t="shared" ref="I31:I32" si="3">H31/G31*10</f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f t="shared" si="3"/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>
        <v>24200</v>
      </c>
      <c r="G33" s="20">
        <v>21300</v>
      </c>
      <c r="H33" s="20">
        <v>15697</v>
      </c>
      <c r="I33" s="22">
        <v>737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>
        <v>19050</v>
      </c>
      <c r="G34" s="20">
        <v>11650</v>
      </c>
      <c r="H34" s="20">
        <v>6700</v>
      </c>
      <c r="I34" s="22">
        <v>575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>
        <v>21000</v>
      </c>
      <c r="G35" s="20">
        <v>12350</v>
      </c>
      <c r="H35" s="20">
        <v>7252</v>
      </c>
      <c r="I35" s="22">
        <v>587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>
        <v>13750</v>
      </c>
      <c r="G36" s="20">
        <v>10425</v>
      </c>
      <c r="H36" s="20">
        <v>6320</v>
      </c>
      <c r="I36" s="22">
        <v>606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>
        <v>21500</v>
      </c>
      <c r="G37" s="20">
        <v>19800</v>
      </c>
      <c r="H37" s="20">
        <v>13300</v>
      </c>
      <c r="I37" s="22">
        <v>672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>
        <v>27000</v>
      </c>
      <c r="G38" s="20">
        <v>27000</v>
      </c>
      <c r="H38" s="20">
        <v>24600</v>
      </c>
      <c r="I38" s="22">
        <v>911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>
        <v>15300</v>
      </c>
      <c r="G39" s="20">
        <v>14900</v>
      </c>
      <c r="H39" s="20">
        <v>9550</v>
      </c>
      <c r="I39" s="22">
        <v>641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>
        <v>39700</v>
      </c>
      <c r="G40" s="20">
        <v>34400</v>
      </c>
      <c r="H40" s="20">
        <v>30850</v>
      </c>
      <c r="I40" s="22">
        <v>897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>
        <v>58400</v>
      </c>
      <c r="G41" s="20">
        <v>53400</v>
      </c>
      <c r="H41" s="20">
        <v>43680</v>
      </c>
      <c r="I41" s="22">
        <v>818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33000</v>
      </c>
      <c r="G42" s="20">
        <v>29500</v>
      </c>
      <c r="H42" s="20">
        <v>23500</v>
      </c>
      <c r="I42" s="22">
        <v>797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23000</v>
      </c>
      <c r="G43" s="20">
        <v>22000</v>
      </c>
      <c r="H43" s="20">
        <v>13300</v>
      </c>
      <c r="I43" s="22">
        <v>605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>
        <v>30400</v>
      </c>
      <c r="G44" s="20">
        <v>30400</v>
      </c>
      <c r="H44" s="20">
        <v>18000</v>
      </c>
      <c r="I44" s="22">
        <v>592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48800</v>
      </c>
      <c r="G45" s="20">
        <v>47800</v>
      </c>
      <c r="H45" s="20">
        <v>50760</v>
      </c>
      <c r="I45" s="22">
        <v>1062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26750</v>
      </c>
      <c r="G46" s="20">
        <v>25250</v>
      </c>
      <c r="H46" s="20">
        <v>17800</v>
      </c>
      <c r="I46" s="22">
        <v>705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75500</v>
      </c>
      <c r="G47" s="20">
        <v>74300</v>
      </c>
      <c r="H47" s="20">
        <v>58000</v>
      </c>
      <c r="I47" s="22">
        <v>781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44100</v>
      </c>
      <c r="G48" s="20">
        <v>44100</v>
      </c>
      <c r="H48" s="20">
        <v>33480</v>
      </c>
      <c r="I48" s="22">
        <v>759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99688</v>
      </c>
      <c r="G49" s="20">
        <v>96968</v>
      </c>
      <c r="H49" s="20">
        <v>86991</v>
      </c>
      <c r="I49" s="22">
        <v>897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73700</v>
      </c>
      <c r="G50" s="20">
        <v>66100</v>
      </c>
      <c r="H50" s="20">
        <v>43850</v>
      </c>
      <c r="I50" s="22">
        <v>663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92450</v>
      </c>
      <c r="G51" s="20">
        <v>79256</v>
      </c>
      <c r="H51" s="20">
        <v>56086</v>
      </c>
      <c r="I51" s="22">
        <v>708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>
        <v>192</v>
      </c>
      <c r="C52" s="20">
        <v>189</v>
      </c>
      <c r="D52" s="20">
        <v>110</v>
      </c>
      <c r="E52" s="22">
        <v>582</v>
      </c>
      <c r="F52" s="21">
        <v>170942</v>
      </c>
      <c r="G52" s="20">
        <v>161479</v>
      </c>
      <c r="H52" s="20">
        <v>108250</v>
      </c>
      <c r="I52" s="22">
        <v>670</v>
      </c>
      <c r="J52" s="66">
        <f t="shared" si="1"/>
        <v>1.1231879818885938E-3</v>
      </c>
      <c r="K52" s="67">
        <f t="shared" si="1"/>
        <v>1.1704308300150483E-3</v>
      </c>
      <c r="L52" s="68">
        <f t="shared" si="1"/>
        <v>1.0161662817551962E-3</v>
      </c>
    </row>
    <row r="53" spans="1:12" x14ac:dyDescent="0.25">
      <c r="A53" s="48" t="s">
        <v>39</v>
      </c>
      <c r="B53" s="21">
        <v>200</v>
      </c>
      <c r="C53" s="20">
        <v>140</v>
      </c>
      <c r="D53" s="20">
        <v>140</v>
      </c>
      <c r="E53" s="22">
        <v>1000</v>
      </c>
      <c r="F53" s="21">
        <v>118870</v>
      </c>
      <c r="G53" s="20">
        <v>87470</v>
      </c>
      <c r="H53" s="20">
        <v>49770</v>
      </c>
      <c r="I53" s="22">
        <v>569</v>
      </c>
      <c r="J53" s="66">
        <f t="shared" si="1"/>
        <v>1.6825103053756205E-3</v>
      </c>
      <c r="K53" s="67">
        <f t="shared" si="1"/>
        <v>1.6005487595747113E-3</v>
      </c>
      <c r="L53" s="68">
        <f t="shared" si="1"/>
        <v>2.8129395218002813E-3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9200</v>
      </c>
      <c r="G54" s="20">
        <v>5724</v>
      </c>
      <c r="H54" s="20">
        <v>3090</v>
      </c>
      <c r="I54" s="22">
        <v>540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44280</v>
      </c>
      <c r="G55" s="20">
        <v>44280</v>
      </c>
      <c r="H55" s="20">
        <v>28680</v>
      </c>
      <c r="I55" s="22">
        <v>648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79956</v>
      </c>
      <c r="G56" s="20">
        <v>79956</v>
      </c>
      <c r="H56" s="20">
        <v>51550</v>
      </c>
      <c r="I56" s="22">
        <v>645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26134</v>
      </c>
      <c r="G57" s="20">
        <v>26134</v>
      </c>
      <c r="H57" s="20">
        <v>17584</v>
      </c>
      <c r="I57" s="22">
        <v>673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34799</v>
      </c>
      <c r="G58" s="20">
        <v>34799</v>
      </c>
      <c r="H58" s="20">
        <v>27839</v>
      </c>
      <c r="I58" s="22">
        <v>800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28646</v>
      </c>
      <c r="G59" s="20">
        <v>28646</v>
      </c>
      <c r="H59" s="20">
        <v>24327</v>
      </c>
      <c r="I59" s="22">
        <v>849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27349</v>
      </c>
      <c r="G60" s="20">
        <v>27349</v>
      </c>
      <c r="H60" s="20">
        <v>22565</v>
      </c>
      <c r="I60" s="22">
        <v>825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>
        <v>6000</v>
      </c>
      <c r="G61" s="20">
        <v>6000</v>
      </c>
      <c r="H61" s="20">
        <v>4344</v>
      </c>
      <c r="I61" s="22">
        <v>724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>
        <v>5153</v>
      </c>
      <c r="G62" s="20">
        <v>4553</v>
      </c>
      <c r="H62" s="20">
        <v>2793</v>
      </c>
      <c r="I62" s="22">
        <v>614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9745</v>
      </c>
      <c r="G63" s="20">
        <v>9495</v>
      </c>
      <c r="H63" s="20">
        <v>5401</v>
      </c>
      <c r="I63" s="22">
        <v>569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>
        <v>12740</v>
      </c>
      <c r="G64" s="20">
        <v>12740</v>
      </c>
      <c r="H64" s="20">
        <v>9184</v>
      </c>
      <c r="I64" s="22">
        <v>721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>
        <v>18232</v>
      </c>
      <c r="G65" s="20">
        <v>18232</v>
      </c>
      <c r="H65" s="20">
        <v>19109</v>
      </c>
      <c r="I65" s="22">
        <v>1048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>
        <v>40595</v>
      </c>
      <c r="G66" s="20">
        <v>40595</v>
      </c>
      <c r="H66" s="20">
        <v>56953</v>
      </c>
      <c r="I66" s="22">
        <v>1403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4">B67/F67</f>
        <v>#N/A</v>
      </c>
      <c r="K67" s="67" t="e">
        <f t="shared" si="4"/>
        <v>#N/A</v>
      </c>
      <c r="L67" s="68" t="e">
        <f t="shared" si="4"/>
        <v>#N/A</v>
      </c>
    </row>
  </sheetData>
  <mergeCells count="1">
    <mergeCell ref="A8:A9"/>
  </mergeCells>
  <hyperlinks>
    <hyperlink ref="A5" location="Índice!A1" display="VOLVER AL INDICE" xr:uid="{D2815D44-4D7C-4A36-9EAE-2D9E44FB7FBB}"/>
  </hyperlinks>
  <pageMargins left="0.7" right="0.7" top="0.75" bottom="0.75" header="0.3" footer="0.3"/>
  <pageSetup paperSize="9"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B0AF-A056-466A-83E1-2BF398D9D5C3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13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63" t="e">
        <f>NA()</f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>
        <v>560</v>
      </c>
      <c r="C19" s="20">
        <v>150</v>
      </c>
      <c r="D19" s="20">
        <v>140</v>
      </c>
      <c r="E19" s="22">
        <v>933</v>
      </c>
      <c r="F19" s="21">
        <v>6300</v>
      </c>
      <c r="G19" s="20">
        <v>5600</v>
      </c>
      <c r="H19" s="20">
        <v>5538</v>
      </c>
      <c r="I19" s="22">
        <v>989</v>
      </c>
      <c r="J19" s="66">
        <f t="shared" si="1"/>
        <v>8.8888888888888892E-2</v>
      </c>
      <c r="K19" s="67">
        <f t="shared" si="0"/>
        <v>2.6785714285714284E-2</v>
      </c>
      <c r="L19" s="68">
        <f t="shared" si="0"/>
        <v>2.5279884434814014E-2</v>
      </c>
    </row>
    <row r="20" spans="1:12" x14ac:dyDescent="0.25">
      <c r="A20" s="48" t="s">
        <v>90</v>
      </c>
      <c r="B20" s="21">
        <v>1300</v>
      </c>
      <c r="C20" s="20">
        <v>1000</v>
      </c>
      <c r="D20" s="20">
        <v>810</v>
      </c>
      <c r="E20" s="22">
        <v>810</v>
      </c>
      <c r="F20" s="21">
        <v>35100</v>
      </c>
      <c r="G20" s="20">
        <v>29800</v>
      </c>
      <c r="H20" s="20">
        <v>23052</v>
      </c>
      <c r="I20" s="22">
        <v>774</v>
      </c>
      <c r="J20" s="66">
        <f t="shared" si="1"/>
        <v>3.7037037037037035E-2</v>
      </c>
      <c r="K20" s="67">
        <f t="shared" si="0"/>
        <v>3.3557046979865772E-2</v>
      </c>
      <c r="L20" s="68">
        <f t="shared" si="0"/>
        <v>3.5137948984903696E-2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>
        <v>3100</v>
      </c>
      <c r="G21" s="20">
        <v>2100</v>
      </c>
      <c r="H21" s="20">
        <v>1600</v>
      </c>
      <c r="I21" s="22">
        <v>762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>
        <v>5150</v>
      </c>
      <c r="C32" s="20">
        <v>4935</v>
      </c>
      <c r="D32" s="20">
        <v>8200</v>
      </c>
      <c r="E32" s="22">
        <v>1662</v>
      </c>
      <c r="F32" s="21">
        <v>45550</v>
      </c>
      <c r="G32" s="20">
        <v>41825</v>
      </c>
      <c r="H32" s="20">
        <v>57052</v>
      </c>
      <c r="I32" s="22">
        <v>1364</v>
      </c>
      <c r="J32" s="66">
        <f t="shared" si="1"/>
        <v>0.11306256860592755</v>
      </c>
      <c r="K32" s="67">
        <f t="shared" si="1"/>
        <v>0.11799163179916318</v>
      </c>
      <c r="L32" s="68">
        <f t="shared" si="1"/>
        <v>0.14372852836009253</v>
      </c>
    </row>
    <row r="33" spans="1:12" x14ac:dyDescent="0.25">
      <c r="A33" s="48" t="s">
        <v>103</v>
      </c>
      <c r="B33" s="21">
        <v>2550</v>
      </c>
      <c r="C33" s="20">
        <v>2535</v>
      </c>
      <c r="D33" s="20">
        <v>4070</v>
      </c>
      <c r="E33" s="22">
        <v>1606</v>
      </c>
      <c r="F33" s="21">
        <v>19870</v>
      </c>
      <c r="G33" s="20">
        <v>19485</v>
      </c>
      <c r="H33" s="20">
        <v>30090</v>
      </c>
      <c r="I33" s="22">
        <v>1544</v>
      </c>
      <c r="J33" s="66">
        <f t="shared" si="1"/>
        <v>0.12833417211877202</v>
      </c>
      <c r="K33" s="67">
        <f t="shared" si="1"/>
        <v>0.13010007698229406</v>
      </c>
      <c r="L33" s="68">
        <f t="shared" si="1"/>
        <v>0.1352608840146228</v>
      </c>
    </row>
    <row r="34" spans="1:12" x14ac:dyDescent="0.25">
      <c r="A34" s="48" t="s">
        <v>104</v>
      </c>
      <c r="B34" s="21">
        <v>2600</v>
      </c>
      <c r="C34" s="20">
        <v>2530</v>
      </c>
      <c r="D34" s="20">
        <v>4421</v>
      </c>
      <c r="E34" s="22">
        <v>1747</v>
      </c>
      <c r="F34" s="21">
        <v>7935</v>
      </c>
      <c r="G34" s="20">
        <v>7630</v>
      </c>
      <c r="H34" s="20">
        <v>11575</v>
      </c>
      <c r="I34" s="22">
        <v>1517</v>
      </c>
      <c r="J34" s="66">
        <f t="shared" si="1"/>
        <v>0.32766225582860742</v>
      </c>
      <c r="K34" s="67">
        <f t="shared" si="1"/>
        <v>0.33158584534731322</v>
      </c>
      <c r="L34" s="68">
        <f t="shared" si="1"/>
        <v>0.38194384449244062</v>
      </c>
    </row>
    <row r="35" spans="1:12" x14ac:dyDescent="0.25">
      <c r="A35" s="48" t="s">
        <v>105</v>
      </c>
      <c r="B35" s="21">
        <v>4350</v>
      </c>
      <c r="C35" s="20">
        <v>4200</v>
      </c>
      <c r="D35" s="20">
        <v>5896</v>
      </c>
      <c r="E35" s="22">
        <v>1404</v>
      </c>
      <c r="F35" s="21">
        <v>15900</v>
      </c>
      <c r="G35" s="20">
        <v>15750</v>
      </c>
      <c r="H35" s="20">
        <v>21316</v>
      </c>
      <c r="I35" s="22">
        <v>1353</v>
      </c>
      <c r="J35" s="66">
        <f t="shared" si="1"/>
        <v>0.27358490566037735</v>
      </c>
      <c r="K35" s="67">
        <f t="shared" si="1"/>
        <v>0.26666666666666666</v>
      </c>
      <c r="L35" s="68">
        <f t="shared" si="1"/>
        <v>0.2765997372865453</v>
      </c>
    </row>
    <row r="36" spans="1:12" x14ac:dyDescent="0.25">
      <c r="A36" s="48" t="s">
        <v>106</v>
      </c>
      <c r="B36" s="21">
        <v>1600</v>
      </c>
      <c r="C36" s="20">
        <v>1470</v>
      </c>
      <c r="D36" s="20">
        <v>1900</v>
      </c>
      <c r="E36" s="22">
        <v>1293</v>
      </c>
      <c r="F36" s="21">
        <v>9900</v>
      </c>
      <c r="G36" s="20">
        <v>9220</v>
      </c>
      <c r="H36" s="20">
        <v>9305</v>
      </c>
      <c r="I36" s="22">
        <v>1009</v>
      </c>
      <c r="J36" s="66">
        <f t="shared" si="1"/>
        <v>0.16161616161616163</v>
      </c>
      <c r="K36" s="67">
        <f t="shared" si="1"/>
        <v>0.15943600867678959</v>
      </c>
      <c r="L36" s="68">
        <f t="shared" si="1"/>
        <v>0.20419129500268673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>
        <v>300</v>
      </c>
      <c r="C38" s="20">
        <v>300</v>
      </c>
      <c r="D38" s="20">
        <v>420</v>
      </c>
      <c r="E38" s="22">
        <v>1400</v>
      </c>
      <c r="F38" s="21">
        <v>1520</v>
      </c>
      <c r="G38" s="20">
        <v>1520</v>
      </c>
      <c r="H38" s="20">
        <v>2173</v>
      </c>
      <c r="I38" s="22">
        <v>1430</v>
      </c>
      <c r="J38" s="66">
        <f t="shared" si="1"/>
        <v>0.19736842105263158</v>
      </c>
      <c r="K38" s="67">
        <f t="shared" si="1"/>
        <v>0.19736842105263158</v>
      </c>
      <c r="L38" s="68">
        <f t="shared" si="1"/>
        <v>0.1932811780947998</v>
      </c>
    </row>
    <row r="39" spans="1:12" x14ac:dyDescent="0.25">
      <c r="A39" s="48" t="s">
        <v>25</v>
      </c>
      <c r="B39" s="21">
        <v>600</v>
      </c>
      <c r="C39" s="20">
        <v>600</v>
      </c>
      <c r="D39" s="20">
        <v>900</v>
      </c>
      <c r="E39" s="22">
        <v>1500</v>
      </c>
      <c r="F39" s="21">
        <v>2200</v>
      </c>
      <c r="G39" s="20">
        <v>2200</v>
      </c>
      <c r="H39" s="20">
        <v>2200</v>
      </c>
      <c r="I39" s="22">
        <v>1000</v>
      </c>
      <c r="J39" s="66">
        <f t="shared" si="1"/>
        <v>0.27272727272727271</v>
      </c>
      <c r="K39" s="67">
        <f t="shared" si="1"/>
        <v>0.27272727272727271</v>
      </c>
      <c r="L39" s="68">
        <f t="shared" si="1"/>
        <v>0.40909090909090912</v>
      </c>
    </row>
    <row r="40" spans="1:12" x14ac:dyDescent="0.25">
      <c r="A40" s="48" t="s">
        <v>26</v>
      </c>
      <c r="B40" s="21">
        <v>600</v>
      </c>
      <c r="C40" s="20">
        <v>600</v>
      </c>
      <c r="D40" s="20">
        <v>1020</v>
      </c>
      <c r="E40" s="22">
        <v>1700</v>
      </c>
      <c r="F40" s="21">
        <v>3875</v>
      </c>
      <c r="G40" s="20">
        <v>3725</v>
      </c>
      <c r="H40" s="20">
        <v>6015</v>
      </c>
      <c r="I40" s="22">
        <v>1615</v>
      </c>
      <c r="J40" s="66">
        <f t="shared" si="1"/>
        <v>0.15483870967741936</v>
      </c>
      <c r="K40" s="67">
        <f t="shared" si="1"/>
        <v>0.16107382550335569</v>
      </c>
      <c r="L40" s="68">
        <f t="shared" si="1"/>
        <v>0.16957605985037408</v>
      </c>
    </row>
    <row r="41" spans="1:12" x14ac:dyDescent="0.25">
      <c r="A41" s="48" t="s">
        <v>27</v>
      </c>
      <c r="B41" s="21">
        <v>500</v>
      </c>
      <c r="C41" s="20">
        <v>500</v>
      </c>
      <c r="D41" s="20">
        <v>800</v>
      </c>
      <c r="E41" s="22">
        <v>1600</v>
      </c>
      <c r="F41" s="21">
        <v>8725</v>
      </c>
      <c r="G41" s="20">
        <v>8725</v>
      </c>
      <c r="H41" s="20">
        <v>15380</v>
      </c>
      <c r="I41" s="22">
        <v>1763</v>
      </c>
      <c r="J41" s="66">
        <f t="shared" si="1"/>
        <v>5.730659025787966E-2</v>
      </c>
      <c r="K41" s="67">
        <f t="shared" si="1"/>
        <v>5.730659025787966E-2</v>
      </c>
      <c r="L41" s="68">
        <f t="shared" si="1"/>
        <v>5.2015604681404419E-2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2150</v>
      </c>
      <c r="G42" s="20">
        <v>2150</v>
      </c>
      <c r="H42" s="20">
        <v>2320</v>
      </c>
      <c r="I42" s="22">
        <v>1079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7700</v>
      </c>
      <c r="G43" s="20">
        <v>7680</v>
      </c>
      <c r="H43" s="20">
        <v>10450</v>
      </c>
      <c r="I43" s="22">
        <v>1361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>
        <v>50</v>
      </c>
      <c r="C44" s="20">
        <v>25</v>
      </c>
      <c r="D44" s="20">
        <v>40</v>
      </c>
      <c r="E44" s="22">
        <v>1600</v>
      </c>
      <c r="F44" s="21">
        <v>18455</v>
      </c>
      <c r="G44" s="20">
        <v>15876</v>
      </c>
      <c r="H44" s="20">
        <v>20285</v>
      </c>
      <c r="I44" s="22">
        <v>1278</v>
      </c>
      <c r="J44" s="66">
        <f t="shared" si="1"/>
        <v>2.70929287455974E-3</v>
      </c>
      <c r="K44" s="67">
        <f t="shared" si="1"/>
        <v>1.5747039556563366E-3</v>
      </c>
      <c r="L44" s="68">
        <f t="shared" si="1"/>
        <v>1.9719004190288389E-3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16760</v>
      </c>
      <c r="G45" s="20">
        <v>16560</v>
      </c>
      <c r="H45" s="20">
        <v>26050</v>
      </c>
      <c r="I45" s="22">
        <v>1573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6720</v>
      </c>
      <c r="G46" s="20">
        <v>6160</v>
      </c>
      <c r="H46" s="20">
        <v>9140</v>
      </c>
      <c r="I46" s="22">
        <v>1484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>
        <v>150</v>
      </c>
      <c r="C47" s="20">
        <v>150</v>
      </c>
      <c r="D47" s="20">
        <v>170</v>
      </c>
      <c r="E47" s="22">
        <v>1133</v>
      </c>
      <c r="F47" s="21">
        <v>10531</v>
      </c>
      <c r="G47" s="20">
        <v>8986</v>
      </c>
      <c r="H47" s="20">
        <v>11230</v>
      </c>
      <c r="I47" s="22">
        <v>1250</v>
      </c>
      <c r="J47" s="66">
        <f t="shared" si="1"/>
        <v>1.4243661570601083E-2</v>
      </c>
      <c r="K47" s="67">
        <f t="shared" si="1"/>
        <v>1.6692632984642776E-2</v>
      </c>
      <c r="L47" s="68">
        <f t="shared" si="1"/>
        <v>1.5138023152270703E-2</v>
      </c>
    </row>
    <row r="48" spans="1:12" x14ac:dyDescent="0.25">
      <c r="A48" s="48" t="s">
        <v>34</v>
      </c>
      <c r="B48" s="21">
        <v>92</v>
      </c>
      <c r="C48" s="20">
        <v>92</v>
      </c>
      <c r="D48" s="20">
        <v>160</v>
      </c>
      <c r="E48" s="22">
        <v>1739</v>
      </c>
      <c r="F48" s="21">
        <v>14006</v>
      </c>
      <c r="G48" s="20">
        <v>12716</v>
      </c>
      <c r="H48" s="20">
        <v>20411</v>
      </c>
      <c r="I48" s="22">
        <v>1605</v>
      </c>
      <c r="J48" s="66">
        <f t="shared" si="1"/>
        <v>6.5686134513779811E-3</v>
      </c>
      <c r="K48" s="67">
        <f t="shared" si="1"/>
        <v>7.2349795533186538E-3</v>
      </c>
      <c r="L48" s="68">
        <f t="shared" si="1"/>
        <v>7.8389103914555877E-3</v>
      </c>
    </row>
    <row r="49" spans="1:12" x14ac:dyDescent="0.25">
      <c r="A49" s="48" t="s">
        <v>35</v>
      </c>
      <c r="B49" s="21">
        <v>681</v>
      </c>
      <c r="C49" s="20">
        <v>501</v>
      </c>
      <c r="D49" s="20">
        <v>902</v>
      </c>
      <c r="E49" s="22">
        <v>1800</v>
      </c>
      <c r="F49" s="21">
        <v>41826</v>
      </c>
      <c r="G49" s="20">
        <v>39256</v>
      </c>
      <c r="H49" s="20">
        <v>61167</v>
      </c>
      <c r="I49" s="22">
        <v>1558</v>
      </c>
      <c r="J49" s="66">
        <f t="shared" si="1"/>
        <v>1.6281738631473246E-2</v>
      </c>
      <c r="K49" s="67">
        <f t="shared" si="1"/>
        <v>1.2762380273079275E-2</v>
      </c>
      <c r="L49" s="68">
        <f t="shared" si="1"/>
        <v>1.4746513642977422E-2</v>
      </c>
    </row>
    <row r="50" spans="1:12" x14ac:dyDescent="0.25">
      <c r="A50" s="48" t="s">
        <v>36</v>
      </c>
      <c r="B50" s="21">
        <v>350</v>
      </c>
      <c r="C50" s="20">
        <v>350</v>
      </c>
      <c r="D50" s="20">
        <v>630</v>
      </c>
      <c r="E50" s="22">
        <v>1800</v>
      </c>
      <c r="F50" s="21">
        <v>12010</v>
      </c>
      <c r="G50" s="20">
        <v>11525</v>
      </c>
      <c r="H50" s="20">
        <v>17215</v>
      </c>
      <c r="I50" s="22">
        <v>1494</v>
      </c>
      <c r="J50" s="66">
        <f t="shared" si="1"/>
        <v>2.9142381348875937E-2</v>
      </c>
      <c r="K50" s="67">
        <f t="shared" si="1"/>
        <v>3.0368763557483729E-2</v>
      </c>
      <c r="L50" s="68">
        <f t="shared" si="1"/>
        <v>3.6595991867557361E-2</v>
      </c>
    </row>
    <row r="51" spans="1:12" x14ac:dyDescent="0.25">
      <c r="A51" s="48" t="s">
        <v>37</v>
      </c>
      <c r="B51" s="21">
        <v>300</v>
      </c>
      <c r="C51" s="20">
        <v>300</v>
      </c>
      <c r="D51" s="20">
        <v>540</v>
      </c>
      <c r="E51" s="22">
        <v>1800</v>
      </c>
      <c r="F51" s="21">
        <v>12720</v>
      </c>
      <c r="G51" s="20">
        <v>12405</v>
      </c>
      <c r="H51" s="20">
        <v>23336</v>
      </c>
      <c r="I51" s="22">
        <v>1881</v>
      </c>
      <c r="J51" s="66">
        <f t="shared" si="1"/>
        <v>2.358490566037736E-2</v>
      </c>
      <c r="K51" s="67">
        <f t="shared" si="1"/>
        <v>2.4183796856106408E-2</v>
      </c>
      <c r="L51" s="68">
        <f t="shared" si="1"/>
        <v>2.3140212547137471E-2</v>
      </c>
    </row>
    <row r="52" spans="1:12" x14ac:dyDescent="0.25">
      <c r="A52" s="48" t="s">
        <v>38</v>
      </c>
      <c r="B52" s="21">
        <v>200</v>
      </c>
      <c r="C52" s="20">
        <v>150</v>
      </c>
      <c r="D52" s="20">
        <v>150</v>
      </c>
      <c r="E52" s="22">
        <v>1000</v>
      </c>
      <c r="F52" s="21">
        <v>30200</v>
      </c>
      <c r="G52" s="20">
        <v>29465</v>
      </c>
      <c r="H52" s="20">
        <v>50620</v>
      </c>
      <c r="I52" s="22">
        <v>1718</v>
      </c>
      <c r="J52" s="66">
        <f t="shared" si="1"/>
        <v>6.6225165562913907E-3</v>
      </c>
      <c r="K52" s="67">
        <f t="shared" si="1"/>
        <v>5.0907856779229595E-3</v>
      </c>
      <c r="L52" s="68">
        <f t="shared" si="1"/>
        <v>2.9632556301856972E-3</v>
      </c>
    </row>
    <row r="53" spans="1:12" x14ac:dyDescent="0.25">
      <c r="A53" s="48" t="s">
        <v>39</v>
      </c>
      <c r="B53" s="21">
        <v>13000</v>
      </c>
      <c r="C53" s="20">
        <v>12700</v>
      </c>
      <c r="D53" s="20">
        <v>19370</v>
      </c>
      <c r="E53" s="22">
        <v>1525</v>
      </c>
      <c r="F53" s="21">
        <v>92690</v>
      </c>
      <c r="G53" s="20">
        <v>87555</v>
      </c>
      <c r="H53" s="20">
        <v>128320</v>
      </c>
      <c r="I53" s="22">
        <v>1466</v>
      </c>
      <c r="J53" s="66">
        <f t="shared" si="1"/>
        <v>0.14025245441795231</v>
      </c>
      <c r="K53" s="67">
        <f t="shared" si="1"/>
        <v>0.14505168180001143</v>
      </c>
      <c r="L53" s="68">
        <f t="shared" si="1"/>
        <v>0.15095074812967582</v>
      </c>
    </row>
    <row r="54" spans="1:12" x14ac:dyDescent="0.25">
      <c r="A54" s="48" t="s">
        <v>40</v>
      </c>
      <c r="B54" s="21">
        <v>4450</v>
      </c>
      <c r="C54" s="20">
        <v>4450</v>
      </c>
      <c r="D54" s="20">
        <v>6110</v>
      </c>
      <c r="E54" s="22">
        <v>1373</v>
      </c>
      <c r="F54" s="21">
        <v>71655</v>
      </c>
      <c r="G54" s="20">
        <v>69305</v>
      </c>
      <c r="H54" s="20">
        <v>111900</v>
      </c>
      <c r="I54" s="22">
        <v>1615</v>
      </c>
      <c r="J54" s="66">
        <f t="shared" si="1"/>
        <v>6.2103133068173888E-2</v>
      </c>
      <c r="K54" s="67">
        <f t="shared" si="1"/>
        <v>6.4208931534521313E-2</v>
      </c>
      <c r="L54" s="68">
        <f t="shared" si="1"/>
        <v>5.4602323503127791E-2</v>
      </c>
    </row>
    <row r="55" spans="1:12" x14ac:dyDescent="0.25">
      <c r="A55" s="48" t="s">
        <v>41</v>
      </c>
      <c r="B55" s="21">
        <v>10000</v>
      </c>
      <c r="C55" s="20">
        <v>10000</v>
      </c>
      <c r="D55" s="20">
        <v>24760</v>
      </c>
      <c r="E55" s="22">
        <v>2476</v>
      </c>
      <c r="F55" s="21">
        <v>55835</v>
      </c>
      <c r="G55" s="20">
        <v>54600</v>
      </c>
      <c r="H55" s="20">
        <v>104849</v>
      </c>
      <c r="I55" s="22">
        <v>1920</v>
      </c>
      <c r="J55" s="66">
        <f t="shared" si="1"/>
        <v>0.17909913136921285</v>
      </c>
      <c r="K55" s="67">
        <f t="shared" si="1"/>
        <v>0.18315018315018314</v>
      </c>
      <c r="L55" s="68">
        <f t="shared" si="1"/>
        <v>0.23614912874705529</v>
      </c>
    </row>
    <row r="56" spans="1:12" x14ac:dyDescent="0.25">
      <c r="A56" s="48" t="s">
        <v>42</v>
      </c>
      <c r="B56" s="21">
        <v>6360</v>
      </c>
      <c r="C56" s="20">
        <v>6360</v>
      </c>
      <c r="D56" s="20">
        <v>13138</v>
      </c>
      <c r="E56" s="22">
        <v>2066</v>
      </c>
      <c r="F56" s="21">
        <v>37315</v>
      </c>
      <c r="G56" s="20">
        <v>35410</v>
      </c>
      <c r="H56" s="20">
        <v>67381</v>
      </c>
      <c r="I56" s="22">
        <v>1903</v>
      </c>
      <c r="J56" s="66">
        <f t="shared" si="1"/>
        <v>0.17044084148465766</v>
      </c>
      <c r="K56" s="67">
        <f t="shared" si="1"/>
        <v>0.17961027958203898</v>
      </c>
      <c r="L56" s="68">
        <f t="shared" si="1"/>
        <v>0.1949807809323103</v>
      </c>
    </row>
    <row r="57" spans="1:12" x14ac:dyDescent="0.25">
      <c r="A57" s="48" t="s">
        <v>43</v>
      </c>
      <c r="B57" s="21">
        <v>4000</v>
      </c>
      <c r="C57" s="20">
        <v>4000</v>
      </c>
      <c r="D57" s="20">
        <v>7360</v>
      </c>
      <c r="E57" s="22">
        <v>1840</v>
      </c>
      <c r="F57" s="21">
        <v>25040</v>
      </c>
      <c r="G57" s="20">
        <v>24930</v>
      </c>
      <c r="H57" s="20">
        <v>49840</v>
      </c>
      <c r="I57" s="22">
        <v>1999</v>
      </c>
      <c r="J57" s="66">
        <f t="shared" si="1"/>
        <v>0.15974440894568689</v>
      </c>
      <c r="K57" s="67">
        <f t="shared" si="1"/>
        <v>0.16044925792218212</v>
      </c>
      <c r="L57" s="68">
        <f t="shared" si="1"/>
        <v>0.1476725521669342</v>
      </c>
    </row>
    <row r="58" spans="1:12" x14ac:dyDescent="0.25">
      <c r="A58" s="48" t="s">
        <v>44</v>
      </c>
      <c r="B58" s="21">
        <v>1300</v>
      </c>
      <c r="C58" s="20">
        <v>1300</v>
      </c>
      <c r="D58" s="20">
        <v>2340</v>
      </c>
      <c r="E58" s="22">
        <v>1800</v>
      </c>
      <c r="F58" s="21">
        <v>18340</v>
      </c>
      <c r="G58" s="20">
        <v>18220</v>
      </c>
      <c r="H58" s="20">
        <v>35449</v>
      </c>
      <c r="I58" s="22">
        <v>1946</v>
      </c>
      <c r="J58" s="66">
        <f t="shared" si="1"/>
        <v>7.0883315158124321E-2</v>
      </c>
      <c r="K58" s="67">
        <f t="shared" si="1"/>
        <v>7.1350164654226125E-2</v>
      </c>
      <c r="L58" s="68">
        <f t="shared" si="1"/>
        <v>6.6010324691810771E-2</v>
      </c>
    </row>
    <row r="59" spans="1:12" x14ac:dyDescent="0.25">
      <c r="A59" s="48" t="s">
        <v>45</v>
      </c>
      <c r="B59" s="21">
        <v>1300</v>
      </c>
      <c r="C59" s="20">
        <v>1300</v>
      </c>
      <c r="D59" s="20">
        <v>2860</v>
      </c>
      <c r="E59" s="22">
        <v>2200</v>
      </c>
      <c r="F59" s="21">
        <v>18714</v>
      </c>
      <c r="G59" s="20">
        <v>18574</v>
      </c>
      <c r="H59" s="20">
        <v>39689</v>
      </c>
      <c r="I59" s="22">
        <v>2137</v>
      </c>
      <c r="J59" s="66">
        <f t="shared" si="1"/>
        <v>6.9466709415410915E-2</v>
      </c>
      <c r="K59" s="67">
        <f t="shared" si="1"/>
        <v>6.9990309034133738E-2</v>
      </c>
      <c r="L59" s="68">
        <f t="shared" si="1"/>
        <v>7.2060268588273829E-2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16582</v>
      </c>
      <c r="G60" s="20">
        <v>16562</v>
      </c>
      <c r="H60" s="20">
        <v>32514</v>
      </c>
      <c r="I60" s="22">
        <v>1963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>
        <v>620</v>
      </c>
      <c r="C61" s="20">
        <v>620</v>
      </c>
      <c r="D61" s="20">
        <v>615</v>
      </c>
      <c r="E61" s="22">
        <v>992</v>
      </c>
      <c r="F61" s="21">
        <v>19086</v>
      </c>
      <c r="G61" s="20">
        <v>17936</v>
      </c>
      <c r="H61" s="20">
        <v>17868</v>
      </c>
      <c r="I61" s="22">
        <v>996</v>
      </c>
      <c r="J61" s="66">
        <f t="shared" si="1"/>
        <v>3.2484543644556219E-2</v>
      </c>
      <c r="K61" s="67">
        <f t="shared" si="1"/>
        <v>3.456735057983943E-2</v>
      </c>
      <c r="L61" s="68">
        <f t="shared" si="1"/>
        <v>3.441907320349228E-2</v>
      </c>
    </row>
    <row r="62" spans="1:12" x14ac:dyDescent="0.25">
      <c r="A62" s="49" t="s">
        <v>48</v>
      </c>
      <c r="B62" s="21">
        <v>425</v>
      </c>
      <c r="C62" s="20">
        <v>425</v>
      </c>
      <c r="D62" s="20">
        <v>1093</v>
      </c>
      <c r="E62" s="22">
        <v>2572</v>
      </c>
      <c r="F62" s="21">
        <v>25835</v>
      </c>
      <c r="G62" s="20">
        <v>25835</v>
      </c>
      <c r="H62" s="20">
        <v>52915</v>
      </c>
      <c r="I62" s="22">
        <v>2048</v>
      </c>
      <c r="J62" s="66">
        <f t="shared" si="1"/>
        <v>1.6450551577317594E-2</v>
      </c>
      <c r="K62" s="67">
        <f t="shared" si="1"/>
        <v>1.6450551577317594E-2</v>
      </c>
      <c r="L62" s="68">
        <f t="shared" si="1"/>
        <v>2.0655768685627893E-2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24362</v>
      </c>
      <c r="G63" s="20">
        <v>22862</v>
      </c>
      <c r="H63" s="20">
        <v>38999</v>
      </c>
      <c r="I63" s="22">
        <v>1706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>
        <v>664</v>
      </c>
      <c r="C64" s="20">
        <v>664</v>
      </c>
      <c r="D64" s="20">
        <v>976</v>
      </c>
      <c r="E64" s="22">
        <v>1470</v>
      </c>
      <c r="F64" s="21">
        <v>32977</v>
      </c>
      <c r="G64" s="20">
        <v>32449</v>
      </c>
      <c r="H64" s="20">
        <v>45162</v>
      </c>
      <c r="I64" s="22">
        <v>1392</v>
      </c>
      <c r="J64" s="66">
        <f t="shared" si="1"/>
        <v>2.0135245777359978E-2</v>
      </c>
      <c r="K64" s="67">
        <f t="shared" si="1"/>
        <v>2.0462880212025025E-2</v>
      </c>
      <c r="L64" s="68">
        <f t="shared" si="1"/>
        <v>2.1611088968601921E-2</v>
      </c>
    </row>
    <row r="65" spans="1:12" x14ac:dyDescent="0.25">
      <c r="A65" s="49" t="s">
        <v>51</v>
      </c>
      <c r="B65" s="21">
        <v>4647</v>
      </c>
      <c r="C65" s="20">
        <v>4647</v>
      </c>
      <c r="D65" s="20">
        <v>6354</v>
      </c>
      <c r="E65" s="22">
        <v>1367</v>
      </c>
      <c r="F65" s="21">
        <v>35147</v>
      </c>
      <c r="G65" s="20">
        <v>34844</v>
      </c>
      <c r="H65" s="20">
        <v>58379</v>
      </c>
      <c r="I65" s="22">
        <v>1675</v>
      </c>
      <c r="J65" s="66">
        <f t="shared" si="1"/>
        <v>0.13221612086380061</v>
      </c>
      <c r="K65" s="67">
        <f t="shared" si="1"/>
        <v>0.13336585925840891</v>
      </c>
      <c r="L65" s="68">
        <f t="shared" si="1"/>
        <v>0.10884050771681598</v>
      </c>
    </row>
    <row r="66" spans="1:12" x14ac:dyDescent="0.25">
      <c r="A66" s="49" t="s">
        <v>52</v>
      </c>
      <c r="B66" s="21">
        <v>6580</v>
      </c>
      <c r="C66" s="20">
        <v>6580</v>
      </c>
      <c r="D66" s="20">
        <v>10929</v>
      </c>
      <c r="E66" s="22">
        <v>1661</v>
      </c>
      <c r="F66" s="21">
        <v>83148</v>
      </c>
      <c r="G66" s="20">
        <v>82933</v>
      </c>
      <c r="H66" s="20">
        <v>149258</v>
      </c>
      <c r="I66" s="22">
        <v>1800</v>
      </c>
      <c r="J66" s="66">
        <f t="shared" si="1"/>
        <v>7.9135998460576326E-2</v>
      </c>
      <c r="K66" s="67">
        <f t="shared" si="1"/>
        <v>7.934115490817889E-2</v>
      </c>
      <c r="L66" s="68">
        <f t="shared" si="1"/>
        <v>7.3222205844912833E-2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2F230130-6EC8-444E-8773-34373B5C1E55}"/>
  </hyperlinks>
  <pageMargins left="0.7" right="0.7" top="0.75" bottom="0.75" header="0.3" footer="0.3"/>
  <pageSetup paperSize="9" fitToWidth="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6D2C-444B-4886-A153-36F263F1F59E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11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250400</v>
      </c>
      <c r="C10" s="40">
        <v>216400</v>
      </c>
      <c r="D10" s="40">
        <v>197900</v>
      </c>
      <c r="E10" s="50">
        <v>915</v>
      </c>
      <c r="F10" s="41">
        <v>1472300</v>
      </c>
      <c r="G10" s="40">
        <v>1347400</v>
      </c>
      <c r="H10" s="40">
        <v>1140000</v>
      </c>
      <c r="I10" s="50">
        <v>846</v>
      </c>
      <c r="J10" s="63">
        <f>B10/F10</f>
        <v>0.17007403382462813</v>
      </c>
      <c r="K10" s="64">
        <f t="shared" ref="K10:L25" si="0">C10/G10</f>
        <v>0.16060561080599672</v>
      </c>
      <c r="L10" s="65">
        <f t="shared" si="0"/>
        <v>0.17359649122807017</v>
      </c>
    </row>
    <row r="11" spans="1:12" x14ac:dyDescent="0.25">
      <c r="A11" s="48" t="s">
        <v>81</v>
      </c>
      <c r="B11" s="21">
        <v>270000</v>
      </c>
      <c r="C11" s="20">
        <v>242000</v>
      </c>
      <c r="D11" s="20">
        <v>175000</v>
      </c>
      <c r="E11" s="22">
        <v>723</v>
      </c>
      <c r="F11" s="21">
        <v>1614200</v>
      </c>
      <c r="G11" s="20">
        <v>1313100</v>
      </c>
      <c r="H11" s="20">
        <v>830000</v>
      </c>
      <c r="I11" s="22">
        <v>632</v>
      </c>
      <c r="J11" s="66">
        <f t="shared" ref="J11:L65" si="1">B11/F11</f>
        <v>0.16726551852310742</v>
      </c>
      <c r="K11" s="67">
        <f t="shared" si="0"/>
        <v>0.18429670245982788</v>
      </c>
      <c r="L11" s="68">
        <f t="shared" si="0"/>
        <v>0.21084337349397592</v>
      </c>
    </row>
    <row r="12" spans="1:12" x14ac:dyDescent="0.25">
      <c r="A12" s="48" t="s">
        <v>82</v>
      </c>
      <c r="B12" s="21">
        <v>300000</v>
      </c>
      <c r="C12" s="20">
        <v>260000</v>
      </c>
      <c r="D12" s="20">
        <v>160200</v>
      </c>
      <c r="E12" s="22">
        <v>616</v>
      </c>
      <c r="F12" s="21">
        <v>1532700</v>
      </c>
      <c r="G12" s="20">
        <v>1286500</v>
      </c>
      <c r="H12" s="20">
        <v>828000</v>
      </c>
      <c r="I12" s="22">
        <v>644</v>
      </c>
      <c r="J12" s="66">
        <f t="shared" si="1"/>
        <v>0.19573302016050106</v>
      </c>
      <c r="K12" s="67">
        <f t="shared" si="0"/>
        <v>0.20209871745044694</v>
      </c>
      <c r="L12" s="68">
        <f t="shared" si="0"/>
        <v>0.19347826086956521</v>
      </c>
    </row>
    <row r="13" spans="1:12" x14ac:dyDescent="0.25">
      <c r="A13" s="48" t="s">
        <v>83</v>
      </c>
      <c r="B13" s="21">
        <v>325000</v>
      </c>
      <c r="C13" s="20">
        <v>243000</v>
      </c>
      <c r="D13" s="20">
        <v>135000</v>
      </c>
      <c r="E13" s="22">
        <v>556</v>
      </c>
      <c r="F13" s="21">
        <v>1652400</v>
      </c>
      <c r="G13" s="20">
        <v>1337900</v>
      </c>
      <c r="H13" s="20">
        <v>880000</v>
      </c>
      <c r="I13" s="22">
        <v>658</v>
      </c>
      <c r="J13" s="66">
        <f t="shared" si="1"/>
        <v>0.19668361171629145</v>
      </c>
      <c r="K13" s="67">
        <f t="shared" si="0"/>
        <v>0.18162792435907019</v>
      </c>
      <c r="L13" s="68">
        <f t="shared" si="0"/>
        <v>0.15340909090909091</v>
      </c>
    </row>
    <row r="14" spans="1:12" x14ac:dyDescent="0.25">
      <c r="A14" s="48" t="s">
        <v>84</v>
      </c>
      <c r="B14" s="21">
        <v>161000</v>
      </c>
      <c r="C14" s="20">
        <v>103200</v>
      </c>
      <c r="D14" s="20">
        <v>88000</v>
      </c>
      <c r="E14" s="22">
        <v>853</v>
      </c>
      <c r="F14" s="21">
        <v>1341900</v>
      </c>
      <c r="G14" s="20">
        <v>1189800</v>
      </c>
      <c r="H14" s="20">
        <v>970000</v>
      </c>
      <c r="I14" s="22">
        <v>815</v>
      </c>
      <c r="J14" s="66">
        <f t="shared" si="1"/>
        <v>0.11997913406364111</v>
      </c>
      <c r="K14" s="67">
        <f t="shared" si="0"/>
        <v>8.6737266767523954E-2</v>
      </c>
      <c r="L14" s="68">
        <f t="shared" si="0"/>
        <v>9.0721649484536079E-2</v>
      </c>
    </row>
    <row r="15" spans="1:12" x14ac:dyDescent="0.25">
      <c r="A15" s="48" t="s">
        <v>85</v>
      </c>
      <c r="B15" s="21">
        <v>164000</v>
      </c>
      <c r="C15" s="20">
        <v>110000</v>
      </c>
      <c r="D15" s="20">
        <v>86600</v>
      </c>
      <c r="E15" s="22">
        <v>787</v>
      </c>
      <c r="F15" s="21">
        <v>1196000</v>
      </c>
      <c r="G15" s="20">
        <v>1005000</v>
      </c>
      <c r="H15" s="20">
        <v>732000</v>
      </c>
      <c r="I15" s="22">
        <v>728</v>
      </c>
      <c r="J15" s="66">
        <f t="shared" si="1"/>
        <v>0.13712374581939799</v>
      </c>
      <c r="K15" s="67">
        <f t="shared" si="0"/>
        <v>0.10945273631840796</v>
      </c>
      <c r="L15" s="68">
        <f t="shared" si="0"/>
        <v>0.11830601092896174</v>
      </c>
    </row>
    <row r="16" spans="1:12" x14ac:dyDescent="0.25">
      <c r="A16" s="48" t="s">
        <v>86</v>
      </c>
      <c r="B16" s="21">
        <v>197000</v>
      </c>
      <c r="C16" s="20">
        <v>175300</v>
      </c>
      <c r="D16" s="20">
        <v>161000</v>
      </c>
      <c r="E16" s="22">
        <v>918</v>
      </c>
      <c r="F16" s="21">
        <v>1411100</v>
      </c>
      <c r="G16" s="20">
        <v>1258400</v>
      </c>
      <c r="H16" s="20">
        <v>1085000</v>
      </c>
      <c r="I16" s="22">
        <v>862</v>
      </c>
      <c r="J16" s="66">
        <f t="shared" si="1"/>
        <v>0.13960739848345263</v>
      </c>
      <c r="K16" s="67">
        <f t="shared" si="0"/>
        <v>0.13930387794024157</v>
      </c>
      <c r="L16" s="68">
        <f t="shared" si="0"/>
        <v>0.14838709677419354</v>
      </c>
    </row>
    <row r="17" spans="1:12" x14ac:dyDescent="0.25">
      <c r="A17" s="48" t="s">
        <v>87</v>
      </c>
      <c r="B17" s="21">
        <v>260000</v>
      </c>
      <c r="C17" s="20">
        <v>208000</v>
      </c>
      <c r="D17" s="20">
        <v>128000</v>
      </c>
      <c r="E17" s="22">
        <v>615</v>
      </c>
      <c r="F17" s="21">
        <v>1460000</v>
      </c>
      <c r="G17" s="20">
        <v>1227000</v>
      </c>
      <c r="H17" s="20">
        <v>900000</v>
      </c>
      <c r="I17" s="22">
        <v>734</v>
      </c>
      <c r="J17" s="66">
        <f t="shared" si="1"/>
        <v>0.17808219178082191</v>
      </c>
      <c r="K17" s="67">
        <f t="shared" si="0"/>
        <v>0.16951915240423798</v>
      </c>
      <c r="L17" s="68">
        <f t="shared" si="0"/>
        <v>0.14222222222222222</v>
      </c>
    </row>
    <row r="18" spans="1:12" x14ac:dyDescent="0.25">
      <c r="A18" s="48" t="s">
        <v>88</v>
      </c>
      <c r="B18" s="21">
        <v>300000</v>
      </c>
      <c r="C18" s="20">
        <v>273000</v>
      </c>
      <c r="D18" s="20">
        <v>200000</v>
      </c>
      <c r="E18" s="22">
        <v>733</v>
      </c>
      <c r="F18" s="21">
        <v>2200000</v>
      </c>
      <c r="G18" s="20">
        <v>2000000</v>
      </c>
      <c r="H18" s="20">
        <v>1600000</v>
      </c>
      <c r="I18" s="22">
        <v>800</v>
      </c>
      <c r="J18" s="66">
        <f t="shared" si="1"/>
        <v>0.13636363636363635</v>
      </c>
      <c r="K18" s="67">
        <f t="shared" si="0"/>
        <v>0.13650000000000001</v>
      </c>
      <c r="L18" s="68">
        <f t="shared" si="0"/>
        <v>0.125</v>
      </c>
    </row>
    <row r="19" spans="1:12" x14ac:dyDescent="0.25">
      <c r="A19" s="48" t="s">
        <v>89</v>
      </c>
      <c r="B19" s="21">
        <v>233000</v>
      </c>
      <c r="C19" s="20">
        <v>190300</v>
      </c>
      <c r="D19" s="20">
        <v>150000</v>
      </c>
      <c r="E19" s="22">
        <v>788</v>
      </c>
      <c r="F19" s="21">
        <v>1766000</v>
      </c>
      <c r="G19" s="20">
        <v>1557000</v>
      </c>
      <c r="H19" s="20">
        <v>1430000</v>
      </c>
      <c r="I19" s="22">
        <v>918</v>
      </c>
      <c r="J19" s="66">
        <f t="shared" si="1"/>
        <v>0.1319365798414496</v>
      </c>
      <c r="K19" s="67">
        <f t="shared" si="0"/>
        <v>0.12222222222222222</v>
      </c>
      <c r="L19" s="68">
        <f t="shared" si="0"/>
        <v>0.1048951048951049</v>
      </c>
    </row>
    <row r="20" spans="1:12" x14ac:dyDescent="0.25">
      <c r="A20" s="48" t="s">
        <v>90</v>
      </c>
      <c r="B20" s="21">
        <v>193000</v>
      </c>
      <c r="C20" s="20">
        <v>180000</v>
      </c>
      <c r="D20" s="20">
        <v>155000</v>
      </c>
      <c r="E20" s="22">
        <v>861</v>
      </c>
      <c r="F20" s="21">
        <v>2000000</v>
      </c>
      <c r="G20" s="20">
        <v>1855000</v>
      </c>
      <c r="H20" s="20">
        <v>1650000</v>
      </c>
      <c r="I20" s="22">
        <v>889</v>
      </c>
      <c r="J20" s="66">
        <f t="shared" si="1"/>
        <v>9.6500000000000002E-2</v>
      </c>
      <c r="K20" s="67">
        <f t="shared" si="0"/>
        <v>9.7035040431266845E-2</v>
      </c>
      <c r="L20" s="68">
        <f t="shared" si="0"/>
        <v>9.3939393939393934E-2</v>
      </c>
    </row>
    <row r="21" spans="1:12" x14ac:dyDescent="0.25">
      <c r="A21" s="48" t="s">
        <v>91</v>
      </c>
      <c r="B21" s="21">
        <v>161000</v>
      </c>
      <c r="C21" s="20">
        <v>142500</v>
      </c>
      <c r="D21" s="20">
        <v>128000</v>
      </c>
      <c r="E21" s="22">
        <v>898</v>
      </c>
      <c r="F21" s="21">
        <v>1390000</v>
      </c>
      <c r="G21" s="20">
        <v>1280000</v>
      </c>
      <c r="H21" s="20">
        <v>1260000</v>
      </c>
      <c r="I21" s="22">
        <v>984</v>
      </c>
      <c r="J21" s="66">
        <f t="shared" si="1"/>
        <v>0.1158273381294964</v>
      </c>
      <c r="K21" s="67">
        <f t="shared" si="0"/>
        <v>0.111328125</v>
      </c>
      <c r="L21" s="68">
        <f t="shared" si="0"/>
        <v>0.10158730158730159</v>
      </c>
    </row>
    <row r="22" spans="1:12" x14ac:dyDescent="0.25">
      <c r="A22" s="48" t="s">
        <v>92</v>
      </c>
      <c r="B22" s="21">
        <v>125500</v>
      </c>
      <c r="C22" s="20">
        <v>123900</v>
      </c>
      <c r="D22" s="20">
        <v>140000</v>
      </c>
      <c r="E22" s="22">
        <v>1130</v>
      </c>
      <c r="F22" s="21">
        <v>1733000</v>
      </c>
      <c r="G22" s="20">
        <v>1673000</v>
      </c>
      <c r="H22" s="20">
        <v>1980000</v>
      </c>
      <c r="I22" s="22">
        <v>1184</v>
      </c>
      <c r="J22" s="66">
        <f t="shared" si="1"/>
        <v>7.2417772648586273E-2</v>
      </c>
      <c r="K22" s="67">
        <f t="shared" si="0"/>
        <v>7.4058577405857737E-2</v>
      </c>
      <c r="L22" s="68">
        <f t="shared" si="0"/>
        <v>7.0707070707070704E-2</v>
      </c>
    </row>
    <row r="23" spans="1:12" x14ac:dyDescent="0.25">
      <c r="A23" s="48" t="s">
        <v>93</v>
      </c>
      <c r="B23" s="21">
        <v>153000</v>
      </c>
      <c r="C23" s="20">
        <v>151500</v>
      </c>
      <c r="D23" s="20">
        <v>187000</v>
      </c>
      <c r="E23" s="22">
        <v>1234</v>
      </c>
      <c r="F23" s="21">
        <v>1930000</v>
      </c>
      <c r="G23" s="20">
        <v>1902000</v>
      </c>
      <c r="H23" s="20">
        <v>2400000</v>
      </c>
      <c r="I23" s="22">
        <v>1262</v>
      </c>
      <c r="J23" s="66">
        <f t="shared" si="1"/>
        <v>7.9274611398963732E-2</v>
      </c>
      <c r="K23" s="67">
        <f t="shared" si="0"/>
        <v>7.9652996845425872E-2</v>
      </c>
      <c r="L23" s="68">
        <f t="shared" si="0"/>
        <v>7.7916666666666662E-2</v>
      </c>
    </row>
    <row r="24" spans="1:12" x14ac:dyDescent="0.25">
      <c r="A24" s="48" t="s">
        <v>94</v>
      </c>
      <c r="B24" s="21">
        <v>143000</v>
      </c>
      <c r="C24" s="20">
        <v>140700</v>
      </c>
      <c r="D24" s="20">
        <v>160000</v>
      </c>
      <c r="E24" s="22">
        <v>1137</v>
      </c>
      <c r="F24" s="21">
        <v>2131000</v>
      </c>
      <c r="G24" s="20">
        <v>1989000</v>
      </c>
      <c r="H24" s="20">
        <v>2200000</v>
      </c>
      <c r="I24" s="22">
        <v>1106</v>
      </c>
      <c r="J24" s="66">
        <f t="shared" si="1"/>
        <v>6.7104645706241195E-2</v>
      </c>
      <c r="K24" s="67">
        <f t="shared" si="0"/>
        <v>7.0739064856711914E-2</v>
      </c>
      <c r="L24" s="68">
        <f t="shared" si="0"/>
        <v>7.2727272727272724E-2</v>
      </c>
    </row>
    <row r="25" spans="1:12" x14ac:dyDescent="0.25">
      <c r="A25" s="48" t="s">
        <v>95</v>
      </c>
      <c r="B25" s="21">
        <v>165000</v>
      </c>
      <c r="C25" s="20">
        <v>163600</v>
      </c>
      <c r="D25" s="20">
        <v>245000</v>
      </c>
      <c r="E25" s="22">
        <v>1498</v>
      </c>
      <c r="F25" s="21">
        <v>2380000</v>
      </c>
      <c r="G25" s="20">
        <v>2360000</v>
      </c>
      <c r="H25" s="20">
        <v>3400000</v>
      </c>
      <c r="I25" s="22">
        <v>1441</v>
      </c>
      <c r="J25" s="66">
        <f t="shared" si="1"/>
        <v>6.9327731092436978E-2</v>
      </c>
      <c r="K25" s="67">
        <f t="shared" si="0"/>
        <v>6.9322033898305088E-2</v>
      </c>
      <c r="L25" s="68">
        <f t="shared" si="0"/>
        <v>7.2058823529411759E-2</v>
      </c>
    </row>
    <row r="26" spans="1:12" x14ac:dyDescent="0.25">
      <c r="A26" s="48" t="s">
        <v>96</v>
      </c>
      <c r="B26" s="21">
        <v>250000</v>
      </c>
      <c r="C26" s="20">
        <v>249000</v>
      </c>
      <c r="D26" s="20">
        <v>360000</v>
      </c>
      <c r="E26" s="22">
        <v>1446</v>
      </c>
      <c r="F26" s="21">
        <v>3140000</v>
      </c>
      <c r="G26" s="20">
        <v>3046000</v>
      </c>
      <c r="H26" s="20">
        <v>4100000</v>
      </c>
      <c r="I26" s="22">
        <v>1346</v>
      </c>
      <c r="J26" s="66">
        <f t="shared" si="1"/>
        <v>7.9617834394904455E-2</v>
      </c>
      <c r="K26" s="67">
        <f t="shared" si="1"/>
        <v>8.1746552856204857E-2</v>
      </c>
      <c r="L26" s="68">
        <f t="shared" si="1"/>
        <v>8.7804878048780483E-2</v>
      </c>
    </row>
    <row r="27" spans="1:12" x14ac:dyDescent="0.25">
      <c r="A27" s="48" t="s">
        <v>97</v>
      </c>
      <c r="B27" s="21">
        <v>154000</v>
      </c>
      <c r="C27" s="20">
        <v>150000</v>
      </c>
      <c r="D27" s="20">
        <v>200000</v>
      </c>
      <c r="E27" s="22">
        <v>1333</v>
      </c>
      <c r="F27" s="21">
        <v>1890500</v>
      </c>
      <c r="G27" s="20">
        <v>1735100</v>
      </c>
      <c r="H27" s="20">
        <v>2200000</v>
      </c>
      <c r="I27" s="22">
        <v>1268</v>
      </c>
      <c r="J27" s="66">
        <f t="shared" si="1"/>
        <v>8.145993123512299E-2</v>
      </c>
      <c r="K27" s="67">
        <f t="shared" si="1"/>
        <v>8.6450348683073025E-2</v>
      </c>
      <c r="L27" s="68">
        <f t="shared" si="1"/>
        <v>9.0909090909090912E-2</v>
      </c>
    </row>
    <row r="28" spans="1:12" x14ac:dyDescent="0.25">
      <c r="A28" s="48" t="s">
        <v>98</v>
      </c>
      <c r="B28" s="21">
        <v>160000</v>
      </c>
      <c r="C28" s="20">
        <v>157000</v>
      </c>
      <c r="D28" s="20">
        <v>260000</v>
      </c>
      <c r="E28" s="22">
        <v>1656</v>
      </c>
      <c r="F28" s="21">
        <v>2117000</v>
      </c>
      <c r="G28" s="20">
        <v>2032000</v>
      </c>
      <c r="H28" s="20">
        <v>2915000</v>
      </c>
      <c r="I28" s="22">
        <v>1435</v>
      </c>
      <c r="J28" s="66">
        <f t="shared" si="1"/>
        <v>7.5578649031648557E-2</v>
      </c>
      <c r="K28" s="67">
        <f t="shared" si="1"/>
        <v>7.7263779527559057E-2</v>
      </c>
      <c r="L28" s="68">
        <f t="shared" si="1"/>
        <v>8.9193825042881647E-2</v>
      </c>
    </row>
    <row r="29" spans="1:12" x14ac:dyDescent="0.25">
      <c r="A29" s="48" t="s">
        <v>99</v>
      </c>
      <c r="B29" s="21">
        <v>200000</v>
      </c>
      <c r="C29" s="20">
        <v>200000</v>
      </c>
      <c r="D29" s="20">
        <v>280000</v>
      </c>
      <c r="E29" s="22">
        <v>1400</v>
      </c>
      <c r="F29" s="21">
        <v>2313000</v>
      </c>
      <c r="G29" s="20">
        <v>2215975</v>
      </c>
      <c r="H29" s="20">
        <v>3200000</v>
      </c>
      <c r="I29" s="22">
        <v>1444</v>
      </c>
      <c r="J29" s="66">
        <f t="shared" si="1"/>
        <v>8.6467790747946388E-2</v>
      </c>
      <c r="K29" s="67">
        <f t="shared" si="1"/>
        <v>9.0253725786617625E-2</v>
      </c>
      <c r="L29" s="68">
        <f t="shared" si="1"/>
        <v>8.7499999999999994E-2</v>
      </c>
    </row>
    <row r="30" spans="1:12" x14ac:dyDescent="0.25">
      <c r="A30" s="48" t="s">
        <v>100</v>
      </c>
      <c r="B30" s="21">
        <v>276000</v>
      </c>
      <c r="C30" s="20">
        <v>275500</v>
      </c>
      <c r="D30" s="20">
        <v>400000</v>
      </c>
      <c r="E30" s="22">
        <v>1452</v>
      </c>
      <c r="F30" s="21">
        <v>2800000</v>
      </c>
      <c r="G30" s="20">
        <v>2688705</v>
      </c>
      <c r="H30" s="20">
        <v>3900000</v>
      </c>
      <c r="I30" s="22">
        <v>1451</v>
      </c>
      <c r="J30" s="66">
        <f t="shared" si="1"/>
        <v>9.8571428571428574E-2</v>
      </c>
      <c r="K30" s="67">
        <f t="shared" si="1"/>
        <v>0.10246568515326152</v>
      </c>
      <c r="L30" s="68">
        <f t="shared" si="1"/>
        <v>0.10256410256410256</v>
      </c>
    </row>
    <row r="31" spans="1:12" x14ac:dyDescent="0.25">
      <c r="A31" s="48" t="s">
        <v>101</v>
      </c>
      <c r="B31" s="21">
        <v>293100</v>
      </c>
      <c r="C31" s="20">
        <v>278600</v>
      </c>
      <c r="D31" s="20">
        <v>451800</v>
      </c>
      <c r="E31" s="22">
        <v>1622</v>
      </c>
      <c r="F31" s="21">
        <v>2372350</v>
      </c>
      <c r="G31" s="20">
        <v>2301150</v>
      </c>
      <c r="H31" s="20">
        <v>4033400</v>
      </c>
      <c r="I31" s="22">
        <v>1753</v>
      </c>
      <c r="J31" s="66">
        <f t="shared" si="1"/>
        <v>0.12354838029801674</v>
      </c>
      <c r="K31" s="67">
        <f t="shared" si="1"/>
        <v>0.12106989983269235</v>
      </c>
      <c r="L31" s="68">
        <f t="shared" si="1"/>
        <v>0.11201467744334805</v>
      </c>
    </row>
    <row r="32" spans="1:12" x14ac:dyDescent="0.25">
      <c r="A32" s="48" t="s">
        <v>102</v>
      </c>
      <c r="B32" s="21">
        <v>347600</v>
      </c>
      <c r="C32" s="20">
        <v>332600</v>
      </c>
      <c r="D32" s="20">
        <v>429100</v>
      </c>
      <c r="E32" s="22">
        <v>1290</v>
      </c>
      <c r="F32" s="21">
        <v>2724375</v>
      </c>
      <c r="G32" s="20">
        <v>2602175</v>
      </c>
      <c r="H32" s="20">
        <v>3676900</v>
      </c>
      <c r="I32" s="22">
        <v>1413</v>
      </c>
      <c r="J32" s="66">
        <f t="shared" si="1"/>
        <v>0.12758889653590272</v>
      </c>
      <c r="K32" s="67">
        <f t="shared" si="1"/>
        <v>0.12781615379442196</v>
      </c>
      <c r="L32" s="68">
        <f t="shared" si="1"/>
        <v>0.11670156925671081</v>
      </c>
    </row>
    <row r="33" spans="1:12" x14ac:dyDescent="0.25">
      <c r="A33" s="48" t="s">
        <v>103</v>
      </c>
      <c r="B33" s="21">
        <v>252800</v>
      </c>
      <c r="C33" s="20">
        <v>234800</v>
      </c>
      <c r="D33" s="20">
        <v>289600</v>
      </c>
      <c r="E33" s="22">
        <v>1233</v>
      </c>
      <c r="F33" s="21">
        <v>2187100</v>
      </c>
      <c r="G33" s="20">
        <v>2059750</v>
      </c>
      <c r="H33" s="20">
        <v>2955900</v>
      </c>
      <c r="I33" s="22">
        <v>1435</v>
      </c>
      <c r="J33" s="66">
        <f t="shared" si="1"/>
        <v>0.11558685016688766</v>
      </c>
      <c r="K33" s="67">
        <f t="shared" si="1"/>
        <v>0.11399441679815511</v>
      </c>
      <c r="L33" s="68">
        <f t="shared" si="1"/>
        <v>9.7973544436550625E-2</v>
      </c>
    </row>
    <row r="34" spans="1:12" x14ac:dyDescent="0.25">
      <c r="A34" s="48" t="s">
        <v>104</v>
      </c>
      <c r="B34" s="21">
        <v>154300</v>
      </c>
      <c r="C34" s="20">
        <v>153100</v>
      </c>
      <c r="D34" s="20">
        <v>276200</v>
      </c>
      <c r="E34" s="22">
        <v>1804</v>
      </c>
      <c r="F34" s="21">
        <v>2205800</v>
      </c>
      <c r="G34" s="20">
        <v>2152550</v>
      </c>
      <c r="H34" s="20">
        <v>4094900</v>
      </c>
      <c r="I34" s="22">
        <v>1902</v>
      </c>
      <c r="J34" s="66">
        <f t="shared" si="1"/>
        <v>6.9951944872608571E-2</v>
      </c>
      <c r="K34" s="67">
        <f t="shared" si="1"/>
        <v>7.1124944832872641E-2</v>
      </c>
      <c r="L34" s="68">
        <f t="shared" si="1"/>
        <v>6.7449754572761242E-2</v>
      </c>
    </row>
    <row r="35" spans="1:12" x14ac:dyDescent="0.25">
      <c r="A35" s="48" t="s">
        <v>105</v>
      </c>
      <c r="B35" s="21">
        <v>197000</v>
      </c>
      <c r="C35" s="20">
        <v>197000</v>
      </c>
      <c r="D35" s="20">
        <v>381500</v>
      </c>
      <c r="E35" s="22">
        <v>1937</v>
      </c>
      <c r="F35" s="21">
        <v>3010440</v>
      </c>
      <c r="G35" s="20">
        <v>2954500</v>
      </c>
      <c r="H35" s="20">
        <v>5799540</v>
      </c>
      <c r="I35" s="22">
        <v>1963</v>
      </c>
      <c r="J35" s="66">
        <f t="shared" si="1"/>
        <v>6.5438939158395451E-2</v>
      </c>
      <c r="K35" s="67">
        <f t="shared" si="1"/>
        <v>6.6677948891521413E-2</v>
      </c>
      <c r="L35" s="68">
        <f t="shared" si="1"/>
        <v>6.5781079189039124E-2</v>
      </c>
    </row>
    <row r="36" spans="1:12" x14ac:dyDescent="0.25">
      <c r="A36" s="48" t="s">
        <v>106</v>
      </c>
      <c r="B36" s="21">
        <v>214800</v>
      </c>
      <c r="C36" s="20">
        <v>207900</v>
      </c>
      <c r="D36" s="20">
        <v>404660</v>
      </c>
      <c r="E36" s="22">
        <v>1946</v>
      </c>
      <c r="F36" s="21">
        <v>3410600</v>
      </c>
      <c r="G36" s="20">
        <v>3235630</v>
      </c>
      <c r="H36" s="20">
        <v>5557800</v>
      </c>
      <c r="I36" s="22">
        <v>1718</v>
      </c>
      <c r="J36" s="66">
        <f t="shared" si="1"/>
        <v>6.2980120799859263E-2</v>
      </c>
      <c r="K36" s="67">
        <f t="shared" si="1"/>
        <v>6.425332933617256E-2</v>
      </c>
      <c r="L36" s="68">
        <f t="shared" si="1"/>
        <v>7.2809385008456587E-2</v>
      </c>
    </row>
    <row r="37" spans="1:12" x14ac:dyDescent="0.25">
      <c r="A37" s="48" t="s">
        <v>23</v>
      </c>
      <c r="B37" s="21">
        <v>232000</v>
      </c>
      <c r="C37" s="20">
        <v>210650</v>
      </c>
      <c r="D37" s="20">
        <v>368200</v>
      </c>
      <c r="E37" s="22">
        <v>1748</v>
      </c>
      <c r="F37" s="21">
        <v>3119750</v>
      </c>
      <c r="G37" s="20">
        <v>3007470</v>
      </c>
      <c r="H37" s="20">
        <v>5450000</v>
      </c>
      <c r="I37" s="22">
        <v>1812</v>
      </c>
      <c r="J37" s="66">
        <f t="shared" si="1"/>
        <v>7.436493308758714E-2</v>
      </c>
      <c r="K37" s="67">
        <f t="shared" si="1"/>
        <v>7.0042261435691797E-2</v>
      </c>
      <c r="L37" s="68">
        <f t="shared" si="1"/>
        <v>6.7559633027522936E-2</v>
      </c>
    </row>
    <row r="38" spans="1:12" x14ac:dyDescent="0.25">
      <c r="A38" s="48" t="s">
        <v>24</v>
      </c>
      <c r="B38" s="21">
        <v>283000</v>
      </c>
      <c r="C38" s="20">
        <v>248700</v>
      </c>
      <c r="D38" s="20">
        <v>354300</v>
      </c>
      <c r="E38" s="22">
        <v>1425</v>
      </c>
      <c r="F38" s="21">
        <v>3511400</v>
      </c>
      <c r="G38" s="20">
        <v>3331400</v>
      </c>
      <c r="H38" s="20">
        <v>5599880</v>
      </c>
      <c r="I38" s="22">
        <v>1681</v>
      </c>
      <c r="J38" s="66">
        <f t="shared" si="1"/>
        <v>8.0594634618670613E-2</v>
      </c>
      <c r="K38" s="67">
        <f t="shared" si="1"/>
        <v>7.4653298913369748E-2</v>
      </c>
      <c r="L38" s="68">
        <f t="shared" si="1"/>
        <v>6.3269212911705244E-2</v>
      </c>
    </row>
    <row r="39" spans="1:12" x14ac:dyDescent="0.25">
      <c r="A39" s="48" t="s">
        <v>25</v>
      </c>
      <c r="B39" s="21">
        <v>284300</v>
      </c>
      <c r="C39" s="20">
        <v>284300</v>
      </c>
      <c r="D39" s="20">
        <v>554000</v>
      </c>
      <c r="E39" s="22">
        <v>1949</v>
      </c>
      <c r="F39" s="21">
        <v>4243800</v>
      </c>
      <c r="G39" s="20">
        <v>4067870</v>
      </c>
      <c r="H39" s="20">
        <v>7125140</v>
      </c>
      <c r="I39" s="22">
        <v>1752</v>
      </c>
      <c r="J39" s="66">
        <f t="shared" si="1"/>
        <v>6.6991846929638527E-2</v>
      </c>
      <c r="K39" s="67">
        <f t="shared" si="1"/>
        <v>6.988915574981501E-2</v>
      </c>
      <c r="L39" s="68">
        <f t="shared" si="1"/>
        <v>7.7752858189453114E-2</v>
      </c>
    </row>
    <row r="40" spans="1:12" x14ac:dyDescent="0.25">
      <c r="A40" s="48" t="s">
        <v>26</v>
      </c>
      <c r="B40" s="21">
        <v>255350</v>
      </c>
      <c r="C40" s="20">
        <v>208350</v>
      </c>
      <c r="D40" s="20">
        <v>365400</v>
      </c>
      <c r="E40" s="22">
        <v>1754</v>
      </c>
      <c r="F40" s="21">
        <v>3587000</v>
      </c>
      <c r="G40" s="20">
        <v>3477120</v>
      </c>
      <c r="H40" s="20">
        <v>6069655</v>
      </c>
      <c r="I40" s="22">
        <v>1746</v>
      </c>
      <c r="J40" s="66">
        <f t="shared" si="1"/>
        <v>7.1187621968218567E-2</v>
      </c>
      <c r="K40" s="67">
        <f t="shared" si="1"/>
        <v>5.9920278851463282E-2</v>
      </c>
      <c r="L40" s="68">
        <f t="shared" si="1"/>
        <v>6.0201115219893062E-2</v>
      </c>
    </row>
    <row r="41" spans="1:12" x14ac:dyDescent="0.25">
      <c r="A41" s="48" t="s">
        <v>27</v>
      </c>
      <c r="B41" s="21">
        <v>117250</v>
      </c>
      <c r="C41" s="20">
        <v>115250</v>
      </c>
      <c r="D41" s="20">
        <v>189260</v>
      </c>
      <c r="E41" s="22">
        <v>1642</v>
      </c>
      <c r="F41" s="21">
        <v>1976120</v>
      </c>
      <c r="G41" s="20">
        <v>1903925</v>
      </c>
      <c r="H41" s="20">
        <v>3179043</v>
      </c>
      <c r="I41" s="22">
        <v>1670</v>
      </c>
      <c r="J41" s="66">
        <f t="shared" si="1"/>
        <v>5.9333441288990547E-2</v>
      </c>
      <c r="K41" s="67">
        <f t="shared" si="1"/>
        <v>6.0532846619483438E-2</v>
      </c>
      <c r="L41" s="68">
        <f t="shared" si="1"/>
        <v>5.9533639526108961E-2</v>
      </c>
    </row>
    <row r="42" spans="1:12" x14ac:dyDescent="0.25">
      <c r="A42" s="48" t="s">
        <v>28</v>
      </c>
      <c r="B42" s="21">
        <v>120050</v>
      </c>
      <c r="C42" s="20">
        <v>115050</v>
      </c>
      <c r="D42" s="20">
        <v>208120</v>
      </c>
      <c r="E42" s="22">
        <v>1809</v>
      </c>
      <c r="F42" s="21">
        <v>2050365</v>
      </c>
      <c r="G42" s="20">
        <v>2014915</v>
      </c>
      <c r="H42" s="20">
        <v>3843579</v>
      </c>
      <c r="I42" s="22">
        <v>1908</v>
      </c>
      <c r="J42" s="66">
        <f t="shared" si="1"/>
        <v>5.8550550755597175E-2</v>
      </c>
      <c r="K42" s="67">
        <f t="shared" si="1"/>
        <v>5.7099182843941311E-2</v>
      </c>
      <c r="L42" s="68">
        <f t="shared" si="1"/>
        <v>5.4147449551576798E-2</v>
      </c>
    </row>
    <row r="43" spans="1:12" x14ac:dyDescent="0.25">
      <c r="A43" s="48" t="s">
        <v>29</v>
      </c>
      <c r="B43" s="21">
        <v>152200</v>
      </c>
      <c r="C43" s="20">
        <v>144800</v>
      </c>
      <c r="D43" s="20">
        <v>208400</v>
      </c>
      <c r="E43" s="22">
        <v>1439</v>
      </c>
      <c r="F43" s="21">
        <v>2378000</v>
      </c>
      <c r="G43" s="20">
        <v>2324510</v>
      </c>
      <c r="H43" s="20">
        <v>3714000</v>
      </c>
      <c r="I43" s="22">
        <v>1598</v>
      </c>
      <c r="J43" s="66">
        <f t="shared" si="1"/>
        <v>6.4003364171572749E-2</v>
      </c>
      <c r="K43" s="67">
        <f t="shared" si="1"/>
        <v>6.2292698246081968E-2</v>
      </c>
      <c r="L43" s="68">
        <f t="shared" si="1"/>
        <v>5.6112008616047392E-2</v>
      </c>
    </row>
    <row r="44" spans="1:12" x14ac:dyDescent="0.25">
      <c r="A44" s="48" t="s">
        <v>30</v>
      </c>
      <c r="B44" s="21">
        <v>141360</v>
      </c>
      <c r="C44" s="20">
        <v>140660</v>
      </c>
      <c r="D44" s="20">
        <v>274619</v>
      </c>
      <c r="E44" s="22">
        <v>1952</v>
      </c>
      <c r="F44" s="21">
        <v>1847963</v>
      </c>
      <c r="G44" s="20">
        <v>1835238</v>
      </c>
      <c r="H44" s="20">
        <v>3176472</v>
      </c>
      <c r="I44" s="22">
        <v>1731</v>
      </c>
      <c r="J44" s="66">
        <f t="shared" si="1"/>
        <v>7.6495038050004252E-2</v>
      </c>
      <c r="K44" s="67">
        <f t="shared" si="1"/>
        <v>7.6644010204671001E-2</v>
      </c>
      <c r="L44" s="68">
        <f t="shared" si="1"/>
        <v>8.6454091205589098E-2</v>
      </c>
    </row>
    <row r="45" spans="1:12" x14ac:dyDescent="0.25">
      <c r="A45" s="48" t="s">
        <v>31</v>
      </c>
      <c r="B45" s="21">
        <v>124800</v>
      </c>
      <c r="C45" s="20">
        <v>120900</v>
      </c>
      <c r="D45" s="20">
        <v>218550</v>
      </c>
      <c r="E45" s="22">
        <v>1808</v>
      </c>
      <c r="F45" s="21">
        <v>1966599</v>
      </c>
      <c r="G45" s="20">
        <v>1922909</v>
      </c>
      <c r="H45" s="20">
        <v>3662108</v>
      </c>
      <c r="I45" s="22">
        <v>1904</v>
      </c>
      <c r="J45" s="66">
        <f t="shared" si="1"/>
        <v>6.3459810566363559E-2</v>
      </c>
      <c r="K45" s="67">
        <f t="shared" si="1"/>
        <v>6.2873490113156683E-2</v>
      </c>
      <c r="L45" s="68">
        <f t="shared" si="1"/>
        <v>5.9678742407378485E-2</v>
      </c>
    </row>
    <row r="46" spans="1:12" x14ac:dyDescent="0.25">
      <c r="A46" s="48" t="s">
        <v>32</v>
      </c>
      <c r="B46" s="21">
        <v>164900</v>
      </c>
      <c r="C46" s="20">
        <v>164500</v>
      </c>
      <c r="D46" s="20">
        <v>320650</v>
      </c>
      <c r="E46" s="22">
        <v>1949</v>
      </c>
      <c r="F46" s="21">
        <v>2231714</v>
      </c>
      <c r="G46" s="20">
        <v>2167074</v>
      </c>
      <c r="H46" s="20">
        <v>3759737</v>
      </c>
      <c r="I46" s="22">
        <v>1735</v>
      </c>
      <c r="J46" s="66">
        <f t="shared" si="1"/>
        <v>7.3889396221917328E-2</v>
      </c>
      <c r="K46" s="67">
        <f t="shared" si="1"/>
        <v>7.5908806067536222E-2</v>
      </c>
      <c r="L46" s="68">
        <f t="shared" si="1"/>
        <v>8.5285220748153395E-2</v>
      </c>
    </row>
    <row r="47" spans="1:12" x14ac:dyDescent="0.25">
      <c r="A47" s="48" t="s">
        <v>33</v>
      </c>
      <c r="B47" s="21">
        <v>192800</v>
      </c>
      <c r="C47" s="20">
        <v>191500</v>
      </c>
      <c r="D47" s="20">
        <v>301540</v>
      </c>
      <c r="E47" s="22">
        <v>1575</v>
      </c>
      <c r="F47" s="21">
        <v>2381388</v>
      </c>
      <c r="G47" s="20">
        <v>2351348</v>
      </c>
      <c r="H47" s="20">
        <v>3497733</v>
      </c>
      <c r="I47" s="22">
        <v>1488</v>
      </c>
      <c r="J47" s="66">
        <f t="shared" si="1"/>
        <v>8.0961187341164059E-2</v>
      </c>
      <c r="K47" s="67">
        <f t="shared" si="1"/>
        <v>8.1442644814804108E-2</v>
      </c>
      <c r="L47" s="68">
        <f t="shared" si="1"/>
        <v>8.621012524397946E-2</v>
      </c>
    </row>
    <row r="48" spans="1:12" x14ac:dyDescent="0.25">
      <c r="A48" s="48" t="s">
        <v>34</v>
      </c>
      <c r="B48" s="21">
        <v>243300</v>
      </c>
      <c r="C48" s="20">
        <v>240300</v>
      </c>
      <c r="D48" s="20">
        <v>477315</v>
      </c>
      <c r="E48" s="22">
        <v>1986</v>
      </c>
      <c r="F48" s="21">
        <v>2612646</v>
      </c>
      <c r="G48" s="20">
        <v>2569136</v>
      </c>
      <c r="H48" s="20">
        <v>4650365</v>
      </c>
      <c r="I48" s="22">
        <v>1810</v>
      </c>
      <c r="J48" s="66">
        <f t="shared" si="1"/>
        <v>9.3123982353522067E-2</v>
      </c>
      <c r="K48" s="67">
        <f t="shared" si="1"/>
        <v>9.3533390213674947E-2</v>
      </c>
      <c r="L48" s="68">
        <f t="shared" si="1"/>
        <v>0.10264033038266888</v>
      </c>
    </row>
    <row r="49" spans="1:12" x14ac:dyDescent="0.25">
      <c r="A49" s="48" t="s">
        <v>35</v>
      </c>
      <c r="B49" s="21">
        <v>234100</v>
      </c>
      <c r="C49" s="20">
        <v>206600</v>
      </c>
      <c r="D49" s="20">
        <v>184140</v>
      </c>
      <c r="E49" s="22">
        <v>891</v>
      </c>
      <c r="F49" s="21">
        <v>1967420</v>
      </c>
      <c r="G49" s="20">
        <v>1820030</v>
      </c>
      <c r="H49" s="20">
        <v>2483438</v>
      </c>
      <c r="I49" s="22">
        <v>1365</v>
      </c>
      <c r="J49" s="66">
        <f t="shared" si="1"/>
        <v>0.11898831972837523</v>
      </c>
      <c r="K49" s="67">
        <f t="shared" si="1"/>
        <v>0.11351461239649896</v>
      </c>
      <c r="L49" s="68">
        <f t="shared" si="1"/>
        <v>7.414721043972107E-2</v>
      </c>
    </row>
    <row r="50" spans="1:12" x14ac:dyDescent="0.25">
      <c r="A50" s="48" t="s">
        <v>36</v>
      </c>
      <c r="B50" s="21">
        <v>179375</v>
      </c>
      <c r="C50" s="20">
        <v>173535</v>
      </c>
      <c r="D50" s="20">
        <v>131812</v>
      </c>
      <c r="E50" s="22">
        <v>760</v>
      </c>
      <c r="F50" s="21">
        <v>1545295</v>
      </c>
      <c r="G50" s="20">
        <v>1491317</v>
      </c>
      <c r="H50" s="20">
        <v>2223937</v>
      </c>
      <c r="I50" s="22">
        <v>1491</v>
      </c>
      <c r="J50" s="66">
        <f t="shared" si="1"/>
        <v>0.11607815983355929</v>
      </c>
      <c r="K50" s="67">
        <f t="shared" si="1"/>
        <v>0.11636359003484839</v>
      </c>
      <c r="L50" s="68">
        <f t="shared" si="1"/>
        <v>5.9269664563339701E-2</v>
      </c>
    </row>
    <row r="51" spans="1:12" x14ac:dyDescent="0.25">
      <c r="A51" s="48" t="s">
        <v>37</v>
      </c>
      <c r="B51" s="21">
        <v>173875</v>
      </c>
      <c r="C51" s="20">
        <v>170875</v>
      </c>
      <c r="D51" s="20">
        <v>293815</v>
      </c>
      <c r="E51" s="22">
        <v>1719</v>
      </c>
      <c r="F51" s="21">
        <v>1758545</v>
      </c>
      <c r="G51" s="20">
        <v>1743040</v>
      </c>
      <c r="H51" s="20">
        <v>3671748</v>
      </c>
      <c r="I51" s="22">
        <v>2107</v>
      </c>
      <c r="J51" s="66">
        <f t="shared" si="1"/>
        <v>9.8874353513842411E-2</v>
      </c>
      <c r="K51" s="67">
        <f t="shared" si="1"/>
        <v>9.8032747383881041E-2</v>
      </c>
      <c r="L51" s="68">
        <f t="shared" si="1"/>
        <v>8.0020469814377243E-2</v>
      </c>
    </row>
    <row r="52" spans="1:12" x14ac:dyDescent="0.25">
      <c r="A52" s="48" t="s">
        <v>38</v>
      </c>
      <c r="B52" s="21">
        <v>182000</v>
      </c>
      <c r="C52" s="20">
        <v>182000</v>
      </c>
      <c r="D52" s="20">
        <v>301570</v>
      </c>
      <c r="E52" s="22">
        <v>1657</v>
      </c>
      <c r="F52" s="21">
        <v>1851220</v>
      </c>
      <c r="G52" s="20">
        <v>1823412</v>
      </c>
      <c r="H52" s="20">
        <v>3340520</v>
      </c>
      <c r="I52" s="22">
        <v>1832</v>
      </c>
      <c r="J52" s="66">
        <f t="shared" si="1"/>
        <v>9.8313544581411172E-2</v>
      </c>
      <c r="K52" s="67">
        <f t="shared" si="1"/>
        <v>9.981287827435599E-2</v>
      </c>
      <c r="L52" s="68">
        <f t="shared" si="1"/>
        <v>9.0276364158873468E-2</v>
      </c>
    </row>
    <row r="53" spans="1:12" x14ac:dyDescent="0.25">
      <c r="A53" s="48" t="s">
        <v>39</v>
      </c>
      <c r="B53" s="21">
        <v>182500</v>
      </c>
      <c r="C53" s="20">
        <v>177300</v>
      </c>
      <c r="D53" s="20">
        <v>294390</v>
      </c>
      <c r="E53" s="22">
        <v>1660</v>
      </c>
      <c r="F53" s="21">
        <v>1657071</v>
      </c>
      <c r="G53" s="20">
        <v>1620081</v>
      </c>
      <c r="H53" s="20">
        <v>3104420</v>
      </c>
      <c r="I53" s="22">
        <v>1916</v>
      </c>
      <c r="J53" s="66">
        <f t="shared" si="1"/>
        <v>0.11013408598665959</v>
      </c>
      <c r="K53" s="67">
        <f t="shared" si="1"/>
        <v>0.10943897249581966</v>
      </c>
      <c r="L53" s="68">
        <f t="shared" si="1"/>
        <v>9.4829307890040654E-2</v>
      </c>
    </row>
    <row r="54" spans="1:12" x14ac:dyDescent="0.25">
      <c r="A54" s="48" t="s">
        <v>40</v>
      </c>
      <c r="B54" s="21">
        <v>158000</v>
      </c>
      <c r="C54" s="20">
        <v>157200</v>
      </c>
      <c r="D54" s="20">
        <v>244820</v>
      </c>
      <c r="E54" s="22">
        <v>1557</v>
      </c>
      <c r="F54" s="21">
        <v>1313195</v>
      </c>
      <c r="G54" s="20">
        <v>1261640</v>
      </c>
      <c r="H54" s="20">
        <v>2063410</v>
      </c>
      <c r="I54" s="22">
        <v>1636</v>
      </c>
      <c r="J54" s="66">
        <f t="shared" si="1"/>
        <v>0.12031724153686238</v>
      </c>
      <c r="K54" s="67">
        <f t="shared" si="1"/>
        <v>0.12459972733901906</v>
      </c>
      <c r="L54" s="68">
        <f t="shared" si="1"/>
        <v>0.11864825701145192</v>
      </c>
    </row>
    <row r="55" spans="1:12" x14ac:dyDescent="0.25">
      <c r="A55" s="48" t="s">
        <v>41</v>
      </c>
      <c r="B55" s="21">
        <v>152100</v>
      </c>
      <c r="C55" s="20">
        <v>144100</v>
      </c>
      <c r="D55" s="20">
        <v>237725</v>
      </c>
      <c r="E55" s="22">
        <v>1650</v>
      </c>
      <c r="F55" s="21">
        <v>1464855</v>
      </c>
      <c r="G55" s="20">
        <v>1439915</v>
      </c>
      <c r="H55" s="20">
        <v>3158290</v>
      </c>
      <c r="I55" s="22">
        <v>2193</v>
      </c>
      <c r="J55" s="66">
        <f t="shared" si="1"/>
        <v>0.1038328025640763</v>
      </c>
      <c r="K55" s="67">
        <f t="shared" si="1"/>
        <v>0.10007535167006386</v>
      </c>
      <c r="L55" s="68">
        <f t="shared" si="1"/>
        <v>7.5270162018054074E-2</v>
      </c>
    </row>
    <row r="56" spans="1:12" x14ac:dyDescent="0.25">
      <c r="A56" s="48" t="s">
        <v>42</v>
      </c>
      <c r="B56" s="21">
        <v>116950</v>
      </c>
      <c r="C56" s="20">
        <v>116950</v>
      </c>
      <c r="D56" s="20">
        <v>217470</v>
      </c>
      <c r="E56" s="22">
        <v>1860</v>
      </c>
      <c r="F56" s="21">
        <v>1435148</v>
      </c>
      <c r="G56" s="20">
        <v>1413963</v>
      </c>
      <c r="H56" s="20">
        <v>3000367</v>
      </c>
      <c r="I56" s="22">
        <v>2122</v>
      </c>
      <c r="J56" s="66">
        <f t="shared" si="1"/>
        <v>8.1489853311296115E-2</v>
      </c>
      <c r="K56" s="67">
        <f t="shared" si="1"/>
        <v>8.2710792290887389E-2</v>
      </c>
      <c r="L56" s="68">
        <f t="shared" si="1"/>
        <v>7.2481133141379037E-2</v>
      </c>
    </row>
    <row r="57" spans="1:12" x14ac:dyDescent="0.25">
      <c r="A57" s="48" t="s">
        <v>43</v>
      </c>
      <c r="B57" s="21">
        <v>204800</v>
      </c>
      <c r="C57" s="20">
        <v>195050</v>
      </c>
      <c r="D57" s="20">
        <v>346230</v>
      </c>
      <c r="E57" s="22">
        <v>1775</v>
      </c>
      <c r="F57" s="21">
        <v>1861595</v>
      </c>
      <c r="G57" s="20">
        <v>1819045</v>
      </c>
      <c r="H57" s="20">
        <v>3546707</v>
      </c>
      <c r="I57" s="22">
        <v>1950</v>
      </c>
      <c r="J57" s="66">
        <f t="shared" si="1"/>
        <v>0.11001318761599596</v>
      </c>
      <c r="K57" s="67">
        <f t="shared" si="1"/>
        <v>0.1072265941744157</v>
      </c>
      <c r="L57" s="68">
        <f t="shared" si="1"/>
        <v>9.7620130447764644E-2</v>
      </c>
    </row>
    <row r="58" spans="1:12" x14ac:dyDescent="0.25">
      <c r="A58" s="48" t="s">
        <v>44</v>
      </c>
      <c r="B58" s="21">
        <v>229600</v>
      </c>
      <c r="C58" s="20">
        <v>229600</v>
      </c>
      <c r="D58" s="20">
        <v>474156</v>
      </c>
      <c r="E58" s="22">
        <v>2065</v>
      </c>
      <c r="F58" s="21">
        <v>1704296</v>
      </c>
      <c r="G58" s="20">
        <v>1678031</v>
      </c>
      <c r="H58" s="20">
        <v>3537545</v>
      </c>
      <c r="I58" s="22">
        <v>2108</v>
      </c>
      <c r="J58" s="66">
        <f t="shared" si="1"/>
        <v>0.1347183822528481</v>
      </c>
      <c r="K58" s="67">
        <f t="shared" si="1"/>
        <v>0.1368270312050254</v>
      </c>
      <c r="L58" s="68">
        <f t="shared" si="1"/>
        <v>0.13403532675909424</v>
      </c>
    </row>
    <row r="59" spans="1:12" x14ac:dyDescent="0.25">
      <c r="A59" s="48" t="s">
        <v>45</v>
      </c>
      <c r="B59" s="21">
        <v>266884</v>
      </c>
      <c r="C59" s="20">
        <v>245084</v>
      </c>
      <c r="D59" s="20">
        <v>432659</v>
      </c>
      <c r="E59" s="22">
        <v>1765</v>
      </c>
      <c r="F59" s="21">
        <v>1826065</v>
      </c>
      <c r="G59" s="20">
        <v>1761001</v>
      </c>
      <c r="H59" s="20">
        <v>3530157</v>
      </c>
      <c r="I59" s="22">
        <v>2005</v>
      </c>
      <c r="J59" s="66">
        <f t="shared" si="1"/>
        <v>0.14615251921481437</v>
      </c>
      <c r="K59" s="67">
        <f t="shared" si="1"/>
        <v>0.13917311801640089</v>
      </c>
      <c r="L59" s="68">
        <f t="shared" si="1"/>
        <v>0.12256083794573443</v>
      </c>
    </row>
    <row r="60" spans="1:12" x14ac:dyDescent="0.25">
      <c r="A60" s="49" t="s">
        <v>46</v>
      </c>
      <c r="B60" s="21">
        <v>210800</v>
      </c>
      <c r="C60" s="20">
        <v>208100</v>
      </c>
      <c r="D60" s="20">
        <v>426328</v>
      </c>
      <c r="E60" s="22">
        <v>2049</v>
      </c>
      <c r="F60" s="21">
        <v>1404766</v>
      </c>
      <c r="G60" s="20">
        <v>1381571</v>
      </c>
      <c r="H60" s="20">
        <v>2857413</v>
      </c>
      <c r="I60" s="22">
        <v>2068</v>
      </c>
      <c r="J60" s="66">
        <f t="shared" si="1"/>
        <v>0.15006057948441234</v>
      </c>
      <c r="K60" s="67">
        <f t="shared" si="1"/>
        <v>0.15062562836075744</v>
      </c>
      <c r="L60" s="68">
        <f t="shared" si="1"/>
        <v>0.14920069307446981</v>
      </c>
    </row>
    <row r="61" spans="1:12" x14ac:dyDescent="0.25">
      <c r="A61" s="49" t="s">
        <v>47</v>
      </c>
      <c r="B61" s="21">
        <v>232400</v>
      </c>
      <c r="C61" s="20">
        <v>232400</v>
      </c>
      <c r="D61" s="20">
        <v>417930</v>
      </c>
      <c r="E61" s="22">
        <v>1798</v>
      </c>
      <c r="F61" s="21">
        <v>1636885</v>
      </c>
      <c r="G61" s="20">
        <v>1628002</v>
      </c>
      <c r="H61" s="20">
        <v>3247366</v>
      </c>
      <c r="I61" s="22">
        <v>1995</v>
      </c>
      <c r="J61" s="66">
        <f t="shared" si="1"/>
        <v>0.14197698677671308</v>
      </c>
      <c r="K61" s="67">
        <f t="shared" si="1"/>
        <v>0.14275166738124401</v>
      </c>
      <c r="L61" s="68">
        <f t="shared" si="1"/>
        <v>0.12869815105534763</v>
      </c>
    </row>
    <row r="62" spans="1:12" x14ac:dyDescent="0.25">
      <c r="A62" s="49" t="s">
        <v>48</v>
      </c>
      <c r="B62" s="21">
        <v>226370</v>
      </c>
      <c r="C62" s="20">
        <v>226370</v>
      </c>
      <c r="D62" s="20">
        <v>504746</v>
      </c>
      <c r="E62" s="22">
        <v>2230</v>
      </c>
      <c r="F62" s="21">
        <v>1968907</v>
      </c>
      <c r="G62" s="20">
        <v>1958686</v>
      </c>
      <c r="H62" s="20">
        <v>4050362</v>
      </c>
      <c r="I62" s="22">
        <v>2068</v>
      </c>
      <c r="J62" s="66">
        <f t="shared" si="1"/>
        <v>0.11497241870743515</v>
      </c>
      <c r="K62" s="67">
        <f t="shared" si="1"/>
        <v>0.11557237862526204</v>
      </c>
      <c r="L62" s="68">
        <f t="shared" si="1"/>
        <v>0.12461750332439421</v>
      </c>
    </row>
    <row r="63" spans="1:12" x14ac:dyDescent="0.25">
      <c r="A63" s="49" t="s">
        <v>49</v>
      </c>
      <c r="B63" s="21">
        <v>388015</v>
      </c>
      <c r="C63" s="20">
        <v>388015</v>
      </c>
      <c r="D63" s="20">
        <v>601203</v>
      </c>
      <c r="E63" s="22">
        <v>1549</v>
      </c>
      <c r="F63" s="21">
        <v>2465201</v>
      </c>
      <c r="G63" s="20">
        <v>2453245</v>
      </c>
      <c r="H63" s="20">
        <v>5018874</v>
      </c>
      <c r="I63" s="22">
        <v>2046</v>
      </c>
      <c r="J63" s="66">
        <f t="shared" si="1"/>
        <v>0.15739690191590869</v>
      </c>
      <c r="K63" s="67">
        <f t="shared" si="1"/>
        <v>0.15816398280644617</v>
      </c>
      <c r="L63" s="68">
        <f t="shared" si="1"/>
        <v>0.11978842266213498</v>
      </c>
    </row>
    <row r="64" spans="1:12" x14ac:dyDescent="0.25">
      <c r="A64" s="49" t="s">
        <v>50</v>
      </c>
      <c r="B64" s="21">
        <v>210300</v>
      </c>
      <c r="C64" s="20">
        <v>208900</v>
      </c>
      <c r="D64" s="20">
        <v>336140</v>
      </c>
      <c r="E64" s="22">
        <v>1609</v>
      </c>
      <c r="F64" s="21">
        <v>1857963</v>
      </c>
      <c r="G64" s="20">
        <v>1842731</v>
      </c>
      <c r="H64" s="20">
        <v>3895156</v>
      </c>
      <c r="I64" s="22">
        <v>2114</v>
      </c>
      <c r="J64" s="66">
        <f t="shared" si="1"/>
        <v>0.11318847576620202</v>
      </c>
      <c r="K64" s="67">
        <f t="shared" si="1"/>
        <v>0.11336434889302888</v>
      </c>
      <c r="L64" s="68">
        <f t="shared" si="1"/>
        <v>8.6296928800797715E-2</v>
      </c>
    </row>
    <row r="65" spans="1:12" x14ac:dyDescent="0.25">
      <c r="A65" s="49" t="s">
        <v>51</v>
      </c>
      <c r="B65" s="21">
        <v>341647</v>
      </c>
      <c r="C65" s="20">
        <v>341097</v>
      </c>
      <c r="D65" s="20">
        <v>751490</v>
      </c>
      <c r="E65" s="22">
        <v>2203</v>
      </c>
      <c r="F65" s="21">
        <v>2413081</v>
      </c>
      <c r="G65" s="20">
        <v>2397165</v>
      </c>
      <c r="H65" s="20">
        <v>5592450</v>
      </c>
      <c r="I65" s="22">
        <v>2333</v>
      </c>
      <c r="J65" s="66">
        <f t="shared" si="1"/>
        <v>0.14158123991693608</v>
      </c>
      <c r="K65" s="67">
        <f t="shared" si="1"/>
        <v>0.14229183222681793</v>
      </c>
      <c r="L65" s="68">
        <f t="shared" si="1"/>
        <v>0.13437581024416848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4BF06288-D2C5-4843-9CF5-4EDC3D85B96C}"/>
  </hyperlinks>
  <pageMargins left="0.7" right="0.7" top="0.75" bottom="0.75" header="0.3" footer="0.3"/>
  <pageSetup paperSize="9" fitToWidth="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48E8-596B-4682-A766-6181FE0D02A8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12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125500</v>
      </c>
      <c r="C10" s="40">
        <v>88000</v>
      </c>
      <c r="D10" s="40">
        <v>54200</v>
      </c>
      <c r="E10" s="50">
        <v>616</v>
      </c>
      <c r="F10" s="41">
        <v>952000</v>
      </c>
      <c r="G10" s="40">
        <v>790800</v>
      </c>
      <c r="H10" s="40">
        <v>640000</v>
      </c>
      <c r="I10" s="50">
        <v>809</v>
      </c>
      <c r="J10" s="63">
        <f>B10/F10</f>
        <v>0.13182773109243698</v>
      </c>
      <c r="K10" s="64">
        <f t="shared" ref="K10:L25" si="0">C10/G10</f>
        <v>0.1112797167425392</v>
      </c>
      <c r="L10" s="65">
        <f t="shared" si="0"/>
        <v>8.4687499999999999E-2</v>
      </c>
    </row>
    <row r="11" spans="1:12" x14ac:dyDescent="0.25">
      <c r="A11" s="48" t="s">
        <v>81</v>
      </c>
      <c r="B11" s="21">
        <v>137000</v>
      </c>
      <c r="C11" s="20">
        <v>123000</v>
      </c>
      <c r="D11" s="20">
        <v>92100</v>
      </c>
      <c r="E11" s="22">
        <v>749</v>
      </c>
      <c r="F11" s="21">
        <v>973300</v>
      </c>
      <c r="G11" s="20">
        <v>833800</v>
      </c>
      <c r="H11" s="20">
        <v>680000</v>
      </c>
      <c r="I11" s="22">
        <v>816</v>
      </c>
      <c r="J11" s="66">
        <f t="shared" ref="J11:L66" si="1">B11/F11</f>
        <v>0.14075824514538168</v>
      </c>
      <c r="K11" s="67">
        <f t="shared" si="0"/>
        <v>0.14751739026145358</v>
      </c>
      <c r="L11" s="68">
        <f t="shared" si="0"/>
        <v>0.13544117647058823</v>
      </c>
    </row>
    <row r="12" spans="1:12" x14ac:dyDescent="0.25">
      <c r="A12" s="48" t="s">
        <v>82</v>
      </c>
      <c r="B12" s="21">
        <v>96000</v>
      </c>
      <c r="C12" s="20">
        <v>82000</v>
      </c>
      <c r="D12" s="20">
        <v>60600</v>
      </c>
      <c r="E12" s="22">
        <v>739</v>
      </c>
      <c r="F12" s="21">
        <v>538800</v>
      </c>
      <c r="G12" s="20">
        <v>450860</v>
      </c>
      <c r="H12" s="20">
        <v>315600</v>
      </c>
      <c r="I12" s="22">
        <v>700</v>
      </c>
      <c r="J12" s="66">
        <f t="shared" si="1"/>
        <v>0.17817371937639198</v>
      </c>
      <c r="K12" s="67">
        <f t="shared" si="0"/>
        <v>0.18187463957769595</v>
      </c>
      <c r="L12" s="68">
        <f t="shared" si="0"/>
        <v>0.19201520912547529</v>
      </c>
    </row>
    <row r="13" spans="1:12" x14ac:dyDescent="0.25">
      <c r="A13" s="48" t="s">
        <v>83</v>
      </c>
      <c r="B13" s="21">
        <v>93000</v>
      </c>
      <c r="C13" s="20">
        <v>83000</v>
      </c>
      <c r="D13" s="20">
        <v>58000</v>
      </c>
      <c r="E13" s="22">
        <v>699</v>
      </c>
      <c r="F13" s="21">
        <v>508500</v>
      </c>
      <c r="G13" s="20">
        <v>441100</v>
      </c>
      <c r="H13" s="20">
        <v>330000</v>
      </c>
      <c r="I13" s="22">
        <v>748</v>
      </c>
      <c r="J13" s="66">
        <f t="shared" si="1"/>
        <v>0.18289085545722714</v>
      </c>
      <c r="K13" s="67">
        <f t="shared" si="0"/>
        <v>0.1881659487644525</v>
      </c>
      <c r="L13" s="68">
        <f t="shared" si="0"/>
        <v>0.17575757575757575</v>
      </c>
    </row>
    <row r="14" spans="1:12" x14ac:dyDescent="0.25">
      <c r="A14" s="48" t="s">
        <v>84</v>
      </c>
      <c r="B14" s="21">
        <v>60000</v>
      </c>
      <c r="C14" s="20">
        <v>55000</v>
      </c>
      <c r="D14" s="20">
        <v>40000</v>
      </c>
      <c r="E14" s="22">
        <v>727</v>
      </c>
      <c r="F14" s="21">
        <v>414600</v>
      </c>
      <c r="G14" s="20">
        <v>389600</v>
      </c>
      <c r="H14" s="20">
        <v>297000</v>
      </c>
      <c r="I14" s="22">
        <v>762</v>
      </c>
      <c r="J14" s="66">
        <f t="shared" si="1"/>
        <v>0.14471780028943559</v>
      </c>
      <c r="K14" s="67">
        <f t="shared" si="0"/>
        <v>0.14117043121149897</v>
      </c>
      <c r="L14" s="68">
        <f t="shared" si="0"/>
        <v>0.13468013468013468</v>
      </c>
    </row>
    <row r="15" spans="1:12" x14ac:dyDescent="0.25">
      <c r="A15" s="48" t="s">
        <v>85</v>
      </c>
      <c r="B15" s="21">
        <v>70500</v>
      </c>
      <c r="C15" s="20">
        <v>67400</v>
      </c>
      <c r="D15" s="20">
        <v>45000</v>
      </c>
      <c r="E15" s="22">
        <v>668</v>
      </c>
      <c r="F15" s="21">
        <v>520000</v>
      </c>
      <c r="G15" s="20">
        <v>500600</v>
      </c>
      <c r="H15" s="20">
        <v>380700</v>
      </c>
      <c r="I15" s="22">
        <v>760</v>
      </c>
      <c r="J15" s="66">
        <f t="shared" si="1"/>
        <v>0.13557692307692307</v>
      </c>
      <c r="K15" s="67">
        <f t="shared" si="0"/>
        <v>0.13463843387934479</v>
      </c>
      <c r="L15" s="68">
        <f t="shared" si="0"/>
        <v>0.1182033096926714</v>
      </c>
    </row>
    <row r="16" spans="1:12" x14ac:dyDescent="0.25">
      <c r="A16" s="48" t="s">
        <v>86</v>
      </c>
      <c r="B16" s="21">
        <v>72200</v>
      </c>
      <c r="C16" s="20">
        <v>67700</v>
      </c>
      <c r="D16" s="20">
        <v>61700</v>
      </c>
      <c r="E16" s="22">
        <v>911</v>
      </c>
      <c r="F16" s="21">
        <v>471400</v>
      </c>
      <c r="G16" s="20">
        <v>446400</v>
      </c>
      <c r="H16" s="20">
        <v>377000</v>
      </c>
      <c r="I16" s="22">
        <v>845</v>
      </c>
      <c r="J16" s="66">
        <f t="shared" si="1"/>
        <v>0.15316079762409843</v>
      </c>
      <c r="K16" s="67">
        <f t="shared" si="0"/>
        <v>0.15165770609318996</v>
      </c>
      <c r="L16" s="68">
        <f t="shared" si="0"/>
        <v>0.16366047745358089</v>
      </c>
    </row>
    <row r="17" spans="1:12" x14ac:dyDescent="0.25">
      <c r="A17" s="48" t="s">
        <v>87</v>
      </c>
      <c r="B17" s="21">
        <v>116600</v>
      </c>
      <c r="C17" s="20">
        <v>106500</v>
      </c>
      <c r="D17" s="20">
        <v>79800</v>
      </c>
      <c r="E17" s="22">
        <v>749</v>
      </c>
      <c r="F17" s="21">
        <v>722000</v>
      </c>
      <c r="G17" s="20">
        <v>674000</v>
      </c>
      <c r="H17" s="20">
        <v>617000</v>
      </c>
      <c r="I17" s="22">
        <v>915</v>
      </c>
      <c r="J17" s="66">
        <f t="shared" si="1"/>
        <v>0.16149584487534627</v>
      </c>
      <c r="K17" s="67">
        <f t="shared" si="0"/>
        <v>0.15801186943620177</v>
      </c>
      <c r="L17" s="68">
        <f t="shared" si="0"/>
        <v>0.12933549432739061</v>
      </c>
    </row>
    <row r="18" spans="1:12" x14ac:dyDescent="0.25">
      <c r="A18" s="48" t="s">
        <v>88</v>
      </c>
      <c r="B18" s="21">
        <v>168000</v>
      </c>
      <c r="C18" s="20">
        <v>156000</v>
      </c>
      <c r="D18" s="20">
        <v>130000</v>
      </c>
      <c r="E18" s="22">
        <v>833</v>
      </c>
      <c r="F18" s="21">
        <v>950000</v>
      </c>
      <c r="G18" s="20">
        <v>884000</v>
      </c>
      <c r="H18" s="20">
        <v>810000</v>
      </c>
      <c r="I18" s="22">
        <v>916</v>
      </c>
      <c r="J18" s="66">
        <f t="shared" si="1"/>
        <v>0.17684210526315788</v>
      </c>
      <c r="K18" s="67">
        <f t="shared" si="0"/>
        <v>0.17647058823529413</v>
      </c>
      <c r="L18" s="68">
        <f t="shared" si="0"/>
        <v>0.16049382716049382</v>
      </c>
    </row>
    <row r="19" spans="1:12" x14ac:dyDescent="0.25">
      <c r="A19" s="48" t="s">
        <v>89</v>
      </c>
      <c r="B19" s="21">
        <v>172000</v>
      </c>
      <c r="C19" s="20">
        <v>167000</v>
      </c>
      <c r="D19" s="20">
        <v>115000</v>
      </c>
      <c r="E19" s="22">
        <v>689</v>
      </c>
      <c r="F19" s="21">
        <v>893000</v>
      </c>
      <c r="G19" s="20">
        <v>817000</v>
      </c>
      <c r="H19" s="20">
        <v>600000</v>
      </c>
      <c r="I19" s="22">
        <v>734</v>
      </c>
      <c r="J19" s="66">
        <f t="shared" si="1"/>
        <v>0.19260918253079506</v>
      </c>
      <c r="K19" s="67">
        <f t="shared" si="0"/>
        <v>0.204406364749082</v>
      </c>
      <c r="L19" s="68">
        <f t="shared" si="0"/>
        <v>0.19166666666666668</v>
      </c>
    </row>
    <row r="20" spans="1:12" x14ac:dyDescent="0.25">
      <c r="A20" s="48" t="s">
        <v>90</v>
      </c>
      <c r="B20" s="21">
        <v>196000</v>
      </c>
      <c r="C20" s="20">
        <v>184000</v>
      </c>
      <c r="D20" s="20">
        <v>141000</v>
      </c>
      <c r="E20" s="22">
        <v>766</v>
      </c>
      <c r="F20" s="21">
        <v>1070000</v>
      </c>
      <c r="G20" s="20">
        <v>978000</v>
      </c>
      <c r="H20" s="20">
        <v>743000</v>
      </c>
      <c r="I20" s="22">
        <v>760</v>
      </c>
      <c r="J20" s="66">
        <f t="shared" si="1"/>
        <v>0.18317757009345795</v>
      </c>
      <c r="K20" s="67">
        <f t="shared" si="0"/>
        <v>0.18813905930470348</v>
      </c>
      <c r="L20" s="68">
        <f t="shared" si="0"/>
        <v>0.18977119784656796</v>
      </c>
    </row>
    <row r="21" spans="1:12" x14ac:dyDescent="0.25">
      <c r="A21" s="48" t="s">
        <v>91</v>
      </c>
      <c r="B21" s="21">
        <v>174000</v>
      </c>
      <c r="C21" s="20">
        <v>172000</v>
      </c>
      <c r="D21" s="20">
        <v>146000</v>
      </c>
      <c r="E21" s="22">
        <v>849</v>
      </c>
      <c r="F21" s="21">
        <v>780000</v>
      </c>
      <c r="G21" s="20">
        <v>726000</v>
      </c>
      <c r="H21" s="20">
        <v>585000</v>
      </c>
      <c r="I21" s="22">
        <v>806</v>
      </c>
      <c r="J21" s="66">
        <f t="shared" si="1"/>
        <v>0.22307692307692309</v>
      </c>
      <c r="K21" s="67">
        <f t="shared" si="0"/>
        <v>0.23691460055096419</v>
      </c>
      <c r="L21" s="68">
        <f t="shared" si="0"/>
        <v>0.24957264957264957</v>
      </c>
    </row>
    <row r="22" spans="1:12" x14ac:dyDescent="0.25">
      <c r="A22" s="48" t="s">
        <v>92</v>
      </c>
      <c r="B22" s="21">
        <v>153000</v>
      </c>
      <c r="C22" s="20">
        <v>151000</v>
      </c>
      <c r="D22" s="20">
        <v>106000</v>
      </c>
      <c r="E22" s="22">
        <v>702</v>
      </c>
      <c r="F22" s="21">
        <v>851000</v>
      </c>
      <c r="G22" s="20">
        <v>818000</v>
      </c>
      <c r="H22" s="20">
        <v>600000</v>
      </c>
      <c r="I22" s="22">
        <v>734</v>
      </c>
      <c r="J22" s="66">
        <f t="shared" si="1"/>
        <v>0.17978848413631021</v>
      </c>
      <c r="K22" s="67">
        <f t="shared" si="0"/>
        <v>0.1845965770171149</v>
      </c>
      <c r="L22" s="68">
        <f t="shared" si="0"/>
        <v>0.17666666666666667</v>
      </c>
    </row>
    <row r="23" spans="1:12" x14ac:dyDescent="0.25">
      <c r="A23" s="48" t="s">
        <v>93</v>
      </c>
      <c r="B23" s="21">
        <v>181900</v>
      </c>
      <c r="C23" s="20">
        <v>180800</v>
      </c>
      <c r="D23" s="20">
        <v>150000</v>
      </c>
      <c r="E23" s="22">
        <v>830</v>
      </c>
      <c r="F23" s="21">
        <v>910000</v>
      </c>
      <c r="G23" s="20">
        <v>864000</v>
      </c>
      <c r="H23" s="20">
        <v>730000</v>
      </c>
      <c r="I23" s="22">
        <v>845</v>
      </c>
      <c r="J23" s="66">
        <f t="shared" si="1"/>
        <v>0.19989010989010988</v>
      </c>
      <c r="K23" s="67">
        <f t="shared" si="0"/>
        <v>0.20925925925925926</v>
      </c>
      <c r="L23" s="68">
        <f t="shared" si="0"/>
        <v>0.20547945205479451</v>
      </c>
    </row>
    <row r="24" spans="1:12" x14ac:dyDescent="0.25">
      <c r="A24" s="48" t="s">
        <v>94</v>
      </c>
      <c r="B24" s="21">
        <v>179600</v>
      </c>
      <c r="C24" s="20">
        <v>179600</v>
      </c>
      <c r="D24" s="20">
        <v>153000</v>
      </c>
      <c r="E24" s="22">
        <v>852</v>
      </c>
      <c r="F24" s="21">
        <v>810000</v>
      </c>
      <c r="G24" s="20">
        <v>804400</v>
      </c>
      <c r="H24" s="20">
        <v>660000</v>
      </c>
      <c r="I24" s="22">
        <v>820</v>
      </c>
      <c r="J24" s="66">
        <f t="shared" si="1"/>
        <v>0.22172839506172839</v>
      </c>
      <c r="K24" s="67">
        <f t="shared" si="0"/>
        <v>0.22327200397812033</v>
      </c>
      <c r="L24" s="68">
        <f t="shared" si="0"/>
        <v>0.23181818181818181</v>
      </c>
    </row>
    <row r="25" spans="1:12" x14ac:dyDescent="0.25">
      <c r="A25" s="48" t="s">
        <v>95</v>
      </c>
      <c r="B25" s="21">
        <v>160000</v>
      </c>
      <c r="C25" s="20">
        <v>156000</v>
      </c>
      <c r="D25" s="20">
        <v>140000</v>
      </c>
      <c r="E25" s="22">
        <v>897</v>
      </c>
      <c r="F25" s="21">
        <v>620000</v>
      </c>
      <c r="G25" s="20">
        <v>603000</v>
      </c>
      <c r="H25" s="20">
        <v>500000</v>
      </c>
      <c r="I25" s="22">
        <v>829</v>
      </c>
      <c r="J25" s="66">
        <f t="shared" si="1"/>
        <v>0.25806451612903225</v>
      </c>
      <c r="K25" s="67">
        <f t="shared" si="0"/>
        <v>0.25870646766169153</v>
      </c>
      <c r="L25" s="68">
        <f t="shared" si="0"/>
        <v>0.28000000000000003</v>
      </c>
    </row>
    <row r="26" spans="1:12" x14ac:dyDescent="0.25">
      <c r="A26" s="48" t="s">
        <v>96</v>
      </c>
      <c r="B26" s="21">
        <v>186000</v>
      </c>
      <c r="C26" s="20">
        <v>185000</v>
      </c>
      <c r="D26" s="20">
        <v>128000</v>
      </c>
      <c r="E26" s="22">
        <v>692</v>
      </c>
      <c r="F26" s="21">
        <v>750000</v>
      </c>
      <c r="G26" s="20">
        <v>688000</v>
      </c>
      <c r="H26" s="20">
        <v>460000</v>
      </c>
      <c r="I26" s="22">
        <v>669</v>
      </c>
      <c r="J26" s="66">
        <f t="shared" si="1"/>
        <v>0.248</v>
      </c>
      <c r="K26" s="67">
        <f t="shared" si="1"/>
        <v>0.26889534883720928</v>
      </c>
      <c r="L26" s="68">
        <f t="shared" si="1"/>
        <v>0.27826086956521739</v>
      </c>
    </row>
    <row r="27" spans="1:12" x14ac:dyDescent="0.25">
      <c r="A27" s="48" t="s">
        <v>97</v>
      </c>
      <c r="B27" s="21">
        <v>152200</v>
      </c>
      <c r="C27" s="20">
        <v>152200</v>
      </c>
      <c r="D27" s="20">
        <v>125300</v>
      </c>
      <c r="E27" s="22">
        <v>823</v>
      </c>
      <c r="F27" s="21">
        <v>758000</v>
      </c>
      <c r="G27" s="20">
        <v>744500</v>
      </c>
      <c r="H27" s="20">
        <v>622000</v>
      </c>
      <c r="I27" s="22">
        <v>835</v>
      </c>
      <c r="J27" s="66">
        <f t="shared" si="1"/>
        <v>0.20079155672823218</v>
      </c>
      <c r="K27" s="67">
        <f t="shared" si="1"/>
        <v>0.20443250503693755</v>
      </c>
      <c r="L27" s="68">
        <f t="shared" si="1"/>
        <v>0.20144694533762059</v>
      </c>
    </row>
    <row r="28" spans="1:12" x14ac:dyDescent="0.25">
      <c r="A28" s="48" t="s">
        <v>98</v>
      </c>
      <c r="B28" s="21">
        <v>146000</v>
      </c>
      <c r="C28" s="20">
        <v>145500</v>
      </c>
      <c r="D28" s="20">
        <v>117800</v>
      </c>
      <c r="E28" s="22">
        <v>810</v>
      </c>
      <c r="F28" s="21">
        <v>670700</v>
      </c>
      <c r="G28" s="20">
        <v>655200</v>
      </c>
      <c r="H28" s="20">
        <v>535000</v>
      </c>
      <c r="I28" s="22">
        <v>817</v>
      </c>
      <c r="J28" s="66">
        <f t="shared" si="1"/>
        <v>0.21768301774265691</v>
      </c>
      <c r="K28" s="67">
        <f t="shared" si="1"/>
        <v>0.22206959706959706</v>
      </c>
      <c r="L28" s="68">
        <f t="shared" si="1"/>
        <v>0.22018691588785047</v>
      </c>
    </row>
    <row r="29" spans="1:12" x14ac:dyDescent="0.25">
      <c r="A29" s="48" t="s">
        <v>99</v>
      </c>
      <c r="B29" s="21">
        <v>63000</v>
      </c>
      <c r="C29" s="20">
        <v>62700</v>
      </c>
      <c r="D29" s="20">
        <v>42000</v>
      </c>
      <c r="E29" s="22">
        <v>670</v>
      </c>
      <c r="F29" s="21">
        <v>574000</v>
      </c>
      <c r="G29" s="20">
        <v>560400</v>
      </c>
      <c r="H29" s="20">
        <v>416000</v>
      </c>
      <c r="I29" s="22">
        <v>742</v>
      </c>
      <c r="J29" s="66">
        <f t="shared" si="1"/>
        <v>0.10975609756097561</v>
      </c>
      <c r="K29" s="67">
        <f t="shared" si="1"/>
        <v>0.11188436830835118</v>
      </c>
      <c r="L29" s="68">
        <f t="shared" si="1"/>
        <v>0.10096153846153846</v>
      </c>
    </row>
    <row r="30" spans="1:12" x14ac:dyDescent="0.25">
      <c r="A30" s="48" t="s">
        <v>100</v>
      </c>
      <c r="B30" s="21">
        <v>68500</v>
      </c>
      <c r="C30" s="20">
        <v>68500</v>
      </c>
      <c r="D30" s="20">
        <v>50200</v>
      </c>
      <c r="E30" s="22">
        <v>733</v>
      </c>
      <c r="F30" s="21">
        <v>595700</v>
      </c>
      <c r="G30" s="20">
        <v>573350</v>
      </c>
      <c r="H30" s="20">
        <v>486800</v>
      </c>
      <c r="I30" s="22">
        <v>849</v>
      </c>
      <c r="J30" s="66">
        <f t="shared" si="1"/>
        <v>0.11499076716468021</v>
      </c>
      <c r="K30" s="67">
        <f t="shared" si="1"/>
        <v>0.11947327112583936</v>
      </c>
      <c r="L30" s="68">
        <f t="shared" si="1"/>
        <v>0.10312243221035333</v>
      </c>
    </row>
    <row r="31" spans="1:12" x14ac:dyDescent="0.25">
      <c r="A31" s="48" t="s">
        <v>101</v>
      </c>
      <c r="B31" s="21">
        <v>63700</v>
      </c>
      <c r="C31" s="20">
        <v>62800</v>
      </c>
      <c r="D31" s="20">
        <v>48700</v>
      </c>
      <c r="E31" s="22">
        <v>775</v>
      </c>
      <c r="F31" s="21">
        <v>589500</v>
      </c>
      <c r="G31" s="20">
        <v>572600</v>
      </c>
      <c r="H31" s="20">
        <v>456800</v>
      </c>
      <c r="I31" s="22">
        <v>798</v>
      </c>
      <c r="J31" s="66">
        <f t="shared" si="1"/>
        <v>0.10805767599660729</v>
      </c>
      <c r="K31" s="67">
        <f t="shared" si="1"/>
        <v>0.10967516590988474</v>
      </c>
      <c r="L31" s="68">
        <f t="shared" si="1"/>
        <v>0.10661120840630472</v>
      </c>
    </row>
    <row r="32" spans="1:12" x14ac:dyDescent="0.25">
      <c r="A32" s="48" t="s">
        <v>102</v>
      </c>
      <c r="B32" s="21">
        <v>51700</v>
      </c>
      <c r="C32" s="20">
        <v>50100</v>
      </c>
      <c r="D32" s="20">
        <v>40900</v>
      </c>
      <c r="E32" s="22">
        <v>816</v>
      </c>
      <c r="F32" s="21">
        <v>431300</v>
      </c>
      <c r="G32" s="20">
        <v>416400</v>
      </c>
      <c r="H32" s="20">
        <v>342900</v>
      </c>
      <c r="I32" s="22">
        <v>823</v>
      </c>
      <c r="J32" s="66">
        <f t="shared" si="1"/>
        <v>0.11987015998145142</v>
      </c>
      <c r="K32" s="67">
        <f t="shared" si="1"/>
        <v>0.12031700288184438</v>
      </c>
      <c r="L32" s="68">
        <f t="shared" si="1"/>
        <v>0.11927675707203267</v>
      </c>
    </row>
    <row r="33" spans="1:12" x14ac:dyDescent="0.25">
      <c r="A33" s="48" t="s">
        <v>103</v>
      </c>
      <c r="B33" s="21">
        <v>33500</v>
      </c>
      <c r="C33" s="20">
        <v>31700</v>
      </c>
      <c r="D33" s="20">
        <v>27400</v>
      </c>
      <c r="E33" s="22">
        <v>864</v>
      </c>
      <c r="F33" s="21">
        <v>215400</v>
      </c>
      <c r="G33" s="20">
        <v>206500</v>
      </c>
      <c r="H33" s="20">
        <v>176500</v>
      </c>
      <c r="I33" s="22">
        <v>855</v>
      </c>
      <c r="J33" s="66">
        <f t="shared" si="1"/>
        <v>0.15552460538532961</v>
      </c>
      <c r="K33" s="67">
        <f t="shared" si="1"/>
        <v>0.15351089588377723</v>
      </c>
      <c r="L33" s="68">
        <f t="shared" si="1"/>
        <v>0.15524079320113315</v>
      </c>
    </row>
    <row r="34" spans="1:12" x14ac:dyDescent="0.25">
      <c r="A34" s="48" t="s">
        <v>104</v>
      </c>
      <c r="B34" s="21">
        <v>12900</v>
      </c>
      <c r="C34" s="20">
        <v>11600</v>
      </c>
      <c r="D34" s="20">
        <v>9000</v>
      </c>
      <c r="E34" s="22">
        <v>776</v>
      </c>
      <c r="F34" s="21">
        <v>148360</v>
      </c>
      <c r="G34" s="20">
        <v>141970</v>
      </c>
      <c r="H34" s="20">
        <v>112560</v>
      </c>
      <c r="I34" s="22">
        <v>793</v>
      </c>
      <c r="J34" s="66">
        <f t="shared" si="1"/>
        <v>8.6950660555405776E-2</v>
      </c>
      <c r="K34" s="67">
        <f t="shared" si="1"/>
        <v>8.1707402972458973E-2</v>
      </c>
      <c r="L34" s="68">
        <f t="shared" si="1"/>
        <v>7.9957356076759065E-2</v>
      </c>
    </row>
    <row r="35" spans="1:12" x14ac:dyDescent="0.25">
      <c r="A35" s="48" t="s">
        <v>105</v>
      </c>
      <c r="B35" s="21">
        <v>8800</v>
      </c>
      <c r="C35" s="20">
        <v>8800</v>
      </c>
      <c r="D35" s="20">
        <v>7515</v>
      </c>
      <c r="E35" s="22">
        <v>854</v>
      </c>
      <c r="F35" s="21">
        <v>156090</v>
      </c>
      <c r="G35" s="20">
        <v>152835</v>
      </c>
      <c r="H35" s="20">
        <v>152182</v>
      </c>
      <c r="I35" s="22">
        <v>996</v>
      </c>
      <c r="J35" s="66">
        <f t="shared" si="1"/>
        <v>5.637773079633545E-2</v>
      </c>
      <c r="K35" s="67">
        <f t="shared" si="1"/>
        <v>5.7578434259168386E-2</v>
      </c>
      <c r="L35" s="68">
        <f t="shared" si="1"/>
        <v>4.9381661431706775E-2</v>
      </c>
    </row>
    <row r="36" spans="1:12" x14ac:dyDescent="0.25">
      <c r="A36" s="48" t="s">
        <v>106</v>
      </c>
      <c r="B36" s="21">
        <v>5000</v>
      </c>
      <c r="C36" s="20">
        <v>4750</v>
      </c>
      <c r="D36" s="20">
        <v>3255</v>
      </c>
      <c r="E36" s="22">
        <v>685</v>
      </c>
      <c r="F36" s="21">
        <v>195580</v>
      </c>
      <c r="G36" s="20">
        <v>192700</v>
      </c>
      <c r="H36" s="20">
        <v>152660</v>
      </c>
      <c r="I36" s="22">
        <v>792</v>
      </c>
      <c r="J36" s="66">
        <f t="shared" si="1"/>
        <v>2.5564986194907456E-2</v>
      </c>
      <c r="K36" s="67">
        <f t="shared" si="1"/>
        <v>2.4649714582252204E-2</v>
      </c>
      <c r="L36" s="68">
        <f t="shared" si="1"/>
        <v>2.1321891785667495E-2</v>
      </c>
    </row>
    <row r="37" spans="1:12" x14ac:dyDescent="0.25">
      <c r="A37" s="48" t="s">
        <v>23</v>
      </c>
      <c r="B37" s="21">
        <v>2100</v>
      </c>
      <c r="C37" s="20">
        <v>1750</v>
      </c>
      <c r="D37" s="20">
        <v>1245</v>
      </c>
      <c r="E37" s="22">
        <v>711</v>
      </c>
      <c r="F37" s="21">
        <v>93530</v>
      </c>
      <c r="G37" s="20">
        <v>88740</v>
      </c>
      <c r="H37" s="20">
        <v>71707</v>
      </c>
      <c r="I37" s="22">
        <v>808</v>
      </c>
      <c r="J37" s="66">
        <f t="shared" si="1"/>
        <v>2.2452688976798887E-2</v>
      </c>
      <c r="K37" s="67">
        <f t="shared" si="1"/>
        <v>1.9720531890917287E-2</v>
      </c>
      <c r="L37" s="68">
        <f t="shared" si="1"/>
        <v>1.7362321670129834E-2</v>
      </c>
    </row>
    <row r="38" spans="1:12" x14ac:dyDescent="0.25">
      <c r="A38" s="48" t="s">
        <v>24</v>
      </c>
      <c r="B38" s="21">
        <v>3400</v>
      </c>
      <c r="C38" s="20">
        <v>3100</v>
      </c>
      <c r="D38" s="20">
        <v>2140</v>
      </c>
      <c r="E38" s="22">
        <v>690</v>
      </c>
      <c r="F38" s="21">
        <v>115530</v>
      </c>
      <c r="G38" s="20">
        <v>107075</v>
      </c>
      <c r="H38" s="20">
        <v>75148</v>
      </c>
      <c r="I38" s="22">
        <v>702</v>
      </c>
      <c r="J38" s="66">
        <f t="shared" si="1"/>
        <v>2.9429585389076432E-2</v>
      </c>
      <c r="K38" s="67">
        <f t="shared" si="1"/>
        <v>2.8951669390614054E-2</v>
      </c>
      <c r="L38" s="68">
        <f t="shared" si="1"/>
        <v>2.847713844679832E-2</v>
      </c>
    </row>
    <row r="39" spans="1:12" x14ac:dyDescent="0.25">
      <c r="A39" s="48" t="s">
        <v>25</v>
      </c>
      <c r="B39" s="21">
        <v>2450</v>
      </c>
      <c r="C39" s="20">
        <v>2450</v>
      </c>
      <c r="D39" s="20">
        <v>2229</v>
      </c>
      <c r="E39" s="22">
        <v>910</v>
      </c>
      <c r="F39" s="21">
        <v>102165</v>
      </c>
      <c r="G39" s="20">
        <v>101545</v>
      </c>
      <c r="H39" s="20">
        <v>85673</v>
      </c>
      <c r="I39" s="22">
        <v>844</v>
      </c>
      <c r="J39" s="66">
        <f t="shared" si="1"/>
        <v>2.3980815347721823E-2</v>
      </c>
      <c r="K39" s="67">
        <f t="shared" si="1"/>
        <v>2.4127234231129058E-2</v>
      </c>
      <c r="L39" s="68">
        <f t="shared" si="1"/>
        <v>2.6017531777806309E-2</v>
      </c>
    </row>
    <row r="40" spans="1:12" x14ac:dyDescent="0.25">
      <c r="A40" s="48" t="s">
        <v>26</v>
      </c>
      <c r="B40" s="21">
        <v>3400</v>
      </c>
      <c r="C40" s="20">
        <v>3400</v>
      </c>
      <c r="D40" s="20">
        <v>2885</v>
      </c>
      <c r="E40" s="22">
        <v>849</v>
      </c>
      <c r="F40" s="21">
        <v>68330</v>
      </c>
      <c r="G40" s="20">
        <v>67875</v>
      </c>
      <c r="H40" s="20">
        <v>46917</v>
      </c>
      <c r="I40" s="22">
        <v>691</v>
      </c>
      <c r="J40" s="66">
        <f t="shared" si="1"/>
        <v>4.9758524806088104E-2</v>
      </c>
      <c r="K40" s="67">
        <f t="shared" si="1"/>
        <v>5.009208103130755E-2</v>
      </c>
      <c r="L40" s="68">
        <f t="shared" si="1"/>
        <v>6.1491570219749769E-2</v>
      </c>
    </row>
    <row r="41" spans="1:12" x14ac:dyDescent="0.25">
      <c r="A41" s="48" t="s">
        <v>27</v>
      </c>
      <c r="B41" s="21">
        <v>2250</v>
      </c>
      <c r="C41" s="20">
        <v>2250</v>
      </c>
      <c r="D41" s="20">
        <v>2000</v>
      </c>
      <c r="E41" s="22">
        <v>889</v>
      </c>
      <c r="F41" s="21">
        <v>28250</v>
      </c>
      <c r="G41" s="20">
        <v>28135</v>
      </c>
      <c r="H41" s="20">
        <v>22300</v>
      </c>
      <c r="I41" s="22">
        <v>793</v>
      </c>
      <c r="J41" s="66">
        <f t="shared" si="1"/>
        <v>7.9646017699115043E-2</v>
      </c>
      <c r="K41" s="67">
        <f t="shared" si="1"/>
        <v>7.9971565665541144E-2</v>
      </c>
      <c r="L41" s="68">
        <f t="shared" si="1"/>
        <v>8.9686098654708515E-2</v>
      </c>
    </row>
    <row r="42" spans="1:12" x14ac:dyDescent="0.25">
      <c r="A42" s="48" t="s">
        <v>28</v>
      </c>
      <c r="B42" s="21">
        <v>300</v>
      </c>
      <c r="C42" s="20">
        <v>300</v>
      </c>
      <c r="D42" s="20">
        <v>200</v>
      </c>
      <c r="E42" s="22">
        <v>667</v>
      </c>
      <c r="F42" s="21">
        <v>19900</v>
      </c>
      <c r="G42" s="20">
        <v>19540</v>
      </c>
      <c r="H42" s="20">
        <v>15500</v>
      </c>
      <c r="I42" s="22">
        <v>793</v>
      </c>
      <c r="J42" s="66">
        <f t="shared" si="1"/>
        <v>1.507537688442211E-2</v>
      </c>
      <c r="K42" s="67">
        <f t="shared" si="1"/>
        <v>1.5353121801432957E-2</v>
      </c>
      <c r="L42" s="68">
        <f t="shared" si="1"/>
        <v>1.2903225806451613E-2</v>
      </c>
    </row>
    <row r="43" spans="1:12" x14ac:dyDescent="0.25">
      <c r="A43" s="48" t="s">
        <v>29</v>
      </c>
      <c r="B43" s="21">
        <v>150</v>
      </c>
      <c r="C43" s="20">
        <v>150</v>
      </c>
      <c r="D43" s="20">
        <v>200</v>
      </c>
      <c r="E43" s="22">
        <v>1333</v>
      </c>
      <c r="F43" s="21">
        <v>13800</v>
      </c>
      <c r="G43" s="20">
        <v>13800</v>
      </c>
      <c r="H43" s="20">
        <v>11250</v>
      </c>
      <c r="I43" s="22">
        <v>815</v>
      </c>
      <c r="J43" s="66">
        <f t="shared" si="1"/>
        <v>1.0869565217391304E-2</v>
      </c>
      <c r="K43" s="67">
        <f t="shared" si="1"/>
        <v>1.0869565217391304E-2</v>
      </c>
      <c r="L43" s="68">
        <f t="shared" si="1"/>
        <v>1.7777777777777778E-2</v>
      </c>
    </row>
    <row r="44" spans="1:12" x14ac:dyDescent="0.25">
      <c r="A44" s="48" t="s">
        <v>30</v>
      </c>
      <c r="B44" s="21">
        <v>300</v>
      </c>
      <c r="C44" s="20">
        <v>260</v>
      </c>
      <c r="D44" s="20">
        <v>200</v>
      </c>
      <c r="E44" s="22">
        <v>769</v>
      </c>
      <c r="F44" s="21">
        <v>28840</v>
      </c>
      <c r="G44" s="20">
        <v>28800</v>
      </c>
      <c r="H44" s="20">
        <v>29280</v>
      </c>
      <c r="I44" s="22">
        <v>1017</v>
      </c>
      <c r="J44" s="66">
        <f t="shared" si="1"/>
        <v>1.0402219140083218E-2</v>
      </c>
      <c r="K44" s="67">
        <f t="shared" si="1"/>
        <v>9.0277777777777769E-3</v>
      </c>
      <c r="L44" s="68">
        <f t="shared" si="1"/>
        <v>6.8306010928961746E-3</v>
      </c>
    </row>
    <row r="45" spans="1:12" x14ac:dyDescent="0.25">
      <c r="A45" s="48" t="s">
        <v>31</v>
      </c>
      <c r="B45" s="21">
        <v>200</v>
      </c>
      <c r="C45" s="20">
        <v>200</v>
      </c>
      <c r="D45" s="20">
        <v>200</v>
      </c>
      <c r="E45" s="22">
        <v>1000</v>
      </c>
      <c r="F45" s="21">
        <v>37180</v>
      </c>
      <c r="G45" s="20">
        <v>37180</v>
      </c>
      <c r="H45" s="20">
        <v>36100</v>
      </c>
      <c r="I45" s="22">
        <v>971</v>
      </c>
      <c r="J45" s="66">
        <f t="shared" si="1"/>
        <v>5.3792361484669175E-3</v>
      </c>
      <c r="K45" s="67">
        <f t="shared" si="1"/>
        <v>5.3792361484669175E-3</v>
      </c>
      <c r="L45" s="68">
        <f t="shared" si="1"/>
        <v>5.5401662049861496E-3</v>
      </c>
    </row>
    <row r="46" spans="1:12" x14ac:dyDescent="0.25">
      <c r="A46" s="48" t="s">
        <v>32</v>
      </c>
      <c r="B46" s="21">
        <v>2650</v>
      </c>
      <c r="C46" s="20">
        <v>2650</v>
      </c>
      <c r="D46" s="20">
        <v>2740</v>
      </c>
      <c r="E46" s="22">
        <v>1034</v>
      </c>
      <c r="F46" s="21">
        <v>47040</v>
      </c>
      <c r="G46" s="20">
        <v>46690</v>
      </c>
      <c r="H46" s="20">
        <v>53780</v>
      </c>
      <c r="I46" s="22">
        <v>1152</v>
      </c>
      <c r="J46" s="66">
        <f t="shared" si="1"/>
        <v>5.6335034013605442E-2</v>
      </c>
      <c r="K46" s="67">
        <f t="shared" si="1"/>
        <v>5.675733561790533E-2</v>
      </c>
      <c r="L46" s="68">
        <f t="shared" si="1"/>
        <v>5.0948307921160285E-2</v>
      </c>
    </row>
    <row r="47" spans="1:12" x14ac:dyDescent="0.25">
      <c r="A47" s="48" t="s">
        <v>33</v>
      </c>
      <c r="B47" s="21">
        <v>1320</v>
      </c>
      <c r="C47" s="20">
        <v>1320</v>
      </c>
      <c r="D47" s="20">
        <v>1185</v>
      </c>
      <c r="E47" s="22">
        <v>898</v>
      </c>
      <c r="F47" s="21">
        <v>29130</v>
      </c>
      <c r="G47" s="20">
        <v>28400</v>
      </c>
      <c r="H47" s="20">
        <v>34065</v>
      </c>
      <c r="I47" s="22">
        <v>1199</v>
      </c>
      <c r="J47" s="66">
        <f t="shared" si="1"/>
        <v>4.5314109165808442E-2</v>
      </c>
      <c r="K47" s="67">
        <f t="shared" si="1"/>
        <v>4.647887323943662E-2</v>
      </c>
      <c r="L47" s="68">
        <f t="shared" si="1"/>
        <v>3.4786437692646409E-2</v>
      </c>
    </row>
    <row r="48" spans="1:12" x14ac:dyDescent="0.25">
      <c r="A48" s="48" t="s">
        <v>34</v>
      </c>
      <c r="B48" s="21">
        <v>300</v>
      </c>
      <c r="C48" s="20">
        <v>300</v>
      </c>
      <c r="D48" s="20">
        <v>260</v>
      </c>
      <c r="E48" s="22">
        <v>867</v>
      </c>
      <c r="F48" s="21">
        <v>9450</v>
      </c>
      <c r="G48" s="20">
        <v>9450</v>
      </c>
      <c r="H48" s="20">
        <v>9564</v>
      </c>
      <c r="I48" s="22">
        <v>1012</v>
      </c>
      <c r="J48" s="66">
        <f t="shared" si="1"/>
        <v>3.1746031746031744E-2</v>
      </c>
      <c r="K48" s="67">
        <f t="shared" si="1"/>
        <v>3.1746031746031744E-2</v>
      </c>
      <c r="L48" s="68">
        <f t="shared" si="1"/>
        <v>2.7185278126306986E-2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17400</v>
      </c>
      <c r="G49" s="20">
        <v>17370</v>
      </c>
      <c r="H49" s="20">
        <v>19505</v>
      </c>
      <c r="I49" s="22">
        <v>1123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>
        <v>200</v>
      </c>
      <c r="C50" s="20">
        <v>120</v>
      </c>
      <c r="D50" s="20">
        <v>54</v>
      </c>
      <c r="E50" s="22">
        <v>450</v>
      </c>
      <c r="F50" s="21">
        <v>38500</v>
      </c>
      <c r="G50" s="20">
        <v>37960</v>
      </c>
      <c r="H50" s="20">
        <v>52075</v>
      </c>
      <c r="I50" s="22">
        <v>1372</v>
      </c>
      <c r="J50" s="66">
        <f t="shared" si="1"/>
        <v>5.1948051948051948E-3</v>
      </c>
      <c r="K50" s="67">
        <f t="shared" si="1"/>
        <v>3.1612223393045311E-3</v>
      </c>
      <c r="L50" s="68">
        <f t="shared" si="1"/>
        <v>1.0369659145463275E-3</v>
      </c>
    </row>
    <row r="51" spans="1:12" x14ac:dyDescent="0.25">
      <c r="A51" s="48" t="s">
        <v>37</v>
      </c>
      <c r="B51" s="21">
        <v>550</v>
      </c>
      <c r="C51" s="20">
        <v>400</v>
      </c>
      <c r="D51" s="20">
        <v>380</v>
      </c>
      <c r="E51" s="22">
        <v>950</v>
      </c>
      <c r="F51" s="21">
        <v>25750</v>
      </c>
      <c r="G51" s="20">
        <v>25600</v>
      </c>
      <c r="H51" s="20">
        <v>32170</v>
      </c>
      <c r="I51" s="22">
        <v>1257</v>
      </c>
      <c r="J51" s="66">
        <f t="shared" si="1"/>
        <v>2.1359223300970873E-2</v>
      </c>
      <c r="K51" s="67">
        <f t="shared" si="1"/>
        <v>1.5625E-2</v>
      </c>
      <c r="L51" s="68">
        <f t="shared" si="1"/>
        <v>1.1812247435498913E-2</v>
      </c>
    </row>
    <row r="52" spans="1:12" x14ac:dyDescent="0.25">
      <c r="A52" s="48" t="s">
        <v>38</v>
      </c>
      <c r="B52" s="21">
        <v>30</v>
      </c>
      <c r="C52" s="20">
        <v>30</v>
      </c>
      <c r="D52" s="20">
        <v>20</v>
      </c>
      <c r="E52" s="22">
        <v>667</v>
      </c>
      <c r="F52" s="21">
        <v>16630</v>
      </c>
      <c r="G52" s="20">
        <v>16630</v>
      </c>
      <c r="H52" s="20">
        <v>21390</v>
      </c>
      <c r="I52" s="22">
        <v>1286</v>
      </c>
      <c r="J52" s="66">
        <f t="shared" si="1"/>
        <v>1.8039687312086591E-3</v>
      </c>
      <c r="K52" s="67">
        <f t="shared" si="1"/>
        <v>1.8039687312086591E-3</v>
      </c>
      <c r="L52" s="68">
        <f t="shared" si="1"/>
        <v>9.3501636278634881E-4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14600</v>
      </c>
      <c r="G53" s="20">
        <v>14600</v>
      </c>
      <c r="H53" s="20">
        <v>17070</v>
      </c>
      <c r="I53" s="22">
        <v>1169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18200</v>
      </c>
      <c r="G54" s="20">
        <v>17900</v>
      </c>
      <c r="H54" s="20">
        <v>20430</v>
      </c>
      <c r="I54" s="22">
        <v>1141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15100</v>
      </c>
      <c r="G55" s="20">
        <v>14700</v>
      </c>
      <c r="H55" s="20">
        <v>17255</v>
      </c>
      <c r="I55" s="22">
        <v>1174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17000</v>
      </c>
      <c r="G56" s="20">
        <v>17000</v>
      </c>
      <c r="H56" s="20">
        <v>20085</v>
      </c>
      <c r="I56" s="22">
        <v>1181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13000</v>
      </c>
      <c r="G57" s="20">
        <v>13000</v>
      </c>
      <c r="H57" s="20">
        <v>16610</v>
      </c>
      <c r="I57" s="22">
        <v>1278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12400</v>
      </c>
      <c r="G58" s="20">
        <v>12400</v>
      </c>
      <c r="H58" s="20">
        <v>13575</v>
      </c>
      <c r="I58" s="22">
        <v>1095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14246</v>
      </c>
      <c r="G59" s="20">
        <v>14246</v>
      </c>
      <c r="H59" s="20">
        <v>19515</v>
      </c>
      <c r="I59" s="22">
        <v>1370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9046</v>
      </c>
      <c r="G60" s="20">
        <v>9046</v>
      </c>
      <c r="H60" s="20">
        <v>9950</v>
      </c>
      <c r="I60" s="22">
        <v>1100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>
        <v>14246</v>
      </c>
      <c r="G61" s="20">
        <v>14246</v>
      </c>
      <c r="H61" s="20">
        <v>19515</v>
      </c>
      <c r="I61" s="22">
        <v>1370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>
        <v>28</v>
      </c>
      <c r="C62" s="20">
        <v>28</v>
      </c>
      <c r="D62" s="20">
        <v>56</v>
      </c>
      <c r="E62" s="22">
        <v>2000</v>
      </c>
      <c r="F62" s="21">
        <v>11061</v>
      </c>
      <c r="G62" s="20">
        <v>11061</v>
      </c>
      <c r="H62" s="20">
        <v>12358</v>
      </c>
      <c r="I62" s="22">
        <v>1117</v>
      </c>
      <c r="J62" s="66">
        <f t="shared" si="1"/>
        <v>2.5314166892686013E-3</v>
      </c>
      <c r="K62" s="67">
        <f t="shared" si="1"/>
        <v>2.5314166892686013E-3</v>
      </c>
      <c r="L62" s="68">
        <f t="shared" si="1"/>
        <v>4.5314775853698011E-3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17145</v>
      </c>
      <c r="G63" s="20">
        <v>17144</v>
      </c>
      <c r="H63" s="20">
        <v>30498</v>
      </c>
      <c r="I63" s="22">
        <v>1779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>
        <v>22455</v>
      </c>
      <c r="G64" s="20">
        <v>22455</v>
      </c>
      <c r="H64" s="20">
        <v>24998</v>
      </c>
      <c r="I64" s="22">
        <v>1113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>
        <v>8935</v>
      </c>
      <c r="G65" s="20">
        <v>8935</v>
      </c>
      <c r="H65" s="20">
        <v>8777</v>
      </c>
      <c r="I65" s="22">
        <v>982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>
        <v>9298</v>
      </c>
      <c r="G66" s="20">
        <v>9298</v>
      </c>
      <c r="H66" s="20">
        <v>10382</v>
      </c>
      <c r="I66" s="22">
        <v>1117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57A69566-04D2-40A4-9397-6F205F430A1C}"/>
  </hyperlinks>
  <pageMargins left="0.7" right="0.7" top="0.75" bottom="0.75" header="0.3" footer="0.3"/>
  <pageSetup paperSize="9" fitToWidth="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6668-057D-4A1F-B569-3A10DEA36750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74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 t="e"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5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 t="e">
        <v>#N/A</v>
      </c>
      <c r="G19" s="20" t="e">
        <v>#N/A</v>
      </c>
      <c r="H19" s="20" t="e">
        <v>#N/A</v>
      </c>
      <c r="I19" s="22" t="e">
        <v>#N/A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 t="e">
        <v>#N/A</v>
      </c>
      <c r="G20" s="20" t="e">
        <v>#N/A</v>
      </c>
      <c r="H20" s="20" t="e">
        <v>#N/A</v>
      </c>
      <c r="I20" s="22" t="e">
        <v>#N/A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 t="e">
        <v>#N/A</v>
      </c>
      <c r="G21" s="20" t="e">
        <v>#N/A</v>
      </c>
      <c r="H21" s="20" t="e">
        <v>#N/A</v>
      </c>
      <c r="I21" s="22" t="e">
        <v>#N/A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 t="e">
        <v>#N/A</v>
      </c>
      <c r="G33" s="20" t="e">
        <v>#N/A</v>
      </c>
      <c r="H33" s="20" t="e">
        <v>#N/A</v>
      </c>
      <c r="I33" s="22" t="e">
        <v>#N/A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 t="e">
        <v>#N/A</v>
      </c>
      <c r="G34" s="20" t="e">
        <v>#N/A</v>
      </c>
      <c r="H34" s="20" t="e">
        <v>#N/A</v>
      </c>
      <c r="I34" s="22" t="e">
        <v>#N/A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 t="e">
        <v>#N/A</v>
      </c>
      <c r="G35" s="20" t="e">
        <v>#N/A</v>
      </c>
      <c r="H35" s="20" t="e">
        <v>#N/A</v>
      </c>
      <c r="I35" s="22" t="e">
        <v>#N/A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 t="e">
        <v>#N/A</v>
      </c>
      <c r="G36" s="20" t="e">
        <v>#N/A</v>
      </c>
      <c r="H36" s="20" t="e">
        <v>#N/A</v>
      </c>
      <c r="I36" s="22" t="e">
        <v>#N/A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>
        <v>2174050</v>
      </c>
      <c r="C41" s="20">
        <v>2144550</v>
      </c>
      <c r="D41" s="20">
        <v>6388353</v>
      </c>
      <c r="E41" s="22">
        <v>2979</v>
      </c>
      <c r="F41" s="21">
        <v>7847100</v>
      </c>
      <c r="G41" s="20">
        <v>7625410</v>
      </c>
      <c r="H41" s="20">
        <v>20432712</v>
      </c>
      <c r="I41" s="22">
        <v>2680</v>
      </c>
      <c r="J41" s="66">
        <f t="shared" si="1"/>
        <v>0.27705139478278601</v>
      </c>
      <c r="K41" s="67">
        <f t="shared" si="1"/>
        <v>0.28123733674648316</v>
      </c>
      <c r="L41" s="68">
        <f t="shared" si="1"/>
        <v>0.31265321020528258</v>
      </c>
    </row>
    <row r="42" spans="1:12" x14ac:dyDescent="0.25">
      <c r="A42" s="48" t="s">
        <v>28</v>
      </c>
      <c r="B42" s="21">
        <v>2232400</v>
      </c>
      <c r="C42" s="20">
        <v>2183900</v>
      </c>
      <c r="D42" s="20">
        <v>6212299</v>
      </c>
      <c r="E42" s="22">
        <v>2845</v>
      </c>
      <c r="F42" s="21">
        <v>8340713</v>
      </c>
      <c r="G42" s="20">
        <v>8155418</v>
      </c>
      <c r="H42" s="20">
        <v>22788747</v>
      </c>
      <c r="I42" s="22">
        <v>2794</v>
      </c>
      <c r="J42" s="66">
        <f t="shared" si="1"/>
        <v>0.26765097899903761</v>
      </c>
      <c r="K42" s="67">
        <f t="shared" si="1"/>
        <v>0.26778517054551954</v>
      </c>
      <c r="L42" s="68">
        <f t="shared" si="1"/>
        <v>0.27260379870819573</v>
      </c>
    </row>
    <row r="43" spans="1:12" x14ac:dyDescent="0.25">
      <c r="A43" s="48" t="s">
        <v>29</v>
      </c>
      <c r="B43" s="21">
        <v>2577000</v>
      </c>
      <c r="C43" s="20">
        <v>2525000</v>
      </c>
      <c r="D43" s="20">
        <v>8181050</v>
      </c>
      <c r="E43" s="22">
        <v>3240</v>
      </c>
      <c r="F43" s="21">
        <v>9735119</v>
      </c>
      <c r="G43" s="20">
        <v>9582917</v>
      </c>
      <c r="H43" s="20">
        <v>27568822</v>
      </c>
      <c r="I43" s="22">
        <v>2877</v>
      </c>
      <c r="J43" s="66">
        <f t="shared" si="1"/>
        <v>0.26471171025233486</v>
      </c>
      <c r="K43" s="67">
        <f t="shared" si="1"/>
        <v>0.26348970777895708</v>
      </c>
      <c r="L43" s="68">
        <f t="shared" si="1"/>
        <v>0.29675007513922791</v>
      </c>
    </row>
    <row r="44" spans="1:12" x14ac:dyDescent="0.25">
      <c r="A44" s="48" t="s">
        <v>30</v>
      </c>
      <c r="B44" s="21">
        <v>2932200</v>
      </c>
      <c r="C44" s="20">
        <v>2924700</v>
      </c>
      <c r="D44" s="20">
        <v>8008481</v>
      </c>
      <c r="E44" s="22">
        <v>2738</v>
      </c>
      <c r="F44" s="21">
        <v>11434085</v>
      </c>
      <c r="G44" s="20">
        <v>11330939</v>
      </c>
      <c r="H44" s="20">
        <v>26655728</v>
      </c>
      <c r="I44" s="22">
        <v>2352</v>
      </c>
      <c r="J44" s="66">
        <f t="shared" si="1"/>
        <v>0.25644378190296818</v>
      </c>
      <c r="K44" s="67">
        <f t="shared" si="1"/>
        <v>0.25811629556914922</v>
      </c>
      <c r="L44" s="68">
        <f t="shared" si="1"/>
        <v>0.30044127851244579</v>
      </c>
    </row>
    <row r="45" spans="1:12" x14ac:dyDescent="0.25">
      <c r="A45" s="48" t="s">
        <v>31</v>
      </c>
      <c r="B45" s="21">
        <v>2856300</v>
      </c>
      <c r="C45" s="20">
        <v>2831355</v>
      </c>
      <c r="D45" s="20">
        <v>8902068</v>
      </c>
      <c r="E45" s="22">
        <v>3144</v>
      </c>
      <c r="F45" s="21">
        <v>11098598</v>
      </c>
      <c r="G45" s="20">
        <v>10854198</v>
      </c>
      <c r="H45" s="20">
        <v>31163756</v>
      </c>
      <c r="I45" s="22">
        <v>2871</v>
      </c>
      <c r="J45" s="66">
        <f t="shared" si="1"/>
        <v>0.25735683011493882</v>
      </c>
      <c r="K45" s="67">
        <f t="shared" si="1"/>
        <v>0.2608534504345692</v>
      </c>
      <c r="L45" s="68">
        <f t="shared" si="1"/>
        <v>0.28565452765064647</v>
      </c>
    </row>
    <row r="46" spans="1:12" x14ac:dyDescent="0.25">
      <c r="A46" s="48" t="s">
        <v>32</v>
      </c>
      <c r="B46" s="21">
        <v>2970600</v>
      </c>
      <c r="C46" s="20">
        <v>2950492</v>
      </c>
      <c r="D46" s="20">
        <v>8891380</v>
      </c>
      <c r="E46" s="22">
        <v>3014</v>
      </c>
      <c r="F46" s="21">
        <v>12292497</v>
      </c>
      <c r="G46" s="20">
        <v>12107278</v>
      </c>
      <c r="H46" s="20">
        <v>33776020</v>
      </c>
      <c r="I46" s="22">
        <v>2790</v>
      </c>
      <c r="J46" s="66">
        <f t="shared" si="1"/>
        <v>0.24165960748251555</v>
      </c>
      <c r="K46" s="67">
        <f t="shared" si="1"/>
        <v>0.2436957340865552</v>
      </c>
      <c r="L46" s="68">
        <f t="shared" si="1"/>
        <v>0.26324534388598775</v>
      </c>
    </row>
    <row r="47" spans="1:12" x14ac:dyDescent="0.25">
      <c r="A47" s="48" t="s">
        <v>33</v>
      </c>
      <c r="B47" s="21">
        <v>2847950</v>
      </c>
      <c r="C47" s="20">
        <v>2817155</v>
      </c>
      <c r="D47" s="20">
        <v>9571015</v>
      </c>
      <c r="E47" s="22">
        <v>3397</v>
      </c>
      <c r="F47" s="21">
        <v>12662397</v>
      </c>
      <c r="G47" s="20">
        <v>12554627</v>
      </c>
      <c r="H47" s="20">
        <v>38699118</v>
      </c>
      <c r="I47" s="22">
        <v>3082</v>
      </c>
      <c r="J47" s="66">
        <f t="shared" si="1"/>
        <v>0.22491397165955229</v>
      </c>
      <c r="K47" s="67">
        <f t="shared" si="1"/>
        <v>0.22439177205344293</v>
      </c>
      <c r="L47" s="68">
        <f t="shared" si="1"/>
        <v>0.24731868566100138</v>
      </c>
    </row>
    <row r="48" spans="1:12" x14ac:dyDescent="0.25">
      <c r="A48" s="48" t="s">
        <v>34</v>
      </c>
      <c r="B48" s="21">
        <v>2728850</v>
      </c>
      <c r="C48" s="20">
        <v>2679776</v>
      </c>
      <c r="D48" s="20">
        <v>9739292</v>
      </c>
      <c r="E48" s="22">
        <v>3634</v>
      </c>
      <c r="F48" s="21">
        <v>12788351</v>
      </c>
      <c r="G48" s="20">
        <v>12650487</v>
      </c>
      <c r="H48" s="20">
        <v>38386540</v>
      </c>
      <c r="I48" s="22">
        <v>3034</v>
      </c>
      <c r="J48" s="66">
        <f t="shared" si="1"/>
        <v>0.2133856038202267</v>
      </c>
      <c r="K48" s="67">
        <f t="shared" si="1"/>
        <v>0.21183184489261164</v>
      </c>
      <c r="L48" s="68">
        <f t="shared" si="1"/>
        <v>0.25371632869229682</v>
      </c>
    </row>
    <row r="49" spans="1:12" x14ac:dyDescent="0.25">
      <c r="A49" s="48" t="s">
        <v>35</v>
      </c>
      <c r="B49" s="21">
        <v>3086733</v>
      </c>
      <c r="C49" s="20">
        <v>3025433</v>
      </c>
      <c r="D49" s="20">
        <v>7472801</v>
      </c>
      <c r="E49" s="22">
        <v>2470</v>
      </c>
      <c r="F49" s="21">
        <v>15069766</v>
      </c>
      <c r="G49" s="20">
        <v>14015546</v>
      </c>
      <c r="H49" s="20">
        <v>27270981</v>
      </c>
      <c r="I49" s="22">
        <v>1946</v>
      </c>
      <c r="J49" s="66">
        <f t="shared" si="1"/>
        <v>0.20482952422751621</v>
      </c>
      <c r="K49" s="67">
        <f t="shared" si="1"/>
        <v>0.21586265708093</v>
      </c>
      <c r="L49" s="68">
        <f t="shared" si="1"/>
        <v>0.2740202488498672</v>
      </c>
    </row>
    <row r="50" spans="1:12" x14ac:dyDescent="0.25">
      <c r="A50" s="48" t="s">
        <v>36</v>
      </c>
      <c r="B50" s="21">
        <v>3200359</v>
      </c>
      <c r="C50" s="20">
        <v>3198059</v>
      </c>
      <c r="D50" s="20">
        <v>11215080</v>
      </c>
      <c r="E50" s="22">
        <v>3507</v>
      </c>
      <c r="F50" s="21">
        <v>16245988</v>
      </c>
      <c r="G50" s="20">
        <v>16087769</v>
      </c>
      <c r="H50" s="20">
        <v>48430294</v>
      </c>
      <c r="I50" s="22">
        <v>3010</v>
      </c>
      <c r="J50" s="66">
        <f t="shared" si="1"/>
        <v>0.19699380548600676</v>
      </c>
      <c r="K50" s="67">
        <f t="shared" si="1"/>
        <v>0.19878822228240597</v>
      </c>
      <c r="L50" s="68">
        <f t="shared" si="1"/>
        <v>0.23157158616464316</v>
      </c>
    </row>
    <row r="51" spans="1:12" x14ac:dyDescent="0.25">
      <c r="A51" s="48" t="s">
        <v>37</v>
      </c>
      <c r="B51" s="21">
        <v>2630800</v>
      </c>
      <c r="C51" s="20">
        <v>2624800</v>
      </c>
      <c r="D51" s="20">
        <v>8880786</v>
      </c>
      <c r="E51" s="22">
        <v>3383</v>
      </c>
      <c r="F51" s="21">
        <v>15953404</v>
      </c>
      <c r="G51" s="20">
        <v>15839659</v>
      </c>
      <c r="H51" s="20">
        <v>43313020</v>
      </c>
      <c r="I51" s="22">
        <v>2734</v>
      </c>
      <c r="J51" s="66">
        <f t="shared" si="1"/>
        <v>0.16490524530062675</v>
      </c>
      <c r="K51" s="67">
        <f t="shared" si="1"/>
        <v>0.16571063808886291</v>
      </c>
      <c r="L51" s="68">
        <f t="shared" si="1"/>
        <v>0.20503733057634863</v>
      </c>
    </row>
    <row r="52" spans="1:12" x14ac:dyDescent="0.25">
      <c r="A52" s="48" t="s">
        <v>38</v>
      </c>
      <c r="B52" s="21">
        <v>2657600</v>
      </c>
      <c r="C52" s="20">
        <v>2589200</v>
      </c>
      <c r="D52" s="20">
        <v>7388758</v>
      </c>
      <c r="E52" s="22">
        <v>2854</v>
      </c>
      <c r="F52" s="21">
        <v>15347132</v>
      </c>
      <c r="G52" s="20">
        <v>14559116</v>
      </c>
      <c r="H52" s="20">
        <v>35266380</v>
      </c>
      <c r="I52" s="22">
        <v>2422</v>
      </c>
      <c r="J52" s="66">
        <f t="shared" si="1"/>
        <v>0.173165904873953</v>
      </c>
      <c r="K52" s="67">
        <f t="shared" si="1"/>
        <v>0.17784046778664309</v>
      </c>
      <c r="L52" s="68">
        <f t="shared" si="1"/>
        <v>0.20951279944241513</v>
      </c>
    </row>
    <row r="53" spans="1:12" x14ac:dyDescent="0.25">
      <c r="A53" s="48" t="s">
        <v>39</v>
      </c>
      <c r="B53" s="21">
        <v>2534070</v>
      </c>
      <c r="C53" s="20">
        <v>2532570</v>
      </c>
      <c r="D53" s="20">
        <v>8977336</v>
      </c>
      <c r="E53" s="22">
        <v>3545</v>
      </c>
      <c r="F53" s="21">
        <v>16456165</v>
      </c>
      <c r="G53" s="20">
        <v>15964173</v>
      </c>
      <c r="H53" s="20">
        <v>43084734</v>
      </c>
      <c r="I53" s="22">
        <v>2699</v>
      </c>
      <c r="J53" s="66">
        <f t="shared" si="1"/>
        <v>0.15398909770289737</v>
      </c>
      <c r="K53" s="67">
        <f t="shared" si="1"/>
        <v>0.15864085161191877</v>
      </c>
      <c r="L53" s="68">
        <f t="shared" si="1"/>
        <v>0.20836466113496255</v>
      </c>
    </row>
    <row r="54" spans="1:12" x14ac:dyDescent="0.25">
      <c r="A54" s="48" t="s">
        <v>40</v>
      </c>
      <c r="B54" s="21">
        <v>2558754</v>
      </c>
      <c r="C54" s="20">
        <v>2525554</v>
      </c>
      <c r="D54" s="20">
        <v>7916597</v>
      </c>
      <c r="E54" s="22">
        <v>3135</v>
      </c>
      <c r="F54" s="21">
        <v>16564390</v>
      </c>
      <c r="G54" s="20">
        <v>16218538</v>
      </c>
      <c r="H54" s="20">
        <v>46310717</v>
      </c>
      <c r="I54" s="22">
        <v>2855</v>
      </c>
      <c r="J54" s="66">
        <f t="shared" si="1"/>
        <v>0.15447318011710665</v>
      </c>
      <c r="K54" s="67">
        <f t="shared" si="1"/>
        <v>0.15572020116733087</v>
      </c>
      <c r="L54" s="68">
        <f t="shared" si="1"/>
        <v>0.17094524794336483</v>
      </c>
    </row>
    <row r="55" spans="1:12" x14ac:dyDescent="0.25">
      <c r="A55" s="48" t="s">
        <v>41</v>
      </c>
      <c r="B55" s="21">
        <v>2424630</v>
      </c>
      <c r="C55" s="20">
        <v>2344430</v>
      </c>
      <c r="D55" s="20">
        <v>9180527</v>
      </c>
      <c r="E55" s="22">
        <v>3916</v>
      </c>
      <c r="F55" s="21">
        <v>15719645</v>
      </c>
      <c r="G55" s="20">
        <v>15368416</v>
      </c>
      <c r="H55" s="20">
        <v>51071657</v>
      </c>
      <c r="I55" s="22">
        <v>3323</v>
      </c>
      <c r="J55" s="66">
        <f t="shared" si="1"/>
        <v>0.15424203281944343</v>
      </c>
      <c r="K55" s="67">
        <f t="shared" si="1"/>
        <v>0.15254857755021728</v>
      </c>
      <c r="L55" s="68">
        <f t="shared" si="1"/>
        <v>0.17975776662190537</v>
      </c>
    </row>
    <row r="56" spans="1:12" x14ac:dyDescent="0.25">
      <c r="A56" s="48" t="s">
        <v>42</v>
      </c>
      <c r="B56" s="21">
        <v>2833977</v>
      </c>
      <c r="C56" s="20">
        <v>2527392</v>
      </c>
      <c r="D56" s="20">
        <v>6975964</v>
      </c>
      <c r="E56" s="22">
        <v>2760</v>
      </c>
      <c r="F56" s="21">
        <v>16782993</v>
      </c>
      <c r="G56" s="20">
        <v>15939038</v>
      </c>
      <c r="H56" s="20">
        <v>50321897</v>
      </c>
      <c r="I56" s="22">
        <v>3157</v>
      </c>
      <c r="J56" s="66">
        <f t="shared" si="1"/>
        <v>0.1688600477876622</v>
      </c>
      <c r="K56" s="67">
        <f t="shared" si="1"/>
        <v>0.15856615687847661</v>
      </c>
      <c r="L56" s="68">
        <f t="shared" si="1"/>
        <v>0.13862680892177018</v>
      </c>
    </row>
    <row r="57" spans="1:12" x14ac:dyDescent="0.25">
      <c r="A57" s="48" t="s">
        <v>43</v>
      </c>
      <c r="B57" s="21">
        <v>2199970</v>
      </c>
      <c r="C57" s="20">
        <v>2128530</v>
      </c>
      <c r="D57" s="20">
        <v>7693391</v>
      </c>
      <c r="E57" s="22">
        <v>3614</v>
      </c>
      <c r="F57" s="21">
        <v>13687752</v>
      </c>
      <c r="G57" s="20">
        <v>13187419</v>
      </c>
      <c r="H57" s="20">
        <v>44159121</v>
      </c>
      <c r="I57" s="22">
        <v>3349</v>
      </c>
      <c r="J57" s="66">
        <f t="shared" si="1"/>
        <v>0.16072544271696332</v>
      </c>
      <c r="K57" s="67">
        <f t="shared" si="1"/>
        <v>0.16140610986880755</v>
      </c>
      <c r="L57" s="68">
        <f t="shared" si="1"/>
        <v>0.17421974952807598</v>
      </c>
    </row>
    <row r="58" spans="1:12" x14ac:dyDescent="0.25">
      <c r="A58" s="48" t="s">
        <v>44</v>
      </c>
      <c r="B58" s="21">
        <v>2115540</v>
      </c>
      <c r="C58" s="20">
        <v>2028240</v>
      </c>
      <c r="D58" s="20">
        <v>5708807</v>
      </c>
      <c r="E58" s="22">
        <v>2815</v>
      </c>
      <c r="F58" s="21">
        <v>12748937</v>
      </c>
      <c r="G58" s="20">
        <v>12301355</v>
      </c>
      <c r="H58" s="20">
        <v>31198565</v>
      </c>
      <c r="I58" s="22">
        <v>2536</v>
      </c>
      <c r="J58" s="66">
        <f t="shared" si="1"/>
        <v>0.16593854060146349</v>
      </c>
      <c r="K58" s="67">
        <f t="shared" si="1"/>
        <v>0.16487939743223409</v>
      </c>
      <c r="L58" s="68">
        <f t="shared" si="1"/>
        <v>0.18298299937833679</v>
      </c>
    </row>
    <row r="59" spans="1:12" x14ac:dyDescent="0.25">
      <c r="A59" s="48" t="s">
        <v>45</v>
      </c>
      <c r="B59" s="21">
        <v>1899759</v>
      </c>
      <c r="C59" s="20">
        <v>1827259</v>
      </c>
      <c r="D59" s="20">
        <v>7493377</v>
      </c>
      <c r="E59" s="22">
        <v>4101</v>
      </c>
      <c r="F59" s="21">
        <v>12254127</v>
      </c>
      <c r="G59" s="20">
        <v>11950589</v>
      </c>
      <c r="H59" s="20">
        <v>42525661</v>
      </c>
      <c r="I59" s="22">
        <v>3558</v>
      </c>
      <c r="J59" s="66">
        <f t="shared" si="1"/>
        <v>0.15503013800983129</v>
      </c>
      <c r="K59" s="67">
        <f t="shared" si="1"/>
        <v>0.15290116662869085</v>
      </c>
      <c r="L59" s="68">
        <f t="shared" si="1"/>
        <v>0.17620836040620275</v>
      </c>
    </row>
    <row r="60" spans="1:12" x14ac:dyDescent="0.25">
      <c r="A60" s="49" t="s">
        <v>46</v>
      </c>
      <c r="B60" s="21">
        <v>1779107</v>
      </c>
      <c r="C60" s="20">
        <v>1770807</v>
      </c>
      <c r="D60" s="20">
        <v>6455671</v>
      </c>
      <c r="E60" s="22">
        <v>3646</v>
      </c>
      <c r="F60" s="21">
        <v>11484887</v>
      </c>
      <c r="G60" s="20">
        <v>11352638</v>
      </c>
      <c r="H60" s="20">
        <v>35950200</v>
      </c>
      <c r="I60" s="22">
        <v>3167</v>
      </c>
      <c r="J60" s="66">
        <f t="shared" si="1"/>
        <v>0.15490853327507706</v>
      </c>
      <c r="K60" s="67">
        <f t="shared" si="1"/>
        <v>0.15598198409920233</v>
      </c>
      <c r="L60" s="68">
        <f t="shared" si="1"/>
        <v>0.17957260321222135</v>
      </c>
    </row>
    <row r="61" spans="1:12" x14ac:dyDescent="0.25">
      <c r="A61" s="49" t="s">
        <v>47</v>
      </c>
      <c r="B61" s="21">
        <v>1804416</v>
      </c>
      <c r="C61" s="20">
        <v>1804416</v>
      </c>
      <c r="D61" s="20">
        <v>5970396</v>
      </c>
      <c r="E61" s="22">
        <v>3309</v>
      </c>
      <c r="F61" s="21">
        <v>11299935</v>
      </c>
      <c r="G61" s="20">
        <v>11194379</v>
      </c>
      <c r="H61" s="20">
        <v>34123690</v>
      </c>
      <c r="I61" s="22">
        <v>3048</v>
      </c>
      <c r="J61" s="66">
        <f t="shared" si="1"/>
        <v>0.15968375039325447</v>
      </c>
      <c r="K61" s="67">
        <f t="shared" si="1"/>
        <v>0.16118946839302117</v>
      </c>
      <c r="L61" s="68">
        <f t="shared" si="1"/>
        <v>0.17496337588344052</v>
      </c>
    </row>
    <row r="62" spans="1:12" x14ac:dyDescent="0.25">
      <c r="A62" s="49" t="s">
        <v>48</v>
      </c>
      <c r="B62" s="21">
        <v>1699779</v>
      </c>
      <c r="C62" s="20">
        <v>1693479</v>
      </c>
      <c r="D62" s="20">
        <v>5313926</v>
      </c>
      <c r="E62" s="22">
        <v>3138</v>
      </c>
      <c r="F62" s="21">
        <v>10498351</v>
      </c>
      <c r="G62" s="20">
        <v>10374509</v>
      </c>
      <c r="H62" s="20">
        <v>31403991</v>
      </c>
      <c r="I62" s="22">
        <v>3027</v>
      </c>
      <c r="J62" s="66">
        <f t="shared" si="1"/>
        <v>0.16190914173092516</v>
      </c>
      <c r="K62" s="67">
        <f t="shared" si="1"/>
        <v>0.16323461669366715</v>
      </c>
      <c r="L62" s="68">
        <f t="shared" si="1"/>
        <v>0.16921180495816598</v>
      </c>
    </row>
    <row r="63" spans="1:12" x14ac:dyDescent="0.25">
      <c r="A63" s="49" t="s">
        <v>49</v>
      </c>
      <c r="B63" s="21">
        <v>2077332</v>
      </c>
      <c r="C63" s="20">
        <v>1999382</v>
      </c>
      <c r="D63" s="20">
        <v>3320489</v>
      </c>
      <c r="E63" s="22">
        <v>1661</v>
      </c>
      <c r="F63" s="21">
        <v>11401199</v>
      </c>
      <c r="G63" s="20">
        <v>10783271</v>
      </c>
      <c r="H63" s="20">
        <v>19974968</v>
      </c>
      <c r="I63" s="22">
        <v>1852</v>
      </c>
      <c r="J63" s="66">
        <f t="shared" si="1"/>
        <v>0.18220294198882064</v>
      </c>
      <c r="K63" s="67">
        <f t="shared" si="1"/>
        <v>0.18541516762399832</v>
      </c>
      <c r="L63" s="68">
        <f t="shared" si="1"/>
        <v>0.16623250660526714</v>
      </c>
    </row>
    <row r="64" spans="1:12" x14ac:dyDescent="0.25">
      <c r="A64" s="49" t="s">
        <v>50</v>
      </c>
      <c r="B64" s="21">
        <v>2160904</v>
      </c>
      <c r="C64" s="20">
        <v>2154504</v>
      </c>
      <c r="D64" s="20">
        <v>8054825</v>
      </c>
      <c r="E64" s="22">
        <v>3739</v>
      </c>
      <c r="F64" s="21">
        <v>12019579</v>
      </c>
      <c r="G64" s="20">
        <v>11867960</v>
      </c>
      <c r="H64" s="20">
        <v>37013926</v>
      </c>
      <c r="I64" s="22">
        <v>3119</v>
      </c>
      <c r="J64" s="66">
        <f t="shared" si="1"/>
        <v>0.17978200401195416</v>
      </c>
      <c r="K64" s="67">
        <f t="shared" si="1"/>
        <v>0.18153954007259884</v>
      </c>
      <c r="L64" s="68">
        <f t="shared" si="1"/>
        <v>0.21761606699056998</v>
      </c>
    </row>
    <row r="65" spans="1:12" x14ac:dyDescent="0.25">
      <c r="A65" s="49" t="s">
        <v>51</v>
      </c>
      <c r="B65" s="21">
        <v>2166545</v>
      </c>
      <c r="C65" s="20">
        <v>2153545</v>
      </c>
      <c r="D65" s="20">
        <v>7955089</v>
      </c>
      <c r="E65" s="22">
        <v>3694</v>
      </c>
      <c r="F65" s="21">
        <v>12483086</v>
      </c>
      <c r="G65" s="20">
        <v>12048575</v>
      </c>
      <c r="H65" s="20">
        <v>37204801</v>
      </c>
      <c r="I65" s="22">
        <v>3088</v>
      </c>
      <c r="J65" s="66">
        <f t="shared" si="1"/>
        <v>0.17355844540364457</v>
      </c>
      <c r="K65" s="67">
        <f t="shared" si="1"/>
        <v>0.17873856451904063</v>
      </c>
      <c r="L65" s="68">
        <f t="shared" si="1"/>
        <v>0.21381888321348635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495D9057-7B61-42C7-98B9-F145A508CBBF}"/>
  </hyperlinks>
  <pageMargins left="0.7" right="0.7" top="0.75" bottom="0.75" header="0.3" footer="0.3"/>
  <pageSetup paperSize="9" fitToWidth="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BC3A-ACF9-43AA-8AA3-8897D7844165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75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 t="e"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40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 t="e">
        <v>#N/A</v>
      </c>
      <c r="G19" s="20" t="e">
        <v>#N/A</v>
      </c>
      <c r="H19" s="20" t="e">
        <v>#N/A</v>
      </c>
      <c r="I19" s="22" t="e">
        <v>#N/A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 t="e">
        <v>#N/A</v>
      </c>
      <c r="G20" s="20" t="e">
        <v>#N/A</v>
      </c>
      <c r="H20" s="20" t="e">
        <v>#N/A</v>
      </c>
      <c r="I20" s="22" t="e">
        <v>#N/A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 t="e">
        <v>#N/A</v>
      </c>
      <c r="G21" s="20" t="e">
        <v>#N/A</v>
      </c>
      <c r="H21" s="20" t="e">
        <v>#N/A</v>
      </c>
      <c r="I21" s="22" t="e">
        <v>#N/A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 t="e">
        <v>#N/A</v>
      </c>
      <c r="G33" s="20" t="e">
        <v>#N/A</v>
      </c>
      <c r="H33" s="20" t="e">
        <v>#N/A</v>
      </c>
      <c r="I33" s="22" t="e">
        <v>#N/A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 t="e">
        <v>#N/A</v>
      </c>
      <c r="G34" s="20" t="e">
        <v>#N/A</v>
      </c>
      <c r="H34" s="20" t="e">
        <v>#N/A</v>
      </c>
      <c r="I34" s="22" t="e">
        <v>#N/A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 t="e">
        <v>#N/A</v>
      </c>
      <c r="G35" s="20" t="e">
        <v>#N/A</v>
      </c>
      <c r="H35" s="20" t="e">
        <v>#N/A</v>
      </c>
      <c r="I35" s="22" t="e">
        <v>#N/A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 t="e">
        <v>#N/A</v>
      </c>
      <c r="G36" s="20" t="e">
        <v>#N/A</v>
      </c>
      <c r="H36" s="20" t="e">
        <v>#N/A</v>
      </c>
      <c r="I36" s="22" t="e">
        <v>#N/A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>
        <v>943100</v>
      </c>
      <c r="C41" s="20">
        <v>943100</v>
      </c>
      <c r="D41" s="20">
        <v>2269347</v>
      </c>
      <c r="E41" s="22">
        <v>2406</v>
      </c>
      <c r="F41" s="21">
        <v>3080230</v>
      </c>
      <c r="G41" s="20">
        <v>2987483</v>
      </c>
      <c r="H41" s="20">
        <v>6833540</v>
      </c>
      <c r="I41" s="22">
        <v>2287</v>
      </c>
      <c r="J41" s="66">
        <f t="shared" ref="J41:L65" si="2">B41/F41</f>
        <v>0.30617843472727685</v>
      </c>
      <c r="K41" s="67">
        <f t="shared" si="2"/>
        <v>0.31568380472792651</v>
      </c>
      <c r="L41" s="68">
        <f t="shared" si="2"/>
        <v>0.33208951729264774</v>
      </c>
    </row>
    <row r="42" spans="1:12" x14ac:dyDescent="0.25">
      <c r="A42" s="48" t="s">
        <v>28</v>
      </c>
      <c r="B42" s="21">
        <v>979900</v>
      </c>
      <c r="C42" s="20">
        <v>964950</v>
      </c>
      <c r="D42" s="20">
        <v>2138001</v>
      </c>
      <c r="E42" s="22">
        <v>2216</v>
      </c>
      <c r="F42" s="21">
        <v>3287248</v>
      </c>
      <c r="G42" s="20">
        <v>3238985</v>
      </c>
      <c r="H42" s="20">
        <v>7173447</v>
      </c>
      <c r="I42" s="22">
        <v>2215</v>
      </c>
      <c r="J42" s="66">
        <f t="shared" si="2"/>
        <v>0.29809129095218856</v>
      </c>
      <c r="K42" s="67">
        <f t="shared" si="2"/>
        <v>0.29791740313709386</v>
      </c>
      <c r="L42" s="68">
        <f t="shared" si="2"/>
        <v>0.29804374382357601</v>
      </c>
    </row>
    <row r="43" spans="1:12" x14ac:dyDescent="0.25">
      <c r="A43" s="48" t="s">
        <v>29</v>
      </c>
      <c r="B43" s="21">
        <v>742000</v>
      </c>
      <c r="C43" s="20">
        <v>735000</v>
      </c>
      <c r="D43" s="20">
        <v>2042450</v>
      </c>
      <c r="E43" s="22">
        <v>2779</v>
      </c>
      <c r="F43" s="21">
        <v>2855125</v>
      </c>
      <c r="G43" s="20">
        <v>2820477</v>
      </c>
      <c r="H43" s="20">
        <v>7216299</v>
      </c>
      <c r="I43" s="22">
        <v>2559</v>
      </c>
      <c r="J43" s="66">
        <f t="shared" si="2"/>
        <v>0.25988354275206865</v>
      </c>
      <c r="K43" s="67">
        <f t="shared" si="2"/>
        <v>0.26059421863748577</v>
      </c>
      <c r="L43" s="68">
        <f t="shared" si="2"/>
        <v>0.2830328953941626</v>
      </c>
    </row>
    <row r="44" spans="1:12" x14ac:dyDescent="0.25">
      <c r="A44" s="48" t="s">
        <v>30</v>
      </c>
      <c r="B44" s="21">
        <v>625800</v>
      </c>
      <c r="C44" s="20">
        <v>606800</v>
      </c>
      <c r="D44" s="20">
        <v>1133469</v>
      </c>
      <c r="E44" s="22">
        <v>1868</v>
      </c>
      <c r="F44" s="21">
        <v>3079021</v>
      </c>
      <c r="G44" s="20">
        <v>2960775</v>
      </c>
      <c r="H44" s="20">
        <v>4904420</v>
      </c>
      <c r="I44" s="22">
        <v>1656</v>
      </c>
      <c r="J44" s="66">
        <f t="shared" si="2"/>
        <v>0.20324642150865485</v>
      </c>
      <c r="K44" s="67">
        <f t="shared" si="2"/>
        <v>0.20494634006299026</v>
      </c>
      <c r="L44" s="68">
        <f t="shared" si="2"/>
        <v>0.23111173186635728</v>
      </c>
    </row>
    <row r="45" spans="1:12" x14ac:dyDescent="0.25">
      <c r="A45" s="48" t="s">
        <v>31</v>
      </c>
      <c r="B45" s="21">
        <v>674799</v>
      </c>
      <c r="C45" s="20">
        <v>652231</v>
      </c>
      <c r="D45" s="20">
        <v>1546128</v>
      </c>
      <c r="E45" s="22">
        <v>2371</v>
      </c>
      <c r="F45" s="21">
        <v>3292032</v>
      </c>
      <c r="G45" s="20">
        <v>3173677</v>
      </c>
      <c r="H45" s="20">
        <v>7123347</v>
      </c>
      <c r="I45" s="22">
        <v>2245</v>
      </c>
      <c r="J45" s="66">
        <f t="shared" si="2"/>
        <v>0.2049794777207512</v>
      </c>
      <c r="K45" s="67">
        <f t="shared" si="2"/>
        <v>0.20551272230917009</v>
      </c>
      <c r="L45" s="68">
        <f t="shared" si="2"/>
        <v>0.21705077683285681</v>
      </c>
    </row>
    <row r="46" spans="1:12" x14ac:dyDescent="0.25">
      <c r="A46" s="48" t="s">
        <v>32</v>
      </c>
      <c r="B46" s="21">
        <v>582690</v>
      </c>
      <c r="C46" s="20">
        <v>573826</v>
      </c>
      <c r="D46" s="20">
        <v>1384036</v>
      </c>
      <c r="E46" s="22">
        <v>2412</v>
      </c>
      <c r="F46" s="21">
        <v>3075586</v>
      </c>
      <c r="G46" s="20">
        <v>3000618</v>
      </c>
      <c r="H46" s="20">
        <v>6713246</v>
      </c>
      <c r="I46" s="22">
        <v>2237</v>
      </c>
      <c r="J46" s="66">
        <f t="shared" si="2"/>
        <v>0.18945657835612464</v>
      </c>
      <c r="K46" s="67">
        <f t="shared" si="2"/>
        <v>0.19123593872995495</v>
      </c>
      <c r="L46" s="68">
        <f t="shared" si="2"/>
        <v>0.2061649461378296</v>
      </c>
    </row>
    <row r="47" spans="1:12" x14ac:dyDescent="0.25">
      <c r="A47" s="48" t="s">
        <v>33</v>
      </c>
      <c r="B47" s="21">
        <v>626650</v>
      </c>
      <c r="C47" s="20">
        <v>616400</v>
      </c>
      <c r="D47" s="20">
        <v>1724720</v>
      </c>
      <c r="E47" s="22">
        <v>2798</v>
      </c>
      <c r="F47" s="21">
        <v>3447641</v>
      </c>
      <c r="G47" s="20">
        <v>3397413</v>
      </c>
      <c r="H47" s="20">
        <v>8731964</v>
      </c>
      <c r="I47" s="22">
        <v>2570</v>
      </c>
      <c r="J47" s="66">
        <f t="shared" si="2"/>
        <v>0.18176196419522797</v>
      </c>
      <c r="K47" s="67">
        <f t="shared" si="2"/>
        <v>0.18143216618056152</v>
      </c>
      <c r="L47" s="68">
        <f t="shared" si="2"/>
        <v>0.19751799251577309</v>
      </c>
    </row>
    <row r="48" spans="1:12" x14ac:dyDescent="0.25">
      <c r="A48" s="48" t="s">
        <v>34</v>
      </c>
      <c r="B48" s="21">
        <v>763350</v>
      </c>
      <c r="C48" s="20">
        <v>747624</v>
      </c>
      <c r="D48" s="20">
        <v>1740707</v>
      </c>
      <c r="E48" s="22">
        <v>2328</v>
      </c>
      <c r="F48" s="21">
        <v>3783534</v>
      </c>
      <c r="G48" s="20">
        <v>3701972</v>
      </c>
      <c r="H48" s="20">
        <v>7764111</v>
      </c>
      <c r="I48" s="22">
        <v>2097</v>
      </c>
      <c r="J48" s="66">
        <f t="shared" si="2"/>
        <v>0.20175581876626456</v>
      </c>
      <c r="K48" s="67">
        <f t="shared" si="2"/>
        <v>0.20195290510030869</v>
      </c>
      <c r="L48" s="68">
        <f t="shared" si="2"/>
        <v>0.22419913883250767</v>
      </c>
    </row>
    <row r="49" spans="1:12" x14ac:dyDescent="0.25">
      <c r="A49" s="48" t="s">
        <v>35</v>
      </c>
      <c r="B49" s="21">
        <v>354130</v>
      </c>
      <c r="C49" s="20">
        <v>329530</v>
      </c>
      <c r="D49" s="20">
        <v>781071</v>
      </c>
      <c r="E49" s="22">
        <v>2370</v>
      </c>
      <c r="F49" s="21">
        <v>2912487</v>
      </c>
      <c r="G49" s="20">
        <v>2697322</v>
      </c>
      <c r="H49" s="20">
        <v>4160601</v>
      </c>
      <c r="I49" s="22">
        <v>1542</v>
      </c>
      <c r="J49" s="66">
        <f t="shared" si="2"/>
        <v>0.12159024229121022</v>
      </c>
      <c r="K49" s="67">
        <f t="shared" si="2"/>
        <v>0.12216932201642963</v>
      </c>
      <c r="L49" s="68">
        <f t="shared" si="2"/>
        <v>0.18773033030564576</v>
      </c>
    </row>
    <row r="50" spans="1:12" x14ac:dyDescent="0.25">
      <c r="A50" s="48" t="s">
        <v>36</v>
      </c>
      <c r="B50" s="21">
        <v>313920</v>
      </c>
      <c r="C50" s="20">
        <v>311920</v>
      </c>
      <c r="D50" s="20">
        <v>817470</v>
      </c>
      <c r="E50" s="22">
        <v>2621</v>
      </c>
      <c r="F50" s="21">
        <v>2146764</v>
      </c>
      <c r="G50" s="20">
        <v>2130158</v>
      </c>
      <c r="H50" s="20">
        <v>4817067</v>
      </c>
      <c r="I50" s="22">
        <v>2261</v>
      </c>
      <c r="J50" s="66">
        <f t="shared" si="2"/>
        <v>0.14622939456782394</v>
      </c>
      <c r="K50" s="67">
        <f t="shared" si="2"/>
        <v>0.14643045257675721</v>
      </c>
      <c r="L50" s="68">
        <f t="shared" si="2"/>
        <v>0.16970285030289178</v>
      </c>
    </row>
    <row r="51" spans="1:12" x14ac:dyDescent="0.25">
      <c r="A51" s="48" t="s">
        <v>37</v>
      </c>
      <c r="B51" s="21">
        <v>476937</v>
      </c>
      <c r="C51" s="20">
        <v>469937</v>
      </c>
      <c r="D51" s="20">
        <v>860563</v>
      </c>
      <c r="E51" s="22">
        <v>1831</v>
      </c>
      <c r="F51" s="21">
        <v>2924476</v>
      </c>
      <c r="G51" s="20">
        <v>2901201</v>
      </c>
      <c r="H51" s="20">
        <v>5556289</v>
      </c>
      <c r="I51" s="22">
        <v>1915</v>
      </c>
      <c r="J51" s="66">
        <f t="shared" si="2"/>
        <v>0.1630846004549191</v>
      </c>
      <c r="K51" s="67">
        <f t="shared" si="2"/>
        <v>0.16198015925128939</v>
      </c>
      <c r="L51" s="68">
        <f t="shared" si="2"/>
        <v>0.1548808926245557</v>
      </c>
    </row>
    <row r="52" spans="1:12" x14ac:dyDescent="0.25">
      <c r="A52" s="48" t="s">
        <v>38</v>
      </c>
      <c r="B52" s="21">
        <v>450200</v>
      </c>
      <c r="C52" s="20">
        <v>418600</v>
      </c>
      <c r="D52" s="20">
        <v>787872</v>
      </c>
      <c r="E52" s="22">
        <v>1882</v>
      </c>
      <c r="F52" s="21">
        <v>3318016</v>
      </c>
      <c r="G52" s="20">
        <v>3015142</v>
      </c>
      <c r="H52" s="20">
        <v>4831264</v>
      </c>
      <c r="I52" s="22">
        <v>1602</v>
      </c>
      <c r="J52" s="66">
        <f t="shared" si="2"/>
        <v>0.13568349278605046</v>
      </c>
      <c r="K52" s="67">
        <f t="shared" si="2"/>
        <v>0.13883259892900565</v>
      </c>
      <c r="L52" s="68">
        <f t="shared" si="2"/>
        <v>0.16307781980036695</v>
      </c>
    </row>
    <row r="53" spans="1:12" x14ac:dyDescent="0.25">
      <c r="A53" s="48" t="s">
        <v>39</v>
      </c>
      <c r="B53" s="21">
        <v>554130</v>
      </c>
      <c r="C53" s="20">
        <v>552130</v>
      </c>
      <c r="D53" s="20">
        <v>1406581</v>
      </c>
      <c r="E53" s="22">
        <v>2548</v>
      </c>
      <c r="F53" s="21">
        <v>3346607</v>
      </c>
      <c r="G53" s="20">
        <v>3225152</v>
      </c>
      <c r="H53" s="20">
        <v>5980455</v>
      </c>
      <c r="I53" s="22">
        <v>1854</v>
      </c>
      <c r="J53" s="66">
        <f t="shared" si="2"/>
        <v>0.16557964529447289</v>
      </c>
      <c r="K53" s="67">
        <f t="shared" si="2"/>
        <v>0.17119503204810191</v>
      </c>
      <c r="L53" s="68">
        <f t="shared" si="2"/>
        <v>0.23519631867474966</v>
      </c>
    </row>
    <row r="54" spans="1:12" x14ac:dyDescent="0.25">
      <c r="A54" s="48" t="s">
        <v>40</v>
      </c>
      <c r="B54" s="21">
        <v>696014</v>
      </c>
      <c r="C54" s="20">
        <v>683814</v>
      </c>
      <c r="D54" s="20">
        <v>2042237</v>
      </c>
      <c r="E54" s="22">
        <v>2987</v>
      </c>
      <c r="F54" s="21">
        <v>3140952</v>
      </c>
      <c r="G54" s="20">
        <v>3034414</v>
      </c>
      <c r="H54" s="20">
        <v>7088003</v>
      </c>
      <c r="I54" s="22">
        <v>2336</v>
      </c>
      <c r="J54" s="66">
        <f t="shared" si="2"/>
        <v>0.22159332584515778</v>
      </c>
      <c r="K54" s="67">
        <f t="shared" si="2"/>
        <v>0.22535290174643274</v>
      </c>
      <c r="L54" s="68">
        <f t="shared" si="2"/>
        <v>0.28812586563521486</v>
      </c>
    </row>
    <row r="55" spans="1:12" x14ac:dyDescent="0.25">
      <c r="A55" s="48" t="s">
        <v>41</v>
      </c>
      <c r="B55" s="21">
        <v>799920</v>
      </c>
      <c r="C55" s="20">
        <v>781720</v>
      </c>
      <c r="D55" s="20">
        <v>2623604</v>
      </c>
      <c r="E55" s="22">
        <v>3356</v>
      </c>
      <c r="F55" s="21">
        <v>4072455</v>
      </c>
      <c r="G55" s="20">
        <v>3966499</v>
      </c>
      <c r="H55" s="20">
        <v>10326620</v>
      </c>
      <c r="I55" s="22">
        <v>2603</v>
      </c>
      <c r="J55" s="66">
        <f t="shared" si="2"/>
        <v>0.19642205991226422</v>
      </c>
      <c r="K55" s="67">
        <f t="shared" si="2"/>
        <v>0.19708059928919686</v>
      </c>
      <c r="L55" s="68">
        <f t="shared" si="2"/>
        <v>0.25406221977762328</v>
      </c>
    </row>
    <row r="56" spans="1:12" x14ac:dyDescent="0.25">
      <c r="A56" s="48" t="s">
        <v>42</v>
      </c>
      <c r="B56" s="21">
        <v>634935</v>
      </c>
      <c r="C56" s="20">
        <v>595935</v>
      </c>
      <c r="D56" s="20">
        <v>1341253</v>
      </c>
      <c r="E56" s="22">
        <v>2251</v>
      </c>
      <c r="F56" s="21">
        <v>3779240</v>
      </c>
      <c r="G56" s="20">
        <v>3651833</v>
      </c>
      <c r="H56" s="20">
        <v>8773350</v>
      </c>
      <c r="I56" s="22">
        <v>2402</v>
      </c>
      <c r="J56" s="66">
        <f t="shared" si="2"/>
        <v>0.16800600120659182</v>
      </c>
      <c r="K56" s="67">
        <f t="shared" si="2"/>
        <v>0.16318791138587116</v>
      </c>
      <c r="L56" s="68">
        <f t="shared" si="2"/>
        <v>0.1528780910370611</v>
      </c>
    </row>
    <row r="57" spans="1:12" x14ac:dyDescent="0.25">
      <c r="A57" s="48" t="s">
        <v>43</v>
      </c>
      <c r="B57" s="21">
        <v>757393</v>
      </c>
      <c r="C57" s="20">
        <v>703193</v>
      </c>
      <c r="D57" s="20">
        <v>2068889</v>
      </c>
      <c r="E57" s="22">
        <v>2942</v>
      </c>
      <c r="F57" s="21">
        <v>4369410</v>
      </c>
      <c r="G57" s="20">
        <v>4148247</v>
      </c>
      <c r="H57" s="20">
        <v>10813426</v>
      </c>
      <c r="I57" s="22">
        <v>2607</v>
      </c>
      <c r="J57" s="66">
        <f t="shared" si="2"/>
        <v>0.17333987883947719</v>
      </c>
      <c r="K57" s="67">
        <f t="shared" si="2"/>
        <v>0.16951570145172165</v>
      </c>
      <c r="L57" s="68">
        <f t="shared" si="2"/>
        <v>0.19132594979611456</v>
      </c>
    </row>
    <row r="58" spans="1:12" x14ac:dyDescent="0.25">
      <c r="A58" s="48" t="s">
        <v>44</v>
      </c>
      <c r="B58" s="21">
        <v>896180</v>
      </c>
      <c r="C58" s="20">
        <v>811380</v>
      </c>
      <c r="D58" s="20">
        <v>1143597</v>
      </c>
      <c r="E58" s="22">
        <v>1409</v>
      </c>
      <c r="F58" s="21">
        <v>4510323</v>
      </c>
      <c r="G58" s="20">
        <v>4016705</v>
      </c>
      <c r="H58" s="20">
        <v>6587363</v>
      </c>
      <c r="I58" s="22">
        <v>1640</v>
      </c>
      <c r="J58" s="66">
        <f t="shared" si="2"/>
        <v>0.19869530408354347</v>
      </c>
      <c r="K58" s="67">
        <f t="shared" si="2"/>
        <v>0.20200139168796313</v>
      </c>
      <c r="L58" s="68">
        <f t="shared" si="2"/>
        <v>0.17360467306872265</v>
      </c>
    </row>
    <row r="59" spans="1:12" x14ac:dyDescent="0.25">
      <c r="A59" s="48" t="s">
        <v>45</v>
      </c>
      <c r="B59" s="21">
        <v>938443</v>
      </c>
      <c r="C59" s="20">
        <v>907043</v>
      </c>
      <c r="D59" s="20">
        <v>3026715</v>
      </c>
      <c r="E59" s="22">
        <v>3337</v>
      </c>
      <c r="F59" s="21">
        <v>4756150</v>
      </c>
      <c r="G59" s="20">
        <v>4625298</v>
      </c>
      <c r="H59" s="20">
        <v>12738238</v>
      </c>
      <c r="I59" s="22">
        <v>2754</v>
      </c>
      <c r="J59" s="66">
        <f t="shared" si="2"/>
        <v>0.1973114809246975</v>
      </c>
      <c r="K59" s="67">
        <f t="shared" si="2"/>
        <v>0.19610476989806927</v>
      </c>
      <c r="L59" s="68">
        <f t="shared" si="2"/>
        <v>0.23760860803511444</v>
      </c>
    </row>
    <row r="60" spans="1:12" x14ac:dyDescent="0.25">
      <c r="A60" s="49" t="s">
        <v>46</v>
      </c>
      <c r="B60" s="21">
        <v>1228253</v>
      </c>
      <c r="C60" s="20">
        <v>1203453</v>
      </c>
      <c r="D60" s="20">
        <v>2944296</v>
      </c>
      <c r="E60" s="22">
        <v>2447</v>
      </c>
      <c r="F60" s="21">
        <v>5433982</v>
      </c>
      <c r="G60" s="20">
        <v>5358155</v>
      </c>
      <c r="H60" s="20">
        <v>12830206</v>
      </c>
      <c r="I60" s="22">
        <v>2395</v>
      </c>
      <c r="J60" s="66">
        <f t="shared" si="2"/>
        <v>0.2260318492037699</v>
      </c>
      <c r="K60" s="67">
        <f t="shared" si="2"/>
        <v>0.22460212517181755</v>
      </c>
      <c r="L60" s="68">
        <f t="shared" si="2"/>
        <v>0.22948158431750823</v>
      </c>
    </row>
    <row r="61" spans="1:12" x14ac:dyDescent="0.25">
      <c r="A61" s="49" t="s">
        <v>47</v>
      </c>
      <c r="B61" s="21">
        <v>1233918</v>
      </c>
      <c r="C61" s="20">
        <v>1233918</v>
      </c>
      <c r="D61" s="20">
        <v>3309637</v>
      </c>
      <c r="E61" s="22">
        <v>2682</v>
      </c>
      <c r="F61" s="21">
        <v>5350158</v>
      </c>
      <c r="G61" s="20">
        <v>5272335</v>
      </c>
      <c r="H61" s="20">
        <v>12094222</v>
      </c>
      <c r="I61" s="22">
        <v>2294</v>
      </c>
      <c r="J61" s="66">
        <f t="shared" si="2"/>
        <v>0.23063206731464753</v>
      </c>
      <c r="K61" s="67">
        <f t="shared" si="2"/>
        <v>0.23403634253134523</v>
      </c>
      <c r="L61" s="68">
        <f t="shared" si="2"/>
        <v>0.27365439463571944</v>
      </c>
    </row>
    <row r="62" spans="1:12" x14ac:dyDescent="0.25">
      <c r="A62" s="49" t="s">
        <v>48</v>
      </c>
      <c r="B62" s="21">
        <v>1177872</v>
      </c>
      <c r="C62" s="20">
        <v>1165072</v>
      </c>
      <c r="D62" s="20">
        <v>2958394</v>
      </c>
      <c r="E62" s="22">
        <v>2539</v>
      </c>
      <c r="F62" s="21">
        <v>5596032</v>
      </c>
      <c r="G62" s="20">
        <v>5499757</v>
      </c>
      <c r="H62" s="20">
        <v>12457073</v>
      </c>
      <c r="I62" s="22">
        <v>2265</v>
      </c>
      <c r="J62" s="66">
        <f t="shared" si="2"/>
        <v>0.21048342825773692</v>
      </c>
      <c r="K62" s="67">
        <f t="shared" si="2"/>
        <v>0.21184063223156951</v>
      </c>
      <c r="L62" s="68">
        <f t="shared" si="2"/>
        <v>0.23748708866039397</v>
      </c>
    </row>
    <row r="63" spans="1:12" x14ac:dyDescent="0.25">
      <c r="A63" s="49" t="s">
        <v>49</v>
      </c>
      <c r="B63" s="21">
        <v>795875</v>
      </c>
      <c r="C63" s="20">
        <v>473485</v>
      </c>
      <c r="D63" s="20">
        <v>509181</v>
      </c>
      <c r="E63" s="22">
        <v>1075</v>
      </c>
      <c r="F63" s="21">
        <v>4577626</v>
      </c>
      <c r="G63" s="20">
        <v>3573703</v>
      </c>
      <c r="H63" s="20">
        <v>5070125</v>
      </c>
      <c r="I63" s="22">
        <v>1419</v>
      </c>
      <c r="J63" s="66">
        <f t="shared" si="2"/>
        <v>0.17386195377254499</v>
      </c>
      <c r="K63" s="67">
        <f t="shared" si="2"/>
        <v>0.13249142416143703</v>
      </c>
      <c r="L63" s="68">
        <f t="shared" si="2"/>
        <v>0.10042770148664974</v>
      </c>
    </row>
    <row r="64" spans="1:12" x14ac:dyDescent="0.25">
      <c r="A64" s="49" t="s">
        <v>50</v>
      </c>
      <c r="B64" s="21">
        <v>899831</v>
      </c>
      <c r="C64" s="20">
        <v>890831</v>
      </c>
      <c r="D64" s="20">
        <v>2741904</v>
      </c>
      <c r="E64" s="22">
        <v>3078</v>
      </c>
      <c r="F64" s="21">
        <v>4544957</v>
      </c>
      <c r="G64" s="20">
        <v>4503132</v>
      </c>
      <c r="H64" s="20">
        <v>11199288</v>
      </c>
      <c r="I64" s="22">
        <v>2487</v>
      </c>
      <c r="J64" s="66">
        <f t="shared" si="2"/>
        <v>0.19798449138242671</v>
      </c>
      <c r="K64" s="67">
        <f t="shared" si="2"/>
        <v>0.19782475841258929</v>
      </c>
      <c r="L64" s="68">
        <f t="shared" si="2"/>
        <v>0.24482842123534995</v>
      </c>
    </row>
    <row r="65" spans="1:12" x14ac:dyDescent="0.25">
      <c r="A65" s="49" t="s">
        <v>51</v>
      </c>
      <c r="B65" s="21">
        <v>1222678</v>
      </c>
      <c r="C65" s="20">
        <v>1208678</v>
      </c>
      <c r="D65" s="20">
        <v>3508764</v>
      </c>
      <c r="E65" s="22">
        <v>2903</v>
      </c>
      <c r="F65" s="21">
        <v>5511879</v>
      </c>
      <c r="G65" s="20">
        <v>5406541</v>
      </c>
      <c r="H65" s="20">
        <v>13903039</v>
      </c>
      <c r="I65" s="22">
        <v>2572</v>
      </c>
      <c r="J65" s="66">
        <f t="shared" si="2"/>
        <v>0.22182598710893328</v>
      </c>
      <c r="K65" s="67">
        <f t="shared" si="2"/>
        <v>0.22355846372014934</v>
      </c>
      <c r="L65" s="68">
        <f t="shared" si="2"/>
        <v>0.2523738874644601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3">B66/F66</f>
        <v>#N/A</v>
      </c>
      <c r="K66" s="67" t="e">
        <f t="shared" si="3"/>
        <v>#N/A</v>
      </c>
      <c r="L66" s="68" t="e">
        <f t="shared" si="3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3"/>
        <v>#N/A</v>
      </c>
      <c r="K67" s="67" t="e">
        <f t="shared" si="3"/>
        <v>#N/A</v>
      </c>
      <c r="L67" s="68" t="e">
        <f t="shared" si="3"/>
        <v>#N/A</v>
      </c>
    </row>
  </sheetData>
  <mergeCells count="1">
    <mergeCell ref="A8:A9"/>
  </mergeCells>
  <hyperlinks>
    <hyperlink ref="A5" location="Índice!A1" display="VOLVER AL INDICE" xr:uid="{D96033F8-BF26-4DE0-9CB3-4AAA76C70FE5}"/>
  </hyperlinks>
  <pageMargins left="0.7" right="0.7" top="0.75" bottom="0.75" header="0.3" footer="0.3"/>
  <pageSetup paperSize="9" fitToWidth="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01B5-5D8A-4409-B4D8-71F720386998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76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8800</v>
      </c>
      <c r="C10" s="40">
        <v>6250</v>
      </c>
      <c r="D10" s="40">
        <v>7200</v>
      </c>
      <c r="E10" s="50">
        <v>1152</v>
      </c>
      <c r="F10" s="41">
        <v>30470</v>
      </c>
      <c r="G10" s="40">
        <v>25970</v>
      </c>
      <c r="H10" s="40">
        <v>26800</v>
      </c>
      <c r="I10" s="50">
        <v>1032</v>
      </c>
      <c r="J10" s="63">
        <f>B10/F10</f>
        <v>0.28880866425992779</v>
      </c>
      <c r="K10" s="64">
        <f t="shared" ref="K10:L25" si="0">C10/G10</f>
        <v>0.24066230265691183</v>
      </c>
      <c r="L10" s="65">
        <f t="shared" si="0"/>
        <v>0.26865671641791045</v>
      </c>
    </row>
    <row r="11" spans="1:12" x14ac:dyDescent="0.25">
      <c r="A11" s="48" t="s">
        <v>81</v>
      </c>
      <c r="B11" s="21">
        <v>10500</v>
      </c>
      <c r="C11" s="20">
        <v>10000</v>
      </c>
      <c r="D11" s="20">
        <v>17000</v>
      </c>
      <c r="E11" s="22">
        <v>1700</v>
      </c>
      <c r="F11" s="21">
        <v>37700</v>
      </c>
      <c r="G11" s="20">
        <v>36330</v>
      </c>
      <c r="H11" s="20">
        <v>59000</v>
      </c>
      <c r="I11" s="22">
        <v>1624</v>
      </c>
      <c r="J11" s="66">
        <f t="shared" ref="J11:L40" si="1">B11/F11</f>
        <v>0.27851458885941643</v>
      </c>
      <c r="K11" s="67">
        <f t="shared" si="0"/>
        <v>0.27525461051472611</v>
      </c>
      <c r="L11" s="68">
        <f t="shared" si="0"/>
        <v>0.28813559322033899</v>
      </c>
    </row>
    <row r="12" spans="1:12" x14ac:dyDescent="0.25">
      <c r="A12" s="48" t="s">
        <v>82</v>
      </c>
      <c r="B12" s="21">
        <v>37000</v>
      </c>
      <c r="C12" s="20">
        <v>35000</v>
      </c>
      <c r="D12" s="20">
        <v>40300</v>
      </c>
      <c r="E12" s="22">
        <v>1151</v>
      </c>
      <c r="F12" s="21">
        <v>79800</v>
      </c>
      <c r="G12" s="20">
        <v>68000</v>
      </c>
      <c r="H12" s="20">
        <v>78000</v>
      </c>
      <c r="I12" s="22">
        <v>1147</v>
      </c>
      <c r="J12" s="66">
        <f t="shared" si="1"/>
        <v>0.46365914786967416</v>
      </c>
      <c r="K12" s="67">
        <f t="shared" si="0"/>
        <v>0.51470588235294112</v>
      </c>
      <c r="L12" s="68">
        <f t="shared" si="0"/>
        <v>0.51666666666666672</v>
      </c>
    </row>
    <row r="13" spans="1:12" x14ac:dyDescent="0.25">
      <c r="A13" s="48" t="s">
        <v>83</v>
      </c>
      <c r="B13" s="21">
        <v>100000</v>
      </c>
      <c r="C13" s="20">
        <v>93000</v>
      </c>
      <c r="D13" s="20">
        <v>190000</v>
      </c>
      <c r="E13" s="22">
        <v>2043</v>
      </c>
      <c r="F13" s="21">
        <v>169360</v>
      </c>
      <c r="G13" s="20">
        <v>156950</v>
      </c>
      <c r="H13" s="20">
        <v>271904</v>
      </c>
      <c r="I13" s="22">
        <v>1732</v>
      </c>
      <c r="J13" s="66">
        <f t="shared" si="1"/>
        <v>0.59045819555975432</v>
      </c>
      <c r="K13" s="67">
        <f t="shared" si="0"/>
        <v>0.59254539662312844</v>
      </c>
      <c r="L13" s="68">
        <f t="shared" si="0"/>
        <v>0.69877603860185944</v>
      </c>
    </row>
    <row r="14" spans="1:12" x14ac:dyDescent="0.25">
      <c r="A14" s="48" t="s">
        <v>84</v>
      </c>
      <c r="B14" s="21">
        <v>190000</v>
      </c>
      <c r="C14" s="20">
        <v>173620</v>
      </c>
      <c r="D14" s="20">
        <v>225000</v>
      </c>
      <c r="E14" s="22">
        <v>1296</v>
      </c>
      <c r="F14" s="21">
        <v>376600</v>
      </c>
      <c r="G14" s="20">
        <v>344340</v>
      </c>
      <c r="H14" s="20">
        <v>495880</v>
      </c>
      <c r="I14" s="22">
        <v>1440</v>
      </c>
      <c r="J14" s="66">
        <f t="shared" si="1"/>
        <v>0.50451407328730746</v>
      </c>
      <c r="K14" s="67">
        <f t="shared" si="0"/>
        <v>0.50421095428936513</v>
      </c>
      <c r="L14" s="68">
        <f t="shared" si="0"/>
        <v>0.45373880777607484</v>
      </c>
    </row>
    <row r="15" spans="1:12" x14ac:dyDescent="0.25">
      <c r="A15" s="48" t="s">
        <v>85</v>
      </c>
      <c r="B15" s="21">
        <v>216000</v>
      </c>
      <c r="C15" s="20">
        <v>207600</v>
      </c>
      <c r="D15" s="20">
        <v>285000</v>
      </c>
      <c r="E15" s="22">
        <v>1373</v>
      </c>
      <c r="F15" s="21">
        <v>369500</v>
      </c>
      <c r="G15" s="20">
        <v>355940</v>
      </c>
      <c r="H15" s="20">
        <v>485000</v>
      </c>
      <c r="I15" s="22">
        <v>1363</v>
      </c>
      <c r="J15" s="66">
        <f t="shared" si="1"/>
        <v>0.58457374830852504</v>
      </c>
      <c r="K15" s="67">
        <f t="shared" si="0"/>
        <v>0.58324436702815086</v>
      </c>
      <c r="L15" s="68">
        <f t="shared" si="0"/>
        <v>0.58762886597938147</v>
      </c>
    </row>
    <row r="16" spans="1:12" x14ac:dyDescent="0.25">
      <c r="A16" s="48" t="s">
        <v>86</v>
      </c>
      <c r="B16" s="21">
        <v>250000</v>
      </c>
      <c r="C16" s="20">
        <v>245900</v>
      </c>
      <c r="D16" s="20">
        <v>434000</v>
      </c>
      <c r="E16" s="22">
        <v>1765</v>
      </c>
      <c r="F16" s="21">
        <v>442500</v>
      </c>
      <c r="G16" s="20">
        <v>433500</v>
      </c>
      <c r="H16" s="20">
        <v>695000</v>
      </c>
      <c r="I16" s="22">
        <v>1603</v>
      </c>
      <c r="J16" s="66">
        <f t="shared" si="1"/>
        <v>0.56497175141242939</v>
      </c>
      <c r="K16" s="67">
        <f t="shared" si="0"/>
        <v>0.56724336793540941</v>
      </c>
      <c r="L16" s="68">
        <f t="shared" si="0"/>
        <v>0.62446043165467624</v>
      </c>
    </row>
    <row r="17" spans="1:12" x14ac:dyDescent="0.25">
      <c r="A17" s="48" t="s">
        <v>87</v>
      </c>
      <c r="B17" s="21">
        <v>435000</v>
      </c>
      <c r="C17" s="20">
        <v>405000</v>
      </c>
      <c r="D17" s="20">
        <v>970000</v>
      </c>
      <c r="E17" s="22">
        <v>2395</v>
      </c>
      <c r="F17" s="21">
        <v>710000</v>
      </c>
      <c r="G17" s="20">
        <v>660000</v>
      </c>
      <c r="H17" s="20">
        <v>1400000</v>
      </c>
      <c r="I17" s="22">
        <v>2121</v>
      </c>
      <c r="J17" s="66">
        <f t="shared" si="1"/>
        <v>0.61267605633802813</v>
      </c>
      <c r="K17" s="67">
        <f t="shared" si="0"/>
        <v>0.61363636363636365</v>
      </c>
      <c r="L17" s="68">
        <f t="shared" si="0"/>
        <v>0.69285714285714284</v>
      </c>
    </row>
    <row r="18" spans="1:12" x14ac:dyDescent="0.25">
      <c r="A18" s="48" t="s">
        <v>88</v>
      </c>
      <c r="B18" s="21">
        <v>736500</v>
      </c>
      <c r="C18" s="20">
        <v>698500</v>
      </c>
      <c r="D18" s="20">
        <v>1640000</v>
      </c>
      <c r="E18" s="22">
        <v>2348</v>
      </c>
      <c r="F18" s="21">
        <v>1200000</v>
      </c>
      <c r="G18" s="20">
        <v>1150000</v>
      </c>
      <c r="H18" s="20">
        <v>2500000</v>
      </c>
      <c r="I18" s="22">
        <v>2174</v>
      </c>
      <c r="J18" s="66">
        <f t="shared" si="1"/>
        <v>0.61375000000000002</v>
      </c>
      <c r="K18" s="67">
        <f t="shared" si="0"/>
        <v>0.60739130434782607</v>
      </c>
      <c r="L18" s="68">
        <f t="shared" si="0"/>
        <v>0.65600000000000003</v>
      </c>
    </row>
    <row r="19" spans="1:12" x14ac:dyDescent="0.25">
      <c r="A19" s="48" t="s">
        <v>89</v>
      </c>
      <c r="B19" s="21">
        <v>879000</v>
      </c>
      <c r="C19" s="20">
        <v>862000</v>
      </c>
      <c r="D19" s="20">
        <v>2180000</v>
      </c>
      <c r="E19" s="22">
        <v>2529</v>
      </c>
      <c r="F19" s="21">
        <v>1640000</v>
      </c>
      <c r="G19" s="20">
        <v>1600000</v>
      </c>
      <c r="H19" s="20">
        <v>3700000</v>
      </c>
      <c r="I19" s="22">
        <v>2313</v>
      </c>
      <c r="J19" s="66">
        <f t="shared" si="1"/>
        <v>0.53597560975609759</v>
      </c>
      <c r="K19" s="67">
        <f t="shared" si="0"/>
        <v>0.53874999999999995</v>
      </c>
      <c r="L19" s="68">
        <f t="shared" si="0"/>
        <v>0.58918918918918917</v>
      </c>
    </row>
    <row r="20" spans="1:12" x14ac:dyDescent="0.25">
      <c r="A20" s="48" t="s">
        <v>90</v>
      </c>
      <c r="B20" s="21">
        <v>1000000</v>
      </c>
      <c r="C20" s="20">
        <v>991000</v>
      </c>
      <c r="D20" s="20">
        <v>1720000</v>
      </c>
      <c r="E20" s="22">
        <v>1736</v>
      </c>
      <c r="F20" s="21">
        <v>2100000</v>
      </c>
      <c r="G20" s="20">
        <v>2030000</v>
      </c>
      <c r="H20" s="20">
        <v>3500000</v>
      </c>
      <c r="I20" s="22">
        <v>1724</v>
      </c>
      <c r="J20" s="66">
        <f t="shared" si="1"/>
        <v>0.47619047619047616</v>
      </c>
      <c r="K20" s="67">
        <f t="shared" si="0"/>
        <v>0.48817733990147782</v>
      </c>
      <c r="L20" s="68">
        <f t="shared" si="0"/>
        <v>0.49142857142857144</v>
      </c>
    </row>
    <row r="21" spans="1:12" x14ac:dyDescent="0.25">
      <c r="A21" s="48" t="s">
        <v>91</v>
      </c>
      <c r="B21" s="21">
        <v>920900</v>
      </c>
      <c r="C21" s="20">
        <v>899400</v>
      </c>
      <c r="D21" s="20">
        <v>1808000</v>
      </c>
      <c r="E21" s="22">
        <v>2010</v>
      </c>
      <c r="F21" s="21">
        <v>1925000</v>
      </c>
      <c r="G21" s="20">
        <v>1880000</v>
      </c>
      <c r="H21" s="20">
        <v>3770000</v>
      </c>
      <c r="I21" s="22">
        <v>2005</v>
      </c>
      <c r="J21" s="66">
        <f t="shared" si="1"/>
        <v>0.47838961038961036</v>
      </c>
      <c r="K21" s="67">
        <f t="shared" si="0"/>
        <v>0.47840425531914893</v>
      </c>
      <c r="L21" s="68">
        <f t="shared" si="0"/>
        <v>0.47957559681697615</v>
      </c>
    </row>
    <row r="22" spans="1:12" x14ac:dyDescent="0.25">
      <c r="A22" s="48" t="s">
        <v>92</v>
      </c>
      <c r="B22" s="21">
        <v>898000</v>
      </c>
      <c r="C22" s="20">
        <v>872200</v>
      </c>
      <c r="D22" s="20">
        <v>1952000</v>
      </c>
      <c r="E22" s="22">
        <v>2238</v>
      </c>
      <c r="F22" s="21">
        <v>2040000</v>
      </c>
      <c r="G22" s="20">
        <v>1985600</v>
      </c>
      <c r="H22" s="20">
        <v>4150000</v>
      </c>
      <c r="I22" s="22">
        <v>2090</v>
      </c>
      <c r="J22" s="66">
        <f t="shared" si="1"/>
        <v>0.44019607843137254</v>
      </c>
      <c r="K22" s="67">
        <f t="shared" si="0"/>
        <v>0.43926269137792101</v>
      </c>
      <c r="L22" s="68">
        <f t="shared" si="0"/>
        <v>0.47036144578313255</v>
      </c>
    </row>
    <row r="23" spans="1:12" x14ac:dyDescent="0.25">
      <c r="A23" s="48" t="s">
        <v>93</v>
      </c>
      <c r="B23" s="21">
        <v>905000</v>
      </c>
      <c r="C23" s="20">
        <v>855200</v>
      </c>
      <c r="D23" s="20">
        <v>1420000</v>
      </c>
      <c r="E23" s="22">
        <v>1660</v>
      </c>
      <c r="F23" s="21">
        <v>2362000</v>
      </c>
      <c r="G23" s="20">
        <v>2280700</v>
      </c>
      <c r="H23" s="20">
        <v>4000000</v>
      </c>
      <c r="I23" s="22">
        <v>1754</v>
      </c>
      <c r="J23" s="66">
        <f t="shared" si="1"/>
        <v>0.38314987298899239</v>
      </c>
      <c r="K23" s="67">
        <f t="shared" si="0"/>
        <v>0.37497259613276623</v>
      </c>
      <c r="L23" s="68">
        <f t="shared" si="0"/>
        <v>0.35499999999999998</v>
      </c>
    </row>
    <row r="24" spans="1:12" x14ac:dyDescent="0.25">
      <c r="A24" s="48" t="s">
        <v>94</v>
      </c>
      <c r="B24" s="21">
        <v>1070000</v>
      </c>
      <c r="C24" s="20">
        <v>1065500</v>
      </c>
      <c r="D24" s="20">
        <v>2697000</v>
      </c>
      <c r="E24" s="22">
        <v>2531</v>
      </c>
      <c r="F24" s="21">
        <v>2920000</v>
      </c>
      <c r="G24" s="20">
        <v>2910000</v>
      </c>
      <c r="H24" s="20">
        <v>7000000</v>
      </c>
      <c r="I24" s="22">
        <v>2406</v>
      </c>
      <c r="J24" s="66">
        <f t="shared" si="1"/>
        <v>0.36643835616438358</v>
      </c>
      <c r="K24" s="67">
        <f t="shared" si="0"/>
        <v>0.36615120274914087</v>
      </c>
      <c r="L24" s="68">
        <f t="shared" si="0"/>
        <v>0.38528571428571429</v>
      </c>
    </row>
    <row r="25" spans="1:12" x14ac:dyDescent="0.25">
      <c r="A25" s="48" t="s">
        <v>95</v>
      </c>
      <c r="B25" s="21">
        <v>1260000</v>
      </c>
      <c r="C25" s="20">
        <v>1245000</v>
      </c>
      <c r="D25" s="20">
        <v>2700000</v>
      </c>
      <c r="E25" s="22">
        <v>2169</v>
      </c>
      <c r="F25" s="21">
        <v>3300000</v>
      </c>
      <c r="G25" s="20">
        <v>3269000</v>
      </c>
      <c r="H25" s="20">
        <v>6500000</v>
      </c>
      <c r="I25" s="22">
        <v>1988</v>
      </c>
      <c r="J25" s="66">
        <f t="shared" si="1"/>
        <v>0.38181818181818183</v>
      </c>
      <c r="K25" s="67">
        <f t="shared" si="0"/>
        <v>0.38085041297032729</v>
      </c>
      <c r="L25" s="68">
        <f t="shared" si="0"/>
        <v>0.41538461538461541</v>
      </c>
    </row>
    <row r="26" spans="1:12" x14ac:dyDescent="0.25">
      <c r="A26" s="48" t="s">
        <v>96</v>
      </c>
      <c r="B26" s="21">
        <v>1297000</v>
      </c>
      <c r="C26" s="20">
        <v>1293600</v>
      </c>
      <c r="D26" s="20">
        <v>3001000</v>
      </c>
      <c r="E26" s="22">
        <v>2320</v>
      </c>
      <c r="F26" s="21">
        <v>3340000</v>
      </c>
      <c r="G26" s="20">
        <v>3316000</v>
      </c>
      <c r="H26" s="20">
        <v>7100000</v>
      </c>
      <c r="I26" s="22">
        <v>2141</v>
      </c>
      <c r="J26" s="66">
        <f t="shared" si="1"/>
        <v>0.38832335329341316</v>
      </c>
      <c r="K26" s="67">
        <f t="shared" si="1"/>
        <v>0.39010856453558507</v>
      </c>
      <c r="L26" s="68">
        <f t="shared" si="1"/>
        <v>0.42267605633802818</v>
      </c>
    </row>
    <row r="27" spans="1:12" x14ac:dyDescent="0.25">
      <c r="A27" s="48" t="s">
        <v>97</v>
      </c>
      <c r="B27" s="21">
        <v>1420000</v>
      </c>
      <c r="C27" s="20">
        <v>1380000</v>
      </c>
      <c r="D27" s="20">
        <v>2706000</v>
      </c>
      <c r="E27" s="22">
        <v>1961</v>
      </c>
      <c r="F27" s="21">
        <v>3684000</v>
      </c>
      <c r="G27" s="20">
        <v>3516650</v>
      </c>
      <c r="H27" s="20">
        <v>6666400</v>
      </c>
      <c r="I27" s="22">
        <v>1896</v>
      </c>
      <c r="J27" s="66">
        <f t="shared" si="1"/>
        <v>0.38545059717698155</v>
      </c>
      <c r="K27" s="67">
        <f t="shared" si="1"/>
        <v>0.39241892141668916</v>
      </c>
      <c r="L27" s="68">
        <f t="shared" si="1"/>
        <v>0.40591623664946597</v>
      </c>
    </row>
    <row r="28" spans="1:12" x14ac:dyDescent="0.25">
      <c r="A28" s="48" t="s">
        <v>98</v>
      </c>
      <c r="B28" s="21">
        <v>1700000</v>
      </c>
      <c r="C28" s="20">
        <v>1691800</v>
      </c>
      <c r="D28" s="20">
        <v>4000000</v>
      </c>
      <c r="E28" s="22">
        <v>2364</v>
      </c>
      <c r="F28" s="21">
        <v>4413000</v>
      </c>
      <c r="G28" s="20">
        <v>4373200</v>
      </c>
      <c r="H28" s="20">
        <v>9900000</v>
      </c>
      <c r="I28" s="22">
        <v>2264</v>
      </c>
      <c r="J28" s="66">
        <f t="shared" si="1"/>
        <v>0.38522547020167686</v>
      </c>
      <c r="K28" s="67">
        <f t="shared" si="1"/>
        <v>0.38685630659471326</v>
      </c>
      <c r="L28" s="68">
        <f t="shared" si="1"/>
        <v>0.40404040404040403</v>
      </c>
    </row>
    <row r="29" spans="1:12" x14ac:dyDescent="0.25">
      <c r="A29" s="48" t="s">
        <v>99</v>
      </c>
      <c r="B29" s="21">
        <v>1780000</v>
      </c>
      <c r="C29" s="20">
        <v>1391000</v>
      </c>
      <c r="D29" s="20">
        <v>2230000</v>
      </c>
      <c r="E29" s="22">
        <v>1603</v>
      </c>
      <c r="F29" s="21">
        <v>4670000</v>
      </c>
      <c r="G29" s="20">
        <v>3931250</v>
      </c>
      <c r="H29" s="20">
        <v>6500000</v>
      </c>
      <c r="I29" s="22">
        <v>1653</v>
      </c>
      <c r="J29" s="66">
        <f t="shared" si="1"/>
        <v>0.38115631691648821</v>
      </c>
      <c r="K29" s="67">
        <f t="shared" si="1"/>
        <v>0.35383147853736091</v>
      </c>
      <c r="L29" s="68">
        <f t="shared" si="1"/>
        <v>0.34307692307692306</v>
      </c>
    </row>
    <row r="30" spans="1:12" x14ac:dyDescent="0.25">
      <c r="A30" s="48" t="s">
        <v>100</v>
      </c>
      <c r="B30" s="21">
        <v>1940000</v>
      </c>
      <c r="C30" s="20">
        <v>1900000</v>
      </c>
      <c r="D30" s="20">
        <v>4300000</v>
      </c>
      <c r="E30" s="22">
        <v>2263</v>
      </c>
      <c r="F30" s="21">
        <v>5100000</v>
      </c>
      <c r="G30" s="20">
        <v>4961600</v>
      </c>
      <c r="H30" s="20">
        <v>10700000</v>
      </c>
      <c r="I30" s="22">
        <v>2157</v>
      </c>
      <c r="J30" s="66">
        <f t="shared" si="1"/>
        <v>0.38039215686274508</v>
      </c>
      <c r="K30" s="67">
        <f t="shared" si="1"/>
        <v>0.38294098677845856</v>
      </c>
      <c r="L30" s="68">
        <f t="shared" si="1"/>
        <v>0.40186915887850466</v>
      </c>
    </row>
    <row r="31" spans="1:12" x14ac:dyDescent="0.25">
      <c r="A31" s="48" t="s">
        <v>101</v>
      </c>
      <c r="B31" s="21">
        <v>1987000</v>
      </c>
      <c r="C31" s="20">
        <v>1934500</v>
      </c>
      <c r="D31" s="20">
        <v>4643800</v>
      </c>
      <c r="E31" s="22">
        <v>2401</v>
      </c>
      <c r="F31" s="21">
        <v>4966200</v>
      </c>
      <c r="G31" s="20">
        <v>4774100</v>
      </c>
      <c r="H31" s="20">
        <v>10861200</v>
      </c>
      <c r="I31" s="22">
        <v>2275</v>
      </c>
      <c r="J31" s="66">
        <f t="shared" si="1"/>
        <v>0.40010470782489632</v>
      </c>
      <c r="K31" s="67">
        <f t="shared" si="1"/>
        <v>0.40520726419639302</v>
      </c>
      <c r="L31" s="68">
        <f t="shared" si="1"/>
        <v>0.42755864913637537</v>
      </c>
    </row>
    <row r="32" spans="1:12" x14ac:dyDescent="0.25">
      <c r="A32" s="48" t="s">
        <v>102</v>
      </c>
      <c r="B32" s="21">
        <v>1991000</v>
      </c>
      <c r="C32" s="20">
        <v>1981000</v>
      </c>
      <c r="D32" s="20">
        <v>4840800</v>
      </c>
      <c r="E32" s="22">
        <v>2444</v>
      </c>
      <c r="F32" s="21">
        <v>5003000</v>
      </c>
      <c r="G32" s="20">
        <v>4934810</v>
      </c>
      <c r="H32" s="20">
        <v>11308100</v>
      </c>
      <c r="I32" s="22">
        <v>2292</v>
      </c>
      <c r="J32" s="66">
        <f t="shared" si="1"/>
        <v>0.39796122326604039</v>
      </c>
      <c r="K32" s="67">
        <f t="shared" si="1"/>
        <v>0.40143389512463501</v>
      </c>
      <c r="L32" s="68">
        <f t="shared" si="1"/>
        <v>0.42808252491576837</v>
      </c>
    </row>
    <row r="33" spans="1:12" x14ac:dyDescent="0.25">
      <c r="A33" s="48" t="s">
        <v>103</v>
      </c>
      <c r="B33" s="21">
        <v>1931700</v>
      </c>
      <c r="C33" s="20">
        <v>1897000</v>
      </c>
      <c r="D33" s="20">
        <v>4398500</v>
      </c>
      <c r="E33" s="22">
        <v>2319</v>
      </c>
      <c r="F33" s="21">
        <v>5318410</v>
      </c>
      <c r="G33" s="20">
        <v>5115085</v>
      </c>
      <c r="H33" s="20">
        <v>11043400</v>
      </c>
      <c r="I33" s="22">
        <v>2159</v>
      </c>
      <c r="J33" s="66">
        <f t="shared" si="1"/>
        <v>0.36321005714113802</v>
      </c>
      <c r="K33" s="67">
        <f t="shared" si="1"/>
        <v>0.37086382728732759</v>
      </c>
      <c r="L33" s="68">
        <f t="shared" si="1"/>
        <v>0.39829219262183746</v>
      </c>
    </row>
    <row r="34" spans="1:12" x14ac:dyDescent="0.25">
      <c r="A34" s="48" t="s">
        <v>104</v>
      </c>
      <c r="B34" s="21">
        <v>2192300</v>
      </c>
      <c r="C34" s="20">
        <v>2187600</v>
      </c>
      <c r="D34" s="20">
        <v>5163600</v>
      </c>
      <c r="E34" s="22">
        <v>2360</v>
      </c>
      <c r="F34" s="21">
        <v>5817490</v>
      </c>
      <c r="G34" s="20">
        <v>5748910</v>
      </c>
      <c r="H34" s="20">
        <v>11719900</v>
      </c>
      <c r="I34" s="22">
        <v>2039</v>
      </c>
      <c r="J34" s="66">
        <f t="shared" si="1"/>
        <v>0.37684637188890741</v>
      </c>
      <c r="K34" s="67">
        <f t="shared" si="1"/>
        <v>0.3805243080862285</v>
      </c>
      <c r="L34" s="68">
        <f t="shared" si="1"/>
        <v>0.44058396402699684</v>
      </c>
    </row>
    <row r="35" spans="1:12" x14ac:dyDescent="0.25">
      <c r="A35" s="48" t="s">
        <v>105</v>
      </c>
      <c r="B35" s="21">
        <v>2360650</v>
      </c>
      <c r="C35" s="20">
        <v>2354520</v>
      </c>
      <c r="D35" s="20">
        <v>5650097</v>
      </c>
      <c r="E35" s="22">
        <v>2400</v>
      </c>
      <c r="F35" s="21">
        <v>6011240</v>
      </c>
      <c r="G35" s="20">
        <v>5934160</v>
      </c>
      <c r="H35" s="20">
        <v>12133000</v>
      </c>
      <c r="I35" s="22">
        <v>2045</v>
      </c>
      <c r="J35" s="66">
        <f t="shared" si="1"/>
        <v>0.39270599743147838</v>
      </c>
      <c r="K35" s="67">
        <f t="shared" si="1"/>
        <v>0.39677393262062366</v>
      </c>
      <c r="L35" s="68">
        <f t="shared" si="1"/>
        <v>0.46568012857496083</v>
      </c>
    </row>
    <row r="36" spans="1:12" x14ac:dyDescent="0.25">
      <c r="A36" s="48" t="s">
        <v>106</v>
      </c>
      <c r="B36" s="21">
        <v>2441300</v>
      </c>
      <c r="C36" s="20">
        <v>2423800</v>
      </c>
      <c r="D36" s="20">
        <v>5705900</v>
      </c>
      <c r="E36" s="22">
        <v>2354</v>
      </c>
      <c r="F36" s="21">
        <v>6002155</v>
      </c>
      <c r="G36" s="20">
        <v>5913415</v>
      </c>
      <c r="H36" s="20">
        <v>12448200</v>
      </c>
      <c r="I36" s="22">
        <v>2105</v>
      </c>
      <c r="J36" s="66">
        <f t="shared" si="1"/>
        <v>0.40673724687216506</v>
      </c>
      <c r="K36" s="67">
        <f t="shared" si="1"/>
        <v>0.40988159971860594</v>
      </c>
      <c r="L36" s="68">
        <f t="shared" si="1"/>
        <v>0.45837149146061279</v>
      </c>
    </row>
    <row r="37" spans="1:12" x14ac:dyDescent="0.25">
      <c r="A37" s="48" t="s">
        <v>23</v>
      </c>
      <c r="B37" s="21">
        <v>2543200</v>
      </c>
      <c r="C37" s="20">
        <v>2447800</v>
      </c>
      <c r="D37" s="20">
        <v>4163900</v>
      </c>
      <c r="E37" s="22">
        <v>1701</v>
      </c>
      <c r="F37" s="21">
        <v>6669500</v>
      </c>
      <c r="G37" s="20">
        <v>6393780</v>
      </c>
      <c r="H37" s="20">
        <v>11004890</v>
      </c>
      <c r="I37" s="22">
        <v>1721</v>
      </c>
      <c r="J37" s="66">
        <f t="shared" si="1"/>
        <v>0.3813179398755529</v>
      </c>
      <c r="K37" s="67">
        <f t="shared" si="1"/>
        <v>0.38284082342526643</v>
      </c>
      <c r="L37" s="68">
        <f t="shared" si="1"/>
        <v>0.37836816178989524</v>
      </c>
    </row>
    <row r="38" spans="1:12" x14ac:dyDescent="0.25">
      <c r="A38" s="48" t="s">
        <v>24</v>
      </c>
      <c r="B38" s="21">
        <v>2608500</v>
      </c>
      <c r="C38" s="20">
        <v>2546200</v>
      </c>
      <c r="D38" s="20">
        <v>7310500</v>
      </c>
      <c r="E38" s="22">
        <v>2871</v>
      </c>
      <c r="F38" s="21">
        <v>7176250</v>
      </c>
      <c r="G38" s="20">
        <v>6954120</v>
      </c>
      <c r="H38" s="20">
        <v>18732172</v>
      </c>
      <c r="I38" s="22">
        <v>2694</v>
      </c>
      <c r="J38" s="66">
        <f t="shared" si="1"/>
        <v>0.3634906810660164</v>
      </c>
      <c r="K38" s="67">
        <f t="shared" si="1"/>
        <v>0.36614266075362517</v>
      </c>
      <c r="L38" s="68">
        <f t="shared" si="1"/>
        <v>0.39026440713869165</v>
      </c>
    </row>
    <row r="39" spans="1:12" x14ac:dyDescent="0.25">
      <c r="A39" s="48" t="s">
        <v>25</v>
      </c>
      <c r="B39" s="21">
        <v>2753800</v>
      </c>
      <c r="C39" s="20">
        <v>2741200</v>
      </c>
      <c r="D39" s="20">
        <v>7300000</v>
      </c>
      <c r="E39" s="22">
        <v>2663</v>
      </c>
      <c r="F39" s="21">
        <v>8400000</v>
      </c>
      <c r="G39" s="20">
        <v>8180000</v>
      </c>
      <c r="H39" s="20">
        <v>20000000</v>
      </c>
      <c r="I39" s="22">
        <v>2445</v>
      </c>
      <c r="J39" s="66">
        <f t="shared" si="1"/>
        <v>0.32783333333333331</v>
      </c>
      <c r="K39" s="67">
        <f t="shared" si="1"/>
        <v>0.33511002444987775</v>
      </c>
      <c r="L39" s="68">
        <f t="shared" si="1"/>
        <v>0.36499999999999999</v>
      </c>
    </row>
    <row r="40" spans="1:12" x14ac:dyDescent="0.25">
      <c r="A40" s="48" t="s">
        <v>26</v>
      </c>
      <c r="B40" s="21">
        <v>2873550</v>
      </c>
      <c r="C40" s="20">
        <v>2863400</v>
      </c>
      <c r="D40" s="20">
        <v>6637500</v>
      </c>
      <c r="E40" s="22">
        <v>2318</v>
      </c>
      <c r="F40" s="21">
        <v>8788181</v>
      </c>
      <c r="G40" s="20">
        <v>8635184</v>
      </c>
      <c r="H40" s="20">
        <v>20131510</v>
      </c>
      <c r="I40" s="22">
        <v>2331</v>
      </c>
      <c r="J40" s="66">
        <f t="shared" si="1"/>
        <v>0.32697892772122011</v>
      </c>
      <c r="K40" s="67">
        <f t="shared" si="1"/>
        <v>0.33159687158953416</v>
      </c>
      <c r="L40" s="68">
        <f t="shared" si="1"/>
        <v>0.32970701154558202</v>
      </c>
    </row>
    <row r="41" spans="1:12" x14ac:dyDescent="0.25">
      <c r="A41" s="48" t="s">
        <v>27</v>
      </c>
      <c r="B41" s="21">
        <v>3117150</v>
      </c>
      <c r="C41" s="20">
        <v>3087650</v>
      </c>
      <c r="D41" s="20">
        <v>8657700</v>
      </c>
      <c r="E41" s="22">
        <v>2804</v>
      </c>
      <c r="F41" s="21">
        <v>10927330</v>
      </c>
      <c r="G41" s="20">
        <v>10612893</v>
      </c>
      <c r="H41" s="20">
        <v>27266252</v>
      </c>
      <c r="I41" s="22">
        <v>2569</v>
      </c>
      <c r="J41" s="66">
        <f t="shared" ref="J41:L65" si="2">B41/F41</f>
        <v>0.28526181601544021</v>
      </c>
      <c r="K41" s="67">
        <f t="shared" si="2"/>
        <v>0.29093386694843715</v>
      </c>
      <c r="L41" s="68">
        <f t="shared" si="2"/>
        <v>0.31752438875720801</v>
      </c>
    </row>
    <row r="42" spans="1:12" x14ac:dyDescent="0.25">
      <c r="A42" s="48" t="s">
        <v>28</v>
      </c>
      <c r="B42" s="21">
        <v>3212300</v>
      </c>
      <c r="C42" s="20">
        <v>3148850</v>
      </c>
      <c r="D42" s="20">
        <v>8350300</v>
      </c>
      <c r="E42" s="22">
        <v>2652</v>
      </c>
      <c r="F42" s="21">
        <v>11627961</v>
      </c>
      <c r="G42" s="20">
        <v>11394403</v>
      </c>
      <c r="H42" s="20">
        <v>29962194</v>
      </c>
      <c r="I42" s="22">
        <v>2630</v>
      </c>
      <c r="J42" s="66">
        <f t="shared" si="2"/>
        <v>0.27625651651222427</v>
      </c>
      <c r="K42" s="67">
        <f t="shared" si="2"/>
        <v>0.2763505907242354</v>
      </c>
      <c r="L42" s="68">
        <f t="shared" si="2"/>
        <v>0.27869454419793155</v>
      </c>
    </row>
    <row r="43" spans="1:12" x14ac:dyDescent="0.25">
      <c r="A43" s="48" t="s">
        <v>29</v>
      </c>
      <c r="B43" s="21">
        <v>3319000</v>
      </c>
      <c r="C43" s="20">
        <v>3260000</v>
      </c>
      <c r="D43" s="20">
        <v>10223500</v>
      </c>
      <c r="E43" s="22">
        <v>3136</v>
      </c>
      <c r="F43" s="21">
        <v>12590244</v>
      </c>
      <c r="G43" s="20">
        <v>12403394</v>
      </c>
      <c r="H43" s="20">
        <v>34785121</v>
      </c>
      <c r="I43" s="22">
        <v>2804</v>
      </c>
      <c r="J43" s="66">
        <f t="shared" si="2"/>
        <v>0.26361681314516222</v>
      </c>
      <c r="K43" s="67">
        <f t="shared" si="2"/>
        <v>0.26283128633985181</v>
      </c>
      <c r="L43" s="68">
        <f t="shared" si="2"/>
        <v>0.29390439665281026</v>
      </c>
    </row>
    <row r="44" spans="1:12" x14ac:dyDescent="0.25">
      <c r="A44" s="48" t="s">
        <v>30</v>
      </c>
      <c r="B44" s="21">
        <v>3558000</v>
      </c>
      <c r="C44" s="20">
        <v>3531500</v>
      </c>
      <c r="D44" s="20">
        <v>9141950</v>
      </c>
      <c r="E44" s="22">
        <v>2589</v>
      </c>
      <c r="F44" s="21">
        <v>14513106</v>
      </c>
      <c r="G44" s="20">
        <v>14291714</v>
      </c>
      <c r="H44" s="20">
        <v>31560148</v>
      </c>
      <c r="I44" s="22">
        <v>2208</v>
      </c>
      <c r="J44" s="66">
        <f t="shared" si="2"/>
        <v>0.24515772157937799</v>
      </c>
      <c r="K44" s="67">
        <f t="shared" si="2"/>
        <v>0.24710122242860444</v>
      </c>
      <c r="L44" s="68">
        <f t="shared" si="2"/>
        <v>0.28966752627395792</v>
      </c>
    </row>
    <row r="45" spans="1:12" x14ac:dyDescent="0.25">
      <c r="A45" s="48" t="s">
        <v>31</v>
      </c>
      <c r="B45" s="21">
        <v>3531099</v>
      </c>
      <c r="C45" s="20">
        <v>3483586</v>
      </c>
      <c r="D45" s="20">
        <v>10448196</v>
      </c>
      <c r="E45" s="22">
        <v>2999</v>
      </c>
      <c r="F45" s="21">
        <v>14390630</v>
      </c>
      <c r="G45" s="20">
        <v>14027875</v>
      </c>
      <c r="H45" s="20">
        <v>38287103</v>
      </c>
      <c r="I45" s="22">
        <v>2729</v>
      </c>
      <c r="J45" s="66">
        <f t="shared" si="2"/>
        <v>0.24537487239961003</v>
      </c>
      <c r="K45" s="67">
        <f t="shared" si="2"/>
        <v>0.24833312244370584</v>
      </c>
      <c r="L45" s="68">
        <f t="shared" si="2"/>
        <v>0.27289074339210256</v>
      </c>
    </row>
    <row r="46" spans="1:12" x14ac:dyDescent="0.25">
      <c r="A46" s="48" t="s">
        <v>32</v>
      </c>
      <c r="B46" s="21">
        <v>3553290</v>
      </c>
      <c r="C46" s="20">
        <v>3524318</v>
      </c>
      <c r="D46" s="20">
        <v>10275416</v>
      </c>
      <c r="E46" s="22">
        <v>2916</v>
      </c>
      <c r="F46" s="21">
        <v>15368083</v>
      </c>
      <c r="G46" s="20">
        <v>15107896</v>
      </c>
      <c r="H46" s="20">
        <v>40489266</v>
      </c>
      <c r="I46" s="22">
        <v>2680</v>
      </c>
      <c r="J46" s="66">
        <f t="shared" si="2"/>
        <v>0.23121231190643621</v>
      </c>
      <c r="K46" s="67">
        <f t="shared" si="2"/>
        <v>0.23327655948915718</v>
      </c>
      <c r="L46" s="68">
        <f t="shared" si="2"/>
        <v>0.25378123673568198</v>
      </c>
    </row>
    <row r="47" spans="1:12" x14ac:dyDescent="0.25">
      <c r="A47" s="48" t="s">
        <v>33</v>
      </c>
      <c r="B47" s="21">
        <v>3474600</v>
      </c>
      <c r="C47" s="20">
        <v>3433555</v>
      </c>
      <c r="D47" s="20">
        <v>11295735</v>
      </c>
      <c r="E47" s="22">
        <v>3290</v>
      </c>
      <c r="F47" s="21">
        <v>16110038</v>
      </c>
      <c r="G47" s="20">
        <v>15952040</v>
      </c>
      <c r="H47" s="20">
        <v>47431082</v>
      </c>
      <c r="I47" s="22">
        <v>2973</v>
      </c>
      <c r="J47" s="66">
        <f t="shared" si="2"/>
        <v>0.21567919330792393</v>
      </c>
      <c r="K47" s="67">
        <f t="shared" si="2"/>
        <v>0.21524237652362957</v>
      </c>
      <c r="L47" s="68">
        <f t="shared" si="2"/>
        <v>0.23815048115495235</v>
      </c>
    </row>
    <row r="48" spans="1:12" x14ac:dyDescent="0.25">
      <c r="A48" s="48" t="s">
        <v>34</v>
      </c>
      <c r="B48" s="21">
        <v>3492200</v>
      </c>
      <c r="C48" s="20">
        <v>3427400</v>
      </c>
      <c r="D48" s="20">
        <v>11479999</v>
      </c>
      <c r="E48" s="22">
        <v>3349</v>
      </c>
      <c r="F48" s="21">
        <v>16571885</v>
      </c>
      <c r="G48" s="20">
        <v>16352459</v>
      </c>
      <c r="H48" s="20">
        <v>46150651</v>
      </c>
      <c r="I48" s="22">
        <v>2822</v>
      </c>
      <c r="J48" s="66">
        <f t="shared" si="2"/>
        <v>0.2107304027272697</v>
      </c>
      <c r="K48" s="67">
        <f t="shared" si="2"/>
        <v>0.20959538868129862</v>
      </c>
      <c r="L48" s="68">
        <f t="shared" si="2"/>
        <v>0.24875053225143021</v>
      </c>
    </row>
    <row r="49" spans="1:12" x14ac:dyDescent="0.25">
      <c r="A49" s="48" t="s">
        <v>35</v>
      </c>
      <c r="B49" s="21">
        <v>3440863</v>
      </c>
      <c r="C49" s="20">
        <v>3354963</v>
      </c>
      <c r="D49" s="20">
        <v>8061892</v>
      </c>
      <c r="E49" s="22">
        <v>2403</v>
      </c>
      <c r="F49" s="21">
        <v>17980895</v>
      </c>
      <c r="G49" s="20">
        <v>16711510</v>
      </c>
      <c r="H49" s="20">
        <v>30945404</v>
      </c>
      <c r="I49" s="22">
        <v>1852</v>
      </c>
      <c r="J49" s="66">
        <f t="shared" si="2"/>
        <v>0.19136216523148597</v>
      </c>
      <c r="K49" s="67">
        <f t="shared" si="2"/>
        <v>0.20075762154347512</v>
      </c>
      <c r="L49" s="68">
        <f t="shared" si="2"/>
        <v>0.26051984973277453</v>
      </c>
    </row>
    <row r="50" spans="1:12" x14ac:dyDescent="0.25">
      <c r="A50" s="48" t="s">
        <v>36</v>
      </c>
      <c r="B50" s="21">
        <v>3514279</v>
      </c>
      <c r="C50" s="20">
        <v>3509979</v>
      </c>
      <c r="D50" s="20">
        <v>12032550</v>
      </c>
      <c r="E50" s="22">
        <v>3428</v>
      </c>
      <c r="F50" s="21">
        <v>18392752</v>
      </c>
      <c r="G50" s="20">
        <v>18217927</v>
      </c>
      <c r="H50" s="20">
        <v>53247361</v>
      </c>
      <c r="I50" s="22">
        <v>2923</v>
      </c>
      <c r="J50" s="66">
        <f t="shared" si="2"/>
        <v>0.19106868836158938</v>
      </c>
      <c r="K50" s="67">
        <f t="shared" si="2"/>
        <v>0.19266621279138949</v>
      </c>
      <c r="L50" s="68">
        <f t="shared" si="2"/>
        <v>0.22597457928478371</v>
      </c>
    </row>
    <row r="51" spans="1:12" x14ac:dyDescent="0.25">
      <c r="A51" s="48" t="s">
        <v>37</v>
      </c>
      <c r="B51" s="21">
        <v>3107737</v>
      </c>
      <c r="C51" s="20">
        <v>3094737</v>
      </c>
      <c r="D51" s="20">
        <v>9741349</v>
      </c>
      <c r="E51" s="22">
        <v>3148</v>
      </c>
      <c r="F51" s="21">
        <v>18870651</v>
      </c>
      <c r="G51" s="20">
        <v>18733631</v>
      </c>
      <c r="H51" s="20">
        <v>48846100</v>
      </c>
      <c r="I51" s="22">
        <v>2607</v>
      </c>
      <c r="J51" s="66">
        <f t="shared" si="2"/>
        <v>0.16468626334088846</v>
      </c>
      <c r="K51" s="67">
        <f t="shared" si="2"/>
        <v>0.16519685906058468</v>
      </c>
      <c r="L51" s="68">
        <f t="shared" si="2"/>
        <v>0.19942941196943051</v>
      </c>
    </row>
    <row r="52" spans="1:12" x14ac:dyDescent="0.25">
      <c r="A52" s="48" t="s">
        <v>38</v>
      </c>
      <c r="B52" s="21">
        <v>3107800</v>
      </c>
      <c r="C52" s="20">
        <v>3007800</v>
      </c>
      <c r="D52" s="20">
        <v>8176630</v>
      </c>
      <c r="E52" s="22">
        <v>2718</v>
      </c>
      <c r="F52" s="21">
        <v>18664148</v>
      </c>
      <c r="G52" s="20">
        <v>17573258</v>
      </c>
      <c r="H52" s="20">
        <v>40097644</v>
      </c>
      <c r="I52" s="22">
        <v>2282</v>
      </c>
      <c r="J52" s="66">
        <f t="shared" si="2"/>
        <v>0.16651175290723155</v>
      </c>
      <c r="K52" s="67">
        <f t="shared" si="2"/>
        <v>0.17115778986457719</v>
      </c>
      <c r="L52" s="68">
        <f t="shared" si="2"/>
        <v>0.2039179658535549</v>
      </c>
    </row>
    <row r="53" spans="1:12" x14ac:dyDescent="0.25">
      <c r="A53" s="48" t="s">
        <v>39</v>
      </c>
      <c r="B53" s="21">
        <v>3128500</v>
      </c>
      <c r="C53" s="20">
        <v>3123000</v>
      </c>
      <c r="D53" s="20">
        <v>10383917</v>
      </c>
      <c r="E53" s="22">
        <v>3325</v>
      </c>
      <c r="F53" s="21">
        <v>19902072</v>
      </c>
      <c r="G53" s="20">
        <v>19286625</v>
      </c>
      <c r="H53" s="20">
        <v>49117029</v>
      </c>
      <c r="I53" s="22">
        <v>2547</v>
      </c>
      <c r="J53" s="66">
        <f t="shared" si="2"/>
        <v>0.15719468807066922</v>
      </c>
      <c r="K53" s="67">
        <f t="shared" si="2"/>
        <v>0.16192568684256578</v>
      </c>
      <c r="L53" s="68">
        <f t="shared" si="2"/>
        <v>0.21141174886616207</v>
      </c>
    </row>
    <row r="54" spans="1:12" x14ac:dyDescent="0.25">
      <c r="A54" s="48" t="s">
        <v>40</v>
      </c>
      <c r="B54" s="21">
        <v>3254768</v>
      </c>
      <c r="C54" s="20">
        <v>3209368</v>
      </c>
      <c r="D54" s="20">
        <v>9958834</v>
      </c>
      <c r="E54" s="22">
        <v>3103</v>
      </c>
      <c r="F54" s="21">
        <v>19705342</v>
      </c>
      <c r="G54" s="20">
        <v>19252952</v>
      </c>
      <c r="H54" s="20">
        <v>53398720</v>
      </c>
      <c r="I54" s="22">
        <v>2774</v>
      </c>
      <c r="J54" s="66">
        <f t="shared" si="2"/>
        <v>0.16517186050361368</v>
      </c>
      <c r="K54" s="67">
        <f t="shared" si="2"/>
        <v>0.16669485282049215</v>
      </c>
      <c r="L54" s="68">
        <f t="shared" si="2"/>
        <v>0.18649948912633113</v>
      </c>
    </row>
    <row r="55" spans="1:12" x14ac:dyDescent="0.25">
      <c r="A55" s="48" t="s">
        <v>41</v>
      </c>
      <c r="B55" s="21">
        <v>3224550</v>
      </c>
      <c r="C55" s="20">
        <v>3126150</v>
      </c>
      <c r="D55" s="20">
        <v>11804131</v>
      </c>
      <c r="E55" s="22">
        <v>3776</v>
      </c>
      <c r="F55" s="21">
        <v>19792100</v>
      </c>
      <c r="G55" s="20">
        <v>19334915</v>
      </c>
      <c r="H55" s="20">
        <v>61398276</v>
      </c>
      <c r="I55" s="22">
        <v>3176</v>
      </c>
      <c r="J55" s="66">
        <f t="shared" si="2"/>
        <v>0.16292106446511487</v>
      </c>
      <c r="K55" s="67">
        <f t="shared" si="2"/>
        <v>0.16168418635406465</v>
      </c>
      <c r="L55" s="68">
        <f t="shared" si="2"/>
        <v>0.19225508872594402</v>
      </c>
    </row>
    <row r="56" spans="1:12" x14ac:dyDescent="0.25">
      <c r="A56" s="48" t="s">
        <v>42</v>
      </c>
      <c r="B56" s="21">
        <v>3468912</v>
      </c>
      <c r="C56" s="20">
        <v>3123327</v>
      </c>
      <c r="D56" s="20">
        <v>8317217</v>
      </c>
      <c r="E56" s="22">
        <v>2663</v>
      </c>
      <c r="F56" s="21">
        <v>20562233</v>
      </c>
      <c r="G56" s="20">
        <v>19590871</v>
      </c>
      <c r="H56" s="20">
        <v>59095246</v>
      </c>
      <c r="I56" s="22">
        <v>3016</v>
      </c>
      <c r="J56" s="66">
        <f t="shared" si="2"/>
        <v>0.16870307811413285</v>
      </c>
      <c r="K56" s="67">
        <f t="shared" si="2"/>
        <v>0.15942767424684692</v>
      </c>
      <c r="L56" s="68">
        <f t="shared" si="2"/>
        <v>0.14074257343814087</v>
      </c>
    </row>
    <row r="57" spans="1:12" x14ac:dyDescent="0.25">
      <c r="A57" s="48" t="s">
        <v>43</v>
      </c>
      <c r="B57" s="21">
        <v>2957363</v>
      </c>
      <c r="C57" s="20">
        <v>2831723</v>
      </c>
      <c r="D57" s="20">
        <v>9762280</v>
      </c>
      <c r="E57" s="22">
        <v>3447</v>
      </c>
      <c r="F57" s="21">
        <v>18057162</v>
      </c>
      <c r="G57" s="20">
        <v>17335666</v>
      </c>
      <c r="H57" s="20">
        <v>54972546</v>
      </c>
      <c r="I57" s="22">
        <v>3171</v>
      </c>
      <c r="J57" s="66">
        <f t="shared" si="2"/>
        <v>0.1637778406152639</v>
      </c>
      <c r="K57" s="67">
        <f t="shared" si="2"/>
        <v>0.16334665192557354</v>
      </c>
      <c r="L57" s="68">
        <f t="shared" si="2"/>
        <v>0.17758464379655983</v>
      </c>
    </row>
    <row r="58" spans="1:12" x14ac:dyDescent="0.25">
      <c r="A58" s="48" t="s">
        <v>44</v>
      </c>
      <c r="B58" s="21">
        <v>3011720</v>
      </c>
      <c r="C58" s="20">
        <v>2839620</v>
      </c>
      <c r="D58" s="20">
        <v>6852404</v>
      </c>
      <c r="E58" s="22">
        <v>2413</v>
      </c>
      <c r="F58" s="21">
        <v>17259260</v>
      </c>
      <c r="G58" s="20">
        <v>16318060</v>
      </c>
      <c r="H58" s="20">
        <v>37785927</v>
      </c>
      <c r="I58" s="22">
        <v>2316</v>
      </c>
      <c r="J58" s="66">
        <f t="shared" si="2"/>
        <v>0.17449879079404332</v>
      </c>
      <c r="K58" s="67">
        <f t="shared" si="2"/>
        <v>0.17401700937488893</v>
      </c>
      <c r="L58" s="68">
        <f t="shared" si="2"/>
        <v>0.18134804526563553</v>
      </c>
    </row>
    <row r="59" spans="1:12" x14ac:dyDescent="0.25">
      <c r="A59" s="48" t="s">
        <v>45</v>
      </c>
      <c r="B59" s="21">
        <v>2838202</v>
      </c>
      <c r="C59" s="20">
        <v>2734302</v>
      </c>
      <c r="D59" s="20">
        <v>10520091</v>
      </c>
      <c r="E59" s="22">
        <v>3847</v>
      </c>
      <c r="F59" s="21">
        <v>17010277</v>
      </c>
      <c r="G59" s="20">
        <v>16575887</v>
      </c>
      <c r="H59" s="20">
        <v>55263891</v>
      </c>
      <c r="I59" s="22">
        <v>3334</v>
      </c>
      <c r="J59" s="66">
        <f t="shared" si="2"/>
        <v>0.16685219176618935</v>
      </c>
      <c r="K59" s="67">
        <f t="shared" si="2"/>
        <v>0.16495660232239759</v>
      </c>
      <c r="L59" s="68">
        <f t="shared" si="2"/>
        <v>0.19036102615358733</v>
      </c>
    </row>
    <row r="60" spans="1:12" x14ac:dyDescent="0.25">
      <c r="A60" s="49" t="s">
        <v>46</v>
      </c>
      <c r="B60" s="21">
        <v>3007360</v>
      </c>
      <c r="C60" s="20">
        <v>2974260</v>
      </c>
      <c r="D60" s="20">
        <v>9399967</v>
      </c>
      <c r="E60" s="22">
        <v>3160</v>
      </c>
      <c r="F60" s="21">
        <v>16918869</v>
      </c>
      <c r="G60" s="20">
        <v>16710793</v>
      </c>
      <c r="H60" s="20">
        <v>48780407</v>
      </c>
      <c r="I60" s="22">
        <v>2919</v>
      </c>
      <c r="J60" s="66">
        <f t="shared" si="2"/>
        <v>0.17775183435724928</v>
      </c>
      <c r="K60" s="67">
        <f t="shared" si="2"/>
        <v>0.17798437213602011</v>
      </c>
      <c r="L60" s="68">
        <f t="shared" si="2"/>
        <v>0.19269964270695814</v>
      </c>
    </row>
    <row r="61" spans="1:12" x14ac:dyDescent="0.25">
      <c r="A61" s="49" t="s">
        <v>47</v>
      </c>
      <c r="B61" s="21">
        <v>3038334</v>
      </c>
      <c r="C61" s="20">
        <v>3038334</v>
      </c>
      <c r="D61" s="20">
        <v>9280032</v>
      </c>
      <c r="E61" s="22">
        <v>3054</v>
      </c>
      <c r="F61" s="21">
        <v>16650093</v>
      </c>
      <c r="G61" s="20">
        <v>16466714</v>
      </c>
      <c r="H61" s="20">
        <v>46217911</v>
      </c>
      <c r="I61" s="22">
        <v>2807</v>
      </c>
      <c r="J61" s="66">
        <f t="shared" si="2"/>
        <v>0.18248150325646831</v>
      </c>
      <c r="K61" s="67">
        <f t="shared" si="2"/>
        <v>0.18451368014286273</v>
      </c>
      <c r="L61" s="68">
        <f t="shared" si="2"/>
        <v>0.20078865096261059</v>
      </c>
    </row>
    <row r="62" spans="1:12" x14ac:dyDescent="0.25">
      <c r="A62" s="49" t="s">
        <v>48</v>
      </c>
      <c r="B62" s="21">
        <v>2877651</v>
      </c>
      <c r="C62" s="20">
        <v>2858551</v>
      </c>
      <c r="D62" s="20">
        <v>8272320</v>
      </c>
      <c r="E62" s="22">
        <v>2894</v>
      </c>
      <c r="F62" s="21">
        <v>16094383</v>
      </c>
      <c r="G62" s="20">
        <v>15874266</v>
      </c>
      <c r="H62" s="20">
        <v>43861066</v>
      </c>
      <c r="I62" s="22">
        <v>2763</v>
      </c>
      <c r="J62" s="66">
        <f t="shared" si="2"/>
        <v>0.17879846652089737</v>
      </c>
      <c r="K62" s="67">
        <f t="shared" si="2"/>
        <v>0.18007453069011189</v>
      </c>
      <c r="L62" s="68">
        <f t="shared" si="2"/>
        <v>0.1886028032241624</v>
      </c>
    </row>
    <row r="63" spans="1:12" x14ac:dyDescent="0.25">
      <c r="A63" s="49" t="s">
        <v>49</v>
      </c>
      <c r="B63" s="21">
        <v>2873207</v>
      </c>
      <c r="C63" s="20">
        <v>2472867</v>
      </c>
      <c r="D63" s="20">
        <v>3829670</v>
      </c>
      <c r="E63" s="22">
        <v>1549</v>
      </c>
      <c r="F63" s="21">
        <v>15978773</v>
      </c>
      <c r="G63" s="20">
        <v>14356922</v>
      </c>
      <c r="H63" s="20">
        <v>25044978</v>
      </c>
      <c r="I63" s="22">
        <v>1744</v>
      </c>
      <c r="J63" s="66">
        <f t="shared" si="2"/>
        <v>0.17981399447880009</v>
      </c>
      <c r="K63" s="67">
        <f t="shared" si="2"/>
        <v>0.17224214215275391</v>
      </c>
      <c r="L63" s="68">
        <f t="shared" si="2"/>
        <v>0.15291169351396516</v>
      </c>
    </row>
    <row r="64" spans="1:12" x14ac:dyDescent="0.25">
      <c r="A64" s="49" t="s">
        <v>50</v>
      </c>
      <c r="B64" s="21">
        <v>3060735</v>
      </c>
      <c r="C64" s="20">
        <v>3045335</v>
      </c>
      <c r="D64" s="20">
        <v>10796728</v>
      </c>
      <c r="E64" s="22">
        <v>3545</v>
      </c>
      <c r="F64" s="21">
        <v>16564537</v>
      </c>
      <c r="G64" s="20">
        <v>16371093</v>
      </c>
      <c r="H64" s="20">
        <v>48213207</v>
      </c>
      <c r="I64" s="22">
        <v>2945</v>
      </c>
      <c r="J64" s="66">
        <f t="shared" si="2"/>
        <v>0.18477636893805122</v>
      </c>
      <c r="K64" s="67">
        <f t="shared" si="2"/>
        <v>0.18601903977944539</v>
      </c>
      <c r="L64" s="68">
        <f t="shared" si="2"/>
        <v>0.22393714651672103</v>
      </c>
    </row>
    <row r="65" spans="1:12" x14ac:dyDescent="0.25">
      <c r="A65" s="49" t="s">
        <v>51</v>
      </c>
      <c r="B65" s="21">
        <v>3389223</v>
      </c>
      <c r="C65" s="20">
        <v>3362223</v>
      </c>
      <c r="D65" s="20">
        <v>11463852</v>
      </c>
      <c r="E65" s="22">
        <v>3410</v>
      </c>
      <c r="F65" s="21">
        <v>17994965</v>
      </c>
      <c r="G65" s="20">
        <v>17455116</v>
      </c>
      <c r="H65" s="20">
        <v>51107836</v>
      </c>
      <c r="I65" s="22">
        <v>2928</v>
      </c>
      <c r="J65" s="66">
        <f t="shared" si="2"/>
        <v>0.1883428503473055</v>
      </c>
      <c r="K65" s="67">
        <f t="shared" si="2"/>
        <v>0.19262106307400076</v>
      </c>
      <c r="L65" s="68">
        <f t="shared" si="2"/>
        <v>0.22430712973251304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3">B66/F66</f>
        <v>#N/A</v>
      </c>
      <c r="K66" s="67" t="e">
        <f t="shared" si="3"/>
        <v>#N/A</v>
      </c>
      <c r="L66" s="68" t="e">
        <f t="shared" si="3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3"/>
        <v>#N/A</v>
      </c>
      <c r="K67" s="67" t="e">
        <f t="shared" si="3"/>
        <v>#N/A</v>
      </c>
      <c r="L67" s="68" t="e">
        <f t="shared" si="3"/>
        <v>#N/A</v>
      </c>
    </row>
  </sheetData>
  <mergeCells count="1">
    <mergeCell ref="A8:A9"/>
  </mergeCells>
  <hyperlinks>
    <hyperlink ref="A5" location="Índice!A1" display="VOLVER AL INDICE" xr:uid="{F6710459-7E92-4CD6-AFF6-5854B84EB0EB}"/>
  </hyperlinks>
  <pageMargins left="0.7" right="0.7" top="0.75" bottom="0.75" header="0.3" footer="0.3"/>
  <pageSetup paperSize="9" fitToWidth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C84D-37D3-4745-BEC3-CC075C70CA08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59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220</v>
      </c>
      <c r="C10" s="40">
        <v>220</v>
      </c>
      <c r="D10" s="40">
        <v>1200</v>
      </c>
      <c r="E10" s="50">
        <v>5455</v>
      </c>
      <c r="F10" s="41">
        <v>10581</v>
      </c>
      <c r="G10" s="40">
        <v>10461</v>
      </c>
      <c r="H10" s="40">
        <v>49110</v>
      </c>
      <c r="I10" s="50">
        <v>4695</v>
      </c>
      <c r="J10" s="63">
        <f>B10/F10</f>
        <v>2.0791985634628106E-2</v>
      </c>
      <c r="K10" s="64">
        <f t="shared" ref="K10:L25" si="0">C10/G10</f>
        <v>2.1030494216614092E-2</v>
      </c>
      <c r="L10" s="65">
        <f t="shared" si="0"/>
        <v>2.4434941967012829E-2</v>
      </c>
    </row>
    <row r="11" spans="1:12" x14ac:dyDescent="0.25">
      <c r="A11" s="48" t="s">
        <v>81</v>
      </c>
      <c r="B11" s="21">
        <v>105</v>
      </c>
      <c r="C11" s="20">
        <v>105</v>
      </c>
      <c r="D11" s="20">
        <v>520</v>
      </c>
      <c r="E11" s="22">
        <v>4952</v>
      </c>
      <c r="F11" s="21">
        <v>10482</v>
      </c>
      <c r="G11" s="20">
        <v>10282</v>
      </c>
      <c r="H11" s="20">
        <v>49214</v>
      </c>
      <c r="I11" s="22">
        <v>4786</v>
      </c>
      <c r="J11" s="66">
        <f t="shared" ref="J11:L65" si="1">B11/F11</f>
        <v>1.001717229536348E-2</v>
      </c>
      <c r="K11" s="67">
        <f t="shared" si="0"/>
        <v>1.0212021007586072E-2</v>
      </c>
      <c r="L11" s="68">
        <f t="shared" si="0"/>
        <v>1.0566099077498272E-2</v>
      </c>
    </row>
    <row r="12" spans="1:12" x14ac:dyDescent="0.25">
      <c r="A12" s="48" t="s">
        <v>82</v>
      </c>
      <c r="B12" s="21">
        <v>110</v>
      </c>
      <c r="C12" s="20">
        <v>110</v>
      </c>
      <c r="D12" s="20">
        <v>640</v>
      </c>
      <c r="E12" s="22">
        <v>5818</v>
      </c>
      <c r="F12" s="21">
        <v>11036</v>
      </c>
      <c r="G12" s="20">
        <v>10816</v>
      </c>
      <c r="H12" s="20">
        <v>50746</v>
      </c>
      <c r="I12" s="22">
        <v>4692</v>
      </c>
      <c r="J12" s="66">
        <f t="shared" si="1"/>
        <v>9.9673794853207681E-3</v>
      </c>
      <c r="K12" s="67">
        <f t="shared" si="0"/>
        <v>1.0170118343195266E-2</v>
      </c>
      <c r="L12" s="68">
        <f t="shared" si="0"/>
        <v>1.2611831474401923E-2</v>
      </c>
    </row>
    <row r="13" spans="1:12" x14ac:dyDescent="0.25">
      <c r="A13" s="48" t="s">
        <v>83</v>
      </c>
      <c r="B13" s="21">
        <v>110</v>
      </c>
      <c r="C13" s="20">
        <v>110</v>
      </c>
      <c r="D13" s="20">
        <v>700</v>
      </c>
      <c r="E13" s="22">
        <v>6364</v>
      </c>
      <c r="F13" s="21">
        <v>11586</v>
      </c>
      <c r="G13" s="20">
        <v>11286</v>
      </c>
      <c r="H13" s="20">
        <v>54545</v>
      </c>
      <c r="I13" s="22">
        <v>4833</v>
      </c>
      <c r="J13" s="66">
        <f t="shared" si="1"/>
        <v>9.4942171586397377E-3</v>
      </c>
      <c r="K13" s="67">
        <f t="shared" si="0"/>
        <v>9.7465886939571145E-3</v>
      </c>
      <c r="L13" s="68">
        <f t="shared" si="0"/>
        <v>1.2833440278668989E-2</v>
      </c>
    </row>
    <row r="14" spans="1:12" x14ac:dyDescent="0.25">
      <c r="A14" s="48" t="s">
        <v>84</v>
      </c>
      <c r="B14" s="21">
        <v>100</v>
      </c>
      <c r="C14" s="20">
        <v>100</v>
      </c>
      <c r="D14" s="20">
        <v>560</v>
      </c>
      <c r="E14" s="22">
        <v>5600</v>
      </c>
      <c r="F14" s="21">
        <v>13084</v>
      </c>
      <c r="G14" s="20">
        <v>12884</v>
      </c>
      <c r="H14" s="20">
        <v>66821</v>
      </c>
      <c r="I14" s="22">
        <v>5186</v>
      </c>
      <c r="J14" s="66">
        <f t="shared" si="1"/>
        <v>7.6429226536227452E-3</v>
      </c>
      <c r="K14" s="67">
        <f t="shared" si="0"/>
        <v>7.7615647314498602E-3</v>
      </c>
      <c r="L14" s="68">
        <f t="shared" si="0"/>
        <v>8.3805989135152126E-3</v>
      </c>
    </row>
    <row r="15" spans="1:12" x14ac:dyDescent="0.25">
      <c r="A15" s="48" t="s">
        <v>85</v>
      </c>
      <c r="B15" s="21">
        <v>70</v>
      </c>
      <c r="C15" s="20">
        <v>70</v>
      </c>
      <c r="D15" s="20">
        <v>450</v>
      </c>
      <c r="E15" s="22">
        <v>6429</v>
      </c>
      <c r="F15" s="21">
        <v>13284</v>
      </c>
      <c r="G15" s="20">
        <v>13224</v>
      </c>
      <c r="H15" s="20">
        <v>67621</v>
      </c>
      <c r="I15" s="22">
        <v>5114</v>
      </c>
      <c r="J15" s="66">
        <f t="shared" si="1"/>
        <v>5.2694971394158388E-3</v>
      </c>
      <c r="K15" s="67">
        <f t="shared" si="0"/>
        <v>5.2934059286146402E-3</v>
      </c>
      <c r="L15" s="68">
        <f t="shared" si="0"/>
        <v>6.6547374336374792E-3</v>
      </c>
    </row>
    <row r="16" spans="1:12" x14ac:dyDescent="0.25">
      <c r="A16" s="48" t="s">
        <v>86</v>
      </c>
      <c r="B16" s="21">
        <v>63</v>
      </c>
      <c r="C16" s="20">
        <v>63</v>
      </c>
      <c r="D16" s="20">
        <v>400</v>
      </c>
      <c r="E16" s="22">
        <v>6349</v>
      </c>
      <c r="F16" s="21">
        <v>13685</v>
      </c>
      <c r="G16" s="20">
        <v>13535</v>
      </c>
      <c r="H16" s="20">
        <v>68525</v>
      </c>
      <c r="I16" s="22">
        <v>5063</v>
      </c>
      <c r="J16" s="66">
        <f t="shared" si="1"/>
        <v>4.6035805626598461E-3</v>
      </c>
      <c r="K16" s="67">
        <f t="shared" si="0"/>
        <v>4.6545991872922058E-3</v>
      </c>
      <c r="L16" s="68">
        <f t="shared" si="0"/>
        <v>5.8372856621670922E-3</v>
      </c>
    </row>
    <row r="17" spans="1:12" x14ac:dyDescent="0.25">
      <c r="A17" s="48" t="s">
        <v>87</v>
      </c>
      <c r="B17" s="21">
        <v>70</v>
      </c>
      <c r="C17" s="20">
        <v>70</v>
      </c>
      <c r="D17" s="20">
        <v>440</v>
      </c>
      <c r="E17" s="22">
        <v>6286</v>
      </c>
      <c r="F17" s="21">
        <v>14585</v>
      </c>
      <c r="G17" s="20">
        <v>14485</v>
      </c>
      <c r="H17" s="20">
        <v>72925</v>
      </c>
      <c r="I17" s="22">
        <v>5035</v>
      </c>
      <c r="J17" s="66">
        <f t="shared" si="1"/>
        <v>4.7994514912581415E-3</v>
      </c>
      <c r="K17" s="67">
        <f t="shared" si="0"/>
        <v>4.832585433206766E-3</v>
      </c>
      <c r="L17" s="68">
        <f t="shared" si="0"/>
        <v>6.0335961604388068E-3</v>
      </c>
    </row>
    <row r="18" spans="1:12" x14ac:dyDescent="0.25">
      <c r="A18" s="48" t="s">
        <v>88</v>
      </c>
      <c r="B18" s="21">
        <v>65</v>
      </c>
      <c r="C18" s="20">
        <v>65</v>
      </c>
      <c r="D18" s="20">
        <v>400</v>
      </c>
      <c r="E18" s="22">
        <v>6154</v>
      </c>
      <c r="F18" s="21">
        <v>16980</v>
      </c>
      <c r="G18" s="20">
        <v>16980</v>
      </c>
      <c r="H18" s="20">
        <v>78900</v>
      </c>
      <c r="I18" s="22">
        <v>4647</v>
      </c>
      <c r="J18" s="66">
        <f t="shared" si="1"/>
        <v>3.8280329799764428E-3</v>
      </c>
      <c r="K18" s="67">
        <f t="shared" si="0"/>
        <v>3.8280329799764428E-3</v>
      </c>
      <c r="L18" s="68">
        <f t="shared" si="0"/>
        <v>5.0697084917617234E-3</v>
      </c>
    </row>
    <row r="19" spans="1:12" x14ac:dyDescent="0.25">
      <c r="A19" s="48" t="s">
        <v>89</v>
      </c>
      <c r="B19" s="21">
        <v>60</v>
      </c>
      <c r="C19" s="20">
        <v>60</v>
      </c>
      <c r="D19" s="20">
        <v>350</v>
      </c>
      <c r="E19" s="22">
        <v>5833</v>
      </c>
      <c r="F19" s="21">
        <v>17680</v>
      </c>
      <c r="G19" s="20">
        <v>16780</v>
      </c>
      <c r="H19" s="20">
        <v>80920</v>
      </c>
      <c r="I19" s="22">
        <v>4822</v>
      </c>
      <c r="J19" s="66">
        <f t="shared" si="1"/>
        <v>3.3936651583710408E-3</v>
      </c>
      <c r="K19" s="67">
        <f t="shared" si="0"/>
        <v>3.5756853396901071E-3</v>
      </c>
      <c r="L19" s="68">
        <f t="shared" si="0"/>
        <v>4.3252595155709346E-3</v>
      </c>
    </row>
    <row r="20" spans="1:12" x14ac:dyDescent="0.25">
      <c r="A20" s="48" t="s">
        <v>90</v>
      </c>
      <c r="B20" s="21">
        <v>50</v>
      </c>
      <c r="C20" s="20">
        <v>50</v>
      </c>
      <c r="D20" s="20">
        <v>300</v>
      </c>
      <c r="E20" s="22">
        <v>6000</v>
      </c>
      <c r="F20" s="21">
        <v>18783</v>
      </c>
      <c r="G20" s="20">
        <v>18683</v>
      </c>
      <c r="H20" s="20">
        <v>94932</v>
      </c>
      <c r="I20" s="22">
        <v>5081</v>
      </c>
      <c r="J20" s="66">
        <f t="shared" si="1"/>
        <v>2.6619815790874727E-3</v>
      </c>
      <c r="K20" s="67">
        <f t="shared" si="0"/>
        <v>2.6762297275598136E-3</v>
      </c>
      <c r="L20" s="68">
        <f t="shared" si="0"/>
        <v>3.1601567437744911E-3</v>
      </c>
    </row>
    <row r="21" spans="1:12" x14ac:dyDescent="0.25">
      <c r="A21" s="48" t="s">
        <v>91</v>
      </c>
      <c r="B21" s="21">
        <v>50</v>
      </c>
      <c r="C21" s="20">
        <v>50</v>
      </c>
      <c r="D21" s="20">
        <v>290</v>
      </c>
      <c r="E21" s="22">
        <v>5800</v>
      </c>
      <c r="F21" s="21">
        <v>14585</v>
      </c>
      <c r="G21" s="20">
        <v>14385</v>
      </c>
      <c r="H21" s="20">
        <v>68939</v>
      </c>
      <c r="I21" s="22">
        <v>4792</v>
      </c>
      <c r="J21" s="66">
        <f t="shared" si="1"/>
        <v>3.4281796366129585E-3</v>
      </c>
      <c r="K21" s="67">
        <f t="shared" si="0"/>
        <v>3.4758428919012862E-3</v>
      </c>
      <c r="L21" s="68">
        <f t="shared" si="0"/>
        <v>4.2066174444073748E-3</v>
      </c>
    </row>
    <row r="22" spans="1:12" x14ac:dyDescent="0.25">
      <c r="A22" s="48" t="s">
        <v>92</v>
      </c>
      <c r="B22" s="21">
        <v>38</v>
      </c>
      <c r="C22" s="20">
        <v>38</v>
      </c>
      <c r="D22" s="20">
        <v>300</v>
      </c>
      <c r="E22" s="22">
        <v>7895</v>
      </c>
      <c r="F22" s="21">
        <v>7195</v>
      </c>
      <c r="G22" s="20">
        <v>7195</v>
      </c>
      <c r="H22" s="20">
        <v>37680</v>
      </c>
      <c r="I22" s="22">
        <v>5237</v>
      </c>
      <c r="J22" s="66">
        <f t="shared" si="1"/>
        <v>5.2814454482279357E-3</v>
      </c>
      <c r="K22" s="67">
        <f t="shared" si="0"/>
        <v>5.2814454482279357E-3</v>
      </c>
      <c r="L22" s="68">
        <f t="shared" si="0"/>
        <v>7.9617834394904458E-3</v>
      </c>
    </row>
    <row r="23" spans="1:12" x14ac:dyDescent="0.25">
      <c r="A23" s="48" t="s">
        <v>93</v>
      </c>
      <c r="B23" s="21">
        <v>35</v>
      </c>
      <c r="C23" s="20">
        <v>35</v>
      </c>
      <c r="D23" s="20">
        <v>240</v>
      </c>
      <c r="E23" s="22">
        <v>6857</v>
      </c>
      <c r="F23" s="21">
        <v>8596</v>
      </c>
      <c r="G23" s="20">
        <v>8591</v>
      </c>
      <c r="H23" s="20">
        <v>48083</v>
      </c>
      <c r="I23" s="22">
        <v>5597</v>
      </c>
      <c r="J23" s="66">
        <f t="shared" si="1"/>
        <v>4.0716612377850164E-3</v>
      </c>
      <c r="K23" s="67">
        <f t="shared" si="0"/>
        <v>4.0740309626353163E-3</v>
      </c>
      <c r="L23" s="68">
        <f t="shared" si="0"/>
        <v>4.9913690909469044E-3</v>
      </c>
    </row>
    <row r="24" spans="1:12" x14ac:dyDescent="0.25">
      <c r="A24" s="48" t="s">
        <v>94</v>
      </c>
      <c r="B24" s="21">
        <v>30</v>
      </c>
      <c r="C24" s="20">
        <v>30</v>
      </c>
      <c r="D24" s="20">
        <v>180</v>
      </c>
      <c r="E24" s="22">
        <v>6000</v>
      </c>
      <c r="F24" s="21">
        <v>9794</v>
      </c>
      <c r="G24" s="20">
        <v>9779</v>
      </c>
      <c r="H24" s="20">
        <v>50574</v>
      </c>
      <c r="I24" s="22">
        <v>5172</v>
      </c>
      <c r="J24" s="66">
        <f t="shared" si="1"/>
        <v>3.06309985705534E-3</v>
      </c>
      <c r="K24" s="67">
        <f t="shared" si="0"/>
        <v>3.0677983433888946E-3</v>
      </c>
      <c r="L24" s="68">
        <f t="shared" si="0"/>
        <v>3.5591410606240362E-3</v>
      </c>
    </row>
    <row r="25" spans="1:12" x14ac:dyDescent="0.25">
      <c r="A25" s="48" t="s">
        <v>95</v>
      </c>
      <c r="B25" s="21">
        <v>27</v>
      </c>
      <c r="C25" s="20">
        <v>27</v>
      </c>
      <c r="D25" s="20">
        <v>157</v>
      </c>
      <c r="E25" s="22">
        <v>5815</v>
      </c>
      <c r="F25" s="21">
        <v>7298</v>
      </c>
      <c r="G25" s="20">
        <v>7284</v>
      </c>
      <c r="H25" s="20">
        <v>36588</v>
      </c>
      <c r="I25" s="22">
        <v>5023</v>
      </c>
      <c r="J25" s="66">
        <f t="shared" si="1"/>
        <v>3.6996437380104139E-3</v>
      </c>
      <c r="K25" s="67">
        <f t="shared" si="0"/>
        <v>3.7067545304777594E-3</v>
      </c>
      <c r="L25" s="68">
        <f t="shared" si="0"/>
        <v>4.2910243795780036E-3</v>
      </c>
    </row>
    <row r="26" spans="1:12" x14ac:dyDescent="0.25">
      <c r="A26" s="48" t="s">
        <v>96</v>
      </c>
      <c r="B26" s="21">
        <v>25</v>
      </c>
      <c r="C26" s="20">
        <v>25</v>
      </c>
      <c r="D26" s="20">
        <v>144</v>
      </c>
      <c r="E26" s="22">
        <v>5760</v>
      </c>
      <c r="F26" s="21">
        <v>6349</v>
      </c>
      <c r="G26" s="20">
        <v>6283</v>
      </c>
      <c r="H26" s="20">
        <v>31695</v>
      </c>
      <c r="I26" s="22">
        <v>5045</v>
      </c>
      <c r="J26" s="66">
        <f t="shared" si="1"/>
        <v>3.9376279729091196E-3</v>
      </c>
      <c r="K26" s="67">
        <f t="shared" si="1"/>
        <v>3.9789909279006842E-3</v>
      </c>
      <c r="L26" s="68">
        <f t="shared" si="1"/>
        <v>4.5433033601514437E-3</v>
      </c>
    </row>
    <row r="27" spans="1:12" x14ac:dyDescent="0.25">
      <c r="A27" s="48" t="s">
        <v>97</v>
      </c>
      <c r="B27" s="21">
        <v>21</v>
      </c>
      <c r="C27" s="20">
        <v>21</v>
      </c>
      <c r="D27" s="20">
        <v>130</v>
      </c>
      <c r="E27" s="22">
        <v>6190</v>
      </c>
      <c r="F27" s="21">
        <v>7248</v>
      </c>
      <c r="G27" s="20">
        <v>7190</v>
      </c>
      <c r="H27" s="20">
        <v>41696</v>
      </c>
      <c r="I27" s="22">
        <v>5799</v>
      </c>
      <c r="J27" s="66">
        <f t="shared" si="1"/>
        <v>2.8973509933774835E-3</v>
      </c>
      <c r="K27" s="67">
        <f t="shared" si="1"/>
        <v>2.9207232267037552E-3</v>
      </c>
      <c r="L27" s="68">
        <f t="shared" si="1"/>
        <v>3.1178050652340751E-3</v>
      </c>
    </row>
    <row r="28" spans="1:12" x14ac:dyDescent="0.25">
      <c r="A28" s="48" t="s">
        <v>98</v>
      </c>
      <c r="B28" s="21">
        <v>13</v>
      </c>
      <c r="C28" s="20">
        <v>13</v>
      </c>
      <c r="D28" s="20">
        <v>80</v>
      </c>
      <c r="E28" s="22">
        <v>6154</v>
      </c>
      <c r="F28" s="21">
        <v>7098</v>
      </c>
      <c r="G28" s="20">
        <v>7028</v>
      </c>
      <c r="H28" s="20">
        <v>35992</v>
      </c>
      <c r="I28" s="22">
        <v>5121</v>
      </c>
      <c r="J28" s="66">
        <f t="shared" si="1"/>
        <v>1.8315018315018315E-3</v>
      </c>
      <c r="K28" s="67">
        <f t="shared" si="1"/>
        <v>1.8497438816163915E-3</v>
      </c>
      <c r="L28" s="68">
        <f t="shared" si="1"/>
        <v>2.2227161591464768E-3</v>
      </c>
    </row>
    <row r="29" spans="1:12" x14ac:dyDescent="0.25">
      <c r="A29" s="48" t="s">
        <v>99</v>
      </c>
      <c r="B29" s="21">
        <v>11</v>
      </c>
      <c r="C29" s="20">
        <v>11</v>
      </c>
      <c r="D29" s="20">
        <v>70</v>
      </c>
      <c r="E29" s="22">
        <v>6364</v>
      </c>
      <c r="F29" s="21">
        <v>6000</v>
      </c>
      <c r="G29" s="20">
        <v>5970</v>
      </c>
      <c r="H29" s="20">
        <v>33100</v>
      </c>
      <c r="I29" s="22">
        <v>5544</v>
      </c>
      <c r="J29" s="66">
        <f t="shared" si="1"/>
        <v>1.8333333333333333E-3</v>
      </c>
      <c r="K29" s="67">
        <f t="shared" si="1"/>
        <v>1.8425460636515912E-3</v>
      </c>
      <c r="L29" s="68">
        <f t="shared" si="1"/>
        <v>2.1148036253776435E-3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>
        <v>6475</v>
      </c>
      <c r="G30" s="20">
        <v>6410</v>
      </c>
      <c r="H30" s="20">
        <v>40330</v>
      </c>
      <c r="I30" s="22">
        <v>6292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>
        <v>10555</v>
      </c>
      <c r="G31" s="20">
        <v>10490</v>
      </c>
      <c r="H31" s="20">
        <v>73964</v>
      </c>
      <c r="I31" s="22">
        <v>7051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>
        <v>12768</v>
      </c>
      <c r="G32" s="20">
        <v>12693</v>
      </c>
      <c r="H32" s="20">
        <v>92340</v>
      </c>
      <c r="I32" s="22">
        <v>7275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>
        <v>11536</v>
      </c>
      <c r="G33" s="20">
        <v>11431</v>
      </c>
      <c r="H33" s="20">
        <v>76467</v>
      </c>
      <c r="I33" s="22">
        <v>6689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>
        <v>9940</v>
      </c>
      <c r="G34" s="20">
        <v>9798</v>
      </c>
      <c r="H34" s="20">
        <v>88193</v>
      </c>
      <c r="I34" s="22">
        <v>9001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>
        <v>7978</v>
      </c>
      <c r="G35" s="20">
        <v>7900</v>
      </c>
      <c r="H35" s="20">
        <v>73596</v>
      </c>
      <c r="I35" s="22">
        <v>9316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>
        <v>9796</v>
      </c>
      <c r="G36" s="20">
        <v>9708</v>
      </c>
      <c r="H36" s="20">
        <v>91571</v>
      </c>
      <c r="I36" s="22">
        <v>9433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>
        <v>12192</v>
      </c>
      <c r="G37" s="20">
        <v>12087</v>
      </c>
      <c r="H37" s="20">
        <v>116598</v>
      </c>
      <c r="I37" s="22">
        <v>9647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>
        <v>15801</v>
      </c>
      <c r="G38" s="20">
        <v>15717</v>
      </c>
      <c r="H38" s="20">
        <v>148120</v>
      </c>
      <c r="I38" s="22">
        <v>9424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2890B907-E825-4371-ABF0-AB51D45DB30A}"/>
  </hyperlinks>
  <pageMargins left="0.7" right="0.7" top="0.75" bottom="0.75" header="0.3" footer="0.3"/>
  <pageSetup paperSize="9" fitToWidth="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94D6-D296-4FFB-B6F8-D5B1EAC9A9FD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15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65000</v>
      </c>
      <c r="C10" s="40">
        <v>60000</v>
      </c>
      <c r="D10" s="40">
        <v>68500</v>
      </c>
      <c r="E10" s="50">
        <v>1142</v>
      </c>
      <c r="F10" s="41">
        <v>463600</v>
      </c>
      <c r="G10" s="40">
        <v>452100</v>
      </c>
      <c r="H10" s="40">
        <v>458200</v>
      </c>
      <c r="I10" s="50">
        <v>1013</v>
      </c>
      <c r="J10" s="63">
        <f>B10/F10</f>
        <v>0.14020707506471095</v>
      </c>
      <c r="K10" s="64">
        <f t="shared" ref="K10:L25" si="0">C10/G10</f>
        <v>0.13271400132714001</v>
      </c>
      <c r="L10" s="65">
        <f t="shared" si="0"/>
        <v>0.14949803579223048</v>
      </c>
    </row>
    <row r="11" spans="1:12" x14ac:dyDescent="0.25">
      <c r="A11" s="48" t="s">
        <v>81</v>
      </c>
      <c r="B11" s="21">
        <v>53000</v>
      </c>
      <c r="C11" s="20">
        <v>50000</v>
      </c>
      <c r="D11" s="20">
        <v>42000</v>
      </c>
      <c r="E11" s="22">
        <v>840</v>
      </c>
      <c r="F11" s="21">
        <v>388200</v>
      </c>
      <c r="G11" s="20">
        <v>366770</v>
      </c>
      <c r="H11" s="20">
        <v>285000</v>
      </c>
      <c r="I11" s="22">
        <v>777</v>
      </c>
      <c r="J11" s="66">
        <f t="shared" ref="J11:L65" si="1">B11/F11</f>
        <v>0.13652756311179803</v>
      </c>
      <c r="K11" s="67">
        <f t="shared" si="0"/>
        <v>0.13632521743872181</v>
      </c>
      <c r="L11" s="68">
        <f t="shared" si="0"/>
        <v>0.14736842105263157</v>
      </c>
    </row>
    <row r="12" spans="1:12" x14ac:dyDescent="0.25">
      <c r="A12" s="48" t="s">
        <v>82</v>
      </c>
      <c r="B12" s="21">
        <v>51100</v>
      </c>
      <c r="C12" s="20">
        <v>47700</v>
      </c>
      <c r="D12" s="20">
        <v>40000</v>
      </c>
      <c r="E12" s="22">
        <v>839</v>
      </c>
      <c r="F12" s="21">
        <v>435400</v>
      </c>
      <c r="G12" s="20">
        <v>398400</v>
      </c>
      <c r="H12" s="20">
        <v>292200</v>
      </c>
      <c r="I12" s="22">
        <v>733</v>
      </c>
      <c r="J12" s="66">
        <f t="shared" si="1"/>
        <v>0.11736334405144695</v>
      </c>
      <c r="K12" s="67">
        <f t="shared" si="0"/>
        <v>0.11972891566265061</v>
      </c>
      <c r="L12" s="68">
        <f t="shared" si="0"/>
        <v>0.13689253935660506</v>
      </c>
    </row>
    <row r="13" spans="1:12" x14ac:dyDescent="0.25">
      <c r="A13" s="48" t="s">
        <v>83</v>
      </c>
      <c r="B13" s="21">
        <v>61100</v>
      </c>
      <c r="C13" s="20">
        <v>55100</v>
      </c>
      <c r="D13" s="20">
        <v>52300</v>
      </c>
      <c r="E13" s="22">
        <v>949</v>
      </c>
      <c r="F13" s="21">
        <v>535500</v>
      </c>
      <c r="G13" s="20">
        <v>457100</v>
      </c>
      <c r="H13" s="20">
        <v>424000</v>
      </c>
      <c r="I13" s="22">
        <v>928</v>
      </c>
      <c r="J13" s="66">
        <f t="shared" si="1"/>
        <v>0.11409897292250233</v>
      </c>
      <c r="K13" s="67">
        <f t="shared" si="0"/>
        <v>0.12054255086414352</v>
      </c>
      <c r="L13" s="68">
        <f t="shared" si="0"/>
        <v>0.12334905660377359</v>
      </c>
    </row>
    <row r="14" spans="1:12" x14ac:dyDescent="0.25">
      <c r="A14" s="48" t="s">
        <v>84</v>
      </c>
      <c r="B14" s="21">
        <v>68700</v>
      </c>
      <c r="C14" s="20">
        <v>51200</v>
      </c>
      <c r="D14" s="20">
        <v>62500</v>
      </c>
      <c r="E14" s="22">
        <v>1221</v>
      </c>
      <c r="F14" s="21">
        <v>557500</v>
      </c>
      <c r="G14" s="20">
        <v>474000</v>
      </c>
      <c r="H14" s="20">
        <v>418400</v>
      </c>
      <c r="I14" s="22">
        <v>883</v>
      </c>
      <c r="J14" s="66">
        <f t="shared" si="1"/>
        <v>0.12322869955156951</v>
      </c>
      <c r="K14" s="67">
        <f t="shared" si="0"/>
        <v>0.1080168776371308</v>
      </c>
      <c r="L14" s="68">
        <f t="shared" si="0"/>
        <v>0.14937858508604207</v>
      </c>
    </row>
    <row r="15" spans="1:12" x14ac:dyDescent="0.25">
      <c r="A15" s="48" t="s">
        <v>85</v>
      </c>
      <c r="B15" s="21">
        <v>71100</v>
      </c>
      <c r="C15" s="20">
        <v>68960</v>
      </c>
      <c r="D15" s="20">
        <v>88000</v>
      </c>
      <c r="E15" s="22">
        <v>1276</v>
      </c>
      <c r="F15" s="21">
        <v>513200</v>
      </c>
      <c r="G15" s="20">
        <v>505100</v>
      </c>
      <c r="H15" s="20">
        <v>541000</v>
      </c>
      <c r="I15" s="22">
        <v>1071</v>
      </c>
      <c r="J15" s="66">
        <f t="shared" si="1"/>
        <v>0.13854247856586127</v>
      </c>
      <c r="K15" s="67">
        <f t="shared" si="0"/>
        <v>0.13652742031280934</v>
      </c>
      <c r="L15" s="68">
        <f t="shared" si="0"/>
        <v>0.16266173752310537</v>
      </c>
    </row>
    <row r="16" spans="1:12" x14ac:dyDescent="0.25">
      <c r="A16" s="48" t="s">
        <v>86</v>
      </c>
      <c r="B16" s="21">
        <v>59100</v>
      </c>
      <c r="C16" s="20">
        <v>56560</v>
      </c>
      <c r="D16" s="20">
        <v>68100</v>
      </c>
      <c r="E16" s="22">
        <v>1204</v>
      </c>
      <c r="F16" s="21">
        <v>433000</v>
      </c>
      <c r="G16" s="20">
        <v>413600</v>
      </c>
      <c r="H16" s="20">
        <v>445000</v>
      </c>
      <c r="I16" s="22">
        <v>1076</v>
      </c>
      <c r="J16" s="66">
        <f t="shared" si="1"/>
        <v>0.13648960739030022</v>
      </c>
      <c r="K16" s="67">
        <f t="shared" si="0"/>
        <v>0.13675048355899419</v>
      </c>
      <c r="L16" s="68">
        <f t="shared" si="0"/>
        <v>0.15303370786516854</v>
      </c>
    </row>
    <row r="17" spans="1:12" x14ac:dyDescent="0.25">
      <c r="A17" s="48" t="s">
        <v>87</v>
      </c>
      <c r="B17" s="21">
        <v>63000</v>
      </c>
      <c r="C17" s="20">
        <v>55400</v>
      </c>
      <c r="D17" s="20">
        <v>62500</v>
      </c>
      <c r="E17" s="22">
        <v>1128</v>
      </c>
      <c r="F17" s="21">
        <v>543000</v>
      </c>
      <c r="G17" s="20">
        <v>518000</v>
      </c>
      <c r="H17" s="20">
        <v>522000</v>
      </c>
      <c r="I17" s="22">
        <v>1008</v>
      </c>
      <c r="J17" s="66">
        <f t="shared" si="1"/>
        <v>0.11602209944751381</v>
      </c>
      <c r="K17" s="67">
        <f t="shared" si="0"/>
        <v>0.10694980694980695</v>
      </c>
      <c r="L17" s="68">
        <f t="shared" si="0"/>
        <v>0.11973180076628352</v>
      </c>
    </row>
    <row r="18" spans="1:12" x14ac:dyDescent="0.25">
      <c r="A18" s="48" t="s">
        <v>88</v>
      </c>
      <c r="B18" s="21">
        <v>71000</v>
      </c>
      <c r="C18" s="20">
        <v>68000</v>
      </c>
      <c r="D18" s="20">
        <v>92000</v>
      </c>
      <c r="E18" s="22">
        <v>1353</v>
      </c>
      <c r="F18" s="21">
        <v>621000</v>
      </c>
      <c r="G18" s="20">
        <v>607000</v>
      </c>
      <c r="H18" s="20">
        <v>786200</v>
      </c>
      <c r="I18" s="22">
        <v>1295</v>
      </c>
      <c r="J18" s="66">
        <f t="shared" si="1"/>
        <v>0.1143317230273752</v>
      </c>
      <c r="K18" s="67">
        <f t="shared" si="0"/>
        <v>0.11202635914332784</v>
      </c>
      <c r="L18" s="68">
        <f t="shared" si="0"/>
        <v>0.11701857033833631</v>
      </c>
    </row>
    <row r="19" spans="1:12" x14ac:dyDescent="0.25">
      <c r="A19" s="48" t="s">
        <v>89</v>
      </c>
      <c r="B19" s="21">
        <v>70400</v>
      </c>
      <c r="C19" s="20">
        <v>67300</v>
      </c>
      <c r="D19" s="20">
        <v>70000</v>
      </c>
      <c r="E19" s="22">
        <v>1040</v>
      </c>
      <c r="F19" s="21">
        <v>702000</v>
      </c>
      <c r="G19" s="20">
        <v>669000</v>
      </c>
      <c r="H19" s="20">
        <v>572500</v>
      </c>
      <c r="I19" s="22">
        <v>856</v>
      </c>
      <c r="J19" s="66">
        <f t="shared" si="1"/>
        <v>0.10028490028490028</v>
      </c>
      <c r="K19" s="67">
        <f t="shared" si="0"/>
        <v>0.10059790732436473</v>
      </c>
      <c r="L19" s="68">
        <f t="shared" si="0"/>
        <v>0.1222707423580786</v>
      </c>
    </row>
    <row r="20" spans="1:12" x14ac:dyDescent="0.25">
      <c r="A20" s="48" t="s">
        <v>90</v>
      </c>
      <c r="B20" s="21">
        <v>65700</v>
      </c>
      <c r="C20" s="20">
        <v>60000</v>
      </c>
      <c r="D20" s="20">
        <v>44000</v>
      </c>
      <c r="E20" s="22">
        <v>733</v>
      </c>
      <c r="F20" s="21">
        <v>585400</v>
      </c>
      <c r="G20" s="20">
        <v>567500</v>
      </c>
      <c r="H20" s="20">
        <v>485400</v>
      </c>
      <c r="I20" s="22">
        <v>855</v>
      </c>
      <c r="J20" s="66">
        <f t="shared" si="1"/>
        <v>0.11223095319439699</v>
      </c>
      <c r="K20" s="67">
        <f t="shared" si="0"/>
        <v>0.10572687224669604</v>
      </c>
      <c r="L20" s="68">
        <f t="shared" si="0"/>
        <v>9.0646889163576438E-2</v>
      </c>
    </row>
    <row r="21" spans="1:12" x14ac:dyDescent="0.25">
      <c r="A21" s="48" t="s">
        <v>91</v>
      </c>
      <c r="B21" s="21">
        <v>59500</v>
      </c>
      <c r="C21" s="20">
        <v>39550</v>
      </c>
      <c r="D21" s="20">
        <v>35600</v>
      </c>
      <c r="E21" s="22">
        <v>900</v>
      </c>
      <c r="F21" s="21">
        <v>343000</v>
      </c>
      <c r="G21" s="20">
        <v>282000</v>
      </c>
      <c r="H21" s="20">
        <v>265300</v>
      </c>
      <c r="I21" s="22">
        <v>941</v>
      </c>
      <c r="J21" s="66">
        <f t="shared" si="1"/>
        <v>0.17346938775510204</v>
      </c>
      <c r="K21" s="67">
        <f t="shared" si="0"/>
        <v>0.1402482269503546</v>
      </c>
      <c r="L21" s="68">
        <f t="shared" si="0"/>
        <v>0.13418771202412363</v>
      </c>
    </row>
    <row r="22" spans="1:12" x14ac:dyDescent="0.25">
      <c r="A22" s="48" t="s">
        <v>92</v>
      </c>
      <c r="B22" s="21">
        <v>38300</v>
      </c>
      <c r="C22" s="20">
        <v>37100</v>
      </c>
      <c r="D22" s="20">
        <v>55000</v>
      </c>
      <c r="E22" s="22">
        <v>1482</v>
      </c>
      <c r="F22" s="21">
        <v>403800</v>
      </c>
      <c r="G22" s="20">
        <v>399400</v>
      </c>
      <c r="H22" s="20">
        <v>491000</v>
      </c>
      <c r="I22" s="22">
        <v>1229</v>
      </c>
      <c r="J22" s="66">
        <f t="shared" si="1"/>
        <v>9.4848935116394251E-2</v>
      </c>
      <c r="K22" s="67">
        <f t="shared" si="0"/>
        <v>9.2889334001001508E-2</v>
      </c>
      <c r="L22" s="68">
        <f t="shared" si="0"/>
        <v>0.11201629327902241</v>
      </c>
    </row>
    <row r="23" spans="1:12" x14ac:dyDescent="0.25">
      <c r="A23" s="48" t="s">
        <v>93</v>
      </c>
      <c r="B23" s="21">
        <v>45000</v>
      </c>
      <c r="C23" s="20">
        <v>42600</v>
      </c>
      <c r="D23" s="20">
        <v>58000</v>
      </c>
      <c r="E23" s="22">
        <v>1362</v>
      </c>
      <c r="F23" s="21">
        <v>373300</v>
      </c>
      <c r="G23" s="20">
        <v>343400</v>
      </c>
      <c r="H23" s="20">
        <v>373300</v>
      </c>
      <c r="I23" s="22">
        <v>1087</v>
      </c>
      <c r="J23" s="66">
        <f t="shared" si="1"/>
        <v>0.12054647736405036</v>
      </c>
      <c r="K23" s="67">
        <f t="shared" si="0"/>
        <v>0.12405358182877112</v>
      </c>
      <c r="L23" s="68">
        <f t="shared" si="0"/>
        <v>0.15537101526922045</v>
      </c>
    </row>
    <row r="24" spans="1:12" x14ac:dyDescent="0.25">
      <c r="A24" s="48" t="s">
        <v>94</v>
      </c>
      <c r="B24" s="21">
        <v>54000</v>
      </c>
      <c r="C24" s="20">
        <v>54000</v>
      </c>
      <c r="D24" s="20">
        <v>77500</v>
      </c>
      <c r="E24" s="22">
        <v>1435</v>
      </c>
      <c r="F24" s="21">
        <v>485500</v>
      </c>
      <c r="G24" s="20">
        <v>469700</v>
      </c>
      <c r="H24" s="20">
        <v>610000</v>
      </c>
      <c r="I24" s="22">
        <v>1299</v>
      </c>
      <c r="J24" s="66">
        <f t="shared" si="1"/>
        <v>0.11122554067971163</v>
      </c>
      <c r="K24" s="67">
        <f t="shared" si="0"/>
        <v>0.11496700021290185</v>
      </c>
      <c r="L24" s="68">
        <f t="shared" si="0"/>
        <v>0.12704918032786885</v>
      </c>
    </row>
    <row r="25" spans="1:12" x14ac:dyDescent="0.25">
      <c r="A25" s="48" t="s">
        <v>95</v>
      </c>
      <c r="B25" s="21">
        <v>59600</v>
      </c>
      <c r="C25" s="20">
        <v>59100</v>
      </c>
      <c r="D25" s="20">
        <v>78560</v>
      </c>
      <c r="E25" s="22">
        <v>1329</v>
      </c>
      <c r="F25" s="21">
        <v>462700</v>
      </c>
      <c r="G25" s="20">
        <v>447000</v>
      </c>
      <c r="H25" s="20">
        <v>536100</v>
      </c>
      <c r="I25" s="22">
        <v>1199</v>
      </c>
      <c r="J25" s="66">
        <f t="shared" si="1"/>
        <v>0.12880916360492761</v>
      </c>
      <c r="K25" s="67">
        <f t="shared" si="0"/>
        <v>0.13221476510067115</v>
      </c>
      <c r="L25" s="68">
        <f t="shared" si="0"/>
        <v>0.14653982465957843</v>
      </c>
    </row>
    <row r="26" spans="1:12" x14ac:dyDescent="0.25">
      <c r="A26" s="48" t="s">
        <v>96</v>
      </c>
      <c r="B26" s="21">
        <v>44500</v>
      </c>
      <c r="C26" s="20">
        <v>42050</v>
      </c>
      <c r="D26" s="20">
        <v>49200</v>
      </c>
      <c r="E26" s="22">
        <v>1170</v>
      </c>
      <c r="F26" s="21">
        <v>353300</v>
      </c>
      <c r="G26" s="20">
        <v>338800</v>
      </c>
      <c r="H26" s="20">
        <v>376600</v>
      </c>
      <c r="I26" s="22">
        <v>1112</v>
      </c>
      <c r="J26" s="66">
        <f t="shared" si="1"/>
        <v>0.12595527879988677</v>
      </c>
      <c r="K26" s="67">
        <f t="shared" si="1"/>
        <v>0.12411452184179457</v>
      </c>
      <c r="L26" s="68">
        <f t="shared" si="1"/>
        <v>0.13064259160913436</v>
      </c>
    </row>
    <row r="27" spans="1:12" x14ac:dyDescent="0.25">
      <c r="A27" s="48" t="s">
        <v>97</v>
      </c>
      <c r="B27" s="21">
        <v>43500</v>
      </c>
      <c r="C27" s="20">
        <v>43500</v>
      </c>
      <c r="D27" s="20">
        <v>43500</v>
      </c>
      <c r="E27" s="22">
        <v>1000</v>
      </c>
      <c r="F27" s="21">
        <v>291850</v>
      </c>
      <c r="G27" s="20">
        <v>273250</v>
      </c>
      <c r="H27" s="20">
        <v>322800</v>
      </c>
      <c r="I27" s="22">
        <v>1181</v>
      </c>
      <c r="J27" s="66">
        <f t="shared" si="1"/>
        <v>0.14904916909371252</v>
      </c>
      <c r="K27" s="67">
        <f t="shared" si="1"/>
        <v>0.15919487648673375</v>
      </c>
      <c r="L27" s="68">
        <f t="shared" si="1"/>
        <v>0.13475836431226765</v>
      </c>
    </row>
    <row r="28" spans="1:12" x14ac:dyDescent="0.25">
      <c r="A28" s="48" t="s">
        <v>98</v>
      </c>
      <c r="B28" s="21">
        <v>62200</v>
      </c>
      <c r="C28" s="20">
        <v>62200</v>
      </c>
      <c r="D28" s="20">
        <v>93900</v>
      </c>
      <c r="E28" s="22">
        <v>1510</v>
      </c>
      <c r="F28" s="21">
        <v>494900</v>
      </c>
      <c r="G28" s="20">
        <v>492100</v>
      </c>
      <c r="H28" s="20">
        <v>849400</v>
      </c>
      <c r="I28" s="22">
        <v>1726</v>
      </c>
      <c r="J28" s="66">
        <f t="shared" si="1"/>
        <v>0.12568195595069712</v>
      </c>
      <c r="K28" s="67">
        <f t="shared" si="1"/>
        <v>0.12639707376549481</v>
      </c>
      <c r="L28" s="68">
        <f t="shared" si="1"/>
        <v>0.11054862255709913</v>
      </c>
    </row>
    <row r="29" spans="1:12" x14ac:dyDescent="0.25">
      <c r="A29" s="48" t="s">
        <v>99</v>
      </c>
      <c r="B29" s="21">
        <v>48300</v>
      </c>
      <c r="C29" s="20">
        <v>48300</v>
      </c>
      <c r="D29" s="20">
        <v>49000</v>
      </c>
      <c r="E29" s="22">
        <v>1014</v>
      </c>
      <c r="F29" s="21">
        <v>524000</v>
      </c>
      <c r="G29" s="20">
        <v>501500</v>
      </c>
      <c r="H29" s="20">
        <v>619350</v>
      </c>
      <c r="I29" s="22">
        <v>1235</v>
      </c>
      <c r="J29" s="66">
        <f t="shared" si="1"/>
        <v>9.2175572519083968E-2</v>
      </c>
      <c r="K29" s="67">
        <f t="shared" si="1"/>
        <v>9.6311066799601192E-2</v>
      </c>
      <c r="L29" s="68">
        <f t="shared" si="1"/>
        <v>7.9115201420844439E-2</v>
      </c>
    </row>
    <row r="30" spans="1:12" x14ac:dyDescent="0.25">
      <c r="A30" s="48" t="s">
        <v>100</v>
      </c>
      <c r="B30" s="21">
        <v>50000</v>
      </c>
      <c r="C30" s="20">
        <v>46000</v>
      </c>
      <c r="D30" s="20">
        <v>60700</v>
      </c>
      <c r="E30" s="22">
        <v>1320</v>
      </c>
      <c r="F30" s="21">
        <v>553100</v>
      </c>
      <c r="G30" s="20">
        <v>544900</v>
      </c>
      <c r="H30" s="20">
        <v>922950</v>
      </c>
      <c r="I30" s="22">
        <v>1694</v>
      </c>
      <c r="J30" s="66">
        <f t="shared" si="1"/>
        <v>9.03995660820828E-2</v>
      </c>
      <c r="K30" s="67">
        <f t="shared" si="1"/>
        <v>8.4419159478803449E-2</v>
      </c>
      <c r="L30" s="68">
        <f t="shared" si="1"/>
        <v>6.5767376347581119E-2</v>
      </c>
    </row>
    <row r="31" spans="1:12" x14ac:dyDescent="0.25">
      <c r="A31" s="48" t="s">
        <v>101</v>
      </c>
      <c r="B31" s="21">
        <v>50000</v>
      </c>
      <c r="C31" s="20">
        <v>45200</v>
      </c>
      <c r="D31" s="20">
        <v>48900</v>
      </c>
      <c r="E31" s="22">
        <v>1082</v>
      </c>
      <c r="F31" s="21">
        <v>638800</v>
      </c>
      <c r="G31" s="20">
        <v>538500</v>
      </c>
      <c r="H31" s="20">
        <v>789400</v>
      </c>
      <c r="I31" s="22">
        <v>1466</v>
      </c>
      <c r="J31" s="66">
        <f t="shared" si="1"/>
        <v>7.8271759549154662E-2</v>
      </c>
      <c r="K31" s="67">
        <f t="shared" si="1"/>
        <v>8.3936861652739087E-2</v>
      </c>
      <c r="L31" s="68">
        <f t="shared" si="1"/>
        <v>6.1945781606283251E-2</v>
      </c>
    </row>
    <row r="32" spans="1:12" x14ac:dyDescent="0.25">
      <c r="A32" s="48" t="s">
        <v>102</v>
      </c>
      <c r="B32" s="21">
        <v>55000</v>
      </c>
      <c r="C32" s="20">
        <v>50000</v>
      </c>
      <c r="D32" s="20">
        <v>54500</v>
      </c>
      <c r="E32" s="22">
        <v>1090</v>
      </c>
      <c r="F32" s="21">
        <v>614900</v>
      </c>
      <c r="G32" s="20">
        <v>529100</v>
      </c>
      <c r="H32" s="20">
        <v>651960</v>
      </c>
      <c r="I32" s="22">
        <v>1232</v>
      </c>
      <c r="J32" s="66">
        <f t="shared" si="1"/>
        <v>8.9445438282647588E-2</v>
      </c>
      <c r="K32" s="67">
        <f t="shared" si="1"/>
        <v>9.45000945000945E-2</v>
      </c>
      <c r="L32" s="68">
        <f t="shared" si="1"/>
        <v>8.359408552671943E-2</v>
      </c>
    </row>
    <row r="33" spans="1:12" x14ac:dyDescent="0.25">
      <c r="A33" s="48" t="s">
        <v>103</v>
      </c>
      <c r="B33" s="21">
        <v>25300</v>
      </c>
      <c r="C33" s="20">
        <v>19500</v>
      </c>
      <c r="D33" s="20">
        <v>20485</v>
      </c>
      <c r="E33" s="22">
        <v>1051</v>
      </c>
      <c r="F33" s="21">
        <v>377747</v>
      </c>
      <c r="G33" s="20">
        <v>302027</v>
      </c>
      <c r="H33" s="20">
        <v>430588</v>
      </c>
      <c r="I33" s="22">
        <v>1426</v>
      </c>
      <c r="J33" s="66">
        <f t="shared" si="1"/>
        <v>6.6976044813062713E-2</v>
      </c>
      <c r="K33" s="67">
        <f t="shared" si="1"/>
        <v>6.4563764166779794E-2</v>
      </c>
      <c r="L33" s="68">
        <f t="shared" si="1"/>
        <v>4.7574479548895932E-2</v>
      </c>
    </row>
    <row r="34" spans="1:12" x14ac:dyDescent="0.25">
      <c r="A34" s="48" t="s">
        <v>104</v>
      </c>
      <c r="B34" s="21">
        <v>34000</v>
      </c>
      <c r="C34" s="20">
        <v>29000</v>
      </c>
      <c r="D34" s="20">
        <v>39100</v>
      </c>
      <c r="E34" s="22">
        <v>1348</v>
      </c>
      <c r="F34" s="21">
        <v>503610</v>
      </c>
      <c r="G34" s="20">
        <v>483920</v>
      </c>
      <c r="H34" s="20">
        <v>705880</v>
      </c>
      <c r="I34" s="22">
        <v>1459</v>
      </c>
      <c r="J34" s="66">
        <f t="shared" si="1"/>
        <v>6.7512559321697349E-2</v>
      </c>
      <c r="K34" s="67">
        <f t="shared" si="1"/>
        <v>5.9927260704248635E-2</v>
      </c>
      <c r="L34" s="68">
        <f t="shared" si="1"/>
        <v>5.5391851306171018E-2</v>
      </c>
    </row>
    <row r="35" spans="1:12" x14ac:dyDescent="0.25">
      <c r="A35" s="48" t="s">
        <v>105</v>
      </c>
      <c r="B35" s="21">
        <v>35000</v>
      </c>
      <c r="C35" s="20">
        <v>33000</v>
      </c>
      <c r="D35" s="20">
        <v>51800</v>
      </c>
      <c r="E35" s="22">
        <v>1570</v>
      </c>
      <c r="F35" s="21">
        <v>761500</v>
      </c>
      <c r="G35" s="20">
        <v>679658</v>
      </c>
      <c r="H35" s="20">
        <v>1125147</v>
      </c>
      <c r="I35" s="22">
        <v>1655</v>
      </c>
      <c r="J35" s="66">
        <f t="shared" si="1"/>
        <v>4.5961917268548917E-2</v>
      </c>
      <c r="K35" s="67">
        <f t="shared" si="1"/>
        <v>4.8553831485835523E-2</v>
      </c>
      <c r="L35" s="68">
        <f t="shared" si="1"/>
        <v>4.6038428756420273E-2</v>
      </c>
    </row>
    <row r="36" spans="1:12" x14ac:dyDescent="0.25">
      <c r="A36" s="48" t="s">
        <v>106</v>
      </c>
      <c r="B36" s="21">
        <v>54700</v>
      </c>
      <c r="C36" s="20">
        <v>54600</v>
      </c>
      <c r="D36" s="20">
        <v>85460</v>
      </c>
      <c r="E36" s="22">
        <v>1565</v>
      </c>
      <c r="F36" s="21">
        <v>1009800</v>
      </c>
      <c r="G36" s="20">
        <v>969390</v>
      </c>
      <c r="H36" s="20">
        <v>1346940</v>
      </c>
      <c r="I36" s="22">
        <v>1389</v>
      </c>
      <c r="J36" s="66">
        <f t="shared" si="1"/>
        <v>5.4169142404436522E-2</v>
      </c>
      <c r="K36" s="67">
        <f t="shared" si="1"/>
        <v>5.6324080091604001E-2</v>
      </c>
      <c r="L36" s="68">
        <f t="shared" si="1"/>
        <v>6.3447518078013868E-2</v>
      </c>
    </row>
    <row r="37" spans="1:12" x14ac:dyDescent="0.25">
      <c r="A37" s="48" t="s">
        <v>23</v>
      </c>
      <c r="B37" s="21">
        <v>37500</v>
      </c>
      <c r="C37" s="20">
        <v>37500</v>
      </c>
      <c r="D37" s="20">
        <v>52800</v>
      </c>
      <c r="E37" s="22">
        <v>1408</v>
      </c>
      <c r="F37" s="21">
        <v>955560</v>
      </c>
      <c r="G37" s="20">
        <v>887140</v>
      </c>
      <c r="H37" s="20">
        <v>1029866</v>
      </c>
      <c r="I37" s="22">
        <v>1161</v>
      </c>
      <c r="J37" s="66">
        <f t="shared" si="1"/>
        <v>3.9244003516262713E-2</v>
      </c>
      <c r="K37" s="67">
        <f t="shared" si="1"/>
        <v>4.2270667538381768E-2</v>
      </c>
      <c r="L37" s="68">
        <f t="shared" si="1"/>
        <v>5.1268805844643869E-2</v>
      </c>
    </row>
    <row r="38" spans="1:12" x14ac:dyDescent="0.25">
      <c r="A38" s="48" t="s">
        <v>24</v>
      </c>
      <c r="B38" s="21">
        <v>51500</v>
      </c>
      <c r="C38" s="20">
        <v>42680</v>
      </c>
      <c r="D38" s="20">
        <v>49366</v>
      </c>
      <c r="E38" s="22">
        <v>1157</v>
      </c>
      <c r="F38" s="21">
        <v>1133150</v>
      </c>
      <c r="G38" s="20">
        <v>877530</v>
      </c>
      <c r="H38" s="20">
        <v>986230</v>
      </c>
      <c r="I38" s="22">
        <v>1124</v>
      </c>
      <c r="J38" s="66">
        <f t="shared" si="1"/>
        <v>4.5448528438423862E-2</v>
      </c>
      <c r="K38" s="67">
        <f t="shared" si="1"/>
        <v>4.86365138513783E-2</v>
      </c>
      <c r="L38" s="68">
        <f t="shared" si="1"/>
        <v>5.0055260943187692E-2</v>
      </c>
    </row>
    <row r="39" spans="1:12" x14ac:dyDescent="0.25">
      <c r="A39" s="48" t="s">
        <v>25</v>
      </c>
      <c r="B39" s="21">
        <v>43500</v>
      </c>
      <c r="C39" s="20">
        <v>31500</v>
      </c>
      <c r="D39" s="20">
        <v>32140</v>
      </c>
      <c r="E39" s="22">
        <v>1020</v>
      </c>
      <c r="F39" s="21">
        <v>750930</v>
      </c>
      <c r="G39" s="20">
        <v>639690</v>
      </c>
      <c r="H39" s="20">
        <v>617542</v>
      </c>
      <c r="I39" s="22">
        <v>965</v>
      </c>
      <c r="J39" s="66">
        <f t="shared" si="1"/>
        <v>5.792816907035276E-2</v>
      </c>
      <c r="K39" s="67">
        <f t="shared" si="1"/>
        <v>4.9242601885288187E-2</v>
      </c>
      <c r="L39" s="68">
        <f t="shared" si="1"/>
        <v>5.204504309018658E-2</v>
      </c>
    </row>
    <row r="40" spans="1:12" x14ac:dyDescent="0.25">
      <c r="A40" s="48" t="s">
        <v>26</v>
      </c>
      <c r="B40" s="21">
        <v>14000</v>
      </c>
      <c r="C40" s="20">
        <v>12800</v>
      </c>
      <c r="D40" s="20">
        <v>19250</v>
      </c>
      <c r="E40" s="22">
        <v>1504</v>
      </c>
      <c r="F40" s="21">
        <v>345950</v>
      </c>
      <c r="G40" s="20">
        <v>332090</v>
      </c>
      <c r="H40" s="20">
        <v>417680</v>
      </c>
      <c r="I40" s="22">
        <v>1258</v>
      </c>
      <c r="J40" s="66">
        <f t="shared" si="1"/>
        <v>4.046827576239341E-2</v>
      </c>
      <c r="K40" s="67">
        <f t="shared" si="1"/>
        <v>3.8543768255593365E-2</v>
      </c>
      <c r="L40" s="68">
        <f t="shared" si="1"/>
        <v>4.6087914192683391E-2</v>
      </c>
    </row>
    <row r="41" spans="1:12" x14ac:dyDescent="0.25">
      <c r="A41" s="48" t="s">
        <v>27</v>
      </c>
      <c r="B41" s="21">
        <v>16000</v>
      </c>
      <c r="C41" s="20">
        <v>13600</v>
      </c>
      <c r="D41" s="20">
        <v>15440</v>
      </c>
      <c r="E41" s="22">
        <v>1135</v>
      </c>
      <c r="F41" s="21">
        <v>410905</v>
      </c>
      <c r="G41" s="20">
        <v>388153</v>
      </c>
      <c r="H41" s="20">
        <v>509405</v>
      </c>
      <c r="I41" s="22">
        <v>1312</v>
      </c>
      <c r="J41" s="66">
        <f t="shared" si="1"/>
        <v>3.8938440758812864E-2</v>
      </c>
      <c r="K41" s="67">
        <f t="shared" si="1"/>
        <v>3.5037729967306704E-2</v>
      </c>
      <c r="L41" s="68">
        <f t="shared" si="1"/>
        <v>3.0309871320462107E-2</v>
      </c>
    </row>
    <row r="42" spans="1:12" x14ac:dyDescent="0.25">
      <c r="A42" s="48" t="s">
        <v>28</v>
      </c>
      <c r="B42" s="21">
        <v>9500</v>
      </c>
      <c r="C42" s="20">
        <v>8500</v>
      </c>
      <c r="D42" s="20">
        <v>10200</v>
      </c>
      <c r="E42" s="22">
        <v>1200</v>
      </c>
      <c r="F42" s="21">
        <v>174044</v>
      </c>
      <c r="G42" s="20">
        <v>164731</v>
      </c>
      <c r="H42" s="20">
        <v>218159</v>
      </c>
      <c r="I42" s="22">
        <v>1324</v>
      </c>
      <c r="J42" s="66">
        <f t="shared" si="1"/>
        <v>5.4583898324561606E-2</v>
      </c>
      <c r="K42" s="67">
        <f t="shared" si="1"/>
        <v>5.1599273967862756E-2</v>
      </c>
      <c r="L42" s="68">
        <f t="shared" si="1"/>
        <v>4.6754889782223058E-2</v>
      </c>
    </row>
    <row r="43" spans="1:12" x14ac:dyDescent="0.25">
      <c r="A43" s="48" t="s">
        <v>29</v>
      </c>
      <c r="B43" s="21">
        <v>8500</v>
      </c>
      <c r="C43" s="20">
        <v>7500</v>
      </c>
      <c r="D43" s="20">
        <v>8250</v>
      </c>
      <c r="E43" s="22">
        <v>1100</v>
      </c>
      <c r="F43" s="21">
        <v>158209</v>
      </c>
      <c r="G43" s="20">
        <v>145723</v>
      </c>
      <c r="H43" s="20">
        <v>201505</v>
      </c>
      <c r="I43" s="22">
        <v>1383</v>
      </c>
      <c r="J43" s="66">
        <f t="shared" si="1"/>
        <v>5.3726399888754751E-2</v>
      </c>
      <c r="K43" s="67">
        <f t="shared" si="1"/>
        <v>5.1467510276346218E-2</v>
      </c>
      <c r="L43" s="68">
        <f t="shared" si="1"/>
        <v>4.0941912111362E-2</v>
      </c>
    </row>
    <row r="44" spans="1:12" x14ac:dyDescent="0.25">
      <c r="A44" s="48" t="s">
        <v>30</v>
      </c>
      <c r="B44" s="21">
        <v>11850</v>
      </c>
      <c r="C44" s="20">
        <v>11230</v>
      </c>
      <c r="D44" s="20">
        <v>13598</v>
      </c>
      <c r="E44" s="22">
        <v>1211</v>
      </c>
      <c r="F44" s="21">
        <v>266387</v>
      </c>
      <c r="G44" s="20">
        <v>254913</v>
      </c>
      <c r="H44" s="20">
        <v>353802</v>
      </c>
      <c r="I44" s="22">
        <v>1388</v>
      </c>
      <c r="J44" s="66">
        <f t="shared" si="1"/>
        <v>4.4484152755202018E-2</v>
      </c>
      <c r="K44" s="67">
        <f t="shared" si="1"/>
        <v>4.4054245958425033E-2</v>
      </c>
      <c r="L44" s="68">
        <f t="shared" si="1"/>
        <v>3.8433926320371278E-2</v>
      </c>
    </row>
    <row r="45" spans="1:12" x14ac:dyDescent="0.25">
      <c r="A45" s="48" t="s">
        <v>31</v>
      </c>
      <c r="B45" s="21">
        <v>13800</v>
      </c>
      <c r="C45" s="20">
        <v>13000</v>
      </c>
      <c r="D45" s="20">
        <v>16150</v>
      </c>
      <c r="E45" s="22">
        <v>1242</v>
      </c>
      <c r="F45" s="21">
        <v>406421</v>
      </c>
      <c r="G45" s="20">
        <v>374700</v>
      </c>
      <c r="H45" s="20">
        <v>448315</v>
      </c>
      <c r="I45" s="22">
        <v>1196</v>
      </c>
      <c r="J45" s="66">
        <f t="shared" si="1"/>
        <v>3.3954938352102872E-2</v>
      </c>
      <c r="K45" s="67">
        <f t="shared" si="1"/>
        <v>3.4694422204430211E-2</v>
      </c>
      <c r="L45" s="68">
        <f t="shared" si="1"/>
        <v>3.6023777924004324E-2</v>
      </c>
    </row>
    <row r="46" spans="1:12" x14ac:dyDescent="0.25">
      <c r="A46" s="48" t="s">
        <v>32</v>
      </c>
      <c r="B46" s="21">
        <v>12045</v>
      </c>
      <c r="C46" s="20">
        <v>11545</v>
      </c>
      <c r="D46" s="20">
        <v>13860</v>
      </c>
      <c r="E46" s="22">
        <v>1201</v>
      </c>
      <c r="F46" s="21">
        <v>309194</v>
      </c>
      <c r="G46" s="20">
        <v>304397</v>
      </c>
      <c r="H46" s="20">
        <v>417771</v>
      </c>
      <c r="I46" s="22">
        <v>1372</v>
      </c>
      <c r="J46" s="66">
        <f t="shared" si="1"/>
        <v>3.8956124633725102E-2</v>
      </c>
      <c r="K46" s="67">
        <f t="shared" si="1"/>
        <v>3.7927443437353194E-2</v>
      </c>
      <c r="L46" s="68">
        <f t="shared" si="1"/>
        <v>3.3176070143691158E-2</v>
      </c>
    </row>
    <row r="47" spans="1:12" x14ac:dyDescent="0.25">
      <c r="A47" s="48" t="s">
        <v>33</v>
      </c>
      <c r="B47" s="21">
        <v>16500</v>
      </c>
      <c r="C47" s="20">
        <v>16500</v>
      </c>
      <c r="D47" s="20">
        <v>26250</v>
      </c>
      <c r="E47" s="22">
        <v>1591</v>
      </c>
      <c r="F47" s="21">
        <v>403638</v>
      </c>
      <c r="G47" s="20">
        <v>393005</v>
      </c>
      <c r="H47" s="20">
        <v>545382</v>
      </c>
      <c r="I47" s="22">
        <v>1388</v>
      </c>
      <c r="J47" s="66">
        <f t="shared" si="1"/>
        <v>4.0878212655894641E-2</v>
      </c>
      <c r="K47" s="67">
        <f t="shared" si="1"/>
        <v>4.1984198674317123E-2</v>
      </c>
      <c r="L47" s="68">
        <f t="shared" si="1"/>
        <v>4.8131401476396364E-2</v>
      </c>
    </row>
    <row r="48" spans="1:12" x14ac:dyDescent="0.25">
      <c r="A48" s="48" t="s">
        <v>34</v>
      </c>
      <c r="B48" s="21">
        <v>10500</v>
      </c>
      <c r="C48" s="20">
        <v>10440</v>
      </c>
      <c r="D48" s="20">
        <v>13252</v>
      </c>
      <c r="E48" s="22">
        <v>1269</v>
      </c>
      <c r="F48" s="21">
        <v>307259</v>
      </c>
      <c r="G48" s="20">
        <v>300227</v>
      </c>
      <c r="H48" s="20">
        <v>489633</v>
      </c>
      <c r="I48" s="22">
        <v>1631</v>
      </c>
      <c r="J48" s="66">
        <f t="shared" si="1"/>
        <v>3.4173124302298713E-2</v>
      </c>
      <c r="K48" s="67">
        <f t="shared" si="1"/>
        <v>3.4773687909481828E-2</v>
      </c>
      <c r="L48" s="68">
        <f t="shared" si="1"/>
        <v>2.7065169218577996E-2</v>
      </c>
    </row>
    <row r="49" spans="1:12" x14ac:dyDescent="0.25">
      <c r="A49" s="48" t="s">
        <v>35</v>
      </c>
      <c r="B49" s="21">
        <v>31100</v>
      </c>
      <c r="C49" s="20">
        <v>30200</v>
      </c>
      <c r="D49" s="20">
        <v>27600</v>
      </c>
      <c r="E49" s="22">
        <v>914</v>
      </c>
      <c r="F49" s="21">
        <v>297292</v>
      </c>
      <c r="G49" s="20">
        <v>288117</v>
      </c>
      <c r="H49" s="20">
        <v>386676</v>
      </c>
      <c r="I49" s="22">
        <v>1342</v>
      </c>
      <c r="J49" s="66">
        <f t="shared" si="1"/>
        <v>0.10461095488610524</v>
      </c>
      <c r="K49" s="67">
        <f t="shared" si="1"/>
        <v>0.10481852858387392</v>
      </c>
      <c r="L49" s="68">
        <f t="shared" si="1"/>
        <v>7.1377587437544618E-2</v>
      </c>
    </row>
    <row r="50" spans="1:12" x14ac:dyDescent="0.25">
      <c r="A50" s="48" t="s">
        <v>36</v>
      </c>
      <c r="B50" s="21">
        <v>45000</v>
      </c>
      <c r="C50" s="20">
        <v>45000</v>
      </c>
      <c r="D50" s="20">
        <v>120000</v>
      </c>
      <c r="E50" s="22">
        <v>2667</v>
      </c>
      <c r="F50" s="21">
        <v>489410</v>
      </c>
      <c r="G50" s="20">
        <v>440872</v>
      </c>
      <c r="H50" s="20">
        <v>753503</v>
      </c>
      <c r="I50" s="22">
        <v>1709</v>
      </c>
      <c r="J50" s="66">
        <f t="shared" si="1"/>
        <v>9.1947446925890353E-2</v>
      </c>
      <c r="K50" s="67">
        <f t="shared" si="1"/>
        <v>0.10207044221452032</v>
      </c>
      <c r="L50" s="68">
        <f t="shared" si="1"/>
        <v>0.15925616752687116</v>
      </c>
    </row>
    <row r="51" spans="1:12" x14ac:dyDescent="0.25">
      <c r="A51" s="48" t="s">
        <v>37</v>
      </c>
      <c r="B51" s="21">
        <v>88300</v>
      </c>
      <c r="C51" s="20">
        <v>84000</v>
      </c>
      <c r="D51" s="20">
        <v>180980</v>
      </c>
      <c r="E51" s="22">
        <v>2155</v>
      </c>
      <c r="F51" s="21">
        <v>640765</v>
      </c>
      <c r="G51" s="20">
        <v>623399</v>
      </c>
      <c r="H51" s="20">
        <v>1032545</v>
      </c>
      <c r="I51" s="22">
        <v>1656</v>
      </c>
      <c r="J51" s="66">
        <f t="shared" si="1"/>
        <v>0.13780403111905301</v>
      </c>
      <c r="K51" s="67">
        <f t="shared" si="1"/>
        <v>0.13474516321007893</v>
      </c>
      <c r="L51" s="68">
        <f t="shared" si="1"/>
        <v>0.1752756538455951</v>
      </c>
    </row>
    <row r="52" spans="1:12" x14ac:dyDescent="0.25">
      <c r="A52" s="48" t="s">
        <v>38</v>
      </c>
      <c r="B52" s="21">
        <v>143500</v>
      </c>
      <c r="C52" s="20">
        <v>133300</v>
      </c>
      <c r="D52" s="20">
        <v>140380</v>
      </c>
      <c r="E52" s="22">
        <v>1053</v>
      </c>
      <c r="F52" s="21">
        <v>622146</v>
      </c>
      <c r="G52" s="20">
        <v>528221</v>
      </c>
      <c r="H52" s="20">
        <v>708650</v>
      </c>
      <c r="I52" s="22">
        <v>1342</v>
      </c>
      <c r="J52" s="66">
        <f t="shared" si="1"/>
        <v>0.2306532550237404</v>
      </c>
      <c r="K52" s="67">
        <f t="shared" si="1"/>
        <v>0.25235649472474592</v>
      </c>
      <c r="L52" s="68">
        <f t="shared" si="1"/>
        <v>0.19809496930783885</v>
      </c>
    </row>
    <row r="53" spans="1:12" x14ac:dyDescent="0.25">
      <c r="A53" s="48" t="s">
        <v>39</v>
      </c>
      <c r="B53" s="21">
        <v>112000</v>
      </c>
      <c r="C53" s="20">
        <v>94500</v>
      </c>
      <c r="D53" s="20">
        <v>163100</v>
      </c>
      <c r="E53" s="22">
        <v>1726</v>
      </c>
      <c r="F53" s="21">
        <v>410650</v>
      </c>
      <c r="G53" s="20">
        <v>361455</v>
      </c>
      <c r="H53" s="20">
        <v>543008</v>
      </c>
      <c r="I53" s="22">
        <v>1502</v>
      </c>
      <c r="J53" s="66">
        <f t="shared" si="1"/>
        <v>0.27273834165347621</v>
      </c>
      <c r="K53" s="67">
        <f t="shared" si="1"/>
        <v>0.26144333319500351</v>
      </c>
      <c r="L53" s="68">
        <f t="shared" si="1"/>
        <v>0.30036389887441806</v>
      </c>
    </row>
    <row r="54" spans="1:12" x14ac:dyDescent="0.25">
      <c r="A54" s="48" t="s">
        <v>40</v>
      </c>
      <c r="B54" s="21">
        <v>113100</v>
      </c>
      <c r="C54" s="20">
        <v>87400</v>
      </c>
      <c r="D54" s="20">
        <v>178080</v>
      </c>
      <c r="E54" s="22">
        <v>2038</v>
      </c>
      <c r="F54" s="21">
        <v>552246</v>
      </c>
      <c r="G54" s="20">
        <v>512821</v>
      </c>
      <c r="H54" s="20">
        <v>1019654</v>
      </c>
      <c r="I54" s="22">
        <v>1988</v>
      </c>
      <c r="J54" s="66">
        <f t="shared" si="1"/>
        <v>0.20480003476711467</v>
      </c>
      <c r="K54" s="67">
        <f t="shared" si="1"/>
        <v>0.17042983809165382</v>
      </c>
      <c r="L54" s="68">
        <f t="shared" si="1"/>
        <v>0.17464747845837902</v>
      </c>
    </row>
    <row r="55" spans="1:12" x14ac:dyDescent="0.25">
      <c r="A55" s="48" t="s">
        <v>41</v>
      </c>
      <c r="B55" s="21">
        <v>108300</v>
      </c>
      <c r="C55" s="20">
        <v>72050</v>
      </c>
      <c r="D55" s="20">
        <v>112880</v>
      </c>
      <c r="E55" s="22">
        <v>1567</v>
      </c>
      <c r="F55" s="21">
        <v>523680</v>
      </c>
      <c r="G55" s="20">
        <v>455945</v>
      </c>
      <c r="H55" s="20">
        <v>795345</v>
      </c>
      <c r="I55" s="22">
        <v>1744</v>
      </c>
      <c r="J55" s="66">
        <f t="shared" si="1"/>
        <v>0.2068056828597617</v>
      </c>
      <c r="K55" s="67">
        <f t="shared" si="1"/>
        <v>0.15802344581034994</v>
      </c>
      <c r="L55" s="68">
        <f t="shared" si="1"/>
        <v>0.14192583092871647</v>
      </c>
    </row>
    <row r="56" spans="1:12" x14ac:dyDescent="0.25">
      <c r="A56" s="48" t="s">
        <v>42</v>
      </c>
      <c r="B56" s="21">
        <v>53300</v>
      </c>
      <c r="C56" s="20">
        <v>38200</v>
      </c>
      <c r="D56" s="20">
        <v>51710</v>
      </c>
      <c r="E56" s="22">
        <v>1354</v>
      </c>
      <c r="F56" s="21">
        <v>406130</v>
      </c>
      <c r="G56" s="20">
        <v>376780</v>
      </c>
      <c r="H56" s="20">
        <v>673145</v>
      </c>
      <c r="I56" s="22">
        <v>1787</v>
      </c>
      <c r="J56" s="66">
        <f t="shared" si="1"/>
        <v>0.13123876591239259</v>
      </c>
      <c r="K56" s="67">
        <f t="shared" si="1"/>
        <v>0.10138542385476935</v>
      </c>
      <c r="L56" s="68">
        <f t="shared" si="1"/>
        <v>7.681851607008891E-2</v>
      </c>
    </row>
    <row r="57" spans="1:12" x14ac:dyDescent="0.25">
      <c r="A57" s="48" t="s">
        <v>43</v>
      </c>
      <c r="B57" s="21">
        <v>37500</v>
      </c>
      <c r="C57" s="20">
        <v>32700</v>
      </c>
      <c r="D57" s="20">
        <v>95720</v>
      </c>
      <c r="E57" s="22">
        <v>2927</v>
      </c>
      <c r="F57" s="21">
        <v>253310</v>
      </c>
      <c r="G57" s="20">
        <v>241635</v>
      </c>
      <c r="H57" s="20">
        <v>616160</v>
      </c>
      <c r="I57" s="22">
        <v>2550</v>
      </c>
      <c r="J57" s="66">
        <f t="shared" si="1"/>
        <v>0.14803995104812284</v>
      </c>
      <c r="K57" s="67">
        <f t="shared" si="1"/>
        <v>0.1353280774722205</v>
      </c>
      <c r="L57" s="68">
        <f t="shared" si="1"/>
        <v>0.15534925993248508</v>
      </c>
    </row>
    <row r="58" spans="1:12" x14ac:dyDescent="0.25">
      <c r="A58" s="48" t="s">
        <v>44</v>
      </c>
      <c r="B58" s="21">
        <v>53000</v>
      </c>
      <c r="C58" s="20">
        <v>48500</v>
      </c>
      <c r="D58" s="20">
        <v>104900</v>
      </c>
      <c r="E58" s="22">
        <v>2163</v>
      </c>
      <c r="F58" s="21">
        <v>327465</v>
      </c>
      <c r="G58" s="20">
        <v>319285</v>
      </c>
      <c r="H58" s="20">
        <v>813692</v>
      </c>
      <c r="I58" s="22">
        <v>2548</v>
      </c>
      <c r="J58" s="66">
        <f t="shared" si="1"/>
        <v>0.16184935794665078</v>
      </c>
      <c r="K58" s="67">
        <f t="shared" si="1"/>
        <v>0.15190190582081839</v>
      </c>
      <c r="L58" s="68">
        <f t="shared" si="1"/>
        <v>0.1289185588650251</v>
      </c>
    </row>
    <row r="59" spans="1:12" x14ac:dyDescent="0.25">
      <c r="A59" s="48" t="s">
        <v>45</v>
      </c>
      <c r="B59" s="21">
        <v>74200</v>
      </c>
      <c r="C59" s="20">
        <v>17700</v>
      </c>
      <c r="D59" s="20">
        <v>29410</v>
      </c>
      <c r="E59" s="22">
        <v>1662</v>
      </c>
      <c r="F59" s="21">
        <v>441103</v>
      </c>
      <c r="G59" s="20">
        <v>332896</v>
      </c>
      <c r="H59" s="20">
        <v>872721</v>
      </c>
      <c r="I59" s="22">
        <v>2622</v>
      </c>
      <c r="J59" s="66">
        <f t="shared" si="1"/>
        <v>0.16821468001804568</v>
      </c>
      <c r="K59" s="67">
        <f t="shared" si="1"/>
        <v>5.3169758723445162E-2</v>
      </c>
      <c r="L59" s="68">
        <f t="shared" si="1"/>
        <v>3.3699200546337259E-2</v>
      </c>
    </row>
    <row r="60" spans="1:12" x14ac:dyDescent="0.25">
      <c r="A60" s="49" t="s">
        <v>46</v>
      </c>
      <c r="B60" s="21">
        <v>44800</v>
      </c>
      <c r="C60" s="20">
        <v>40800</v>
      </c>
      <c r="D60" s="20">
        <v>90440</v>
      </c>
      <c r="E60" s="22">
        <v>2217</v>
      </c>
      <c r="F60" s="21">
        <v>444410</v>
      </c>
      <c r="G60" s="20">
        <v>413550</v>
      </c>
      <c r="H60" s="20">
        <v>1046043</v>
      </c>
      <c r="I60" s="22">
        <v>2529</v>
      </c>
      <c r="J60" s="66">
        <f t="shared" si="1"/>
        <v>0.10080781260547693</v>
      </c>
      <c r="K60" s="67">
        <f t="shared" si="1"/>
        <v>9.8657961552412049E-2</v>
      </c>
      <c r="L60" s="68">
        <f t="shared" si="1"/>
        <v>8.6459160856676071E-2</v>
      </c>
    </row>
    <row r="61" spans="1:12" x14ac:dyDescent="0.25">
      <c r="A61" s="49" t="s">
        <v>47</v>
      </c>
      <c r="B61" s="21">
        <v>45900</v>
      </c>
      <c r="C61" s="20">
        <v>45900</v>
      </c>
      <c r="D61" s="20">
        <v>119220</v>
      </c>
      <c r="E61" s="22">
        <v>2597</v>
      </c>
      <c r="F61" s="21">
        <v>415564</v>
      </c>
      <c r="G61" s="20">
        <v>406324</v>
      </c>
      <c r="H61" s="20">
        <v>1040334</v>
      </c>
      <c r="I61" s="22">
        <v>2560</v>
      </c>
      <c r="J61" s="66">
        <f t="shared" si="1"/>
        <v>0.11045230096928511</v>
      </c>
      <c r="K61" s="67">
        <f t="shared" si="1"/>
        <v>0.11296403855051634</v>
      </c>
      <c r="L61" s="68">
        <f t="shared" si="1"/>
        <v>0.11459781185657683</v>
      </c>
    </row>
    <row r="62" spans="1:12" x14ac:dyDescent="0.25">
      <c r="A62" s="49" t="s">
        <v>48</v>
      </c>
      <c r="B62" s="21">
        <v>53500</v>
      </c>
      <c r="C62" s="20">
        <v>50800</v>
      </c>
      <c r="D62" s="20">
        <v>72550</v>
      </c>
      <c r="E62" s="22">
        <v>1428</v>
      </c>
      <c r="F62" s="21">
        <v>503802</v>
      </c>
      <c r="G62" s="20">
        <v>480057</v>
      </c>
      <c r="H62" s="20">
        <v>1115510</v>
      </c>
      <c r="I62" s="22">
        <v>2324</v>
      </c>
      <c r="J62" s="66">
        <f t="shared" si="1"/>
        <v>0.10619251213770489</v>
      </c>
      <c r="K62" s="67">
        <f t="shared" si="1"/>
        <v>0.10582076711723816</v>
      </c>
      <c r="L62" s="68">
        <f t="shared" si="1"/>
        <v>6.5037516472286214E-2</v>
      </c>
    </row>
    <row r="63" spans="1:12" x14ac:dyDescent="0.25">
      <c r="A63" s="49" t="s">
        <v>49</v>
      </c>
      <c r="B63" s="21">
        <v>154500</v>
      </c>
      <c r="C63" s="20">
        <v>150450</v>
      </c>
      <c r="D63" s="20">
        <v>256250</v>
      </c>
      <c r="E63" s="22">
        <v>1703</v>
      </c>
      <c r="F63" s="21">
        <v>534660</v>
      </c>
      <c r="G63" s="20">
        <v>511783</v>
      </c>
      <c r="H63" s="20">
        <v>896464</v>
      </c>
      <c r="I63" s="22">
        <v>1752</v>
      </c>
      <c r="J63" s="66">
        <f t="shared" si="1"/>
        <v>0.28896869038267309</v>
      </c>
      <c r="K63" s="67">
        <f t="shared" si="1"/>
        <v>0.29397224995750154</v>
      </c>
      <c r="L63" s="68">
        <f t="shared" si="1"/>
        <v>0.28584527655321351</v>
      </c>
    </row>
    <row r="64" spans="1:12" x14ac:dyDescent="0.25">
      <c r="A64" s="49" t="s">
        <v>50</v>
      </c>
      <c r="B64" s="21">
        <v>188300</v>
      </c>
      <c r="C64" s="20">
        <v>180500</v>
      </c>
      <c r="D64" s="20">
        <v>363588</v>
      </c>
      <c r="E64" s="22">
        <v>2014</v>
      </c>
      <c r="F64" s="21">
        <v>648079</v>
      </c>
      <c r="G64" s="20">
        <v>622327</v>
      </c>
      <c r="H64" s="20">
        <v>1269399</v>
      </c>
      <c r="I64" s="22">
        <v>2040</v>
      </c>
      <c r="J64" s="66">
        <f t="shared" si="1"/>
        <v>0.29055099764071973</v>
      </c>
      <c r="K64" s="67">
        <f t="shared" si="1"/>
        <v>0.29004044497506937</v>
      </c>
      <c r="L64" s="68">
        <f t="shared" si="1"/>
        <v>0.28642530835458357</v>
      </c>
    </row>
    <row r="65" spans="1:12" x14ac:dyDescent="0.25">
      <c r="A65" s="49" t="s">
        <v>51</v>
      </c>
      <c r="B65" s="21">
        <v>237300</v>
      </c>
      <c r="C65" s="20">
        <v>228400</v>
      </c>
      <c r="D65" s="20">
        <v>410269</v>
      </c>
      <c r="E65" s="22">
        <v>1796</v>
      </c>
      <c r="F65" s="21">
        <v>687925</v>
      </c>
      <c r="G65" s="20">
        <v>621785</v>
      </c>
      <c r="H65" s="20">
        <v>1099962</v>
      </c>
      <c r="I65" s="22">
        <v>1769</v>
      </c>
      <c r="J65" s="66">
        <f t="shared" si="1"/>
        <v>0.34495039430170438</v>
      </c>
      <c r="K65" s="67">
        <f t="shared" si="1"/>
        <v>0.36732954317006683</v>
      </c>
      <c r="L65" s="68">
        <f t="shared" si="1"/>
        <v>0.37298470310792553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DC60865D-9750-4A00-84E6-4DF8735464BF}"/>
  </hyperlinks>
  <pageMargins left="0.7" right="0.7" top="0.75" bottom="0.75" header="0.3" footer="0.3"/>
  <pageSetup paperSize="9" fitToWidth="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4392-0747-424E-B826-69B884F13F17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60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 t="e"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 t="e">
        <v>#N/A</v>
      </c>
      <c r="G19" s="20" t="e">
        <v>#N/A</v>
      </c>
      <c r="H19" s="20" t="e">
        <v>#N/A</v>
      </c>
      <c r="I19" s="22" t="e">
        <v>#N/A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 t="e">
        <v>#N/A</v>
      </c>
      <c r="G20" s="20" t="e">
        <v>#N/A</v>
      </c>
      <c r="H20" s="20" t="e">
        <v>#N/A</v>
      </c>
      <c r="I20" s="22" t="e">
        <v>#N/A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 t="e">
        <v>#N/A</v>
      </c>
      <c r="G21" s="20" t="e">
        <v>#N/A</v>
      </c>
      <c r="H21" s="20" t="e">
        <v>#N/A</v>
      </c>
      <c r="I21" s="22" t="e">
        <v>#N/A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 t="e">
        <v>#N/A</v>
      </c>
      <c r="G33" s="20" t="e">
        <v>#N/A</v>
      </c>
      <c r="H33" s="20" t="e">
        <v>#N/A</v>
      </c>
      <c r="I33" s="22" t="e">
        <v>#N/A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 t="e">
        <v>#N/A</v>
      </c>
      <c r="G34" s="20" t="e">
        <v>#N/A</v>
      </c>
      <c r="H34" s="20" t="e">
        <v>#N/A</v>
      </c>
      <c r="I34" s="22" t="e">
        <v>#N/A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 t="e">
        <v>#N/A</v>
      </c>
      <c r="G35" s="20" t="e">
        <v>#N/A</v>
      </c>
      <c r="H35" s="20" t="e">
        <v>#N/A</v>
      </c>
      <c r="I35" s="22" t="e">
        <v>#N/A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 t="e">
        <v>#N/A</v>
      </c>
      <c r="G36" s="20" t="e">
        <v>#N/A</v>
      </c>
      <c r="H36" s="20" t="e">
        <v>#N/A</v>
      </c>
      <c r="I36" s="22" t="e">
        <v>#N/A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>
        <v>24700</v>
      </c>
      <c r="C59" s="20">
        <v>21100</v>
      </c>
      <c r="D59" s="20">
        <v>22860</v>
      </c>
      <c r="E59" s="22">
        <v>1083</v>
      </c>
      <c r="F59" s="21">
        <v>62336</v>
      </c>
      <c r="G59" s="20">
        <v>58586</v>
      </c>
      <c r="H59" s="20">
        <v>136243</v>
      </c>
      <c r="I59" s="22">
        <v>2326</v>
      </c>
      <c r="J59" s="66">
        <f t="shared" si="1"/>
        <v>0.39623973305954824</v>
      </c>
      <c r="K59" s="67">
        <f t="shared" si="1"/>
        <v>0.36015430307582014</v>
      </c>
      <c r="L59" s="68">
        <f t="shared" si="1"/>
        <v>0.16778843683712191</v>
      </c>
    </row>
    <row r="60" spans="1:12" x14ac:dyDescent="0.25">
      <c r="A60" s="49" t="s">
        <v>46</v>
      </c>
      <c r="B60" s="21">
        <v>22400</v>
      </c>
      <c r="C60" s="20">
        <v>22400</v>
      </c>
      <c r="D60" s="20">
        <v>40530</v>
      </c>
      <c r="E60" s="22">
        <v>1809</v>
      </c>
      <c r="F60" s="21">
        <v>79875</v>
      </c>
      <c r="G60" s="20">
        <v>78805</v>
      </c>
      <c r="H60" s="20">
        <v>195676</v>
      </c>
      <c r="I60" s="22">
        <v>2483</v>
      </c>
      <c r="J60" s="66">
        <f t="shared" si="1"/>
        <v>0.28043818466353676</v>
      </c>
      <c r="K60" s="67">
        <f t="shared" si="1"/>
        <v>0.28424592348201255</v>
      </c>
      <c r="L60" s="68">
        <f t="shared" si="1"/>
        <v>0.2071281097324148</v>
      </c>
    </row>
    <row r="61" spans="1:12" x14ac:dyDescent="0.25">
      <c r="A61" s="49" t="s">
        <v>47</v>
      </c>
      <c r="B61" s="21">
        <v>25473</v>
      </c>
      <c r="C61" s="20">
        <v>25473</v>
      </c>
      <c r="D61" s="20">
        <v>33092</v>
      </c>
      <c r="E61" s="22">
        <v>1299</v>
      </c>
      <c r="F61" s="21">
        <v>87200</v>
      </c>
      <c r="G61" s="20">
        <v>86700</v>
      </c>
      <c r="H61" s="20">
        <v>193999</v>
      </c>
      <c r="I61" s="22">
        <v>2238</v>
      </c>
      <c r="J61" s="66">
        <f t="shared" si="1"/>
        <v>0.29212155963302755</v>
      </c>
      <c r="K61" s="67">
        <f t="shared" si="1"/>
        <v>0.2938062283737024</v>
      </c>
      <c r="L61" s="68">
        <f t="shared" si="1"/>
        <v>0.17057819885669515</v>
      </c>
    </row>
    <row r="62" spans="1:12" x14ac:dyDescent="0.25">
      <c r="A62" s="49" t="s">
        <v>48</v>
      </c>
      <c r="B62" s="21">
        <v>23899</v>
      </c>
      <c r="C62" s="20">
        <v>23899</v>
      </c>
      <c r="D62" s="20">
        <v>56770</v>
      </c>
      <c r="E62" s="22">
        <v>2375</v>
      </c>
      <c r="F62" s="21">
        <v>112646</v>
      </c>
      <c r="G62" s="20">
        <v>112446</v>
      </c>
      <c r="H62" s="20">
        <v>296957</v>
      </c>
      <c r="I62" s="22">
        <v>2641</v>
      </c>
      <c r="J62" s="66">
        <f t="shared" si="1"/>
        <v>0.21216021873834845</v>
      </c>
      <c r="K62" s="67">
        <f t="shared" si="1"/>
        <v>0.21253757359087919</v>
      </c>
      <c r="L62" s="68">
        <f t="shared" si="1"/>
        <v>0.19117245931229102</v>
      </c>
    </row>
    <row r="63" spans="1:12" x14ac:dyDescent="0.25">
      <c r="A63" s="49" t="s">
        <v>49</v>
      </c>
      <c r="B63" s="21">
        <v>11500</v>
      </c>
      <c r="C63" s="20">
        <v>8900</v>
      </c>
      <c r="D63" s="20">
        <v>5000</v>
      </c>
      <c r="E63" s="22">
        <v>562</v>
      </c>
      <c r="F63" s="21">
        <v>90808</v>
      </c>
      <c r="G63" s="20">
        <v>54224</v>
      </c>
      <c r="H63" s="20">
        <v>59813</v>
      </c>
      <c r="I63" s="22">
        <v>1103</v>
      </c>
      <c r="J63" s="66">
        <f t="shared" si="1"/>
        <v>0.12664082459695181</v>
      </c>
      <c r="K63" s="67">
        <f t="shared" si="1"/>
        <v>0.16413396282089113</v>
      </c>
      <c r="L63" s="68">
        <f t="shared" si="1"/>
        <v>8.3593867553876253E-2</v>
      </c>
    </row>
    <row r="64" spans="1:12" x14ac:dyDescent="0.25">
      <c r="A64" s="49" t="s">
        <v>50</v>
      </c>
      <c r="B64" s="21">
        <v>14877</v>
      </c>
      <c r="C64" s="20">
        <v>14877</v>
      </c>
      <c r="D64" s="20">
        <v>25464</v>
      </c>
      <c r="E64" s="22">
        <v>1712</v>
      </c>
      <c r="F64" s="21">
        <v>98793</v>
      </c>
      <c r="G64" s="20">
        <v>91119</v>
      </c>
      <c r="H64" s="20">
        <v>215308</v>
      </c>
      <c r="I64" s="22">
        <v>2363</v>
      </c>
      <c r="J64" s="66">
        <f t="shared" si="1"/>
        <v>0.15058759223831647</v>
      </c>
      <c r="K64" s="67">
        <f t="shared" si="1"/>
        <v>0.16327000954795379</v>
      </c>
      <c r="L64" s="68">
        <f t="shared" si="1"/>
        <v>0.11826778382596095</v>
      </c>
    </row>
    <row r="65" spans="1:12" x14ac:dyDescent="0.25">
      <c r="A65" s="49" t="s">
        <v>51</v>
      </c>
      <c r="B65" s="21">
        <v>20877</v>
      </c>
      <c r="C65" s="20">
        <v>20877</v>
      </c>
      <c r="D65" s="20">
        <v>44554</v>
      </c>
      <c r="E65" s="22">
        <v>2134</v>
      </c>
      <c r="F65" s="21">
        <v>107152</v>
      </c>
      <c r="G65" s="20">
        <v>100525</v>
      </c>
      <c r="H65" s="20">
        <v>257885</v>
      </c>
      <c r="I65" s="22">
        <v>2565</v>
      </c>
      <c r="J65" s="66">
        <f t="shared" si="1"/>
        <v>0.19483537404808124</v>
      </c>
      <c r="K65" s="67">
        <f t="shared" si="1"/>
        <v>0.20767968167122605</v>
      </c>
      <c r="L65" s="68">
        <f t="shared" si="1"/>
        <v>0.17276693099637436</v>
      </c>
    </row>
    <row r="66" spans="1:12" x14ac:dyDescent="0.25">
      <c r="A66" s="49" t="s">
        <v>52</v>
      </c>
      <c r="B66" s="21">
        <v>26015</v>
      </c>
      <c r="C66" s="20">
        <v>25965</v>
      </c>
      <c r="D66" s="20">
        <v>70057</v>
      </c>
      <c r="E66" s="22">
        <v>2698</v>
      </c>
      <c r="F66" s="21">
        <v>141126</v>
      </c>
      <c r="G66" s="20">
        <v>138656</v>
      </c>
      <c r="H66" s="20">
        <v>384738</v>
      </c>
      <c r="I66" s="22">
        <v>2775</v>
      </c>
      <c r="J66" s="66">
        <f t="shared" si="1"/>
        <v>0.18433881779402803</v>
      </c>
      <c r="K66" s="67">
        <f t="shared" si="1"/>
        <v>0.18726200092314793</v>
      </c>
      <c r="L66" s="68">
        <f t="shared" si="1"/>
        <v>0.1820901496602883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f>NA()</f>
        <v>#N/A</v>
      </c>
      <c r="F67" s="21" t="e">
        <v>#N/A</v>
      </c>
      <c r="G67" s="20" t="e">
        <v>#N/A</v>
      </c>
      <c r="H67" s="20" t="e">
        <v>#N/A</v>
      </c>
      <c r="I67" s="22" t="e">
        <f>NA()</f>
        <v>#N/A</v>
      </c>
      <c r="J67" s="66" t="e">
        <f>B67/F67</f>
        <v>#N/A</v>
      </c>
      <c r="K67" s="67" t="e">
        <f t="shared" ref="K67:L67" si="2">C67/G67</f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87C3339E-4789-46F5-9C8B-206DA5430889}"/>
  </hyperlinks>
  <pageMargins left="0.7" right="0.7" top="0.75" bottom="0.75" header="0.3" footer="0.3"/>
  <pageSetup paperSize="9" fitToWidth="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DE11-469D-4D70-B92D-DD1E7FBE7C61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61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12000</v>
      </c>
      <c r="C10" s="40">
        <v>11800</v>
      </c>
      <c r="D10" s="40">
        <v>400000</v>
      </c>
      <c r="E10" s="50">
        <v>33898</v>
      </c>
      <c r="F10" s="41">
        <v>203400</v>
      </c>
      <c r="G10" s="40">
        <v>191900</v>
      </c>
      <c r="H10" s="40">
        <v>9700000</v>
      </c>
      <c r="I10" s="50">
        <v>50547</v>
      </c>
      <c r="J10" s="63">
        <f>B10/F10</f>
        <v>5.8997050147492625E-2</v>
      </c>
      <c r="K10" s="64">
        <f t="shared" ref="K10:L25" si="0">C10/G10</f>
        <v>6.1490359562272015E-2</v>
      </c>
      <c r="L10" s="65">
        <f t="shared" si="0"/>
        <v>4.1237113402061855E-2</v>
      </c>
    </row>
    <row r="11" spans="1:12" x14ac:dyDescent="0.25">
      <c r="A11" s="48" t="s">
        <v>81</v>
      </c>
      <c r="B11" s="21">
        <v>14000</v>
      </c>
      <c r="C11" s="20">
        <v>14000</v>
      </c>
      <c r="D11" s="20">
        <v>500000</v>
      </c>
      <c r="E11" s="22">
        <v>35714</v>
      </c>
      <c r="F11" s="21">
        <v>226800</v>
      </c>
      <c r="G11" s="20">
        <v>211400</v>
      </c>
      <c r="H11" s="20">
        <v>10260000</v>
      </c>
      <c r="I11" s="22">
        <v>48534</v>
      </c>
      <c r="J11" s="66">
        <f t="shared" ref="J11:L65" si="1">B11/F11</f>
        <v>6.1728395061728392E-2</v>
      </c>
      <c r="K11" s="67">
        <f t="shared" si="0"/>
        <v>6.6225165562913912E-2</v>
      </c>
      <c r="L11" s="68">
        <f t="shared" si="0"/>
        <v>4.8732943469785572E-2</v>
      </c>
    </row>
    <row r="12" spans="1:12" x14ac:dyDescent="0.25">
      <c r="A12" s="48" t="s">
        <v>82</v>
      </c>
      <c r="B12" s="21">
        <v>14000</v>
      </c>
      <c r="C12" s="20">
        <v>14000</v>
      </c>
      <c r="D12" s="20">
        <v>480000</v>
      </c>
      <c r="E12" s="22">
        <v>34286</v>
      </c>
      <c r="F12" s="21">
        <v>255600</v>
      </c>
      <c r="G12" s="20">
        <v>242840</v>
      </c>
      <c r="H12" s="20">
        <v>12870000</v>
      </c>
      <c r="I12" s="22">
        <v>52998</v>
      </c>
      <c r="J12" s="66">
        <f t="shared" si="1"/>
        <v>5.4773082942097026E-2</v>
      </c>
      <c r="K12" s="67">
        <f t="shared" si="0"/>
        <v>5.7651128314939876E-2</v>
      </c>
      <c r="L12" s="68">
        <f t="shared" si="0"/>
        <v>3.7296037296037296E-2</v>
      </c>
    </row>
    <row r="13" spans="1:12" x14ac:dyDescent="0.25">
      <c r="A13" s="48" t="s">
        <v>83</v>
      </c>
      <c r="B13" s="21">
        <v>13000</v>
      </c>
      <c r="C13" s="20">
        <v>10000</v>
      </c>
      <c r="D13" s="20">
        <v>330000</v>
      </c>
      <c r="E13" s="22">
        <v>33000</v>
      </c>
      <c r="F13" s="21">
        <v>298800</v>
      </c>
      <c r="G13" s="20">
        <v>271800</v>
      </c>
      <c r="H13" s="20">
        <v>16870000</v>
      </c>
      <c r="I13" s="22">
        <v>62068</v>
      </c>
      <c r="J13" s="66">
        <f t="shared" si="1"/>
        <v>4.3507362784471218E-2</v>
      </c>
      <c r="K13" s="67">
        <f t="shared" si="0"/>
        <v>3.679175864606328E-2</v>
      </c>
      <c r="L13" s="68">
        <f t="shared" si="0"/>
        <v>1.956135151155898E-2</v>
      </c>
    </row>
    <row r="14" spans="1:12" x14ac:dyDescent="0.25">
      <c r="A14" s="48" t="s">
        <v>84</v>
      </c>
      <c r="B14" s="21">
        <v>13000</v>
      </c>
      <c r="C14" s="20">
        <v>13000</v>
      </c>
      <c r="D14" s="20">
        <v>460000</v>
      </c>
      <c r="E14" s="22">
        <v>35385</v>
      </c>
      <c r="F14" s="21">
        <v>350400</v>
      </c>
      <c r="G14" s="20">
        <v>298300</v>
      </c>
      <c r="H14" s="20">
        <v>15536000</v>
      </c>
      <c r="I14" s="22">
        <v>52082</v>
      </c>
      <c r="J14" s="66">
        <f t="shared" si="1"/>
        <v>3.7100456621004564E-2</v>
      </c>
      <c r="K14" s="67">
        <f t="shared" si="0"/>
        <v>4.3580288300368759E-2</v>
      </c>
      <c r="L14" s="68">
        <f t="shared" si="0"/>
        <v>2.9608650875386201E-2</v>
      </c>
    </row>
    <row r="15" spans="1:12" x14ac:dyDescent="0.25">
      <c r="A15" s="48" t="s">
        <v>85</v>
      </c>
      <c r="B15" s="21">
        <v>16000</v>
      </c>
      <c r="C15" s="20">
        <v>16000</v>
      </c>
      <c r="D15" s="20">
        <v>560000</v>
      </c>
      <c r="E15" s="22">
        <v>35000</v>
      </c>
      <c r="F15" s="21">
        <v>348000</v>
      </c>
      <c r="G15" s="20">
        <v>293200</v>
      </c>
      <c r="H15" s="20">
        <v>15600000</v>
      </c>
      <c r="I15" s="22">
        <v>53206</v>
      </c>
      <c r="J15" s="66">
        <f t="shared" si="1"/>
        <v>4.5977011494252873E-2</v>
      </c>
      <c r="K15" s="67">
        <f t="shared" si="0"/>
        <v>5.4570259208731244E-2</v>
      </c>
      <c r="L15" s="68">
        <f t="shared" si="0"/>
        <v>3.5897435897435895E-2</v>
      </c>
    </row>
    <row r="16" spans="1:12" x14ac:dyDescent="0.25">
      <c r="A16" s="48" t="s">
        <v>86</v>
      </c>
      <c r="B16" s="21">
        <v>16000</v>
      </c>
      <c r="C16" s="20">
        <v>15000</v>
      </c>
      <c r="D16" s="20">
        <v>450000</v>
      </c>
      <c r="E16" s="22">
        <v>30000</v>
      </c>
      <c r="F16" s="21">
        <v>350800</v>
      </c>
      <c r="G16" s="20">
        <v>339200</v>
      </c>
      <c r="H16" s="20">
        <v>14310000</v>
      </c>
      <c r="I16" s="22">
        <v>42188</v>
      </c>
      <c r="J16" s="66">
        <f t="shared" si="1"/>
        <v>4.5610034207525657E-2</v>
      </c>
      <c r="K16" s="67">
        <f t="shared" si="0"/>
        <v>4.4221698113207544E-2</v>
      </c>
      <c r="L16" s="68">
        <f t="shared" si="0"/>
        <v>3.1446540880503145E-2</v>
      </c>
    </row>
    <row r="17" spans="1:12" x14ac:dyDescent="0.25">
      <c r="A17" s="48" t="s">
        <v>87</v>
      </c>
      <c r="B17" s="21">
        <v>16000</v>
      </c>
      <c r="C17" s="20">
        <v>14000</v>
      </c>
      <c r="D17" s="20">
        <v>480000</v>
      </c>
      <c r="E17" s="22">
        <v>34286</v>
      </c>
      <c r="F17" s="21">
        <v>360000</v>
      </c>
      <c r="G17" s="20">
        <v>350000</v>
      </c>
      <c r="H17" s="20">
        <v>16000000</v>
      </c>
      <c r="I17" s="22">
        <v>45714</v>
      </c>
      <c r="J17" s="66">
        <f t="shared" si="1"/>
        <v>4.4444444444444446E-2</v>
      </c>
      <c r="K17" s="67">
        <f t="shared" si="0"/>
        <v>0.04</v>
      </c>
      <c r="L17" s="68">
        <f t="shared" si="0"/>
        <v>0.03</v>
      </c>
    </row>
    <row r="18" spans="1:12" x14ac:dyDescent="0.25">
      <c r="A18" s="48" t="s">
        <v>88</v>
      </c>
      <c r="B18" s="21">
        <v>15000</v>
      </c>
      <c r="C18" s="20">
        <v>15000</v>
      </c>
      <c r="D18" s="20">
        <v>408000</v>
      </c>
      <c r="E18" s="22">
        <v>27200</v>
      </c>
      <c r="F18" s="21">
        <v>356000</v>
      </c>
      <c r="G18" s="20">
        <v>343000</v>
      </c>
      <c r="H18" s="20">
        <v>13600000</v>
      </c>
      <c r="I18" s="22">
        <v>39650</v>
      </c>
      <c r="J18" s="66">
        <f t="shared" si="1"/>
        <v>4.2134831460674156E-2</v>
      </c>
      <c r="K18" s="67">
        <f t="shared" si="0"/>
        <v>4.3731778425655975E-2</v>
      </c>
      <c r="L18" s="68">
        <f t="shared" si="0"/>
        <v>0.03</v>
      </c>
    </row>
    <row r="19" spans="1:12" x14ac:dyDescent="0.25">
      <c r="A19" s="48" t="s">
        <v>89</v>
      </c>
      <c r="B19" s="21">
        <v>15000</v>
      </c>
      <c r="C19" s="20">
        <v>15000</v>
      </c>
      <c r="D19" s="20">
        <v>414000</v>
      </c>
      <c r="E19" s="22">
        <v>27600</v>
      </c>
      <c r="F19" s="21">
        <v>350600</v>
      </c>
      <c r="G19" s="20">
        <v>305600</v>
      </c>
      <c r="H19" s="20">
        <v>14120000</v>
      </c>
      <c r="I19" s="22">
        <v>46204</v>
      </c>
      <c r="J19" s="66">
        <f t="shared" si="1"/>
        <v>4.2783799201369078E-2</v>
      </c>
      <c r="K19" s="67">
        <f t="shared" si="0"/>
        <v>4.9083769633507857E-2</v>
      </c>
      <c r="L19" s="68">
        <f t="shared" si="0"/>
        <v>2.9320113314447591E-2</v>
      </c>
    </row>
    <row r="20" spans="1:12" x14ac:dyDescent="0.25">
      <c r="A20" s="48" t="s">
        <v>90</v>
      </c>
      <c r="B20" s="21">
        <v>16000</v>
      </c>
      <c r="C20" s="20">
        <v>16000</v>
      </c>
      <c r="D20" s="20">
        <v>560000</v>
      </c>
      <c r="E20" s="22">
        <v>35000</v>
      </c>
      <c r="F20" s="21">
        <v>337400</v>
      </c>
      <c r="G20" s="20">
        <v>314100</v>
      </c>
      <c r="H20" s="20">
        <v>17200000</v>
      </c>
      <c r="I20" s="22">
        <v>54760</v>
      </c>
      <c r="J20" s="66">
        <f t="shared" si="1"/>
        <v>4.7421458209839951E-2</v>
      </c>
      <c r="K20" s="67">
        <f t="shared" si="0"/>
        <v>5.0939191340337475E-2</v>
      </c>
      <c r="L20" s="68">
        <f t="shared" si="0"/>
        <v>3.255813953488372E-2</v>
      </c>
    </row>
    <row r="21" spans="1:12" x14ac:dyDescent="0.25">
      <c r="A21" s="48" t="s">
        <v>91</v>
      </c>
      <c r="B21" s="21">
        <v>15000</v>
      </c>
      <c r="C21" s="20">
        <v>15000</v>
      </c>
      <c r="D21" s="20">
        <v>600000</v>
      </c>
      <c r="E21" s="22">
        <v>40000</v>
      </c>
      <c r="F21" s="21">
        <v>351300</v>
      </c>
      <c r="G21" s="20">
        <v>319800</v>
      </c>
      <c r="H21" s="20">
        <v>15500000</v>
      </c>
      <c r="I21" s="22">
        <v>48468</v>
      </c>
      <c r="J21" s="66">
        <f t="shared" si="1"/>
        <v>4.2698548249359522E-2</v>
      </c>
      <c r="K21" s="67">
        <f t="shared" si="0"/>
        <v>4.6904315196998121E-2</v>
      </c>
      <c r="L21" s="68">
        <f t="shared" si="0"/>
        <v>3.870967741935484E-2</v>
      </c>
    </row>
    <row r="22" spans="1:12" x14ac:dyDescent="0.25">
      <c r="A22" s="48" t="s">
        <v>92</v>
      </c>
      <c r="B22" s="21">
        <v>15000</v>
      </c>
      <c r="C22" s="20">
        <v>15000</v>
      </c>
      <c r="D22" s="20">
        <v>420000</v>
      </c>
      <c r="E22" s="22">
        <v>28000</v>
      </c>
      <c r="F22" s="21">
        <v>349500</v>
      </c>
      <c r="G22" s="20">
        <v>308500</v>
      </c>
      <c r="H22" s="20">
        <v>15046000</v>
      </c>
      <c r="I22" s="22">
        <v>48771</v>
      </c>
      <c r="J22" s="66">
        <f t="shared" si="1"/>
        <v>4.2918454935622317E-2</v>
      </c>
      <c r="K22" s="67">
        <f t="shared" si="0"/>
        <v>4.8622366288492709E-2</v>
      </c>
      <c r="L22" s="68">
        <f t="shared" si="0"/>
        <v>2.7914395852718332E-2</v>
      </c>
    </row>
    <row r="23" spans="1:12" x14ac:dyDescent="0.25">
      <c r="A23" s="48" t="s">
        <v>93</v>
      </c>
      <c r="B23" s="21">
        <v>15000</v>
      </c>
      <c r="C23" s="20">
        <v>13500</v>
      </c>
      <c r="D23" s="20">
        <v>493000</v>
      </c>
      <c r="E23" s="22">
        <v>36519</v>
      </c>
      <c r="F23" s="21">
        <v>353800</v>
      </c>
      <c r="G23" s="20">
        <v>313400</v>
      </c>
      <c r="H23" s="20">
        <v>15070000</v>
      </c>
      <c r="I23" s="22">
        <v>48086</v>
      </c>
      <c r="J23" s="66">
        <f t="shared" si="1"/>
        <v>4.2396834369700397E-2</v>
      </c>
      <c r="K23" s="67">
        <f t="shared" si="0"/>
        <v>4.3075941289087427E-2</v>
      </c>
      <c r="L23" s="68">
        <f t="shared" si="0"/>
        <v>3.2714001327140016E-2</v>
      </c>
    </row>
    <row r="24" spans="1:12" x14ac:dyDescent="0.25">
      <c r="A24" s="48" t="s">
        <v>94</v>
      </c>
      <c r="B24" s="21">
        <v>14000</v>
      </c>
      <c r="C24" s="20">
        <v>13500</v>
      </c>
      <c r="D24" s="20">
        <v>499500</v>
      </c>
      <c r="E24" s="22">
        <v>37000</v>
      </c>
      <c r="F24" s="21">
        <v>357500</v>
      </c>
      <c r="G24" s="20">
        <v>317600</v>
      </c>
      <c r="H24" s="20">
        <v>15440000</v>
      </c>
      <c r="I24" s="22">
        <v>48615</v>
      </c>
      <c r="J24" s="66">
        <f t="shared" si="1"/>
        <v>3.9160839160839164E-2</v>
      </c>
      <c r="K24" s="67">
        <f t="shared" si="0"/>
        <v>4.2506297229219142E-2</v>
      </c>
      <c r="L24" s="68">
        <f t="shared" si="0"/>
        <v>3.2351036269430054E-2</v>
      </c>
    </row>
    <row r="25" spans="1:12" x14ac:dyDescent="0.25">
      <c r="A25" s="48" t="s">
        <v>95</v>
      </c>
      <c r="B25" s="21">
        <v>13000</v>
      </c>
      <c r="C25" s="20">
        <v>13000</v>
      </c>
      <c r="D25" s="20">
        <v>302660</v>
      </c>
      <c r="E25" s="22">
        <v>23282</v>
      </c>
      <c r="F25" s="21">
        <v>355000</v>
      </c>
      <c r="G25" s="20">
        <v>287550</v>
      </c>
      <c r="H25" s="20">
        <v>14105000</v>
      </c>
      <c r="I25" s="22">
        <v>49052</v>
      </c>
      <c r="J25" s="66">
        <f t="shared" si="1"/>
        <v>3.6619718309859155E-2</v>
      </c>
      <c r="K25" s="67">
        <f t="shared" si="0"/>
        <v>4.5209528777603897E-2</v>
      </c>
      <c r="L25" s="68">
        <f t="shared" si="0"/>
        <v>2.1457639135058489E-2</v>
      </c>
    </row>
    <row r="26" spans="1:12" x14ac:dyDescent="0.25">
      <c r="A26" s="48" t="s">
        <v>96</v>
      </c>
      <c r="B26" s="21">
        <v>13000</v>
      </c>
      <c r="C26" s="20">
        <v>13000</v>
      </c>
      <c r="D26" s="20">
        <v>266100</v>
      </c>
      <c r="E26" s="22">
        <v>20469</v>
      </c>
      <c r="F26" s="21">
        <v>356000</v>
      </c>
      <c r="G26" s="20">
        <v>296250</v>
      </c>
      <c r="H26" s="20">
        <v>14465000</v>
      </c>
      <c r="I26" s="22">
        <v>48827</v>
      </c>
      <c r="J26" s="66">
        <f t="shared" si="1"/>
        <v>3.6516853932584269E-2</v>
      </c>
      <c r="K26" s="67">
        <f t="shared" si="1"/>
        <v>4.3881856540084391E-2</v>
      </c>
      <c r="L26" s="68">
        <f t="shared" si="1"/>
        <v>1.8396128586242656E-2</v>
      </c>
    </row>
    <row r="27" spans="1:12" x14ac:dyDescent="0.25">
      <c r="A27" s="48" t="s">
        <v>97</v>
      </c>
      <c r="B27" s="21">
        <v>12000</v>
      </c>
      <c r="C27" s="20">
        <v>12000</v>
      </c>
      <c r="D27" s="20">
        <v>370000</v>
      </c>
      <c r="E27" s="22">
        <v>30833</v>
      </c>
      <c r="F27" s="21">
        <v>356800</v>
      </c>
      <c r="G27" s="20">
        <v>290200</v>
      </c>
      <c r="H27" s="20">
        <v>14479000</v>
      </c>
      <c r="I27" s="22">
        <v>49893</v>
      </c>
      <c r="J27" s="66">
        <f t="shared" si="1"/>
        <v>3.3632286995515695E-2</v>
      </c>
      <c r="K27" s="67">
        <f t="shared" si="1"/>
        <v>4.1350792556857342E-2</v>
      </c>
      <c r="L27" s="68">
        <f t="shared" si="1"/>
        <v>2.5554250984183992E-2</v>
      </c>
    </row>
    <row r="28" spans="1:12" x14ac:dyDescent="0.25">
      <c r="A28" s="48" t="s">
        <v>98</v>
      </c>
      <c r="B28" s="21">
        <v>10000</v>
      </c>
      <c r="C28" s="20">
        <v>10000</v>
      </c>
      <c r="D28" s="20">
        <v>330000</v>
      </c>
      <c r="E28" s="22">
        <v>33000</v>
      </c>
      <c r="F28" s="21">
        <v>355000</v>
      </c>
      <c r="G28" s="20">
        <v>276700</v>
      </c>
      <c r="H28" s="20">
        <v>13939000</v>
      </c>
      <c r="I28" s="22">
        <v>50376</v>
      </c>
      <c r="J28" s="66">
        <f t="shared" si="1"/>
        <v>2.8169014084507043E-2</v>
      </c>
      <c r="K28" s="67">
        <f t="shared" si="1"/>
        <v>3.6140224069389229E-2</v>
      </c>
      <c r="L28" s="68">
        <f t="shared" si="1"/>
        <v>2.3674582107755218E-2</v>
      </c>
    </row>
    <row r="29" spans="1:12" x14ac:dyDescent="0.25">
      <c r="A29" s="48" t="s">
        <v>99</v>
      </c>
      <c r="B29" s="21">
        <v>11500</v>
      </c>
      <c r="C29" s="20">
        <v>9600</v>
      </c>
      <c r="D29" s="20">
        <v>368200</v>
      </c>
      <c r="E29" s="22">
        <v>38354</v>
      </c>
      <c r="F29" s="21">
        <v>355900</v>
      </c>
      <c r="G29" s="20">
        <v>229300</v>
      </c>
      <c r="H29" s="20">
        <v>10780000</v>
      </c>
      <c r="I29" s="22">
        <v>47013</v>
      </c>
      <c r="J29" s="66">
        <f t="shared" si="1"/>
        <v>3.2312447316661982E-2</v>
      </c>
      <c r="K29" s="67">
        <f t="shared" si="1"/>
        <v>4.1866550370693416E-2</v>
      </c>
      <c r="L29" s="68">
        <f t="shared" si="1"/>
        <v>3.4155844155844155E-2</v>
      </c>
    </row>
    <row r="30" spans="1:12" x14ac:dyDescent="0.25">
      <c r="A30" s="48" t="s">
        <v>100</v>
      </c>
      <c r="B30" s="21">
        <v>10000</v>
      </c>
      <c r="C30" s="20">
        <v>9100</v>
      </c>
      <c r="D30" s="20">
        <v>180000</v>
      </c>
      <c r="E30" s="22">
        <v>19780</v>
      </c>
      <c r="F30" s="21">
        <v>342810</v>
      </c>
      <c r="G30" s="20">
        <v>255549</v>
      </c>
      <c r="H30" s="20">
        <v>12093000</v>
      </c>
      <c r="I30" s="22">
        <v>47322</v>
      </c>
      <c r="J30" s="66">
        <f t="shared" si="1"/>
        <v>2.9170677634841456E-2</v>
      </c>
      <c r="K30" s="67">
        <f t="shared" si="1"/>
        <v>3.5609609116059933E-2</v>
      </c>
      <c r="L30" s="68">
        <f t="shared" si="1"/>
        <v>1.4884644008930786E-2</v>
      </c>
    </row>
    <row r="31" spans="1:12" x14ac:dyDescent="0.25">
      <c r="A31" s="48" t="s">
        <v>101</v>
      </c>
      <c r="B31" s="21">
        <v>7379</v>
      </c>
      <c r="C31" s="20">
        <v>7202</v>
      </c>
      <c r="D31" s="20">
        <v>113000</v>
      </c>
      <c r="E31" s="22">
        <v>15690</v>
      </c>
      <c r="F31" s="21">
        <v>340426</v>
      </c>
      <c r="G31" s="20">
        <v>292092</v>
      </c>
      <c r="H31" s="20">
        <v>14416500</v>
      </c>
      <c r="I31" s="22">
        <v>49356</v>
      </c>
      <c r="J31" s="66">
        <f t="shared" si="1"/>
        <v>2.1675782695798795E-2</v>
      </c>
      <c r="K31" s="67">
        <f t="shared" si="1"/>
        <v>2.465661503909727E-2</v>
      </c>
      <c r="L31" s="68">
        <f t="shared" si="1"/>
        <v>7.8382409045191278E-3</v>
      </c>
    </row>
    <row r="32" spans="1:12" x14ac:dyDescent="0.25">
      <c r="A32" s="48" t="s">
        <v>102</v>
      </c>
      <c r="B32" s="21">
        <v>4939</v>
      </c>
      <c r="C32" s="20">
        <v>2832</v>
      </c>
      <c r="D32" s="20">
        <v>130000</v>
      </c>
      <c r="E32" s="22">
        <v>45904</v>
      </c>
      <c r="F32" s="21">
        <v>332389</v>
      </c>
      <c r="G32" s="20">
        <v>254526</v>
      </c>
      <c r="H32" s="20">
        <v>12827500</v>
      </c>
      <c r="I32" s="22">
        <v>50398</v>
      </c>
      <c r="J32" s="66">
        <f t="shared" si="1"/>
        <v>1.4859095818453679E-2</v>
      </c>
      <c r="K32" s="67">
        <f t="shared" si="1"/>
        <v>1.1126564673157162E-2</v>
      </c>
      <c r="L32" s="68">
        <f t="shared" si="1"/>
        <v>1.0134476710192944E-2</v>
      </c>
    </row>
    <row r="33" spans="1:12" x14ac:dyDescent="0.25">
      <c r="A33" s="48" t="s">
        <v>103</v>
      </c>
      <c r="B33" s="21">
        <v>5000</v>
      </c>
      <c r="C33" s="20">
        <v>4000</v>
      </c>
      <c r="D33" s="20">
        <v>70000</v>
      </c>
      <c r="E33" s="22">
        <v>17500</v>
      </c>
      <c r="F33" s="21">
        <v>307240</v>
      </c>
      <c r="G33" s="20">
        <v>225830</v>
      </c>
      <c r="H33" s="20">
        <v>10304400</v>
      </c>
      <c r="I33" s="22">
        <v>45629</v>
      </c>
      <c r="J33" s="66">
        <f t="shared" si="1"/>
        <v>1.6273922666319489E-2</v>
      </c>
      <c r="K33" s="67">
        <f t="shared" si="1"/>
        <v>1.7712438559978744E-2</v>
      </c>
      <c r="L33" s="68">
        <f t="shared" si="1"/>
        <v>6.7932145491246456E-3</v>
      </c>
    </row>
    <row r="34" spans="1:12" x14ac:dyDescent="0.25">
      <c r="A34" s="48" t="s">
        <v>104</v>
      </c>
      <c r="B34" s="21">
        <v>4300</v>
      </c>
      <c r="C34" s="20">
        <v>4300</v>
      </c>
      <c r="D34" s="20">
        <v>107500</v>
      </c>
      <c r="E34" s="22">
        <v>25000</v>
      </c>
      <c r="F34" s="21">
        <v>312323</v>
      </c>
      <c r="G34" s="20">
        <v>238973</v>
      </c>
      <c r="H34" s="20">
        <v>10853645</v>
      </c>
      <c r="I34" s="22">
        <v>45418</v>
      </c>
      <c r="J34" s="66">
        <f t="shared" si="1"/>
        <v>1.3767798080832984E-2</v>
      </c>
      <c r="K34" s="67">
        <f t="shared" si="1"/>
        <v>1.799366455624694E-2</v>
      </c>
      <c r="L34" s="68">
        <f t="shared" si="1"/>
        <v>9.9045067348342425E-3</v>
      </c>
    </row>
    <row r="35" spans="1:12" x14ac:dyDescent="0.25">
      <c r="A35" s="48" t="s">
        <v>105</v>
      </c>
      <c r="B35" s="21">
        <v>7100</v>
      </c>
      <c r="C35" s="20">
        <v>7100</v>
      </c>
      <c r="D35" s="20">
        <v>220100</v>
      </c>
      <c r="E35" s="22">
        <v>31000</v>
      </c>
      <c r="F35" s="21">
        <v>310260</v>
      </c>
      <c r="G35" s="20">
        <v>294941</v>
      </c>
      <c r="H35" s="20">
        <v>12850209</v>
      </c>
      <c r="I35" s="22">
        <v>43569</v>
      </c>
      <c r="J35" s="66">
        <f t="shared" si="1"/>
        <v>2.2884032746728549E-2</v>
      </c>
      <c r="K35" s="67">
        <f t="shared" si="1"/>
        <v>2.407261113239597E-2</v>
      </c>
      <c r="L35" s="68">
        <f t="shared" si="1"/>
        <v>1.7128126087287764E-2</v>
      </c>
    </row>
    <row r="36" spans="1:12" x14ac:dyDescent="0.25">
      <c r="A36" s="48" t="s">
        <v>106</v>
      </c>
      <c r="B36" s="21">
        <v>6800</v>
      </c>
      <c r="C36" s="20">
        <v>6800</v>
      </c>
      <c r="D36" s="20">
        <v>183600</v>
      </c>
      <c r="E36" s="22">
        <v>27000</v>
      </c>
      <c r="F36" s="21">
        <v>310733</v>
      </c>
      <c r="G36" s="20">
        <v>296659</v>
      </c>
      <c r="H36" s="20">
        <v>11814002</v>
      </c>
      <c r="I36" s="22">
        <v>39824</v>
      </c>
      <c r="J36" s="66">
        <f t="shared" si="1"/>
        <v>2.1883739416154704E-2</v>
      </c>
      <c r="K36" s="67">
        <f t="shared" si="1"/>
        <v>2.2921940679365871E-2</v>
      </c>
      <c r="L36" s="68">
        <f t="shared" si="1"/>
        <v>1.5540881066382078E-2</v>
      </c>
    </row>
    <row r="37" spans="1:12" x14ac:dyDescent="0.25">
      <c r="A37" s="48" t="s">
        <v>23</v>
      </c>
      <c r="B37" s="21">
        <v>6000</v>
      </c>
      <c r="C37" s="20">
        <v>6000</v>
      </c>
      <c r="D37" s="20">
        <v>180000</v>
      </c>
      <c r="E37" s="22">
        <v>30000</v>
      </c>
      <c r="F37" s="21">
        <v>341038</v>
      </c>
      <c r="G37" s="20">
        <v>298895</v>
      </c>
      <c r="H37" s="20">
        <v>16553272</v>
      </c>
      <c r="I37" s="22">
        <v>55382</v>
      </c>
      <c r="J37" s="66">
        <f t="shared" si="1"/>
        <v>1.7593347368914901E-2</v>
      </c>
      <c r="K37" s="67">
        <f t="shared" si="1"/>
        <v>2.0073939008681978E-2</v>
      </c>
      <c r="L37" s="68">
        <f t="shared" si="1"/>
        <v>1.0873983101346973E-2</v>
      </c>
    </row>
    <row r="38" spans="1:12" x14ac:dyDescent="0.25">
      <c r="A38" s="48" t="s">
        <v>24</v>
      </c>
      <c r="B38" s="21">
        <v>8300</v>
      </c>
      <c r="C38" s="20">
        <v>8300</v>
      </c>
      <c r="D38" s="20">
        <v>283500</v>
      </c>
      <c r="E38" s="22">
        <v>34157</v>
      </c>
      <c r="F38" s="21">
        <v>335036</v>
      </c>
      <c r="G38" s="20">
        <v>305647</v>
      </c>
      <c r="H38" s="20">
        <v>17088781</v>
      </c>
      <c r="I38" s="22">
        <v>55910</v>
      </c>
      <c r="J38" s="66">
        <f t="shared" si="1"/>
        <v>2.4773457180720878E-2</v>
      </c>
      <c r="K38" s="67">
        <f t="shared" si="1"/>
        <v>2.715550946025971E-2</v>
      </c>
      <c r="L38" s="68">
        <f t="shared" si="1"/>
        <v>1.6589831656219363E-2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>
        <v>5350</v>
      </c>
      <c r="C44" s="20">
        <v>5350</v>
      </c>
      <c r="D44" s="20">
        <v>130000</v>
      </c>
      <c r="E44" s="22">
        <v>24299</v>
      </c>
      <c r="F44" s="21">
        <v>298067</v>
      </c>
      <c r="G44" s="20">
        <v>281886</v>
      </c>
      <c r="H44" s="20">
        <v>17823478</v>
      </c>
      <c r="I44" s="22">
        <v>63229</v>
      </c>
      <c r="J44" s="66">
        <f t="shared" si="1"/>
        <v>1.794898462426233E-2</v>
      </c>
      <c r="K44" s="67">
        <f t="shared" si="1"/>
        <v>1.8979303690144243E-2</v>
      </c>
      <c r="L44" s="68">
        <f t="shared" si="1"/>
        <v>7.2937504116761046E-3</v>
      </c>
    </row>
    <row r="45" spans="1:12" x14ac:dyDescent="0.25">
      <c r="A45" s="48" t="s">
        <v>31</v>
      </c>
      <c r="B45" s="21">
        <v>5400</v>
      </c>
      <c r="C45" s="20">
        <v>5400</v>
      </c>
      <c r="D45" s="20">
        <v>160000</v>
      </c>
      <c r="E45" s="22">
        <v>29630</v>
      </c>
      <c r="F45" s="21">
        <v>296790</v>
      </c>
      <c r="G45" s="20">
        <v>284639</v>
      </c>
      <c r="H45" s="20">
        <v>18799055</v>
      </c>
      <c r="I45" s="22">
        <v>66045</v>
      </c>
      <c r="J45" s="66">
        <f t="shared" si="1"/>
        <v>1.819468310926918E-2</v>
      </c>
      <c r="K45" s="67">
        <f t="shared" si="1"/>
        <v>1.8971398859608135E-2</v>
      </c>
      <c r="L45" s="68">
        <f t="shared" si="1"/>
        <v>8.5110661147594913E-3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34109ECC-B531-4927-8EE9-91C5771423A5}"/>
  </hyperlinks>
  <pageMargins left="0.7" right="0.7" top="0.75" bottom="0.75" header="0.3" footer="0.3"/>
  <pageSetup paperSize="9" fitToWidth="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648F-87AC-43A8-859B-FAC7C7E4B415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65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 t="e"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 t="e">
        <v>#N/A</v>
      </c>
      <c r="G19" s="20" t="e">
        <v>#N/A</v>
      </c>
      <c r="H19" s="20" t="e">
        <v>#N/A</v>
      </c>
      <c r="I19" s="22" t="e">
        <v>#N/A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 t="e">
        <v>#N/A</v>
      </c>
      <c r="G20" s="20" t="e">
        <v>#N/A</v>
      </c>
      <c r="H20" s="20" t="e">
        <v>#N/A</v>
      </c>
      <c r="I20" s="22" t="e">
        <v>#N/A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 t="e">
        <v>#N/A</v>
      </c>
      <c r="G21" s="20" t="e">
        <v>#N/A</v>
      </c>
      <c r="H21" s="20" t="e">
        <v>#N/A</v>
      </c>
      <c r="I21" s="22" t="e">
        <v>#N/A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 t="e">
        <v>#N/A</v>
      </c>
      <c r="G33" s="20" t="e">
        <v>#N/A</v>
      </c>
      <c r="H33" s="20" t="e">
        <v>#N/A</v>
      </c>
      <c r="I33" s="22" t="e">
        <v>#N/A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 t="e">
        <v>#N/A</v>
      </c>
      <c r="G34" s="20" t="e">
        <v>#N/A</v>
      </c>
      <c r="H34" s="20" t="e">
        <v>#N/A</v>
      </c>
      <c r="I34" s="22" t="e">
        <v>#N/A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 t="e">
        <v>#N/A</v>
      </c>
      <c r="G35" s="20" t="e">
        <v>#N/A</v>
      </c>
      <c r="H35" s="20" t="e">
        <v>#N/A</v>
      </c>
      <c r="I35" s="22" t="e">
        <v>#N/A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 t="e">
        <v>#N/A</v>
      </c>
      <c r="G36" s="20" t="e">
        <v>#N/A</v>
      </c>
      <c r="H36" s="20" t="e">
        <v>#N/A</v>
      </c>
      <c r="I36" s="22" t="e">
        <v>#N/A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151574</v>
      </c>
      <c r="G59" s="20">
        <v>137607</v>
      </c>
      <c r="H59" s="20">
        <v>189860</v>
      </c>
      <c r="I59" s="22">
        <v>1380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113099</v>
      </c>
      <c r="G60" s="20">
        <v>112549</v>
      </c>
      <c r="H60" s="20">
        <v>177061</v>
      </c>
      <c r="I60" s="22">
        <v>1573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>
        <v>81236</v>
      </c>
      <c r="G61" s="20">
        <v>78461</v>
      </c>
      <c r="H61" s="20">
        <v>84709</v>
      </c>
      <c r="I61" s="22">
        <v>1080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>
        <v>85690</v>
      </c>
      <c r="G62" s="20">
        <v>81435</v>
      </c>
      <c r="H62" s="20">
        <v>102099</v>
      </c>
      <c r="I62" s="22">
        <v>1254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73617</v>
      </c>
      <c r="G63" s="20">
        <v>66672</v>
      </c>
      <c r="H63" s="20">
        <v>65934</v>
      </c>
      <c r="I63" s="22">
        <v>989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>
        <v>112398</v>
      </c>
      <c r="G64" s="20">
        <v>111070</v>
      </c>
      <c r="H64" s="20">
        <v>116985</v>
      </c>
      <c r="I64" s="22">
        <v>1053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>
        <v>1000</v>
      </c>
      <c r="C65" s="20">
        <v>1000</v>
      </c>
      <c r="D65" s="20">
        <v>1300</v>
      </c>
      <c r="E65" s="22">
        <v>1300</v>
      </c>
      <c r="F65" s="21">
        <v>151496</v>
      </c>
      <c r="G65" s="20">
        <v>148294</v>
      </c>
      <c r="H65" s="20">
        <v>193637</v>
      </c>
      <c r="I65" s="22">
        <v>1306</v>
      </c>
      <c r="J65" s="66">
        <f t="shared" si="1"/>
        <v>6.6008343454612662E-3</v>
      </c>
      <c r="K65" s="67">
        <f t="shared" si="1"/>
        <v>6.7433611609370578E-3</v>
      </c>
      <c r="L65" s="68">
        <f t="shared" si="1"/>
        <v>6.7135929600231365E-3</v>
      </c>
    </row>
    <row r="66" spans="1:12" x14ac:dyDescent="0.25">
      <c r="A66" s="49" t="s">
        <v>52</v>
      </c>
      <c r="B66" s="21">
        <v>713</v>
      </c>
      <c r="C66" s="20">
        <v>713</v>
      </c>
      <c r="D66" s="20">
        <v>1283</v>
      </c>
      <c r="E66" s="22">
        <v>1800</v>
      </c>
      <c r="F66" s="21">
        <v>102421</v>
      </c>
      <c r="G66" s="20">
        <v>100801</v>
      </c>
      <c r="H66" s="20">
        <v>132133</v>
      </c>
      <c r="I66" s="22">
        <v>1311</v>
      </c>
      <c r="J66" s="66">
        <f t="shared" si="1"/>
        <v>6.9614629812245537E-3</v>
      </c>
      <c r="K66" s="67">
        <f t="shared" si="1"/>
        <v>7.0733425263638256E-3</v>
      </c>
      <c r="L66" s="68">
        <f t="shared" si="1"/>
        <v>9.7099134962499913E-3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084BD3EB-939B-49FC-8377-C604E752F687}"/>
  </hyperlinks>
  <pageMargins left="0.7" right="0.7" top="0.75" bottom="0.75" header="0.3" footer="0.3"/>
  <pageSetup paperSize="9" fitToWidth="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EFBF-E9C8-48D5-9590-4FDAECEA6FA9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66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70" t="s">
        <v>121</v>
      </c>
      <c r="F7" s="69" t="s">
        <v>21</v>
      </c>
      <c r="G7" s="23" t="s">
        <v>21</v>
      </c>
      <c r="H7" s="23" t="s">
        <v>22</v>
      </c>
      <c r="I7" s="70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 t="e">
        <v>#N/A</v>
      </c>
      <c r="G10" s="40" t="e">
        <v>#N/A</v>
      </c>
      <c r="H10" s="40" t="e">
        <v>#N/A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 t="e">
        <v>#N/A</v>
      </c>
      <c r="G11" s="20" t="e">
        <v>#N/A</v>
      </c>
      <c r="H11" s="20" t="e">
        <v>#N/A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 t="e">
        <v>#N/A</v>
      </c>
      <c r="G12" s="20" t="e">
        <v>#N/A</v>
      </c>
      <c r="H12" s="20" t="e">
        <v>#N/A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 t="e">
        <v>#N/A</v>
      </c>
      <c r="G13" s="20" t="e">
        <v>#N/A</v>
      </c>
      <c r="H13" s="20" t="e">
        <v>#N/A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 t="e">
        <v>#N/A</v>
      </c>
      <c r="G14" s="20" t="e">
        <v>#N/A</v>
      </c>
      <c r="H14" s="20" t="e">
        <v>#N/A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 t="e">
        <v>#N/A</v>
      </c>
      <c r="G15" s="20" t="e">
        <v>#N/A</v>
      </c>
      <c r="H15" s="20" t="e">
        <v>#N/A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 t="e">
        <v>#N/A</v>
      </c>
      <c r="G16" s="20" t="e">
        <v>#N/A</v>
      </c>
      <c r="H16" s="20" t="e">
        <v>#N/A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 t="e">
        <v>#N/A</v>
      </c>
      <c r="G17" s="20" t="e">
        <v>#N/A</v>
      </c>
      <c r="H17" s="20" t="e">
        <v>#N/A</v>
      </c>
      <c r="I17" s="22" t="e">
        <v>#N/A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 t="e">
        <v>#N/A</v>
      </c>
      <c r="G18" s="20" t="e">
        <v>#N/A</v>
      </c>
      <c r="H18" s="20" t="e">
        <v>#N/A</v>
      </c>
      <c r="I18" s="22" t="e">
        <v>#N/A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 t="e">
        <v>#N/A</v>
      </c>
      <c r="G19" s="20" t="e">
        <v>#N/A</v>
      </c>
      <c r="H19" s="20" t="e">
        <v>#N/A</v>
      </c>
      <c r="I19" s="22" t="e">
        <v>#N/A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 t="e">
        <v>#N/A</v>
      </c>
      <c r="G20" s="20" t="e">
        <v>#N/A</v>
      </c>
      <c r="H20" s="20" t="e">
        <v>#N/A</v>
      </c>
      <c r="I20" s="22" t="e">
        <v>#N/A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 t="e">
        <v>#N/A</v>
      </c>
      <c r="G21" s="20" t="e">
        <v>#N/A</v>
      </c>
      <c r="H21" s="20" t="e">
        <v>#N/A</v>
      </c>
      <c r="I21" s="22" t="e">
        <v>#N/A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 t="e">
        <v>#N/A</v>
      </c>
      <c r="G22" s="20" t="e">
        <v>#N/A</v>
      </c>
      <c r="H22" s="20" t="e">
        <v>#N/A</v>
      </c>
      <c r="I22" s="22" t="e">
        <v>#N/A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 t="e">
        <v>#N/A</v>
      </c>
      <c r="G23" s="20" t="e">
        <v>#N/A</v>
      </c>
      <c r="H23" s="20" t="e">
        <v>#N/A</v>
      </c>
      <c r="I23" s="22" t="e">
        <v>#N/A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 t="e">
        <v>#N/A</v>
      </c>
      <c r="G24" s="20" t="e">
        <v>#N/A</v>
      </c>
      <c r="H24" s="20" t="e">
        <v>#N/A</v>
      </c>
      <c r="I24" s="22" t="e">
        <v>#N/A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 t="e">
        <v>#N/A</v>
      </c>
      <c r="G25" s="20" t="e">
        <v>#N/A</v>
      </c>
      <c r="H25" s="20" t="e">
        <v>#N/A</v>
      </c>
      <c r="I25" s="22" t="e">
        <v>#N/A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 t="e">
        <v>#N/A</v>
      </c>
      <c r="G26" s="20" t="e">
        <v>#N/A</v>
      </c>
      <c r="H26" s="20" t="e">
        <v>#N/A</v>
      </c>
      <c r="I26" s="22" t="e">
        <v>#N/A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 t="e">
        <v>#N/A</v>
      </c>
      <c r="G27" s="20" t="e">
        <v>#N/A</v>
      </c>
      <c r="H27" s="20" t="e">
        <v>#N/A</v>
      </c>
      <c r="I27" s="22" t="e">
        <v>#N/A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 t="e">
        <v>#N/A</v>
      </c>
      <c r="G28" s="20" t="e">
        <v>#N/A</v>
      </c>
      <c r="H28" s="20" t="e">
        <v>#N/A</v>
      </c>
      <c r="I28" s="22" t="e">
        <v>#N/A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 t="e">
        <v>#N/A</v>
      </c>
      <c r="G29" s="20" t="e">
        <v>#N/A</v>
      </c>
      <c r="H29" s="20" t="e">
        <v>#N/A</v>
      </c>
      <c r="I29" s="22" t="e">
        <v>#N/A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 t="e">
        <v>#N/A</v>
      </c>
      <c r="G30" s="20" t="e">
        <v>#N/A</v>
      </c>
      <c r="H30" s="20" t="e">
        <v>#N/A</v>
      </c>
      <c r="I30" s="22" t="e">
        <v>#N/A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 t="e">
        <v>#N/A</v>
      </c>
      <c r="G31" s="20" t="e">
        <v>#N/A</v>
      </c>
      <c r="H31" s="20" t="e">
        <v>#N/A</v>
      </c>
      <c r="I31" s="22" t="e">
        <v>#N/A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 t="e">
        <v>#N/A</v>
      </c>
      <c r="G32" s="20" t="e">
        <v>#N/A</v>
      </c>
      <c r="H32" s="20" t="e">
        <v>#N/A</v>
      </c>
      <c r="I32" s="22" t="e">
        <v>#N/A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 t="e">
        <v>#N/A</v>
      </c>
      <c r="G33" s="20" t="e">
        <v>#N/A</v>
      </c>
      <c r="H33" s="20" t="e">
        <v>#N/A</v>
      </c>
      <c r="I33" s="22" t="e">
        <v>#N/A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 t="e">
        <v>#N/A</v>
      </c>
      <c r="G34" s="20" t="e">
        <v>#N/A</v>
      </c>
      <c r="H34" s="20" t="e">
        <v>#N/A</v>
      </c>
      <c r="I34" s="22" t="e">
        <v>#N/A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 t="e">
        <v>#N/A</v>
      </c>
      <c r="G35" s="20" t="e">
        <v>#N/A</v>
      </c>
      <c r="H35" s="20" t="e">
        <v>#N/A</v>
      </c>
      <c r="I35" s="22" t="e">
        <v>#N/A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 t="e">
        <v>#N/A</v>
      </c>
      <c r="G36" s="20" t="e">
        <v>#N/A</v>
      </c>
      <c r="H36" s="20" t="e">
        <v>#N/A</v>
      </c>
      <c r="I36" s="22" t="e">
        <v>#N/A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 t="e">
        <v>#N/A</v>
      </c>
      <c r="G37" s="20" t="e">
        <v>#N/A</v>
      </c>
      <c r="H37" s="20" t="e">
        <v>#N/A</v>
      </c>
      <c r="I37" s="22" t="e">
        <v>#N/A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>
        <v>38300</v>
      </c>
      <c r="C59" s="20">
        <v>34000</v>
      </c>
      <c r="D59" s="20">
        <v>17000</v>
      </c>
      <c r="E59" s="22">
        <v>500</v>
      </c>
      <c r="F59" s="21">
        <v>39932</v>
      </c>
      <c r="G59" s="20">
        <v>35632</v>
      </c>
      <c r="H59" s="20">
        <v>19252</v>
      </c>
      <c r="I59" s="22">
        <v>540</v>
      </c>
      <c r="J59" s="66">
        <f t="shared" si="1"/>
        <v>0.95913052188720826</v>
      </c>
      <c r="K59" s="67">
        <f t="shared" si="1"/>
        <v>0.95419847328244278</v>
      </c>
      <c r="L59" s="68">
        <f t="shared" si="1"/>
        <v>0.88302514024516932</v>
      </c>
    </row>
    <row r="60" spans="1:12" x14ac:dyDescent="0.25">
      <c r="A60" s="49" t="s">
        <v>46</v>
      </c>
      <c r="B60" s="21">
        <v>26613</v>
      </c>
      <c r="C60" s="20">
        <v>26613</v>
      </c>
      <c r="D60" s="20">
        <v>26664</v>
      </c>
      <c r="E60" s="22">
        <v>1002</v>
      </c>
      <c r="F60" s="21">
        <v>32906</v>
      </c>
      <c r="G60" s="20">
        <v>32906</v>
      </c>
      <c r="H60" s="20">
        <v>34476</v>
      </c>
      <c r="I60" s="22">
        <v>1048</v>
      </c>
      <c r="J60" s="66">
        <f t="shared" si="1"/>
        <v>0.8087582811645293</v>
      </c>
      <c r="K60" s="67">
        <f t="shared" si="1"/>
        <v>0.8087582811645293</v>
      </c>
      <c r="L60" s="68">
        <f t="shared" si="1"/>
        <v>0.77340758788722586</v>
      </c>
    </row>
    <row r="61" spans="1:12" x14ac:dyDescent="0.25">
      <c r="A61" s="49" t="s">
        <v>47</v>
      </c>
      <c r="B61" s="21">
        <v>27200</v>
      </c>
      <c r="C61" s="20">
        <v>23200</v>
      </c>
      <c r="D61" s="20">
        <v>14420</v>
      </c>
      <c r="E61" s="22">
        <v>622</v>
      </c>
      <c r="F61" s="21">
        <v>32277</v>
      </c>
      <c r="G61" s="20">
        <v>28207</v>
      </c>
      <c r="H61" s="20">
        <v>20207</v>
      </c>
      <c r="I61" s="22">
        <v>716</v>
      </c>
      <c r="J61" s="66">
        <f t="shared" si="1"/>
        <v>0.84270533197013353</v>
      </c>
      <c r="K61" s="67">
        <f t="shared" si="1"/>
        <v>0.82249087106037511</v>
      </c>
      <c r="L61" s="68">
        <f t="shared" si="1"/>
        <v>0.71361409412579802</v>
      </c>
    </row>
    <row r="62" spans="1:12" x14ac:dyDescent="0.25">
      <c r="A62" s="49" t="s">
        <v>48</v>
      </c>
      <c r="B62" s="21">
        <v>27445</v>
      </c>
      <c r="C62" s="20">
        <v>27445</v>
      </c>
      <c r="D62" s="20">
        <v>55115</v>
      </c>
      <c r="E62" s="22">
        <v>2008</v>
      </c>
      <c r="F62" s="21">
        <v>40456</v>
      </c>
      <c r="G62" s="20">
        <v>40456</v>
      </c>
      <c r="H62" s="20">
        <v>72318</v>
      </c>
      <c r="I62" s="22">
        <v>1788</v>
      </c>
      <c r="J62" s="66">
        <f t="shared" si="1"/>
        <v>0.67839133873838242</v>
      </c>
      <c r="K62" s="67">
        <f t="shared" si="1"/>
        <v>0.67839133873838242</v>
      </c>
      <c r="L62" s="68">
        <f t="shared" si="1"/>
        <v>0.76212008075444559</v>
      </c>
    </row>
    <row r="63" spans="1:12" x14ac:dyDescent="0.25">
      <c r="A63" s="49" t="s">
        <v>49</v>
      </c>
      <c r="B63" s="21">
        <v>17230</v>
      </c>
      <c r="C63" s="20">
        <v>11530</v>
      </c>
      <c r="D63" s="20">
        <v>3588</v>
      </c>
      <c r="E63" s="22">
        <v>311</v>
      </c>
      <c r="F63" s="21">
        <v>23131</v>
      </c>
      <c r="G63" s="20">
        <v>14426</v>
      </c>
      <c r="H63" s="20">
        <v>6246</v>
      </c>
      <c r="I63" s="22">
        <v>433</v>
      </c>
      <c r="J63" s="66">
        <f t="shared" si="1"/>
        <v>0.74488781289179029</v>
      </c>
      <c r="K63" s="67">
        <f t="shared" si="1"/>
        <v>0.79925135172605022</v>
      </c>
      <c r="L63" s="68">
        <f t="shared" si="1"/>
        <v>0.57444764649375601</v>
      </c>
    </row>
    <row r="64" spans="1:12" x14ac:dyDescent="0.25">
      <c r="A64" s="49" t="s">
        <v>50</v>
      </c>
      <c r="B64" s="21">
        <v>8360</v>
      </c>
      <c r="C64" s="20">
        <v>8360</v>
      </c>
      <c r="D64" s="20">
        <v>10088</v>
      </c>
      <c r="E64" s="22">
        <v>1207</v>
      </c>
      <c r="F64" s="21">
        <v>16070</v>
      </c>
      <c r="G64" s="20">
        <v>15970</v>
      </c>
      <c r="H64" s="20">
        <v>16283</v>
      </c>
      <c r="I64" s="22">
        <v>1020</v>
      </c>
      <c r="J64" s="66">
        <f t="shared" si="1"/>
        <v>0.52022401991288114</v>
      </c>
      <c r="K64" s="67">
        <f t="shared" si="1"/>
        <v>0.52348152786474644</v>
      </c>
      <c r="L64" s="68">
        <f t="shared" si="1"/>
        <v>0.6195418534668059</v>
      </c>
    </row>
    <row r="65" spans="1:12" x14ac:dyDescent="0.25">
      <c r="A65" s="49" t="s">
        <v>51</v>
      </c>
      <c r="B65" s="21">
        <v>24000</v>
      </c>
      <c r="C65" s="20">
        <v>24000</v>
      </c>
      <c r="D65" s="20">
        <v>21240</v>
      </c>
      <c r="E65" s="22">
        <v>885</v>
      </c>
      <c r="F65" s="21">
        <v>31527</v>
      </c>
      <c r="G65" s="20">
        <v>31527</v>
      </c>
      <c r="H65" s="20">
        <v>30821</v>
      </c>
      <c r="I65" s="22">
        <v>978</v>
      </c>
      <c r="J65" s="66">
        <f t="shared" si="1"/>
        <v>0.76125225996764678</v>
      </c>
      <c r="K65" s="67">
        <f t="shared" si="1"/>
        <v>0.76125225996764678</v>
      </c>
      <c r="L65" s="68">
        <f t="shared" si="1"/>
        <v>0.68914052107329415</v>
      </c>
    </row>
    <row r="66" spans="1:12" x14ac:dyDescent="0.25">
      <c r="A66" s="49" t="s">
        <v>52</v>
      </c>
      <c r="B66" s="21">
        <v>26600</v>
      </c>
      <c r="C66" s="20">
        <v>26600</v>
      </c>
      <c r="D66" s="20">
        <v>28180</v>
      </c>
      <c r="E66" s="22">
        <v>1059</v>
      </c>
      <c r="F66" s="21">
        <v>40266</v>
      </c>
      <c r="G66" s="20">
        <v>40266</v>
      </c>
      <c r="H66" s="20">
        <v>41619</v>
      </c>
      <c r="I66" s="22">
        <v>1034</v>
      </c>
      <c r="J66" s="66">
        <f t="shared" si="1"/>
        <v>0.66060696369145189</v>
      </c>
      <c r="K66" s="67">
        <f t="shared" si="1"/>
        <v>0.66060696369145189</v>
      </c>
      <c r="L66" s="68">
        <f t="shared" si="1"/>
        <v>0.67709459621807344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60EDF317-DFEC-4852-990B-3FF5E8867680}"/>
  </hyperlinks>
  <pageMargins left="0.7" right="0.7" top="0.75" bottom="0.75" header="0.3" footer="0.3"/>
  <pageSetup paperSize="9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DF1D-1C59-47A5-9A91-4A4E86EADC0E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67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>
        <v>4700</v>
      </c>
      <c r="E10" s="50" t="e">
        <v>#N/A</v>
      </c>
      <c r="F10" s="41" t="e">
        <v>#N/A</v>
      </c>
      <c r="G10" s="40" t="e">
        <v>#N/A</v>
      </c>
      <c r="H10" s="40">
        <v>201640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>
        <f t="shared" si="0"/>
        <v>2.3308867288236459E-2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>
        <v>5400</v>
      </c>
      <c r="E11" s="22" t="e">
        <v>#N/A</v>
      </c>
      <c r="F11" s="21" t="e">
        <v>#N/A</v>
      </c>
      <c r="G11" s="20" t="e">
        <v>#N/A</v>
      </c>
      <c r="H11" s="20">
        <v>198424</v>
      </c>
      <c r="I11" s="22" t="e">
        <v>#N/A</v>
      </c>
      <c r="J11" s="66" t="e">
        <f t="shared" ref="J11:L65" si="1">B11/F11</f>
        <v>#N/A</v>
      </c>
      <c r="K11" s="67" t="e">
        <f t="shared" si="0"/>
        <v>#N/A</v>
      </c>
      <c r="L11" s="68">
        <f t="shared" si="0"/>
        <v>2.7214449864935694E-2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>
        <v>4100</v>
      </c>
      <c r="E12" s="22" t="e">
        <v>#N/A</v>
      </c>
      <c r="F12" s="21" t="e">
        <v>#N/A</v>
      </c>
      <c r="G12" s="20" t="e">
        <v>#N/A</v>
      </c>
      <c r="H12" s="20">
        <v>185736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>
        <f t="shared" si="0"/>
        <v>2.2074342076926389E-2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>
        <v>4100</v>
      </c>
      <c r="E13" s="22" t="e">
        <v>#N/A</v>
      </c>
      <c r="F13" s="21" t="e">
        <v>#N/A</v>
      </c>
      <c r="G13" s="20" t="e">
        <v>#N/A</v>
      </c>
      <c r="H13" s="20">
        <v>231960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>
        <f t="shared" si="0"/>
        <v>1.7675461286428693E-2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>
        <v>3500</v>
      </c>
      <c r="E14" s="22" t="e">
        <v>#N/A</v>
      </c>
      <c r="F14" s="21" t="e">
        <v>#N/A</v>
      </c>
      <c r="G14" s="20" t="e">
        <v>#N/A</v>
      </c>
      <c r="H14" s="20">
        <v>306000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>
        <f t="shared" si="0"/>
        <v>1.1437908496732025E-2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>
        <v>3400</v>
      </c>
      <c r="E15" s="22" t="e">
        <v>#N/A</v>
      </c>
      <c r="F15" s="21" t="e">
        <v>#N/A</v>
      </c>
      <c r="G15" s="20" t="e">
        <v>#N/A</v>
      </c>
      <c r="H15" s="20">
        <v>339000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>
        <f t="shared" si="0"/>
        <v>1.0029498525073746E-2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>
        <v>3200</v>
      </c>
      <c r="E16" s="22" t="e">
        <v>#N/A</v>
      </c>
      <c r="F16" s="21" t="e">
        <v>#N/A</v>
      </c>
      <c r="G16" s="20" t="e">
        <v>#N/A</v>
      </c>
      <c r="H16" s="20">
        <v>247000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>
        <f t="shared" si="0"/>
        <v>1.2955465587044534E-2</v>
      </c>
    </row>
    <row r="17" spans="1:12" x14ac:dyDescent="0.25">
      <c r="A17" s="48" t="s">
        <v>87</v>
      </c>
      <c r="B17" s="21">
        <v>210</v>
      </c>
      <c r="C17" s="20">
        <v>200</v>
      </c>
      <c r="D17" s="20">
        <v>3700</v>
      </c>
      <c r="E17" s="22">
        <v>18500</v>
      </c>
      <c r="F17" s="21">
        <v>20000</v>
      </c>
      <c r="G17" s="20">
        <v>17000</v>
      </c>
      <c r="H17" s="20">
        <v>320000</v>
      </c>
      <c r="I17" s="22">
        <v>18824</v>
      </c>
      <c r="J17" s="66">
        <f t="shared" si="1"/>
        <v>1.0500000000000001E-2</v>
      </c>
      <c r="K17" s="67">
        <f t="shared" si="0"/>
        <v>1.1764705882352941E-2</v>
      </c>
      <c r="L17" s="68">
        <f t="shared" si="0"/>
        <v>1.15625E-2</v>
      </c>
    </row>
    <row r="18" spans="1:12" x14ac:dyDescent="0.25">
      <c r="A18" s="48" t="s">
        <v>88</v>
      </c>
      <c r="B18" s="21">
        <v>200</v>
      </c>
      <c r="C18" s="20">
        <v>190</v>
      </c>
      <c r="D18" s="20">
        <v>3700</v>
      </c>
      <c r="E18" s="22">
        <v>19474</v>
      </c>
      <c r="F18" s="21">
        <v>19500</v>
      </c>
      <c r="G18" s="20">
        <v>17000</v>
      </c>
      <c r="H18" s="20">
        <v>280000</v>
      </c>
      <c r="I18" s="22">
        <v>16471</v>
      </c>
      <c r="J18" s="66">
        <f t="shared" si="1"/>
        <v>1.0256410256410256E-2</v>
      </c>
      <c r="K18" s="67">
        <f t="shared" si="0"/>
        <v>1.1176470588235295E-2</v>
      </c>
      <c r="L18" s="68">
        <f t="shared" si="0"/>
        <v>1.3214285714285715E-2</v>
      </c>
    </row>
    <row r="19" spans="1:12" x14ac:dyDescent="0.25">
      <c r="A19" s="48" t="s">
        <v>89</v>
      </c>
      <c r="B19" s="21">
        <v>165</v>
      </c>
      <c r="C19" s="20">
        <v>160</v>
      </c>
      <c r="D19" s="20">
        <v>2700</v>
      </c>
      <c r="E19" s="22">
        <v>16875</v>
      </c>
      <c r="F19" s="21">
        <v>21400</v>
      </c>
      <c r="G19" s="20">
        <v>17700</v>
      </c>
      <c r="H19" s="20">
        <v>301000</v>
      </c>
      <c r="I19" s="22">
        <v>17006</v>
      </c>
      <c r="J19" s="66">
        <f t="shared" si="1"/>
        <v>7.7102803738317753E-3</v>
      </c>
      <c r="K19" s="67">
        <f t="shared" si="0"/>
        <v>9.0395480225988704E-3</v>
      </c>
      <c r="L19" s="68">
        <f t="shared" si="0"/>
        <v>8.9700996677740865E-3</v>
      </c>
    </row>
    <row r="20" spans="1:12" x14ac:dyDescent="0.25">
      <c r="A20" s="48" t="s">
        <v>90</v>
      </c>
      <c r="B20" s="21">
        <v>176</v>
      </c>
      <c r="C20" s="20">
        <v>170</v>
      </c>
      <c r="D20" s="20">
        <v>2000</v>
      </c>
      <c r="E20" s="22">
        <v>11765</v>
      </c>
      <c r="F20" s="21">
        <v>23500</v>
      </c>
      <c r="G20" s="20">
        <v>19220</v>
      </c>
      <c r="H20" s="20">
        <v>396000</v>
      </c>
      <c r="I20" s="22">
        <v>20604</v>
      </c>
      <c r="J20" s="66">
        <f t="shared" si="1"/>
        <v>7.4893617021276598E-3</v>
      </c>
      <c r="K20" s="67">
        <f t="shared" si="0"/>
        <v>8.8449531737773146E-3</v>
      </c>
      <c r="L20" s="68">
        <f t="shared" si="0"/>
        <v>5.0505050505050509E-3</v>
      </c>
    </row>
    <row r="21" spans="1:12" x14ac:dyDescent="0.25">
      <c r="A21" s="48" t="s">
        <v>91</v>
      </c>
      <c r="B21" s="21">
        <v>194</v>
      </c>
      <c r="C21" s="20">
        <v>187</v>
      </c>
      <c r="D21" s="20">
        <v>3052</v>
      </c>
      <c r="E21" s="22">
        <v>16321</v>
      </c>
      <c r="F21" s="21">
        <v>26000</v>
      </c>
      <c r="G21" s="20">
        <v>19600</v>
      </c>
      <c r="H21" s="20">
        <v>409000</v>
      </c>
      <c r="I21" s="22">
        <v>20867</v>
      </c>
      <c r="J21" s="66">
        <f t="shared" si="1"/>
        <v>7.4615384615384613E-3</v>
      </c>
      <c r="K21" s="67">
        <f t="shared" si="0"/>
        <v>9.5408163265306122E-3</v>
      </c>
      <c r="L21" s="68">
        <f t="shared" si="0"/>
        <v>7.4621026894865529E-3</v>
      </c>
    </row>
    <row r="22" spans="1:12" x14ac:dyDescent="0.25">
      <c r="A22" s="48" t="s">
        <v>92</v>
      </c>
      <c r="B22" s="21">
        <v>195</v>
      </c>
      <c r="C22" s="20">
        <v>185</v>
      </c>
      <c r="D22" s="20">
        <v>3400</v>
      </c>
      <c r="E22" s="22">
        <v>18378</v>
      </c>
      <c r="F22" s="21">
        <v>27000</v>
      </c>
      <c r="G22" s="20">
        <v>20850</v>
      </c>
      <c r="H22" s="20">
        <v>384000</v>
      </c>
      <c r="I22" s="22">
        <v>18417</v>
      </c>
      <c r="J22" s="66">
        <f t="shared" si="1"/>
        <v>7.2222222222222219E-3</v>
      </c>
      <c r="K22" s="67">
        <f t="shared" si="0"/>
        <v>8.872901678657074E-3</v>
      </c>
      <c r="L22" s="68">
        <f t="shared" si="0"/>
        <v>8.8541666666666664E-3</v>
      </c>
    </row>
    <row r="23" spans="1:12" x14ac:dyDescent="0.25">
      <c r="A23" s="48" t="s">
        <v>93</v>
      </c>
      <c r="B23" s="21">
        <v>180</v>
      </c>
      <c r="C23" s="20">
        <v>170</v>
      </c>
      <c r="D23" s="20">
        <v>3100</v>
      </c>
      <c r="E23" s="22">
        <v>18235</v>
      </c>
      <c r="F23" s="21">
        <v>26200</v>
      </c>
      <c r="G23" s="20">
        <v>20100</v>
      </c>
      <c r="H23" s="20">
        <v>357000</v>
      </c>
      <c r="I23" s="22">
        <v>17761</v>
      </c>
      <c r="J23" s="66">
        <f t="shared" si="1"/>
        <v>6.8702290076335876E-3</v>
      </c>
      <c r="K23" s="67">
        <f t="shared" si="0"/>
        <v>8.4577114427860697E-3</v>
      </c>
      <c r="L23" s="68">
        <f t="shared" si="0"/>
        <v>8.6834733893557427E-3</v>
      </c>
    </row>
    <row r="24" spans="1:12" x14ac:dyDescent="0.25">
      <c r="A24" s="48" t="s">
        <v>94</v>
      </c>
      <c r="B24" s="21">
        <v>180</v>
      </c>
      <c r="C24" s="20">
        <v>180</v>
      </c>
      <c r="D24" s="20">
        <v>3850</v>
      </c>
      <c r="E24" s="22">
        <v>21389</v>
      </c>
      <c r="F24" s="21">
        <v>26040</v>
      </c>
      <c r="G24" s="20">
        <v>20280</v>
      </c>
      <c r="H24" s="20">
        <v>367600</v>
      </c>
      <c r="I24" s="22">
        <v>18126</v>
      </c>
      <c r="J24" s="66">
        <f t="shared" si="1"/>
        <v>6.9124423963133645E-3</v>
      </c>
      <c r="K24" s="67">
        <f t="shared" si="0"/>
        <v>8.8757396449704144E-3</v>
      </c>
      <c r="L24" s="68">
        <f t="shared" si="0"/>
        <v>1.0473340587595211E-2</v>
      </c>
    </row>
    <row r="25" spans="1:12" x14ac:dyDescent="0.25">
      <c r="A25" s="48" t="s">
        <v>95</v>
      </c>
      <c r="B25" s="21">
        <v>180</v>
      </c>
      <c r="C25" s="20">
        <v>180</v>
      </c>
      <c r="D25" s="20">
        <v>4000</v>
      </c>
      <c r="E25" s="22">
        <v>22222</v>
      </c>
      <c r="F25" s="21">
        <v>26250</v>
      </c>
      <c r="G25" s="20">
        <v>20750</v>
      </c>
      <c r="H25" s="20">
        <v>460000</v>
      </c>
      <c r="I25" s="22">
        <v>22169</v>
      </c>
      <c r="J25" s="66">
        <f t="shared" si="1"/>
        <v>6.8571428571428568E-3</v>
      </c>
      <c r="K25" s="67">
        <f t="shared" si="0"/>
        <v>8.6746987951807231E-3</v>
      </c>
      <c r="L25" s="68">
        <f t="shared" si="0"/>
        <v>8.6956521739130436E-3</v>
      </c>
    </row>
    <row r="26" spans="1:12" x14ac:dyDescent="0.25">
      <c r="A26" s="48" t="s">
        <v>96</v>
      </c>
      <c r="B26" s="21">
        <v>180</v>
      </c>
      <c r="C26" s="20">
        <v>180</v>
      </c>
      <c r="D26" s="20">
        <v>2900</v>
      </c>
      <c r="E26" s="22">
        <v>16111</v>
      </c>
      <c r="F26" s="21">
        <v>27100</v>
      </c>
      <c r="G26" s="20">
        <v>21670</v>
      </c>
      <c r="H26" s="20">
        <v>481000</v>
      </c>
      <c r="I26" s="22">
        <v>22197</v>
      </c>
      <c r="J26" s="66">
        <f t="shared" si="1"/>
        <v>6.6420664206642069E-3</v>
      </c>
      <c r="K26" s="67">
        <f t="shared" si="1"/>
        <v>8.3064143977849558E-3</v>
      </c>
      <c r="L26" s="68">
        <f t="shared" si="1"/>
        <v>6.0291060291060294E-3</v>
      </c>
    </row>
    <row r="27" spans="1:12" x14ac:dyDescent="0.25">
      <c r="A27" s="48" t="s">
        <v>97</v>
      </c>
      <c r="B27" s="21">
        <v>180</v>
      </c>
      <c r="C27" s="20">
        <v>180</v>
      </c>
      <c r="D27" s="20">
        <v>2900</v>
      </c>
      <c r="E27" s="22">
        <v>16111</v>
      </c>
      <c r="F27" s="21">
        <v>25950</v>
      </c>
      <c r="G27" s="20">
        <v>21650</v>
      </c>
      <c r="H27" s="20">
        <v>528300</v>
      </c>
      <c r="I27" s="22">
        <v>24402</v>
      </c>
      <c r="J27" s="66">
        <f t="shared" si="1"/>
        <v>6.9364161849710983E-3</v>
      </c>
      <c r="K27" s="67">
        <f t="shared" si="1"/>
        <v>8.3140877598152432E-3</v>
      </c>
      <c r="L27" s="68">
        <f t="shared" si="1"/>
        <v>5.4893053189475679E-3</v>
      </c>
    </row>
    <row r="28" spans="1:12" x14ac:dyDescent="0.25">
      <c r="A28" s="48" t="s">
        <v>98</v>
      </c>
      <c r="B28" s="21">
        <v>180</v>
      </c>
      <c r="C28" s="20">
        <v>180</v>
      </c>
      <c r="D28" s="20">
        <v>3000</v>
      </c>
      <c r="E28" s="22">
        <v>16667</v>
      </c>
      <c r="F28" s="21">
        <v>25900</v>
      </c>
      <c r="G28" s="20">
        <v>22600</v>
      </c>
      <c r="H28" s="20">
        <v>516500</v>
      </c>
      <c r="I28" s="22">
        <v>22854</v>
      </c>
      <c r="J28" s="66">
        <f t="shared" si="1"/>
        <v>6.9498069498069494E-3</v>
      </c>
      <c r="K28" s="67">
        <f t="shared" si="1"/>
        <v>7.9646017699115043E-3</v>
      </c>
      <c r="L28" s="68">
        <f t="shared" si="1"/>
        <v>5.8083252662149082E-3</v>
      </c>
    </row>
    <row r="29" spans="1:12" x14ac:dyDescent="0.25">
      <c r="A29" s="48" t="s">
        <v>99</v>
      </c>
      <c r="B29" s="21">
        <v>174</v>
      </c>
      <c r="C29" s="20">
        <v>174</v>
      </c>
      <c r="D29" s="20">
        <v>2270</v>
      </c>
      <c r="E29" s="22">
        <v>13046</v>
      </c>
      <c r="F29" s="21">
        <v>24300</v>
      </c>
      <c r="G29" s="20">
        <v>21010</v>
      </c>
      <c r="H29" s="20">
        <v>301200</v>
      </c>
      <c r="I29" s="22">
        <v>14336</v>
      </c>
      <c r="J29" s="66">
        <f t="shared" si="1"/>
        <v>7.1604938271604942E-3</v>
      </c>
      <c r="K29" s="67">
        <f t="shared" si="1"/>
        <v>8.2817705854355064E-3</v>
      </c>
      <c r="L29" s="68">
        <f t="shared" si="1"/>
        <v>7.5365205843293493E-3</v>
      </c>
    </row>
    <row r="30" spans="1:12" x14ac:dyDescent="0.25">
      <c r="A30" s="48" t="s">
        <v>100</v>
      </c>
      <c r="B30" s="21">
        <v>174</v>
      </c>
      <c r="C30" s="20">
        <v>174</v>
      </c>
      <c r="D30" s="20">
        <v>1870</v>
      </c>
      <c r="E30" s="22">
        <v>10747</v>
      </c>
      <c r="F30" s="21">
        <v>28125</v>
      </c>
      <c r="G30" s="20">
        <v>21123</v>
      </c>
      <c r="H30" s="20">
        <v>534100</v>
      </c>
      <c r="I30" s="22">
        <v>25285</v>
      </c>
      <c r="J30" s="66">
        <f t="shared" si="1"/>
        <v>6.1866666666666667E-3</v>
      </c>
      <c r="K30" s="67">
        <f t="shared" si="1"/>
        <v>8.2374662689958817E-3</v>
      </c>
      <c r="L30" s="68">
        <f t="shared" si="1"/>
        <v>3.5012170005616927E-3</v>
      </c>
    </row>
    <row r="31" spans="1:12" x14ac:dyDescent="0.25">
      <c r="A31" s="48" t="s">
        <v>101</v>
      </c>
      <c r="B31" s="21">
        <v>180</v>
      </c>
      <c r="C31" s="20">
        <v>178</v>
      </c>
      <c r="D31" s="20">
        <v>3000</v>
      </c>
      <c r="E31" s="22">
        <v>16854</v>
      </c>
      <c r="F31" s="21">
        <v>30650</v>
      </c>
      <c r="G31" s="20">
        <v>23921</v>
      </c>
      <c r="H31" s="20">
        <v>656000</v>
      </c>
      <c r="I31" s="22">
        <v>27424</v>
      </c>
      <c r="J31" s="66">
        <f t="shared" si="1"/>
        <v>5.872756933115824E-3</v>
      </c>
      <c r="K31" s="67">
        <f t="shared" si="1"/>
        <v>7.4411604866017307E-3</v>
      </c>
      <c r="L31" s="68">
        <f t="shared" si="1"/>
        <v>4.5731707317073168E-3</v>
      </c>
    </row>
    <row r="32" spans="1:12" x14ac:dyDescent="0.25">
      <c r="A32" s="48" t="s">
        <v>102</v>
      </c>
      <c r="B32" s="21">
        <v>174</v>
      </c>
      <c r="C32" s="20">
        <v>174</v>
      </c>
      <c r="D32" s="20">
        <v>3260</v>
      </c>
      <c r="E32" s="22">
        <v>18736</v>
      </c>
      <c r="F32" s="21">
        <v>29770</v>
      </c>
      <c r="G32" s="20">
        <v>24974</v>
      </c>
      <c r="H32" s="20">
        <v>660700</v>
      </c>
      <c r="I32" s="22">
        <v>26456</v>
      </c>
      <c r="J32" s="66">
        <f t="shared" si="1"/>
        <v>5.844810211622439E-3</v>
      </c>
      <c r="K32" s="67">
        <f t="shared" si="1"/>
        <v>6.9672459357732041E-3</v>
      </c>
      <c r="L32" s="68">
        <f t="shared" si="1"/>
        <v>4.9341607386105641E-3</v>
      </c>
    </row>
    <row r="33" spans="1:12" x14ac:dyDescent="0.25">
      <c r="A33" s="48" t="s">
        <v>103</v>
      </c>
      <c r="B33" s="21">
        <v>175</v>
      </c>
      <c r="C33" s="20">
        <v>175</v>
      </c>
      <c r="D33" s="20">
        <v>3000</v>
      </c>
      <c r="E33" s="22">
        <v>17143</v>
      </c>
      <c r="F33" s="21">
        <v>31586</v>
      </c>
      <c r="G33" s="20">
        <v>22099</v>
      </c>
      <c r="H33" s="20">
        <v>612200</v>
      </c>
      <c r="I33" s="22">
        <v>27703</v>
      </c>
      <c r="J33" s="66">
        <f t="shared" si="1"/>
        <v>5.5404293041220794E-3</v>
      </c>
      <c r="K33" s="67">
        <f t="shared" si="1"/>
        <v>7.918910357934749E-3</v>
      </c>
      <c r="L33" s="68">
        <f t="shared" si="1"/>
        <v>4.900359359686377E-3</v>
      </c>
    </row>
    <row r="34" spans="1:12" x14ac:dyDescent="0.25">
      <c r="A34" s="48" t="s">
        <v>104</v>
      </c>
      <c r="B34" s="21">
        <v>21</v>
      </c>
      <c r="C34" s="20">
        <v>21</v>
      </c>
      <c r="D34" s="20">
        <v>191</v>
      </c>
      <c r="E34" s="22">
        <v>9095</v>
      </c>
      <c r="F34" s="21">
        <v>29955</v>
      </c>
      <c r="G34" s="20">
        <v>23165</v>
      </c>
      <c r="H34" s="20">
        <v>681275</v>
      </c>
      <c r="I34" s="22">
        <v>29410</v>
      </c>
      <c r="J34" s="66">
        <f t="shared" si="1"/>
        <v>7.0105157736604902E-4</v>
      </c>
      <c r="K34" s="67">
        <f t="shared" si="1"/>
        <v>9.0654003885171596E-4</v>
      </c>
      <c r="L34" s="68">
        <f t="shared" si="1"/>
        <v>2.8035668415837952E-4</v>
      </c>
    </row>
    <row r="35" spans="1:12" x14ac:dyDescent="0.25">
      <c r="A35" s="48" t="s">
        <v>105</v>
      </c>
      <c r="B35" s="21">
        <v>19</v>
      </c>
      <c r="C35" s="20">
        <v>19</v>
      </c>
      <c r="D35" s="20">
        <v>172</v>
      </c>
      <c r="E35" s="22">
        <v>9053</v>
      </c>
      <c r="F35" s="21">
        <v>31716</v>
      </c>
      <c r="G35" s="20">
        <v>27915</v>
      </c>
      <c r="H35" s="20">
        <v>755604</v>
      </c>
      <c r="I35" s="22">
        <v>27068</v>
      </c>
      <c r="J35" s="66">
        <f t="shared" si="1"/>
        <v>5.9906671711439021E-4</v>
      </c>
      <c r="K35" s="67">
        <f t="shared" si="1"/>
        <v>6.8063765000895573E-4</v>
      </c>
      <c r="L35" s="68">
        <f t="shared" si="1"/>
        <v>2.2763246356557139E-4</v>
      </c>
    </row>
    <row r="36" spans="1:12" x14ac:dyDescent="0.25">
      <c r="A36" s="48" t="s">
        <v>106</v>
      </c>
      <c r="B36" s="21">
        <v>20</v>
      </c>
      <c r="C36" s="20">
        <v>20</v>
      </c>
      <c r="D36" s="20">
        <v>228</v>
      </c>
      <c r="E36" s="22">
        <v>11400</v>
      </c>
      <c r="F36" s="21">
        <v>31692</v>
      </c>
      <c r="G36" s="20">
        <v>29832</v>
      </c>
      <c r="H36" s="20">
        <v>800654</v>
      </c>
      <c r="I36" s="22">
        <v>26839</v>
      </c>
      <c r="J36" s="66">
        <f t="shared" si="1"/>
        <v>6.310740880979427E-4</v>
      </c>
      <c r="K36" s="67">
        <f t="shared" si="1"/>
        <v>6.7042102440332532E-4</v>
      </c>
      <c r="L36" s="68">
        <f t="shared" si="1"/>
        <v>2.8476720281170141E-4</v>
      </c>
    </row>
    <row r="37" spans="1:12" x14ac:dyDescent="0.25">
      <c r="A37" s="48" t="s">
        <v>23</v>
      </c>
      <c r="B37" s="21">
        <v>25</v>
      </c>
      <c r="C37" s="20">
        <v>25</v>
      </c>
      <c r="D37" s="20">
        <v>243</v>
      </c>
      <c r="E37" s="22">
        <v>9720</v>
      </c>
      <c r="F37" s="21">
        <v>38679</v>
      </c>
      <c r="G37" s="20">
        <v>36351</v>
      </c>
      <c r="H37" s="20">
        <v>968763</v>
      </c>
      <c r="I37" s="22">
        <v>26650</v>
      </c>
      <c r="J37" s="66">
        <f t="shared" si="1"/>
        <v>6.4634556219136995E-4</v>
      </c>
      <c r="K37" s="67">
        <f t="shared" si="1"/>
        <v>6.8773898929878137E-4</v>
      </c>
      <c r="L37" s="68">
        <f t="shared" si="1"/>
        <v>2.5083534362893713E-4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85783E4F-DFAF-4FC6-B4F0-F673FB9546DA}"/>
  </hyperlinks>
  <pageMargins left="0.7" right="0.7" top="0.75" bottom="0.75" header="0.3" footer="0.3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7090-FEFB-481D-B48D-FAB6D66E0F06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69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>
        <v>31700</v>
      </c>
      <c r="E10" s="50" t="e">
        <v>#N/A</v>
      </c>
      <c r="F10" s="41" t="e">
        <v>#N/A</v>
      </c>
      <c r="G10" s="40" t="e">
        <v>#N/A</v>
      </c>
      <c r="H10" s="40">
        <v>226824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>
        <f t="shared" si="0"/>
        <v>0.13975593411631926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>
        <v>34400</v>
      </c>
      <c r="E11" s="22" t="e">
        <v>#N/A</v>
      </c>
      <c r="F11" s="21" t="e">
        <v>#N/A</v>
      </c>
      <c r="G11" s="20" t="e">
        <v>#N/A</v>
      </c>
      <c r="H11" s="20">
        <v>264824</v>
      </c>
      <c r="I11" s="22" t="e">
        <v>#N/A</v>
      </c>
      <c r="J11" s="66" t="e">
        <f t="shared" ref="J11:L65" si="1">B11/F11</f>
        <v>#N/A</v>
      </c>
      <c r="K11" s="67" t="e">
        <f t="shared" si="0"/>
        <v>#N/A</v>
      </c>
      <c r="L11" s="68">
        <f t="shared" si="0"/>
        <v>0.12989759236322992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>
        <v>23500</v>
      </c>
      <c r="E12" s="22" t="e">
        <v>#N/A</v>
      </c>
      <c r="F12" s="21" t="e">
        <v>#N/A</v>
      </c>
      <c r="G12" s="20" t="e">
        <v>#N/A</v>
      </c>
      <c r="H12" s="20">
        <v>225600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>
        <f t="shared" si="0"/>
        <v>0.10416666666666667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>
        <v>26600</v>
      </c>
      <c r="E13" s="22" t="e">
        <v>#N/A</v>
      </c>
      <c r="F13" s="21" t="e">
        <v>#N/A</v>
      </c>
      <c r="G13" s="20" t="e">
        <v>#N/A</v>
      </c>
      <c r="H13" s="20">
        <v>248300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>
        <f t="shared" si="0"/>
        <v>0.10712847362062022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>
        <v>31000</v>
      </c>
      <c r="E14" s="22" t="e">
        <v>#N/A</v>
      </c>
      <c r="F14" s="21" t="e">
        <v>#N/A</v>
      </c>
      <c r="G14" s="20" t="e">
        <v>#N/A</v>
      </c>
      <c r="H14" s="20">
        <v>230000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>
        <f t="shared" si="0"/>
        <v>0.13478260869565217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>
        <v>24700</v>
      </c>
      <c r="E15" s="22" t="e">
        <v>#N/A</v>
      </c>
      <c r="F15" s="21" t="e">
        <v>#N/A</v>
      </c>
      <c r="G15" s="20" t="e">
        <v>#N/A</v>
      </c>
      <c r="H15" s="20">
        <v>229500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>
        <f t="shared" si="0"/>
        <v>0.10762527233115468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>
        <v>21800</v>
      </c>
      <c r="E16" s="22" t="e">
        <v>#N/A</v>
      </c>
      <c r="F16" s="21" t="e">
        <v>#N/A</v>
      </c>
      <c r="G16" s="20" t="e">
        <v>#N/A</v>
      </c>
      <c r="H16" s="20">
        <v>229000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>
        <f t="shared" si="0"/>
        <v>9.5196506550218343E-2</v>
      </c>
    </row>
    <row r="17" spans="1:12" x14ac:dyDescent="0.25">
      <c r="A17" s="48" t="s">
        <v>87</v>
      </c>
      <c r="B17" s="21">
        <v>1500</v>
      </c>
      <c r="C17" s="20">
        <v>1400</v>
      </c>
      <c r="D17" s="20">
        <v>26000</v>
      </c>
      <c r="E17" s="22">
        <v>18571</v>
      </c>
      <c r="F17" s="21">
        <v>30000</v>
      </c>
      <c r="G17" s="20">
        <v>21000</v>
      </c>
      <c r="H17" s="20">
        <v>250000</v>
      </c>
      <c r="I17" s="22">
        <v>11905</v>
      </c>
      <c r="J17" s="66">
        <f t="shared" si="1"/>
        <v>0.05</v>
      </c>
      <c r="K17" s="67">
        <f t="shared" si="0"/>
        <v>6.6666666666666666E-2</v>
      </c>
      <c r="L17" s="68">
        <f t="shared" si="0"/>
        <v>0.104</v>
      </c>
    </row>
    <row r="18" spans="1:12" x14ac:dyDescent="0.25">
      <c r="A18" s="48" t="s">
        <v>88</v>
      </c>
      <c r="B18" s="21">
        <v>1450</v>
      </c>
      <c r="C18" s="20">
        <v>1400</v>
      </c>
      <c r="D18" s="20">
        <v>27000</v>
      </c>
      <c r="E18" s="22">
        <v>19286</v>
      </c>
      <c r="F18" s="21">
        <v>29000</v>
      </c>
      <c r="G18" s="20">
        <v>22000</v>
      </c>
      <c r="H18" s="20">
        <v>255000</v>
      </c>
      <c r="I18" s="22">
        <v>11591</v>
      </c>
      <c r="J18" s="66">
        <f t="shared" si="1"/>
        <v>0.05</v>
      </c>
      <c r="K18" s="67">
        <f t="shared" si="0"/>
        <v>6.363636363636363E-2</v>
      </c>
      <c r="L18" s="68">
        <f t="shared" si="0"/>
        <v>0.10588235294117647</v>
      </c>
    </row>
    <row r="19" spans="1:12" x14ac:dyDescent="0.25">
      <c r="A19" s="48" t="s">
        <v>89</v>
      </c>
      <c r="B19" s="21">
        <v>1300</v>
      </c>
      <c r="C19" s="20">
        <v>1270</v>
      </c>
      <c r="D19" s="20">
        <v>22000</v>
      </c>
      <c r="E19" s="22">
        <v>17323</v>
      </c>
      <c r="F19" s="21">
        <v>29000</v>
      </c>
      <c r="G19" s="20">
        <v>21850</v>
      </c>
      <c r="H19" s="20">
        <v>224000</v>
      </c>
      <c r="I19" s="22">
        <v>10252</v>
      </c>
      <c r="J19" s="66">
        <f t="shared" si="1"/>
        <v>4.4827586206896551E-2</v>
      </c>
      <c r="K19" s="67">
        <f t="shared" si="0"/>
        <v>5.8123569794050346E-2</v>
      </c>
      <c r="L19" s="68">
        <f t="shared" si="0"/>
        <v>9.8214285714285712E-2</v>
      </c>
    </row>
    <row r="20" spans="1:12" x14ac:dyDescent="0.25">
      <c r="A20" s="48" t="s">
        <v>90</v>
      </c>
      <c r="B20" s="21">
        <v>1310</v>
      </c>
      <c r="C20" s="20">
        <v>1285</v>
      </c>
      <c r="D20" s="20">
        <v>18000</v>
      </c>
      <c r="E20" s="22">
        <v>14008</v>
      </c>
      <c r="F20" s="21">
        <v>27400</v>
      </c>
      <c r="G20" s="20">
        <v>21160</v>
      </c>
      <c r="H20" s="20">
        <v>214000</v>
      </c>
      <c r="I20" s="22">
        <v>10113</v>
      </c>
      <c r="J20" s="66">
        <f t="shared" si="1"/>
        <v>4.7810218978102191E-2</v>
      </c>
      <c r="K20" s="67">
        <f t="shared" si="0"/>
        <v>6.0727788279773154E-2</v>
      </c>
      <c r="L20" s="68">
        <f t="shared" si="0"/>
        <v>8.4112149532710276E-2</v>
      </c>
    </row>
    <row r="21" spans="1:12" x14ac:dyDescent="0.25">
      <c r="A21" s="48" t="s">
        <v>91</v>
      </c>
      <c r="B21" s="21">
        <v>1306</v>
      </c>
      <c r="C21" s="20">
        <v>1278</v>
      </c>
      <c r="D21" s="20">
        <v>18900</v>
      </c>
      <c r="E21" s="22">
        <v>14789</v>
      </c>
      <c r="F21" s="21">
        <v>28100</v>
      </c>
      <c r="G21" s="20">
        <v>21100</v>
      </c>
      <c r="H21" s="20">
        <v>237000</v>
      </c>
      <c r="I21" s="22">
        <v>11232</v>
      </c>
      <c r="J21" s="66">
        <f t="shared" si="1"/>
        <v>4.6476868327402138E-2</v>
      </c>
      <c r="K21" s="67">
        <f t="shared" si="0"/>
        <v>6.0568720379146922E-2</v>
      </c>
      <c r="L21" s="68">
        <f t="shared" si="0"/>
        <v>7.9746835443037969E-2</v>
      </c>
    </row>
    <row r="22" spans="1:12" x14ac:dyDescent="0.25">
      <c r="A22" s="48" t="s">
        <v>92</v>
      </c>
      <c r="B22" s="21">
        <v>1350</v>
      </c>
      <c r="C22" s="20">
        <v>1300</v>
      </c>
      <c r="D22" s="20">
        <v>22500</v>
      </c>
      <c r="E22" s="22">
        <v>17308</v>
      </c>
      <c r="F22" s="21">
        <v>28500</v>
      </c>
      <c r="G22" s="20">
        <v>19650</v>
      </c>
      <c r="H22" s="20">
        <v>255000</v>
      </c>
      <c r="I22" s="22">
        <v>12977</v>
      </c>
      <c r="J22" s="66">
        <f t="shared" si="1"/>
        <v>4.736842105263158E-2</v>
      </c>
      <c r="K22" s="67">
        <f t="shared" si="0"/>
        <v>6.6157760814249358E-2</v>
      </c>
      <c r="L22" s="68">
        <f t="shared" si="0"/>
        <v>8.8235294117647065E-2</v>
      </c>
    </row>
    <row r="23" spans="1:12" x14ac:dyDescent="0.25">
      <c r="A23" s="48" t="s">
        <v>93</v>
      </c>
      <c r="B23" s="21">
        <v>1300</v>
      </c>
      <c r="C23" s="20">
        <v>1280</v>
      </c>
      <c r="D23" s="20">
        <v>23000</v>
      </c>
      <c r="E23" s="22">
        <v>17969</v>
      </c>
      <c r="F23" s="21">
        <v>28600</v>
      </c>
      <c r="G23" s="20">
        <v>19600</v>
      </c>
      <c r="H23" s="20">
        <v>244000</v>
      </c>
      <c r="I23" s="22">
        <v>12449</v>
      </c>
      <c r="J23" s="66">
        <f t="shared" si="1"/>
        <v>4.5454545454545456E-2</v>
      </c>
      <c r="K23" s="67">
        <f t="shared" si="0"/>
        <v>6.5306122448979598E-2</v>
      </c>
      <c r="L23" s="68">
        <f t="shared" si="0"/>
        <v>9.4262295081967207E-2</v>
      </c>
    </row>
    <row r="24" spans="1:12" x14ac:dyDescent="0.25">
      <c r="A24" s="48" t="s">
        <v>94</v>
      </c>
      <c r="B24" s="21">
        <v>1300</v>
      </c>
      <c r="C24" s="20">
        <v>1280</v>
      </c>
      <c r="D24" s="20">
        <v>18900</v>
      </c>
      <c r="E24" s="22">
        <v>14766</v>
      </c>
      <c r="F24" s="21">
        <v>29100</v>
      </c>
      <c r="G24" s="20">
        <v>20750</v>
      </c>
      <c r="H24" s="20">
        <v>230600</v>
      </c>
      <c r="I24" s="22">
        <v>11113</v>
      </c>
      <c r="J24" s="66">
        <f t="shared" si="1"/>
        <v>4.4673539518900345E-2</v>
      </c>
      <c r="K24" s="67">
        <f t="shared" si="0"/>
        <v>6.1686746987951804E-2</v>
      </c>
      <c r="L24" s="68">
        <f t="shared" si="0"/>
        <v>8.1960104076322635E-2</v>
      </c>
    </row>
    <row r="25" spans="1:12" x14ac:dyDescent="0.25">
      <c r="A25" s="48" t="s">
        <v>95</v>
      </c>
      <c r="B25" s="21">
        <v>1270</v>
      </c>
      <c r="C25" s="20">
        <v>1270</v>
      </c>
      <c r="D25" s="20">
        <v>18700</v>
      </c>
      <c r="E25" s="22">
        <v>14724</v>
      </c>
      <c r="F25" s="21">
        <v>29500</v>
      </c>
      <c r="G25" s="20">
        <v>22700</v>
      </c>
      <c r="H25" s="20">
        <v>283500</v>
      </c>
      <c r="I25" s="22">
        <v>12489</v>
      </c>
      <c r="J25" s="66">
        <f t="shared" si="1"/>
        <v>4.305084745762712E-2</v>
      </c>
      <c r="K25" s="67">
        <f t="shared" si="0"/>
        <v>5.5947136563876655E-2</v>
      </c>
      <c r="L25" s="68">
        <f t="shared" si="0"/>
        <v>6.5961199294532633E-2</v>
      </c>
    </row>
    <row r="26" spans="1:12" x14ac:dyDescent="0.25">
      <c r="A26" s="48" t="s">
        <v>96</v>
      </c>
      <c r="B26" s="21">
        <v>1300</v>
      </c>
      <c r="C26" s="20">
        <v>1300</v>
      </c>
      <c r="D26" s="20">
        <v>19300</v>
      </c>
      <c r="E26" s="22">
        <v>14846</v>
      </c>
      <c r="F26" s="21">
        <v>30050</v>
      </c>
      <c r="G26" s="20">
        <v>23900</v>
      </c>
      <c r="H26" s="20">
        <v>259100</v>
      </c>
      <c r="I26" s="22">
        <v>10841</v>
      </c>
      <c r="J26" s="66">
        <f t="shared" si="1"/>
        <v>4.3261231281198007E-2</v>
      </c>
      <c r="K26" s="67">
        <f t="shared" si="1"/>
        <v>5.4393305439330547E-2</v>
      </c>
      <c r="L26" s="68">
        <f t="shared" si="1"/>
        <v>7.4488614434581241E-2</v>
      </c>
    </row>
    <row r="27" spans="1:12" x14ac:dyDescent="0.25">
      <c r="A27" s="48" t="s">
        <v>97</v>
      </c>
      <c r="B27" s="21">
        <v>1200</v>
      </c>
      <c r="C27" s="20">
        <v>1200</v>
      </c>
      <c r="D27" s="20">
        <v>17000</v>
      </c>
      <c r="E27" s="22">
        <v>14167</v>
      </c>
      <c r="F27" s="21">
        <v>29900</v>
      </c>
      <c r="G27" s="20">
        <v>26400</v>
      </c>
      <c r="H27" s="20">
        <v>303800</v>
      </c>
      <c r="I27" s="22">
        <v>11508</v>
      </c>
      <c r="J27" s="66">
        <f t="shared" si="1"/>
        <v>4.0133779264214048E-2</v>
      </c>
      <c r="K27" s="67">
        <f t="shared" si="1"/>
        <v>4.5454545454545456E-2</v>
      </c>
      <c r="L27" s="68">
        <f t="shared" si="1"/>
        <v>5.5957867017774852E-2</v>
      </c>
    </row>
    <row r="28" spans="1:12" x14ac:dyDescent="0.25">
      <c r="A28" s="48" t="s">
        <v>98</v>
      </c>
      <c r="B28" s="21">
        <v>1200</v>
      </c>
      <c r="C28" s="20">
        <v>1200</v>
      </c>
      <c r="D28" s="20">
        <v>12600</v>
      </c>
      <c r="E28" s="22">
        <v>10500</v>
      </c>
      <c r="F28" s="21">
        <v>29850</v>
      </c>
      <c r="G28" s="20">
        <v>25250</v>
      </c>
      <c r="H28" s="20">
        <v>285600</v>
      </c>
      <c r="I28" s="22">
        <v>11311</v>
      </c>
      <c r="J28" s="66">
        <f t="shared" si="1"/>
        <v>4.0201005025125629E-2</v>
      </c>
      <c r="K28" s="67">
        <f t="shared" si="1"/>
        <v>4.7524752475247525E-2</v>
      </c>
      <c r="L28" s="68">
        <f t="shared" si="1"/>
        <v>4.4117647058823532E-2</v>
      </c>
    </row>
    <row r="29" spans="1:12" x14ac:dyDescent="0.25">
      <c r="A29" s="48" t="s">
        <v>99</v>
      </c>
      <c r="B29" s="21">
        <v>1200</v>
      </c>
      <c r="C29" s="20">
        <v>1200</v>
      </c>
      <c r="D29" s="20">
        <v>11900</v>
      </c>
      <c r="E29" s="22">
        <v>9917</v>
      </c>
      <c r="F29" s="21">
        <v>32500</v>
      </c>
      <c r="G29" s="20">
        <v>23600</v>
      </c>
      <c r="H29" s="20">
        <v>303700</v>
      </c>
      <c r="I29" s="22">
        <v>12869</v>
      </c>
      <c r="J29" s="66">
        <f t="shared" si="1"/>
        <v>3.6923076923076927E-2</v>
      </c>
      <c r="K29" s="67">
        <f t="shared" si="1"/>
        <v>5.0847457627118647E-2</v>
      </c>
      <c r="L29" s="68">
        <f t="shared" si="1"/>
        <v>3.9183404675666778E-2</v>
      </c>
    </row>
    <row r="30" spans="1:12" x14ac:dyDescent="0.25">
      <c r="A30" s="48" t="s">
        <v>100</v>
      </c>
      <c r="B30" s="21">
        <v>1150</v>
      </c>
      <c r="C30" s="20">
        <v>1150</v>
      </c>
      <c r="D30" s="20">
        <v>10900</v>
      </c>
      <c r="E30" s="22">
        <v>9478</v>
      </c>
      <c r="F30" s="21">
        <v>31785</v>
      </c>
      <c r="G30" s="20">
        <v>26664</v>
      </c>
      <c r="H30" s="20">
        <v>280400</v>
      </c>
      <c r="I30" s="22">
        <v>10516</v>
      </c>
      <c r="J30" s="66">
        <f t="shared" si="1"/>
        <v>3.6180588327827591E-2</v>
      </c>
      <c r="K30" s="67">
        <f t="shared" si="1"/>
        <v>4.3129312931293129E-2</v>
      </c>
      <c r="L30" s="68">
        <f t="shared" si="1"/>
        <v>3.8873038516405133E-2</v>
      </c>
    </row>
    <row r="31" spans="1:12" x14ac:dyDescent="0.25">
      <c r="A31" s="48" t="s">
        <v>101</v>
      </c>
      <c r="B31" s="21">
        <v>1170</v>
      </c>
      <c r="C31" s="20">
        <v>1170</v>
      </c>
      <c r="D31" s="20">
        <v>12510</v>
      </c>
      <c r="E31" s="22">
        <v>10692</v>
      </c>
      <c r="F31" s="21">
        <v>34078</v>
      </c>
      <c r="G31" s="20">
        <v>29200</v>
      </c>
      <c r="H31" s="20">
        <v>346300</v>
      </c>
      <c r="I31" s="22">
        <v>11860</v>
      </c>
      <c r="J31" s="66">
        <f t="shared" si="1"/>
        <v>3.4333000762955569E-2</v>
      </c>
      <c r="K31" s="67">
        <f t="shared" si="1"/>
        <v>4.0068493150684933E-2</v>
      </c>
      <c r="L31" s="68">
        <f t="shared" si="1"/>
        <v>3.6124747328905575E-2</v>
      </c>
    </row>
    <row r="32" spans="1:12" x14ac:dyDescent="0.25">
      <c r="A32" s="48" t="s">
        <v>102</v>
      </c>
      <c r="B32" s="21">
        <v>1165</v>
      </c>
      <c r="C32" s="20">
        <v>1165</v>
      </c>
      <c r="D32" s="20">
        <v>14100</v>
      </c>
      <c r="E32" s="22">
        <v>12103</v>
      </c>
      <c r="F32" s="21">
        <v>36427</v>
      </c>
      <c r="G32" s="20">
        <v>31077</v>
      </c>
      <c r="H32" s="20">
        <v>395300</v>
      </c>
      <c r="I32" s="22">
        <v>12720</v>
      </c>
      <c r="J32" s="66">
        <f t="shared" si="1"/>
        <v>3.198177176270349E-2</v>
      </c>
      <c r="K32" s="67">
        <f t="shared" si="1"/>
        <v>3.7487530971457989E-2</v>
      </c>
      <c r="L32" s="68">
        <f t="shared" si="1"/>
        <v>3.5669112066784719E-2</v>
      </c>
    </row>
    <row r="33" spans="1:12" x14ac:dyDescent="0.25">
      <c r="A33" s="48" t="s">
        <v>103</v>
      </c>
      <c r="B33" s="21">
        <v>1180</v>
      </c>
      <c r="C33" s="20">
        <v>1170</v>
      </c>
      <c r="D33" s="20">
        <v>12000</v>
      </c>
      <c r="E33" s="22">
        <v>10256</v>
      </c>
      <c r="F33" s="21">
        <v>37354</v>
      </c>
      <c r="G33" s="20">
        <v>30810</v>
      </c>
      <c r="H33" s="20">
        <v>321330</v>
      </c>
      <c r="I33" s="22">
        <v>10429</v>
      </c>
      <c r="J33" s="66">
        <f t="shared" si="1"/>
        <v>3.1589655726294373E-2</v>
      </c>
      <c r="K33" s="67">
        <f t="shared" si="1"/>
        <v>3.7974683544303799E-2</v>
      </c>
      <c r="L33" s="68">
        <f t="shared" si="1"/>
        <v>3.7344785734291848E-2</v>
      </c>
    </row>
    <row r="34" spans="1:12" x14ac:dyDescent="0.25">
      <c r="A34" s="48" t="s">
        <v>104</v>
      </c>
      <c r="B34" s="21">
        <v>1200</v>
      </c>
      <c r="C34" s="20">
        <v>1180</v>
      </c>
      <c r="D34" s="20">
        <v>12250</v>
      </c>
      <c r="E34" s="22">
        <v>10381</v>
      </c>
      <c r="F34" s="21">
        <v>34740</v>
      </c>
      <c r="G34" s="20">
        <v>29951</v>
      </c>
      <c r="H34" s="20">
        <v>421605</v>
      </c>
      <c r="I34" s="22">
        <v>14076</v>
      </c>
      <c r="J34" s="66">
        <f t="shared" si="1"/>
        <v>3.4542314335060449E-2</v>
      </c>
      <c r="K34" s="67">
        <f t="shared" si="1"/>
        <v>3.9397682882040666E-2</v>
      </c>
      <c r="L34" s="68">
        <f t="shared" si="1"/>
        <v>2.905563264192787E-2</v>
      </c>
    </row>
    <row r="35" spans="1:12" x14ac:dyDescent="0.25">
      <c r="A35" s="48" t="s">
        <v>105</v>
      </c>
      <c r="B35" s="21">
        <v>1150</v>
      </c>
      <c r="C35" s="20">
        <v>1100</v>
      </c>
      <c r="D35" s="20">
        <v>11500</v>
      </c>
      <c r="E35" s="22">
        <v>10455</v>
      </c>
      <c r="F35" s="21">
        <v>35620</v>
      </c>
      <c r="G35" s="20">
        <v>30504</v>
      </c>
      <c r="H35" s="20">
        <v>387931</v>
      </c>
      <c r="I35" s="22">
        <v>12717</v>
      </c>
      <c r="J35" s="66">
        <f t="shared" si="1"/>
        <v>3.2285233015160023E-2</v>
      </c>
      <c r="K35" s="67">
        <f t="shared" si="1"/>
        <v>3.6060844479412539E-2</v>
      </c>
      <c r="L35" s="68">
        <f t="shared" si="1"/>
        <v>2.9644447079506406E-2</v>
      </c>
    </row>
    <row r="36" spans="1:12" x14ac:dyDescent="0.25">
      <c r="A36" s="48" t="s">
        <v>106</v>
      </c>
      <c r="B36" s="21">
        <v>196</v>
      </c>
      <c r="C36" s="20">
        <v>181</v>
      </c>
      <c r="D36" s="20">
        <v>1990</v>
      </c>
      <c r="E36" s="22">
        <v>10994</v>
      </c>
      <c r="F36" s="21">
        <v>35693</v>
      </c>
      <c r="G36" s="20">
        <v>27262</v>
      </c>
      <c r="H36" s="20">
        <v>252574</v>
      </c>
      <c r="I36" s="22">
        <v>9265</v>
      </c>
      <c r="J36" s="66">
        <f t="shared" si="1"/>
        <v>5.4912727985879581E-3</v>
      </c>
      <c r="K36" s="67">
        <f t="shared" si="1"/>
        <v>6.6392781160589829E-3</v>
      </c>
      <c r="L36" s="68">
        <f t="shared" si="1"/>
        <v>7.8788790611860286E-3</v>
      </c>
    </row>
    <row r="37" spans="1:12" x14ac:dyDescent="0.25">
      <c r="A37" s="48" t="s">
        <v>23</v>
      </c>
      <c r="B37" s="21">
        <v>156</v>
      </c>
      <c r="C37" s="20">
        <v>150</v>
      </c>
      <c r="D37" s="20">
        <v>1450</v>
      </c>
      <c r="E37" s="22">
        <v>9667</v>
      </c>
      <c r="F37" s="21">
        <v>36770</v>
      </c>
      <c r="G37" s="20">
        <v>25099</v>
      </c>
      <c r="H37" s="20">
        <v>399829</v>
      </c>
      <c r="I37" s="22">
        <v>15930</v>
      </c>
      <c r="J37" s="66">
        <f t="shared" si="1"/>
        <v>4.2425890671743266E-3</v>
      </c>
      <c r="K37" s="67">
        <f t="shared" si="1"/>
        <v>5.9763337184748399E-3</v>
      </c>
      <c r="L37" s="68">
        <f t="shared" si="1"/>
        <v>3.6265503502747425E-3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19E8D30B-9C7C-4068-B62A-814296F07A34}"/>
  </hyperlinks>
  <pageMargins left="0.7" right="0.7" top="0.75" bottom="0.75" header="0.3" footer="0.3"/>
  <pageSetup paperSize="9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6605-D531-4C87-A418-8EAE0F5BC783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68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360</v>
      </c>
      <c r="C10" s="40">
        <v>350</v>
      </c>
      <c r="D10" s="40">
        <v>420</v>
      </c>
      <c r="E10" s="50">
        <v>1200</v>
      </c>
      <c r="F10" s="41">
        <v>215100</v>
      </c>
      <c r="G10" s="40">
        <v>210500</v>
      </c>
      <c r="H10" s="40">
        <v>234500</v>
      </c>
      <c r="I10" s="50">
        <v>1114</v>
      </c>
      <c r="J10" s="63">
        <f>B10/F10</f>
        <v>1.6736401673640166E-3</v>
      </c>
      <c r="K10" s="64">
        <f t="shared" ref="K10:L25" si="0">C10/G10</f>
        <v>1.6627078384798099E-3</v>
      </c>
      <c r="L10" s="65">
        <f t="shared" si="0"/>
        <v>1.791044776119403E-3</v>
      </c>
    </row>
    <row r="11" spans="1:12" x14ac:dyDescent="0.25">
      <c r="A11" s="48" t="s">
        <v>81</v>
      </c>
      <c r="B11" s="21">
        <v>1100</v>
      </c>
      <c r="C11" s="20">
        <v>1000</v>
      </c>
      <c r="D11" s="20">
        <v>1700</v>
      </c>
      <c r="E11" s="22">
        <v>1700</v>
      </c>
      <c r="F11" s="21">
        <v>314000</v>
      </c>
      <c r="G11" s="20">
        <v>309800</v>
      </c>
      <c r="H11" s="20">
        <v>387600</v>
      </c>
      <c r="I11" s="22">
        <v>1251</v>
      </c>
      <c r="J11" s="66">
        <f t="shared" ref="J11:L65" si="1">B11/F11</f>
        <v>3.5031847133757963E-3</v>
      </c>
      <c r="K11" s="67">
        <f t="shared" si="0"/>
        <v>3.2278889606197547E-3</v>
      </c>
      <c r="L11" s="68">
        <f t="shared" si="0"/>
        <v>4.3859649122807015E-3</v>
      </c>
    </row>
    <row r="12" spans="1:12" x14ac:dyDescent="0.25">
      <c r="A12" s="48" t="s">
        <v>82</v>
      </c>
      <c r="B12" s="21">
        <v>1200</v>
      </c>
      <c r="C12" s="20">
        <v>1070</v>
      </c>
      <c r="D12" s="20">
        <v>1220</v>
      </c>
      <c r="E12" s="22">
        <v>1140</v>
      </c>
      <c r="F12" s="21">
        <v>320900</v>
      </c>
      <c r="G12" s="20">
        <v>293800</v>
      </c>
      <c r="H12" s="20">
        <v>252000</v>
      </c>
      <c r="I12" s="22">
        <v>858</v>
      </c>
      <c r="J12" s="66">
        <f t="shared" si="1"/>
        <v>3.73948270489249E-3</v>
      </c>
      <c r="K12" s="67">
        <f t="shared" si="0"/>
        <v>3.6419332879509872E-3</v>
      </c>
      <c r="L12" s="68">
        <f t="shared" si="0"/>
        <v>4.8412698412698416E-3</v>
      </c>
    </row>
    <row r="13" spans="1:12" x14ac:dyDescent="0.25">
      <c r="A13" s="48" t="s">
        <v>83</v>
      </c>
      <c r="B13" s="21">
        <v>1550</v>
      </c>
      <c r="C13" s="20">
        <v>1180</v>
      </c>
      <c r="D13" s="20">
        <v>1330</v>
      </c>
      <c r="E13" s="22">
        <v>1127</v>
      </c>
      <c r="F13" s="21">
        <v>388900</v>
      </c>
      <c r="G13" s="20">
        <v>379000</v>
      </c>
      <c r="H13" s="20">
        <v>440000</v>
      </c>
      <c r="I13" s="22">
        <v>1161</v>
      </c>
      <c r="J13" s="66">
        <f t="shared" si="1"/>
        <v>3.985600411416817E-3</v>
      </c>
      <c r="K13" s="67">
        <f t="shared" si="0"/>
        <v>3.1134564643799474E-3</v>
      </c>
      <c r="L13" s="68">
        <f t="shared" si="0"/>
        <v>3.0227272727272728E-3</v>
      </c>
    </row>
    <row r="14" spans="1:12" x14ac:dyDescent="0.25">
      <c r="A14" s="48" t="s">
        <v>84</v>
      </c>
      <c r="B14" s="21">
        <v>2000</v>
      </c>
      <c r="C14" s="20">
        <v>1700</v>
      </c>
      <c r="D14" s="20">
        <v>2250</v>
      </c>
      <c r="E14" s="22">
        <v>1324</v>
      </c>
      <c r="F14" s="21">
        <v>349500</v>
      </c>
      <c r="G14" s="20">
        <v>344500</v>
      </c>
      <c r="H14" s="20">
        <v>290000</v>
      </c>
      <c r="I14" s="22">
        <v>842</v>
      </c>
      <c r="J14" s="66">
        <f t="shared" si="1"/>
        <v>5.7224606580829757E-3</v>
      </c>
      <c r="K14" s="67">
        <f t="shared" si="0"/>
        <v>4.9346879535558785E-3</v>
      </c>
      <c r="L14" s="68">
        <f t="shared" si="0"/>
        <v>7.7586206896551723E-3</v>
      </c>
    </row>
    <row r="15" spans="1:12" x14ac:dyDescent="0.25">
      <c r="A15" s="48" t="s">
        <v>85</v>
      </c>
      <c r="B15" s="21">
        <v>1700</v>
      </c>
      <c r="C15" s="20">
        <v>1390</v>
      </c>
      <c r="D15" s="20">
        <v>1800</v>
      </c>
      <c r="E15" s="22">
        <v>1295</v>
      </c>
      <c r="F15" s="21">
        <v>383200</v>
      </c>
      <c r="G15" s="20">
        <v>356800</v>
      </c>
      <c r="H15" s="20">
        <v>375200</v>
      </c>
      <c r="I15" s="22">
        <v>1052</v>
      </c>
      <c r="J15" s="66">
        <f t="shared" si="1"/>
        <v>4.4363256784968686E-3</v>
      </c>
      <c r="K15" s="67">
        <f t="shared" si="0"/>
        <v>3.8957399103139011E-3</v>
      </c>
      <c r="L15" s="68">
        <f t="shared" si="0"/>
        <v>4.7974413646055441E-3</v>
      </c>
    </row>
    <row r="16" spans="1:12" x14ac:dyDescent="0.25">
      <c r="A16" s="48" t="s">
        <v>86</v>
      </c>
      <c r="B16" s="21">
        <v>1100</v>
      </c>
      <c r="C16" s="20">
        <v>1090</v>
      </c>
      <c r="D16" s="20">
        <v>1280</v>
      </c>
      <c r="E16" s="22">
        <v>1174</v>
      </c>
      <c r="F16" s="21">
        <v>335000</v>
      </c>
      <c r="G16" s="20">
        <v>308830</v>
      </c>
      <c r="H16" s="20">
        <v>337900</v>
      </c>
      <c r="I16" s="22">
        <v>1094</v>
      </c>
      <c r="J16" s="66">
        <f t="shared" si="1"/>
        <v>3.2835820895522386E-3</v>
      </c>
      <c r="K16" s="67">
        <f t="shared" si="0"/>
        <v>3.5294498591458084E-3</v>
      </c>
      <c r="L16" s="68">
        <f t="shared" si="0"/>
        <v>3.7881029890500149E-3</v>
      </c>
    </row>
    <row r="17" spans="1:12" x14ac:dyDescent="0.25">
      <c r="A17" s="48" t="s">
        <v>87</v>
      </c>
      <c r="B17" s="21">
        <v>1100</v>
      </c>
      <c r="C17" s="20">
        <v>570</v>
      </c>
      <c r="D17" s="20">
        <v>700</v>
      </c>
      <c r="E17" s="22">
        <v>1228</v>
      </c>
      <c r="F17" s="21">
        <v>370000</v>
      </c>
      <c r="G17" s="20">
        <v>367000</v>
      </c>
      <c r="H17" s="20">
        <v>600000</v>
      </c>
      <c r="I17" s="22">
        <v>1635</v>
      </c>
      <c r="J17" s="66">
        <f t="shared" si="1"/>
        <v>2.972972972972973E-3</v>
      </c>
      <c r="K17" s="67">
        <f t="shared" si="0"/>
        <v>1.553133514986376E-3</v>
      </c>
      <c r="L17" s="68">
        <f t="shared" si="0"/>
        <v>1.1666666666666668E-3</v>
      </c>
    </row>
    <row r="18" spans="1:12" x14ac:dyDescent="0.25">
      <c r="A18" s="48" t="s">
        <v>88</v>
      </c>
      <c r="B18" s="21">
        <v>300</v>
      </c>
      <c r="C18" s="20">
        <v>260</v>
      </c>
      <c r="D18" s="20">
        <v>280</v>
      </c>
      <c r="E18" s="22">
        <v>1077</v>
      </c>
      <c r="F18" s="21">
        <v>452000</v>
      </c>
      <c r="G18" s="20">
        <v>428000</v>
      </c>
      <c r="H18" s="20">
        <v>260000</v>
      </c>
      <c r="I18" s="22">
        <v>607</v>
      </c>
      <c r="J18" s="66">
        <f t="shared" si="1"/>
        <v>6.6371681415929203E-4</v>
      </c>
      <c r="K18" s="67">
        <f t="shared" si="0"/>
        <v>6.0747663551401871E-4</v>
      </c>
      <c r="L18" s="68">
        <f t="shared" si="0"/>
        <v>1.0769230769230769E-3</v>
      </c>
    </row>
    <row r="19" spans="1:12" x14ac:dyDescent="0.25">
      <c r="A19" s="48" t="s">
        <v>89</v>
      </c>
      <c r="B19" s="21">
        <v>600</v>
      </c>
      <c r="C19" s="20">
        <v>440</v>
      </c>
      <c r="D19" s="20">
        <v>440</v>
      </c>
      <c r="E19" s="22">
        <v>1000</v>
      </c>
      <c r="F19" s="21">
        <v>400000</v>
      </c>
      <c r="G19" s="20">
        <v>392500</v>
      </c>
      <c r="H19" s="20">
        <v>470000</v>
      </c>
      <c r="I19" s="22">
        <v>1197</v>
      </c>
      <c r="J19" s="66">
        <f t="shared" si="1"/>
        <v>1.5E-3</v>
      </c>
      <c r="K19" s="67">
        <f t="shared" si="0"/>
        <v>1.1210191082802548E-3</v>
      </c>
      <c r="L19" s="68">
        <f t="shared" si="0"/>
        <v>9.3617021276595747E-4</v>
      </c>
    </row>
    <row r="20" spans="1:12" x14ac:dyDescent="0.25">
      <c r="A20" s="48" t="s">
        <v>90</v>
      </c>
      <c r="B20" s="21">
        <v>515</v>
      </c>
      <c r="C20" s="20">
        <v>470</v>
      </c>
      <c r="D20" s="20">
        <v>400</v>
      </c>
      <c r="E20" s="22">
        <v>851</v>
      </c>
      <c r="F20" s="21">
        <v>286600</v>
      </c>
      <c r="G20" s="20">
        <v>279100</v>
      </c>
      <c r="H20" s="20">
        <v>206000</v>
      </c>
      <c r="I20" s="22">
        <v>738</v>
      </c>
      <c r="J20" s="66">
        <f t="shared" si="1"/>
        <v>1.7969295184926727E-3</v>
      </c>
      <c r="K20" s="67">
        <f t="shared" si="0"/>
        <v>1.6839842350412039E-3</v>
      </c>
      <c r="L20" s="68">
        <f t="shared" si="0"/>
        <v>1.9417475728155339E-3</v>
      </c>
    </row>
    <row r="21" spans="1:12" x14ac:dyDescent="0.25">
      <c r="A21" s="48" t="s">
        <v>91</v>
      </c>
      <c r="B21" s="21">
        <v>330</v>
      </c>
      <c r="C21" s="20">
        <v>200</v>
      </c>
      <c r="D21" s="20">
        <v>220</v>
      </c>
      <c r="E21" s="22">
        <v>1100</v>
      </c>
      <c r="F21" s="21">
        <v>201300</v>
      </c>
      <c r="G21" s="20">
        <v>196700</v>
      </c>
      <c r="H21" s="20">
        <v>170000</v>
      </c>
      <c r="I21" s="22">
        <v>864</v>
      </c>
      <c r="J21" s="66">
        <f t="shared" si="1"/>
        <v>1.639344262295082E-3</v>
      </c>
      <c r="K21" s="67">
        <f t="shared" si="0"/>
        <v>1.0167768174885613E-3</v>
      </c>
      <c r="L21" s="68">
        <f t="shared" si="0"/>
        <v>1.2941176470588236E-3</v>
      </c>
    </row>
    <row r="22" spans="1:12" x14ac:dyDescent="0.25">
      <c r="A22" s="48" t="s">
        <v>92</v>
      </c>
      <c r="B22" s="21">
        <v>110</v>
      </c>
      <c r="C22" s="20">
        <v>110</v>
      </c>
      <c r="D22" s="20">
        <v>130</v>
      </c>
      <c r="E22" s="22">
        <v>1182</v>
      </c>
      <c r="F22" s="21">
        <v>180000</v>
      </c>
      <c r="G22" s="20">
        <v>179000</v>
      </c>
      <c r="H22" s="20">
        <v>205000</v>
      </c>
      <c r="I22" s="22">
        <v>1145</v>
      </c>
      <c r="J22" s="66">
        <f t="shared" si="1"/>
        <v>6.111111111111111E-4</v>
      </c>
      <c r="K22" s="67">
        <f t="shared" si="0"/>
        <v>6.1452513966480445E-4</v>
      </c>
      <c r="L22" s="68">
        <f t="shared" si="0"/>
        <v>6.3414634146341466E-4</v>
      </c>
    </row>
    <row r="23" spans="1:12" x14ac:dyDescent="0.25">
      <c r="A23" s="48" t="s">
        <v>93</v>
      </c>
      <c r="B23" s="21">
        <v>100</v>
      </c>
      <c r="C23" s="20">
        <v>100</v>
      </c>
      <c r="D23" s="20">
        <v>100</v>
      </c>
      <c r="E23" s="22">
        <v>1000</v>
      </c>
      <c r="F23" s="21">
        <v>125100</v>
      </c>
      <c r="G23" s="20">
        <v>125000</v>
      </c>
      <c r="H23" s="20">
        <v>165000</v>
      </c>
      <c r="I23" s="22">
        <v>1320</v>
      </c>
      <c r="J23" s="66">
        <f t="shared" si="1"/>
        <v>7.993605115907274E-4</v>
      </c>
      <c r="K23" s="67">
        <f t="shared" si="0"/>
        <v>8.0000000000000004E-4</v>
      </c>
      <c r="L23" s="68">
        <f t="shared" si="0"/>
        <v>6.0606060606060606E-4</v>
      </c>
    </row>
    <row r="24" spans="1:12" x14ac:dyDescent="0.25">
      <c r="A24" s="48" t="s">
        <v>94</v>
      </c>
      <c r="B24" s="21">
        <v>160</v>
      </c>
      <c r="C24" s="20">
        <v>160</v>
      </c>
      <c r="D24" s="20">
        <v>164</v>
      </c>
      <c r="E24" s="22">
        <v>1025</v>
      </c>
      <c r="F24" s="21">
        <v>145700</v>
      </c>
      <c r="G24" s="20">
        <v>145700</v>
      </c>
      <c r="H24" s="20">
        <v>235000</v>
      </c>
      <c r="I24" s="22">
        <v>1613</v>
      </c>
      <c r="J24" s="66">
        <f t="shared" si="1"/>
        <v>1.0981468771448181E-3</v>
      </c>
      <c r="K24" s="67">
        <f t="shared" si="0"/>
        <v>1.0981468771448181E-3</v>
      </c>
      <c r="L24" s="68">
        <f t="shared" si="0"/>
        <v>6.9787234042553194E-4</v>
      </c>
    </row>
    <row r="25" spans="1:12" x14ac:dyDescent="0.25">
      <c r="A25" s="48" t="s">
        <v>95</v>
      </c>
      <c r="B25" s="21">
        <v>40</v>
      </c>
      <c r="C25" s="20">
        <v>40</v>
      </c>
      <c r="D25" s="20">
        <v>44</v>
      </c>
      <c r="E25" s="22">
        <v>1100</v>
      </c>
      <c r="F25" s="21">
        <v>146000</v>
      </c>
      <c r="G25" s="20">
        <v>146000</v>
      </c>
      <c r="H25" s="20">
        <v>240000</v>
      </c>
      <c r="I25" s="22">
        <v>1644</v>
      </c>
      <c r="J25" s="66">
        <f t="shared" si="1"/>
        <v>2.7397260273972601E-4</v>
      </c>
      <c r="K25" s="67">
        <f t="shared" si="0"/>
        <v>2.7397260273972601E-4</v>
      </c>
      <c r="L25" s="68">
        <f t="shared" si="0"/>
        <v>1.8333333333333334E-4</v>
      </c>
    </row>
    <row r="26" spans="1:12" x14ac:dyDescent="0.25">
      <c r="A26" s="48" t="s">
        <v>96</v>
      </c>
      <c r="B26" s="21">
        <v>40</v>
      </c>
      <c r="C26" s="20">
        <v>40</v>
      </c>
      <c r="D26" s="20">
        <v>44</v>
      </c>
      <c r="E26" s="22">
        <v>1100</v>
      </c>
      <c r="F26" s="21">
        <v>176000</v>
      </c>
      <c r="G26" s="20">
        <v>173000</v>
      </c>
      <c r="H26" s="20">
        <v>259000</v>
      </c>
      <c r="I26" s="22">
        <v>1497</v>
      </c>
      <c r="J26" s="66">
        <f t="shared" si="1"/>
        <v>2.2727272727272727E-4</v>
      </c>
      <c r="K26" s="67">
        <f t="shared" si="1"/>
        <v>2.3121387283236994E-4</v>
      </c>
      <c r="L26" s="68">
        <f t="shared" si="1"/>
        <v>1.6988416988416988E-4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>
        <v>240400</v>
      </c>
      <c r="G27" s="20">
        <v>238400</v>
      </c>
      <c r="H27" s="20">
        <v>350000</v>
      </c>
      <c r="I27" s="22">
        <v>1468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>
        <v>193400</v>
      </c>
      <c r="G28" s="20">
        <v>193340</v>
      </c>
      <c r="H28" s="20">
        <v>274100</v>
      </c>
      <c r="I28" s="22">
        <v>1418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>
        <v>153200</v>
      </c>
      <c r="G29" s="20">
        <v>153200</v>
      </c>
      <c r="H29" s="20">
        <v>190200</v>
      </c>
      <c r="I29" s="22">
        <v>1242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>
        <v>170400</v>
      </c>
      <c r="G30" s="20">
        <v>165900</v>
      </c>
      <c r="H30" s="20">
        <v>234700</v>
      </c>
      <c r="I30" s="22">
        <v>1415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>
        <v>198000</v>
      </c>
      <c r="G31" s="20">
        <v>178820</v>
      </c>
      <c r="H31" s="20">
        <v>310600</v>
      </c>
      <c r="I31" s="22">
        <v>1737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>
        <v>153300</v>
      </c>
      <c r="G32" s="20">
        <v>153100</v>
      </c>
      <c r="H32" s="20">
        <v>221400</v>
      </c>
      <c r="I32" s="22">
        <v>1446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>
        <v>110000</v>
      </c>
      <c r="G33" s="20">
        <v>110000</v>
      </c>
      <c r="H33" s="20">
        <v>233400</v>
      </c>
      <c r="I33" s="22">
        <v>2122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>
        <v>133700</v>
      </c>
      <c r="G34" s="20">
        <v>133700</v>
      </c>
      <c r="H34" s="20">
        <v>208100</v>
      </c>
      <c r="I34" s="22">
        <v>1556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>
        <v>155210</v>
      </c>
      <c r="G35" s="20">
        <v>155110</v>
      </c>
      <c r="H35" s="20">
        <v>237817</v>
      </c>
      <c r="I35" s="22">
        <v>1533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>
        <v>238900</v>
      </c>
      <c r="G36" s="20">
        <v>238830</v>
      </c>
      <c r="H36" s="20">
        <v>462390</v>
      </c>
      <c r="I36" s="22">
        <v>1936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>
        <v>328520</v>
      </c>
      <c r="G37" s="20">
        <v>298070</v>
      </c>
      <c r="H37" s="20">
        <v>280856</v>
      </c>
      <c r="I37" s="22">
        <v>942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>
        <v>406560</v>
      </c>
      <c r="G38" s="20">
        <v>383675</v>
      </c>
      <c r="H38" s="20">
        <v>627695</v>
      </c>
      <c r="I38" s="22">
        <v>1636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>
        <v>336760</v>
      </c>
      <c r="G39" s="20">
        <v>329710</v>
      </c>
      <c r="H39" s="20">
        <v>340207</v>
      </c>
      <c r="I39" s="22">
        <v>1032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>
        <v>219360</v>
      </c>
      <c r="G40" s="20">
        <v>219260</v>
      </c>
      <c r="H40" s="20">
        <v>419600</v>
      </c>
      <c r="I40" s="22">
        <v>1914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>
        <v>252460</v>
      </c>
      <c r="G41" s="20">
        <v>251060</v>
      </c>
      <c r="H41" s="20">
        <v>394800</v>
      </c>
      <c r="I41" s="22">
        <v>1573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222370</v>
      </c>
      <c r="G42" s="20">
        <v>222370</v>
      </c>
      <c r="H42" s="20">
        <v>361900</v>
      </c>
      <c r="I42" s="22">
        <v>1627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157326</v>
      </c>
      <c r="G43" s="20">
        <v>156426</v>
      </c>
      <c r="H43" s="20">
        <v>220900</v>
      </c>
      <c r="I43" s="22">
        <v>1412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>
        <v>400</v>
      </c>
      <c r="C44" s="20">
        <v>400</v>
      </c>
      <c r="D44" s="20">
        <v>1400</v>
      </c>
      <c r="E44" s="22">
        <v>3500</v>
      </c>
      <c r="F44" s="21">
        <v>170223</v>
      </c>
      <c r="G44" s="20">
        <v>167473</v>
      </c>
      <c r="H44" s="20">
        <v>292950</v>
      </c>
      <c r="I44" s="22">
        <v>1749</v>
      </c>
      <c r="J44" s="66">
        <f t="shared" si="1"/>
        <v>2.3498587147447758E-3</v>
      </c>
      <c r="K44" s="67">
        <f t="shared" si="1"/>
        <v>2.3884447045195347E-3</v>
      </c>
      <c r="L44" s="68">
        <f t="shared" si="1"/>
        <v>4.7789725209080045E-3</v>
      </c>
    </row>
    <row r="45" spans="1:12" x14ac:dyDescent="0.25">
      <c r="A45" s="48" t="s">
        <v>31</v>
      </c>
      <c r="B45" s="21">
        <v>700</v>
      </c>
      <c r="C45" s="20">
        <v>630</v>
      </c>
      <c r="D45" s="20">
        <v>2300</v>
      </c>
      <c r="E45" s="22">
        <v>3651</v>
      </c>
      <c r="F45" s="21">
        <v>211090</v>
      </c>
      <c r="G45" s="20">
        <v>210820</v>
      </c>
      <c r="H45" s="20">
        <v>444800</v>
      </c>
      <c r="I45" s="22">
        <v>2110</v>
      </c>
      <c r="J45" s="66">
        <f t="shared" si="1"/>
        <v>3.31612108579279E-3</v>
      </c>
      <c r="K45" s="67">
        <f t="shared" si="1"/>
        <v>2.9883312778673748E-3</v>
      </c>
      <c r="L45" s="68">
        <f t="shared" si="1"/>
        <v>5.1708633093525179E-3</v>
      </c>
    </row>
    <row r="46" spans="1:12" x14ac:dyDescent="0.25">
      <c r="A46" s="48" t="s">
        <v>32</v>
      </c>
      <c r="B46" s="21">
        <v>580</v>
      </c>
      <c r="C46" s="20">
        <v>580</v>
      </c>
      <c r="D46" s="20">
        <v>2030</v>
      </c>
      <c r="E46" s="22">
        <v>3500</v>
      </c>
      <c r="F46" s="21">
        <v>174039</v>
      </c>
      <c r="G46" s="20">
        <v>163679</v>
      </c>
      <c r="H46" s="20">
        <v>347323</v>
      </c>
      <c r="I46" s="22">
        <v>2122</v>
      </c>
      <c r="J46" s="66">
        <f t="shared" si="1"/>
        <v>3.3325863743183999E-3</v>
      </c>
      <c r="K46" s="67">
        <f t="shared" si="1"/>
        <v>3.5435211603198945E-3</v>
      </c>
      <c r="L46" s="68">
        <f t="shared" si="1"/>
        <v>5.8447036332174946E-3</v>
      </c>
    </row>
    <row r="47" spans="1:12" x14ac:dyDescent="0.25">
      <c r="A47" s="48" t="s">
        <v>33</v>
      </c>
      <c r="B47" s="21">
        <v>700</v>
      </c>
      <c r="C47" s="20">
        <v>250</v>
      </c>
      <c r="D47" s="20">
        <v>750</v>
      </c>
      <c r="E47" s="22">
        <v>3000</v>
      </c>
      <c r="F47" s="21">
        <v>215661</v>
      </c>
      <c r="G47" s="20">
        <v>215061</v>
      </c>
      <c r="H47" s="20">
        <v>600035</v>
      </c>
      <c r="I47" s="22">
        <v>2790</v>
      </c>
      <c r="J47" s="66">
        <f t="shared" si="1"/>
        <v>3.245834898289445E-3</v>
      </c>
      <c r="K47" s="67">
        <f t="shared" si="1"/>
        <v>1.1624608831912807E-3</v>
      </c>
      <c r="L47" s="68">
        <f t="shared" si="1"/>
        <v>1.2499270875865574E-3</v>
      </c>
    </row>
    <row r="48" spans="1:12" x14ac:dyDescent="0.25">
      <c r="A48" s="48" t="s">
        <v>34</v>
      </c>
      <c r="B48" s="21">
        <v>400</v>
      </c>
      <c r="C48" s="20">
        <v>400</v>
      </c>
      <c r="D48" s="20">
        <v>1400</v>
      </c>
      <c r="E48" s="22">
        <v>3500</v>
      </c>
      <c r="F48" s="21">
        <v>227889</v>
      </c>
      <c r="G48" s="20">
        <v>227389</v>
      </c>
      <c r="H48" s="20">
        <v>625349</v>
      </c>
      <c r="I48" s="22">
        <v>2750</v>
      </c>
      <c r="J48" s="66">
        <f t="shared" si="1"/>
        <v>1.7552404898876206E-3</v>
      </c>
      <c r="K48" s="67">
        <f t="shared" si="1"/>
        <v>1.7591000444172761E-3</v>
      </c>
      <c r="L48" s="68">
        <f t="shared" si="1"/>
        <v>2.2387498820658543E-3</v>
      </c>
    </row>
    <row r="49" spans="1:12" x14ac:dyDescent="0.25">
      <c r="A49" s="48" t="s">
        <v>35</v>
      </c>
      <c r="B49" s="21">
        <v>480</v>
      </c>
      <c r="C49" s="20">
        <v>480</v>
      </c>
      <c r="D49" s="20">
        <v>1296</v>
      </c>
      <c r="E49" s="22">
        <v>2700</v>
      </c>
      <c r="F49" s="21">
        <v>264430</v>
      </c>
      <c r="G49" s="20">
        <v>257430</v>
      </c>
      <c r="H49" s="20">
        <v>605491</v>
      </c>
      <c r="I49" s="22">
        <v>2352</v>
      </c>
      <c r="J49" s="66">
        <f t="shared" si="1"/>
        <v>1.8152252013765458E-3</v>
      </c>
      <c r="K49" s="67">
        <f t="shared" si="1"/>
        <v>1.8645845472555647E-3</v>
      </c>
      <c r="L49" s="68">
        <f t="shared" si="1"/>
        <v>2.1404116659041999E-3</v>
      </c>
    </row>
    <row r="50" spans="1:12" x14ac:dyDescent="0.25">
      <c r="A50" s="48" t="s">
        <v>36</v>
      </c>
      <c r="B50" s="21">
        <v>115</v>
      </c>
      <c r="C50" s="20">
        <v>90</v>
      </c>
      <c r="D50" s="20">
        <v>225</v>
      </c>
      <c r="E50" s="22">
        <v>2500</v>
      </c>
      <c r="F50" s="21">
        <v>222053</v>
      </c>
      <c r="G50" s="20">
        <v>218828</v>
      </c>
      <c r="H50" s="20">
        <v>611040</v>
      </c>
      <c r="I50" s="22">
        <v>2792</v>
      </c>
      <c r="J50" s="66">
        <f t="shared" si="1"/>
        <v>5.1789437656775633E-4</v>
      </c>
      <c r="K50" s="67">
        <f t="shared" si="1"/>
        <v>4.1128192004679477E-4</v>
      </c>
      <c r="L50" s="68">
        <f t="shared" si="1"/>
        <v>3.6822466614296935E-4</v>
      </c>
    </row>
    <row r="51" spans="1:12" x14ac:dyDescent="0.25">
      <c r="A51" s="48" t="s">
        <v>37</v>
      </c>
      <c r="B51" s="21">
        <v>130</v>
      </c>
      <c r="C51" s="20">
        <v>130</v>
      </c>
      <c r="D51" s="20">
        <v>299</v>
      </c>
      <c r="E51" s="22">
        <v>2300</v>
      </c>
      <c r="F51" s="21">
        <v>264568</v>
      </c>
      <c r="G51" s="20">
        <v>264568</v>
      </c>
      <c r="H51" s="20">
        <v>701535</v>
      </c>
      <c r="I51" s="22">
        <v>2652</v>
      </c>
      <c r="J51" s="66">
        <f t="shared" si="1"/>
        <v>4.9136705875238126E-4</v>
      </c>
      <c r="K51" s="67">
        <f t="shared" si="1"/>
        <v>4.9136705875238126E-4</v>
      </c>
      <c r="L51" s="68">
        <f t="shared" si="1"/>
        <v>4.2620824335207793E-4</v>
      </c>
    </row>
    <row r="52" spans="1:12" x14ac:dyDescent="0.25">
      <c r="A52" s="48" t="s">
        <v>38</v>
      </c>
      <c r="B52" s="21">
        <v>200</v>
      </c>
      <c r="C52" s="20">
        <v>200</v>
      </c>
      <c r="D52" s="20">
        <v>600</v>
      </c>
      <c r="E52" s="22">
        <v>3000</v>
      </c>
      <c r="F52" s="21">
        <v>307238</v>
      </c>
      <c r="G52" s="20">
        <v>307166</v>
      </c>
      <c r="H52" s="20">
        <v>685722</v>
      </c>
      <c r="I52" s="22">
        <v>2232</v>
      </c>
      <c r="J52" s="66">
        <f t="shared" si="1"/>
        <v>6.5096114412930694E-4</v>
      </c>
      <c r="K52" s="67">
        <f t="shared" si="1"/>
        <v>6.5111373003522524E-4</v>
      </c>
      <c r="L52" s="68">
        <f t="shared" si="1"/>
        <v>8.7499015636074095E-4</v>
      </c>
    </row>
    <row r="53" spans="1:12" x14ac:dyDescent="0.25">
      <c r="A53" s="48" t="s">
        <v>39</v>
      </c>
      <c r="B53" s="21">
        <v>300</v>
      </c>
      <c r="C53" s="20">
        <v>300</v>
      </c>
      <c r="D53" s="20">
        <v>900</v>
      </c>
      <c r="E53" s="22">
        <v>3000</v>
      </c>
      <c r="F53" s="21">
        <v>418063</v>
      </c>
      <c r="G53" s="20">
        <v>404022</v>
      </c>
      <c r="H53" s="20">
        <v>1025857</v>
      </c>
      <c r="I53" s="22">
        <v>2539</v>
      </c>
      <c r="J53" s="66">
        <f t="shared" si="1"/>
        <v>7.1759519498257437E-4</v>
      </c>
      <c r="K53" s="67">
        <f t="shared" si="1"/>
        <v>7.4253382241561106E-4</v>
      </c>
      <c r="L53" s="68">
        <f t="shared" si="1"/>
        <v>8.7731525933926462E-4</v>
      </c>
    </row>
    <row r="54" spans="1:12" x14ac:dyDescent="0.25">
      <c r="A54" s="48" t="s">
        <v>40</v>
      </c>
      <c r="B54" s="21">
        <v>300</v>
      </c>
      <c r="C54" s="20">
        <v>300</v>
      </c>
      <c r="D54" s="20">
        <v>750</v>
      </c>
      <c r="E54" s="22">
        <v>2500</v>
      </c>
      <c r="F54" s="21">
        <v>411688</v>
      </c>
      <c r="G54" s="20">
        <v>409312</v>
      </c>
      <c r="H54" s="20">
        <v>1165924</v>
      </c>
      <c r="I54" s="22">
        <v>2849</v>
      </c>
      <c r="J54" s="66">
        <f t="shared" si="1"/>
        <v>7.2870717630827233E-4</v>
      </c>
      <c r="K54" s="67">
        <f t="shared" si="1"/>
        <v>7.329372214838558E-4</v>
      </c>
      <c r="L54" s="68">
        <f t="shared" si="1"/>
        <v>6.4326662801348971E-4</v>
      </c>
    </row>
    <row r="55" spans="1:12" x14ac:dyDescent="0.25">
      <c r="A55" s="48" t="s">
        <v>41</v>
      </c>
      <c r="B55" s="21">
        <v>1100</v>
      </c>
      <c r="C55" s="20">
        <v>1100</v>
      </c>
      <c r="D55" s="20">
        <v>2520</v>
      </c>
      <c r="E55" s="22">
        <v>2291</v>
      </c>
      <c r="F55" s="21">
        <v>425628</v>
      </c>
      <c r="G55" s="20">
        <v>424628</v>
      </c>
      <c r="H55" s="20">
        <v>1010777</v>
      </c>
      <c r="I55" s="22">
        <v>2380</v>
      </c>
      <c r="J55" s="66">
        <f t="shared" si="1"/>
        <v>2.584416438768126E-3</v>
      </c>
      <c r="K55" s="67">
        <f t="shared" si="1"/>
        <v>2.5905027459329107E-3</v>
      </c>
      <c r="L55" s="68">
        <f t="shared" si="1"/>
        <v>2.4931315215918053E-3</v>
      </c>
    </row>
    <row r="56" spans="1:12" x14ac:dyDescent="0.25">
      <c r="A56" s="48" t="s">
        <v>42</v>
      </c>
      <c r="B56" s="21">
        <v>400</v>
      </c>
      <c r="C56" s="20">
        <v>200</v>
      </c>
      <c r="D56" s="20">
        <v>640</v>
      </c>
      <c r="E56" s="22">
        <v>3200</v>
      </c>
      <c r="F56" s="21">
        <v>368438</v>
      </c>
      <c r="G56" s="20">
        <v>341838</v>
      </c>
      <c r="H56" s="20">
        <v>1001113</v>
      </c>
      <c r="I56" s="22">
        <v>2929</v>
      </c>
      <c r="J56" s="66">
        <f t="shared" si="1"/>
        <v>1.0856643451544086E-3</v>
      </c>
      <c r="K56" s="67">
        <f t="shared" si="1"/>
        <v>5.8507246122432258E-4</v>
      </c>
      <c r="L56" s="68">
        <f t="shared" si="1"/>
        <v>6.3928847193074113E-4</v>
      </c>
    </row>
    <row r="57" spans="1:12" x14ac:dyDescent="0.25">
      <c r="A57" s="48" t="s">
        <v>43</v>
      </c>
      <c r="B57" s="21">
        <v>5641</v>
      </c>
      <c r="C57" s="20">
        <v>3950</v>
      </c>
      <c r="D57" s="20">
        <v>10270</v>
      </c>
      <c r="E57" s="22">
        <v>2600</v>
      </c>
      <c r="F57" s="21">
        <v>364191</v>
      </c>
      <c r="G57" s="20">
        <v>334050</v>
      </c>
      <c r="H57" s="20">
        <v>1081032</v>
      </c>
      <c r="I57" s="22">
        <v>3236</v>
      </c>
      <c r="J57" s="66">
        <f t="shared" si="1"/>
        <v>1.5489125211770746E-2</v>
      </c>
      <c r="K57" s="67">
        <f t="shared" si="1"/>
        <v>1.1824577159107917E-2</v>
      </c>
      <c r="L57" s="68">
        <f t="shared" si="1"/>
        <v>9.5001813082313934E-3</v>
      </c>
    </row>
    <row r="58" spans="1:12" x14ac:dyDescent="0.25">
      <c r="A58" s="48" t="s">
        <v>44</v>
      </c>
      <c r="B58" s="21">
        <v>1200</v>
      </c>
      <c r="C58" s="20">
        <v>1200</v>
      </c>
      <c r="D58" s="20">
        <v>3600</v>
      </c>
      <c r="E58" s="22">
        <v>3000</v>
      </c>
      <c r="F58" s="21">
        <v>452118</v>
      </c>
      <c r="G58" s="20">
        <v>443864</v>
      </c>
      <c r="H58" s="20">
        <v>921231</v>
      </c>
      <c r="I58" s="22">
        <v>2075</v>
      </c>
      <c r="J58" s="66">
        <f t="shared" si="1"/>
        <v>2.6541743527132297E-3</v>
      </c>
      <c r="K58" s="67">
        <f t="shared" si="1"/>
        <v>2.7035308112394788E-3</v>
      </c>
      <c r="L58" s="68">
        <f t="shared" si="1"/>
        <v>3.9078146523510394E-3</v>
      </c>
    </row>
    <row r="59" spans="1:12" x14ac:dyDescent="0.25">
      <c r="A59" s="48" t="s">
        <v>45</v>
      </c>
      <c r="B59" s="21">
        <v>6000</v>
      </c>
      <c r="C59" s="20">
        <v>6000</v>
      </c>
      <c r="D59" s="20">
        <v>24000</v>
      </c>
      <c r="E59" s="22">
        <v>4000</v>
      </c>
      <c r="F59" s="21">
        <v>389054</v>
      </c>
      <c r="G59" s="20">
        <v>387014</v>
      </c>
      <c r="H59" s="20">
        <v>1337229</v>
      </c>
      <c r="I59" s="22">
        <v>3455</v>
      </c>
      <c r="J59" s="66">
        <f t="shared" si="1"/>
        <v>1.542202367794702E-2</v>
      </c>
      <c r="K59" s="67">
        <f t="shared" si="1"/>
        <v>1.5503315125551014E-2</v>
      </c>
      <c r="L59" s="68">
        <f t="shared" si="1"/>
        <v>1.7947561711569221E-2</v>
      </c>
    </row>
    <row r="60" spans="1:12" x14ac:dyDescent="0.25">
      <c r="A60" s="49" t="s">
        <v>46</v>
      </c>
      <c r="B60" s="21">
        <v>6500</v>
      </c>
      <c r="C60" s="20">
        <v>6500</v>
      </c>
      <c r="D60" s="20">
        <v>20800</v>
      </c>
      <c r="E60" s="22">
        <v>3200</v>
      </c>
      <c r="F60" s="21">
        <v>368651</v>
      </c>
      <c r="G60" s="20">
        <v>367377</v>
      </c>
      <c r="H60" s="20">
        <v>1285431</v>
      </c>
      <c r="I60" s="22">
        <v>3499</v>
      </c>
      <c r="J60" s="66">
        <f t="shared" si="1"/>
        <v>1.7631852348155844E-2</v>
      </c>
      <c r="K60" s="67">
        <f t="shared" si="1"/>
        <v>1.7692996567558666E-2</v>
      </c>
      <c r="L60" s="68">
        <f t="shared" si="1"/>
        <v>1.6181343067033546E-2</v>
      </c>
    </row>
    <row r="61" spans="1:12" x14ac:dyDescent="0.25">
      <c r="A61" s="49" t="s">
        <v>47</v>
      </c>
      <c r="B61" s="21">
        <v>8500</v>
      </c>
      <c r="C61" s="20">
        <v>8500</v>
      </c>
      <c r="D61" s="20">
        <v>25500</v>
      </c>
      <c r="E61" s="22">
        <v>3000</v>
      </c>
      <c r="F61" s="21">
        <v>406026</v>
      </c>
      <c r="G61" s="20">
        <v>401756</v>
      </c>
      <c r="H61" s="20">
        <v>1267242</v>
      </c>
      <c r="I61" s="22">
        <v>3154</v>
      </c>
      <c r="J61" s="66">
        <f t="shared" si="1"/>
        <v>2.0934619950446522E-2</v>
      </c>
      <c r="K61" s="67">
        <f t="shared" si="1"/>
        <v>2.1157120242137017E-2</v>
      </c>
      <c r="L61" s="68">
        <f t="shared" si="1"/>
        <v>2.0122439123703286E-2</v>
      </c>
    </row>
    <row r="62" spans="1:12" x14ac:dyDescent="0.25">
      <c r="A62" s="49" t="s">
        <v>48</v>
      </c>
      <c r="B62" s="21">
        <v>9200</v>
      </c>
      <c r="C62" s="20">
        <v>9200</v>
      </c>
      <c r="D62" s="20">
        <v>29440</v>
      </c>
      <c r="E62" s="22">
        <v>3200</v>
      </c>
      <c r="F62" s="21">
        <v>417145</v>
      </c>
      <c r="G62" s="20">
        <v>406477</v>
      </c>
      <c r="H62" s="20">
        <v>1346166</v>
      </c>
      <c r="I62" s="22">
        <v>3312</v>
      </c>
      <c r="J62" s="66">
        <f t="shared" si="1"/>
        <v>2.2054681225952607E-2</v>
      </c>
      <c r="K62" s="67">
        <f t="shared" si="1"/>
        <v>2.2633506938891993E-2</v>
      </c>
      <c r="L62" s="68">
        <f t="shared" si="1"/>
        <v>2.186951683521943E-2</v>
      </c>
    </row>
    <row r="63" spans="1:12" x14ac:dyDescent="0.25">
      <c r="A63" s="49" t="s">
        <v>49</v>
      </c>
      <c r="B63" s="21">
        <v>8000</v>
      </c>
      <c r="C63" s="20">
        <v>8000</v>
      </c>
      <c r="D63" s="20">
        <v>17600</v>
      </c>
      <c r="E63" s="22">
        <v>2200</v>
      </c>
      <c r="F63" s="21">
        <v>373847</v>
      </c>
      <c r="G63" s="20">
        <v>371627</v>
      </c>
      <c r="H63" s="20">
        <v>962674</v>
      </c>
      <c r="I63" s="22">
        <v>2590</v>
      </c>
      <c r="J63" s="66">
        <f t="shared" si="1"/>
        <v>2.1399128520491004E-2</v>
      </c>
      <c r="K63" s="67">
        <f t="shared" si="1"/>
        <v>2.1526961173434653E-2</v>
      </c>
      <c r="L63" s="68">
        <f t="shared" si="1"/>
        <v>1.8282409206024055E-2</v>
      </c>
    </row>
    <row r="64" spans="1:12" x14ac:dyDescent="0.25">
      <c r="A64" s="49" t="s">
        <v>50</v>
      </c>
      <c r="B64" s="21">
        <v>17309</v>
      </c>
      <c r="C64" s="20">
        <v>15709</v>
      </c>
      <c r="D64" s="20">
        <v>47127</v>
      </c>
      <c r="E64" s="22">
        <v>3000</v>
      </c>
      <c r="F64" s="21">
        <v>433896</v>
      </c>
      <c r="G64" s="20">
        <v>431991</v>
      </c>
      <c r="H64" s="20">
        <v>1482827</v>
      </c>
      <c r="I64" s="22">
        <v>3433</v>
      </c>
      <c r="J64" s="66">
        <f t="shared" si="1"/>
        <v>3.9892047864004278E-2</v>
      </c>
      <c r="K64" s="67">
        <f t="shared" si="1"/>
        <v>3.6364183513082446E-2</v>
      </c>
      <c r="L64" s="68">
        <f t="shared" si="1"/>
        <v>3.1781859920273908E-2</v>
      </c>
    </row>
    <row r="65" spans="1:12" x14ac:dyDescent="0.25">
      <c r="A65" s="49" t="s">
        <v>51</v>
      </c>
      <c r="B65" s="21">
        <v>18275</v>
      </c>
      <c r="C65" s="20">
        <v>18275</v>
      </c>
      <c r="D65" s="20">
        <v>51170</v>
      </c>
      <c r="E65" s="22">
        <v>2800</v>
      </c>
      <c r="F65" s="21">
        <v>533091</v>
      </c>
      <c r="G65" s="20">
        <v>531866</v>
      </c>
      <c r="H65" s="20">
        <v>1809537</v>
      </c>
      <c r="I65" s="22">
        <v>3402</v>
      </c>
      <c r="J65" s="66">
        <f t="shared" si="1"/>
        <v>3.4281201520941079E-2</v>
      </c>
      <c r="K65" s="67">
        <f t="shared" si="1"/>
        <v>3.4360158385758816E-2</v>
      </c>
      <c r="L65" s="68">
        <f t="shared" si="1"/>
        <v>2.8277951763351621E-2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25D7B5F4-6035-442A-A309-121F7A1996A4}"/>
  </hyperlinks>
  <pageMargins left="0.7" right="0.7" top="0.75" bottom="0.75" header="0.3" footer="0.3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75E3-2952-4933-AE6C-B67427E702E7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70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>
        <v>23400</v>
      </c>
      <c r="E10" s="50" t="e">
        <v>#N/A</v>
      </c>
      <c r="F10" s="41" t="e">
        <v>#N/A</v>
      </c>
      <c r="G10" s="40" t="e">
        <v>#N/A</v>
      </c>
      <c r="H10" s="40">
        <v>863504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>
        <f t="shared" si="0"/>
        <v>2.709889010357798E-2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>
        <v>28200</v>
      </c>
      <c r="E11" s="22" t="e">
        <v>#N/A</v>
      </c>
      <c r="F11" s="21" t="e">
        <v>#N/A</v>
      </c>
      <c r="G11" s="20" t="e">
        <v>#N/A</v>
      </c>
      <c r="H11" s="20">
        <v>988795</v>
      </c>
      <c r="I11" s="22" t="e">
        <v>#N/A</v>
      </c>
      <c r="J11" s="66" t="e">
        <f t="shared" ref="J11:L66" si="1">B11/F11</f>
        <v>#N/A</v>
      </c>
      <c r="K11" s="67" t="e">
        <f t="shared" si="0"/>
        <v>#N/A</v>
      </c>
      <c r="L11" s="68">
        <f t="shared" si="0"/>
        <v>2.851956168872213E-2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>
        <v>22000</v>
      </c>
      <c r="E12" s="22" t="e">
        <v>#N/A</v>
      </c>
      <c r="F12" s="21" t="e">
        <v>#N/A</v>
      </c>
      <c r="G12" s="20" t="e">
        <v>#N/A</v>
      </c>
      <c r="H12" s="20">
        <v>748680</v>
      </c>
      <c r="I12" s="22" t="e">
        <v>#N/A</v>
      </c>
      <c r="J12" s="66" t="e">
        <f t="shared" si="1"/>
        <v>#N/A</v>
      </c>
      <c r="K12" s="67" t="e">
        <f t="shared" si="0"/>
        <v>#N/A</v>
      </c>
      <c r="L12" s="68">
        <f t="shared" si="0"/>
        <v>2.9385051023134049E-2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>
        <v>21100</v>
      </c>
      <c r="E13" s="22" t="e">
        <v>#N/A</v>
      </c>
      <c r="F13" s="21" t="e">
        <v>#N/A</v>
      </c>
      <c r="G13" s="20" t="e">
        <v>#N/A</v>
      </c>
      <c r="H13" s="20">
        <v>781255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>
        <f t="shared" si="0"/>
        <v>2.7007827149906242E-2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>
        <v>23000</v>
      </c>
      <c r="E14" s="22" t="e">
        <v>#N/A</v>
      </c>
      <c r="F14" s="21" t="e">
        <v>#N/A</v>
      </c>
      <c r="G14" s="20" t="e">
        <v>#N/A</v>
      </c>
      <c r="H14" s="20">
        <v>832960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>
        <f t="shared" si="0"/>
        <v>2.7612370341913176E-2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>
        <v>20100</v>
      </c>
      <c r="E15" s="22" t="e">
        <v>#N/A</v>
      </c>
      <c r="F15" s="21" t="e">
        <v>#N/A</v>
      </c>
      <c r="G15" s="20" t="e">
        <v>#N/A</v>
      </c>
      <c r="H15" s="20">
        <v>728966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>
        <f t="shared" si="0"/>
        <v>2.7573302458550879E-2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>
        <v>17400</v>
      </c>
      <c r="E16" s="22" t="e">
        <v>#N/A</v>
      </c>
      <c r="F16" s="21" t="e">
        <v>#N/A</v>
      </c>
      <c r="G16" s="20" t="e">
        <v>#N/A</v>
      </c>
      <c r="H16" s="20">
        <v>742929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>
        <f t="shared" si="0"/>
        <v>2.3420811409973229E-2</v>
      </c>
    </row>
    <row r="17" spans="1:12" x14ac:dyDescent="0.25">
      <c r="A17" s="48" t="s">
        <v>87</v>
      </c>
      <c r="B17" s="21">
        <v>1200</v>
      </c>
      <c r="C17" s="20">
        <v>1100</v>
      </c>
      <c r="D17" s="20">
        <v>20000</v>
      </c>
      <c r="E17" s="22">
        <v>18182</v>
      </c>
      <c r="F17" s="21">
        <v>76000</v>
      </c>
      <c r="G17" s="20">
        <v>61000</v>
      </c>
      <c r="H17" s="20">
        <v>740000</v>
      </c>
      <c r="I17" s="22">
        <v>12131</v>
      </c>
      <c r="J17" s="66">
        <f t="shared" si="1"/>
        <v>1.5789473684210527E-2</v>
      </c>
      <c r="K17" s="67">
        <f t="shared" si="0"/>
        <v>1.8032786885245903E-2</v>
      </c>
      <c r="L17" s="68">
        <f t="shared" si="0"/>
        <v>2.7027027027027029E-2</v>
      </c>
    </row>
    <row r="18" spans="1:12" x14ac:dyDescent="0.25">
      <c r="A18" s="48" t="s">
        <v>88</v>
      </c>
      <c r="B18" s="21">
        <v>1200</v>
      </c>
      <c r="C18" s="20">
        <v>1130</v>
      </c>
      <c r="D18" s="20">
        <v>21000</v>
      </c>
      <c r="E18" s="22">
        <v>18584</v>
      </c>
      <c r="F18" s="21">
        <v>75000</v>
      </c>
      <c r="G18" s="20">
        <v>60000</v>
      </c>
      <c r="H18" s="20">
        <v>670000</v>
      </c>
      <c r="I18" s="22">
        <v>11167</v>
      </c>
      <c r="J18" s="66">
        <f t="shared" si="1"/>
        <v>1.6E-2</v>
      </c>
      <c r="K18" s="67">
        <f t="shared" si="0"/>
        <v>1.8833333333333334E-2</v>
      </c>
      <c r="L18" s="68">
        <f t="shared" si="0"/>
        <v>3.134328358208955E-2</v>
      </c>
    </row>
    <row r="19" spans="1:12" x14ac:dyDescent="0.25">
      <c r="A19" s="48" t="s">
        <v>89</v>
      </c>
      <c r="B19" s="21">
        <v>870</v>
      </c>
      <c r="C19" s="20">
        <v>815</v>
      </c>
      <c r="D19" s="20">
        <v>15300</v>
      </c>
      <c r="E19" s="22">
        <v>18773</v>
      </c>
      <c r="F19" s="21">
        <v>77000</v>
      </c>
      <c r="G19" s="20">
        <v>61500</v>
      </c>
      <c r="H19" s="20">
        <v>706000</v>
      </c>
      <c r="I19" s="22">
        <v>11480</v>
      </c>
      <c r="J19" s="66">
        <f t="shared" si="1"/>
        <v>1.1298701298701299E-2</v>
      </c>
      <c r="K19" s="67">
        <f t="shared" si="0"/>
        <v>1.3252032520325203E-2</v>
      </c>
      <c r="L19" s="68">
        <f t="shared" si="0"/>
        <v>2.1671388101983002E-2</v>
      </c>
    </row>
    <row r="20" spans="1:12" x14ac:dyDescent="0.25">
      <c r="A20" s="48" t="s">
        <v>90</v>
      </c>
      <c r="B20" s="21">
        <v>870</v>
      </c>
      <c r="C20" s="20">
        <v>830</v>
      </c>
      <c r="D20" s="20">
        <v>12500</v>
      </c>
      <c r="E20" s="22">
        <v>15060</v>
      </c>
      <c r="F20" s="21">
        <v>71100</v>
      </c>
      <c r="G20" s="20">
        <v>58800</v>
      </c>
      <c r="H20" s="20">
        <v>704000</v>
      </c>
      <c r="I20" s="22">
        <v>11973</v>
      </c>
      <c r="J20" s="66">
        <f t="shared" si="1"/>
        <v>1.2236286919831224E-2</v>
      </c>
      <c r="K20" s="67">
        <f t="shared" si="0"/>
        <v>1.4115646258503402E-2</v>
      </c>
      <c r="L20" s="68">
        <f t="shared" si="0"/>
        <v>1.775568181818182E-2</v>
      </c>
    </row>
    <row r="21" spans="1:12" x14ac:dyDescent="0.25">
      <c r="A21" s="48" t="s">
        <v>91</v>
      </c>
      <c r="B21" s="21">
        <v>882</v>
      </c>
      <c r="C21" s="20">
        <v>835</v>
      </c>
      <c r="D21" s="20">
        <v>14000</v>
      </c>
      <c r="E21" s="22">
        <v>16766</v>
      </c>
      <c r="F21" s="21">
        <v>69700</v>
      </c>
      <c r="G21" s="20">
        <v>59300</v>
      </c>
      <c r="H21" s="20">
        <v>668000</v>
      </c>
      <c r="I21" s="22">
        <v>11265</v>
      </c>
      <c r="J21" s="66">
        <f t="shared" si="1"/>
        <v>1.2654232424677187E-2</v>
      </c>
      <c r="K21" s="67">
        <f t="shared" si="0"/>
        <v>1.4080944350758854E-2</v>
      </c>
      <c r="L21" s="68">
        <f t="shared" si="0"/>
        <v>2.0958083832335328E-2</v>
      </c>
    </row>
    <row r="22" spans="1:12" x14ac:dyDescent="0.25">
      <c r="A22" s="48" t="s">
        <v>92</v>
      </c>
      <c r="B22" s="21">
        <v>900</v>
      </c>
      <c r="C22" s="20">
        <v>900</v>
      </c>
      <c r="D22" s="20">
        <v>15000</v>
      </c>
      <c r="E22" s="22">
        <v>16667</v>
      </c>
      <c r="F22" s="21">
        <v>68100</v>
      </c>
      <c r="G22" s="20">
        <v>58850</v>
      </c>
      <c r="H22" s="20">
        <v>606000</v>
      </c>
      <c r="I22" s="22">
        <v>10297</v>
      </c>
      <c r="J22" s="66">
        <f t="shared" si="1"/>
        <v>1.3215859030837005E-2</v>
      </c>
      <c r="K22" s="67">
        <f t="shared" si="0"/>
        <v>1.5293118096856415E-2</v>
      </c>
      <c r="L22" s="68">
        <f t="shared" si="0"/>
        <v>2.4752475247524754E-2</v>
      </c>
    </row>
    <row r="23" spans="1:12" x14ac:dyDescent="0.25">
      <c r="A23" s="48" t="s">
        <v>93</v>
      </c>
      <c r="B23" s="21">
        <v>880</v>
      </c>
      <c r="C23" s="20">
        <v>830</v>
      </c>
      <c r="D23" s="20">
        <v>14400</v>
      </c>
      <c r="E23" s="22">
        <v>17349</v>
      </c>
      <c r="F23" s="21">
        <v>70400</v>
      </c>
      <c r="G23" s="20">
        <v>58700</v>
      </c>
      <c r="H23" s="20">
        <v>639000</v>
      </c>
      <c r="I23" s="22">
        <v>10886</v>
      </c>
      <c r="J23" s="66">
        <f t="shared" si="1"/>
        <v>1.2500000000000001E-2</v>
      </c>
      <c r="K23" s="67">
        <f t="shared" si="0"/>
        <v>1.41396933560477E-2</v>
      </c>
      <c r="L23" s="68">
        <f t="shared" si="0"/>
        <v>2.2535211267605635E-2</v>
      </c>
    </row>
    <row r="24" spans="1:12" x14ac:dyDescent="0.25">
      <c r="A24" s="48" t="s">
        <v>94</v>
      </c>
      <c r="B24" s="21">
        <v>880</v>
      </c>
      <c r="C24" s="20">
        <v>830</v>
      </c>
      <c r="D24" s="20">
        <v>11900</v>
      </c>
      <c r="E24" s="22">
        <v>14337</v>
      </c>
      <c r="F24" s="21">
        <v>70300</v>
      </c>
      <c r="G24" s="20">
        <v>58800</v>
      </c>
      <c r="H24" s="20">
        <v>620400</v>
      </c>
      <c r="I24" s="22">
        <v>10551</v>
      </c>
      <c r="J24" s="66">
        <f t="shared" si="1"/>
        <v>1.2517780938833571E-2</v>
      </c>
      <c r="K24" s="67">
        <f t="shared" si="0"/>
        <v>1.4115646258503402E-2</v>
      </c>
      <c r="L24" s="68">
        <f t="shared" si="0"/>
        <v>1.9181173436492584E-2</v>
      </c>
    </row>
    <row r="25" spans="1:12" x14ac:dyDescent="0.25">
      <c r="A25" s="48" t="s">
        <v>95</v>
      </c>
      <c r="B25" s="21">
        <v>890</v>
      </c>
      <c r="C25" s="20">
        <v>870</v>
      </c>
      <c r="D25" s="20">
        <v>13100</v>
      </c>
      <c r="E25" s="22">
        <v>15057</v>
      </c>
      <c r="F25" s="21">
        <v>70100</v>
      </c>
      <c r="G25" s="20">
        <v>61300</v>
      </c>
      <c r="H25" s="20">
        <v>620800</v>
      </c>
      <c r="I25" s="22">
        <v>10127</v>
      </c>
      <c r="J25" s="66">
        <f t="shared" si="1"/>
        <v>1.2696148359486448E-2</v>
      </c>
      <c r="K25" s="67">
        <f t="shared" si="0"/>
        <v>1.4192495921696574E-2</v>
      </c>
      <c r="L25" s="68">
        <f t="shared" si="0"/>
        <v>2.1101804123711342E-2</v>
      </c>
    </row>
    <row r="26" spans="1:12" x14ac:dyDescent="0.25">
      <c r="A26" s="48" t="s">
        <v>96</v>
      </c>
      <c r="B26" s="21">
        <v>840</v>
      </c>
      <c r="C26" s="20">
        <v>840</v>
      </c>
      <c r="D26" s="20">
        <v>12700</v>
      </c>
      <c r="E26" s="22">
        <v>15119</v>
      </c>
      <c r="F26" s="21">
        <v>60700</v>
      </c>
      <c r="G26" s="20">
        <v>51500</v>
      </c>
      <c r="H26" s="20">
        <v>623200</v>
      </c>
      <c r="I26" s="22">
        <v>12101</v>
      </c>
      <c r="J26" s="66">
        <f t="shared" si="1"/>
        <v>1.3838550247116969E-2</v>
      </c>
      <c r="K26" s="67">
        <f t="shared" si="1"/>
        <v>1.6310679611650485E-2</v>
      </c>
      <c r="L26" s="68">
        <f t="shared" si="1"/>
        <v>2.0378690629011553E-2</v>
      </c>
    </row>
    <row r="27" spans="1:12" x14ac:dyDescent="0.25">
      <c r="A27" s="48" t="s">
        <v>97</v>
      </c>
      <c r="B27" s="21">
        <v>800</v>
      </c>
      <c r="C27" s="20">
        <v>800</v>
      </c>
      <c r="D27" s="20">
        <v>9800</v>
      </c>
      <c r="E27" s="22">
        <v>12250</v>
      </c>
      <c r="F27" s="21">
        <v>55300</v>
      </c>
      <c r="G27" s="20">
        <v>48500</v>
      </c>
      <c r="H27" s="20">
        <v>642400</v>
      </c>
      <c r="I27" s="22">
        <v>13245</v>
      </c>
      <c r="J27" s="66">
        <f t="shared" si="1"/>
        <v>1.4466546112115732E-2</v>
      </c>
      <c r="K27" s="67">
        <f t="shared" si="1"/>
        <v>1.6494845360824743E-2</v>
      </c>
      <c r="L27" s="68">
        <f t="shared" si="1"/>
        <v>1.5255292652552927E-2</v>
      </c>
    </row>
    <row r="28" spans="1:12" x14ac:dyDescent="0.25">
      <c r="A28" s="48" t="s">
        <v>98</v>
      </c>
      <c r="B28" s="21">
        <v>840</v>
      </c>
      <c r="C28" s="20">
        <v>840</v>
      </c>
      <c r="D28" s="20">
        <v>13300</v>
      </c>
      <c r="E28" s="22">
        <v>15833</v>
      </c>
      <c r="F28" s="21">
        <v>53200</v>
      </c>
      <c r="G28" s="20">
        <v>46000</v>
      </c>
      <c r="H28" s="20">
        <v>650200</v>
      </c>
      <c r="I28" s="22">
        <v>14135</v>
      </c>
      <c r="J28" s="66">
        <f t="shared" si="1"/>
        <v>1.5789473684210527E-2</v>
      </c>
      <c r="K28" s="67">
        <f t="shared" si="1"/>
        <v>1.8260869565217393E-2</v>
      </c>
      <c r="L28" s="68">
        <f t="shared" si="1"/>
        <v>2.0455244540141495E-2</v>
      </c>
    </row>
    <row r="29" spans="1:12" x14ac:dyDescent="0.25">
      <c r="A29" s="48" t="s">
        <v>99</v>
      </c>
      <c r="B29" s="21">
        <v>840</v>
      </c>
      <c r="C29" s="20">
        <v>840</v>
      </c>
      <c r="D29" s="20">
        <v>13350</v>
      </c>
      <c r="E29" s="22">
        <v>15893</v>
      </c>
      <c r="F29" s="21">
        <v>54800</v>
      </c>
      <c r="G29" s="20">
        <v>48100</v>
      </c>
      <c r="H29" s="20">
        <v>680800</v>
      </c>
      <c r="I29" s="22">
        <v>14154</v>
      </c>
      <c r="J29" s="66">
        <f t="shared" si="1"/>
        <v>1.5328467153284672E-2</v>
      </c>
      <c r="K29" s="67">
        <f t="shared" si="1"/>
        <v>1.7463617463617465E-2</v>
      </c>
      <c r="L29" s="68">
        <f t="shared" si="1"/>
        <v>1.9609283196239717E-2</v>
      </c>
    </row>
    <row r="30" spans="1:12" x14ac:dyDescent="0.25">
      <c r="A30" s="48" t="s">
        <v>100</v>
      </c>
      <c r="B30" s="21">
        <v>835</v>
      </c>
      <c r="C30" s="20">
        <v>835</v>
      </c>
      <c r="D30" s="20">
        <v>13755</v>
      </c>
      <c r="E30" s="22">
        <v>16473</v>
      </c>
      <c r="F30" s="21">
        <v>59826</v>
      </c>
      <c r="G30" s="20">
        <v>47579</v>
      </c>
      <c r="H30" s="20">
        <v>648300</v>
      </c>
      <c r="I30" s="22">
        <v>13626</v>
      </c>
      <c r="J30" s="66">
        <f t="shared" si="1"/>
        <v>1.3957142379567413E-2</v>
      </c>
      <c r="K30" s="67">
        <f t="shared" si="1"/>
        <v>1.7549759347611341E-2</v>
      </c>
      <c r="L30" s="68">
        <f t="shared" si="1"/>
        <v>2.1217029153169829E-2</v>
      </c>
    </row>
    <row r="31" spans="1:12" x14ac:dyDescent="0.25">
      <c r="A31" s="48" t="s">
        <v>101</v>
      </c>
      <c r="B31" s="21">
        <v>840</v>
      </c>
      <c r="C31" s="20">
        <v>840</v>
      </c>
      <c r="D31" s="20">
        <v>15650</v>
      </c>
      <c r="E31" s="22">
        <v>18631</v>
      </c>
      <c r="F31" s="21">
        <v>58725</v>
      </c>
      <c r="G31" s="20">
        <v>50776</v>
      </c>
      <c r="H31" s="20">
        <v>773900</v>
      </c>
      <c r="I31" s="22">
        <v>15241</v>
      </c>
      <c r="J31" s="66">
        <f t="shared" si="1"/>
        <v>1.4303959131545339E-2</v>
      </c>
      <c r="K31" s="67">
        <f t="shared" si="1"/>
        <v>1.6543248778950685E-2</v>
      </c>
      <c r="L31" s="68">
        <f t="shared" si="1"/>
        <v>2.0222250936813541E-2</v>
      </c>
    </row>
    <row r="32" spans="1:12" x14ac:dyDescent="0.25">
      <c r="A32" s="48" t="s">
        <v>102</v>
      </c>
      <c r="B32" s="21">
        <v>840</v>
      </c>
      <c r="C32" s="20">
        <v>840</v>
      </c>
      <c r="D32" s="20">
        <v>14000</v>
      </c>
      <c r="E32" s="22">
        <v>16667</v>
      </c>
      <c r="F32" s="21">
        <v>59276</v>
      </c>
      <c r="G32" s="20">
        <v>51517</v>
      </c>
      <c r="H32" s="20">
        <v>739000</v>
      </c>
      <c r="I32" s="22">
        <v>14345</v>
      </c>
      <c r="J32" s="66">
        <f t="shared" si="1"/>
        <v>1.4170996693434105E-2</v>
      </c>
      <c r="K32" s="67">
        <f t="shared" si="1"/>
        <v>1.6305297280509345E-2</v>
      </c>
      <c r="L32" s="68">
        <f t="shared" si="1"/>
        <v>1.8944519621109608E-2</v>
      </c>
    </row>
    <row r="33" spans="1:12" x14ac:dyDescent="0.25">
      <c r="A33" s="48" t="s">
        <v>103</v>
      </c>
      <c r="B33" s="21">
        <v>845</v>
      </c>
      <c r="C33" s="20">
        <v>840</v>
      </c>
      <c r="D33" s="20">
        <v>15000</v>
      </c>
      <c r="E33" s="22">
        <v>17857</v>
      </c>
      <c r="F33" s="21">
        <v>60450</v>
      </c>
      <c r="G33" s="20">
        <v>48415</v>
      </c>
      <c r="H33" s="20">
        <v>708900</v>
      </c>
      <c r="I33" s="22">
        <v>14642</v>
      </c>
      <c r="J33" s="66">
        <f t="shared" si="1"/>
        <v>1.3978494623655914E-2</v>
      </c>
      <c r="K33" s="67">
        <f t="shared" si="1"/>
        <v>1.7349994836311059E-2</v>
      </c>
      <c r="L33" s="68">
        <f t="shared" si="1"/>
        <v>2.1159542953872196E-2</v>
      </c>
    </row>
    <row r="34" spans="1:12" x14ac:dyDescent="0.25">
      <c r="A34" s="48" t="s">
        <v>104</v>
      </c>
      <c r="B34" s="21">
        <v>360</v>
      </c>
      <c r="C34" s="20">
        <v>330</v>
      </c>
      <c r="D34" s="20">
        <v>4010</v>
      </c>
      <c r="E34" s="22">
        <v>12152</v>
      </c>
      <c r="F34" s="21">
        <v>52548</v>
      </c>
      <c r="G34" s="20">
        <v>45375</v>
      </c>
      <c r="H34" s="20">
        <v>746576</v>
      </c>
      <c r="I34" s="22">
        <v>16453</v>
      </c>
      <c r="J34" s="66">
        <f t="shared" si="1"/>
        <v>6.850879196163508E-3</v>
      </c>
      <c r="K34" s="67">
        <f t="shared" si="1"/>
        <v>7.2727272727272727E-3</v>
      </c>
      <c r="L34" s="68">
        <f t="shared" si="1"/>
        <v>5.3711879299629239E-3</v>
      </c>
    </row>
    <row r="35" spans="1:12" x14ac:dyDescent="0.25">
      <c r="A35" s="48" t="s">
        <v>105</v>
      </c>
      <c r="B35" s="21">
        <v>359</v>
      </c>
      <c r="C35" s="20">
        <v>354</v>
      </c>
      <c r="D35" s="20">
        <v>4065</v>
      </c>
      <c r="E35" s="22">
        <v>11483</v>
      </c>
      <c r="F35" s="21">
        <v>55070</v>
      </c>
      <c r="G35" s="20">
        <v>46825</v>
      </c>
      <c r="H35" s="20">
        <v>760097</v>
      </c>
      <c r="I35" s="22">
        <v>16233</v>
      </c>
      <c r="J35" s="66">
        <f t="shared" si="1"/>
        <v>6.5189758489195568E-3</v>
      </c>
      <c r="K35" s="67">
        <f t="shared" si="1"/>
        <v>7.5600640683395623E-3</v>
      </c>
      <c r="L35" s="68">
        <f t="shared" si="1"/>
        <v>5.348001636633219E-3</v>
      </c>
    </row>
    <row r="36" spans="1:12" x14ac:dyDescent="0.25">
      <c r="A36" s="48" t="s">
        <v>106</v>
      </c>
      <c r="B36" s="21">
        <v>359</v>
      </c>
      <c r="C36" s="20">
        <v>349</v>
      </c>
      <c r="D36" s="20">
        <v>4060</v>
      </c>
      <c r="E36" s="22">
        <v>11633</v>
      </c>
      <c r="F36" s="21">
        <v>58084</v>
      </c>
      <c r="G36" s="20">
        <v>48075</v>
      </c>
      <c r="H36" s="20">
        <v>504429</v>
      </c>
      <c r="I36" s="22">
        <v>10493</v>
      </c>
      <c r="J36" s="66">
        <f t="shared" si="1"/>
        <v>6.1807038082776671E-3</v>
      </c>
      <c r="K36" s="67">
        <f t="shared" si="1"/>
        <v>7.2594903796151843E-3</v>
      </c>
      <c r="L36" s="68">
        <f t="shared" si="1"/>
        <v>8.0487045748757514E-3</v>
      </c>
    </row>
    <row r="37" spans="1:12" x14ac:dyDescent="0.25">
      <c r="A37" s="48" t="s">
        <v>23</v>
      </c>
      <c r="B37" s="21">
        <v>405</v>
      </c>
      <c r="C37" s="20">
        <v>391</v>
      </c>
      <c r="D37" s="20">
        <v>4791</v>
      </c>
      <c r="E37" s="22">
        <v>12253</v>
      </c>
      <c r="F37" s="21">
        <v>60129</v>
      </c>
      <c r="G37" s="20">
        <v>48919</v>
      </c>
      <c r="H37" s="20">
        <v>918461</v>
      </c>
      <c r="I37" s="22">
        <v>18775</v>
      </c>
      <c r="J37" s="66">
        <f t="shared" si="1"/>
        <v>6.7355186349348896E-3</v>
      </c>
      <c r="K37" s="67">
        <f t="shared" si="1"/>
        <v>7.9928044318158583E-3</v>
      </c>
      <c r="L37" s="68">
        <f t="shared" si="1"/>
        <v>5.2163347164441388E-3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4AE5C509-8536-400E-B0FC-8CC06380EB1C}"/>
  </hyperlinks>
  <pageMargins left="0.7" right="0.7" top="0.75" bottom="0.75" header="0.3" footer="0.3"/>
  <pageSetup paperSize="9" fitToWidth="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8130-5E30-4540-A0D6-C6FD9FF05989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71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>
        <v>27530</v>
      </c>
      <c r="C10" s="40">
        <v>26450</v>
      </c>
      <c r="D10" s="40">
        <v>191200</v>
      </c>
      <c r="E10" s="50">
        <v>7229</v>
      </c>
      <c r="F10" s="41">
        <v>194147</v>
      </c>
      <c r="G10" s="40">
        <v>189157</v>
      </c>
      <c r="H10" s="40">
        <v>2332170</v>
      </c>
      <c r="I10" s="50">
        <v>12329</v>
      </c>
      <c r="J10" s="63">
        <f>B10/F10</f>
        <v>0.14179977027716112</v>
      </c>
      <c r="K10" s="64">
        <f t="shared" ref="K10:L25" si="0">C10/G10</f>
        <v>0.13983093409178618</v>
      </c>
      <c r="L10" s="65">
        <f t="shared" si="0"/>
        <v>8.1983731889184744E-2</v>
      </c>
    </row>
    <row r="11" spans="1:12" x14ac:dyDescent="0.25">
      <c r="A11" s="48" t="s">
        <v>81</v>
      </c>
      <c r="B11" s="21">
        <v>26000</v>
      </c>
      <c r="C11" s="20">
        <v>23800</v>
      </c>
      <c r="D11" s="20">
        <v>164000</v>
      </c>
      <c r="E11" s="22">
        <v>6891</v>
      </c>
      <c r="F11" s="21">
        <v>185425</v>
      </c>
      <c r="G11" s="20">
        <v>178126</v>
      </c>
      <c r="H11" s="20">
        <v>1954034</v>
      </c>
      <c r="I11" s="22">
        <v>10970</v>
      </c>
      <c r="J11" s="66">
        <f t="shared" ref="J11:L66" si="1">B11/F11</f>
        <v>0.14021841714979102</v>
      </c>
      <c r="K11" s="67">
        <f t="shared" si="0"/>
        <v>0.13361328497804925</v>
      </c>
      <c r="L11" s="68">
        <f t="shared" si="0"/>
        <v>8.3928938800450756E-2</v>
      </c>
    </row>
    <row r="12" spans="1:12" x14ac:dyDescent="0.25">
      <c r="A12" s="48" t="s">
        <v>82</v>
      </c>
      <c r="B12" s="21">
        <v>21500</v>
      </c>
      <c r="C12" s="20">
        <v>20500</v>
      </c>
      <c r="D12" s="20">
        <v>126000</v>
      </c>
      <c r="E12" s="22">
        <v>6146</v>
      </c>
      <c r="F12" s="21">
        <v>154910</v>
      </c>
      <c r="G12" s="20">
        <v>146740</v>
      </c>
      <c r="H12" s="20">
        <v>1336735</v>
      </c>
      <c r="I12" s="22">
        <v>9110</v>
      </c>
      <c r="J12" s="66">
        <f t="shared" si="1"/>
        <v>0.13879026531534439</v>
      </c>
      <c r="K12" s="67">
        <f t="shared" si="0"/>
        <v>0.13970287583480986</v>
      </c>
      <c r="L12" s="68">
        <f t="shared" si="0"/>
        <v>9.425952039858311E-2</v>
      </c>
    </row>
    <row r="13" spans="1:12" x14ac:dyDescent="0.25">
      <c r="A13" s="48" t="s">
        <v>83</v>
      </c>
      <c r="B13" s="21">
        <v>15200</v>
      </c>
      <c r="C13" s="20">
        <v>13200</v>
      </c>
      <c r="D13" s="20">
        <v>101200</v>
      </c>
      <c r="E13" s="22">
        <v>7667</v>
      </c>
      <c r="F13" s="21">
        <v>124050</v>
      </c>
      <c r="G13" s="20">
        <v>116910</v>
      </c>
      <c r="H13" s="20">
        <v>1532375</v>
      </c>
      <c r="I13" s="22">
        <v>13107</v>
      </c>
      <c r="J13" s="66">
        <f t="shared" si="1"/>
        <v>0.12253123740427246</v>
      </c>
      <c r="K13" s="67">
        <f t="shared" si="0"/>
        <v>0.11290736463946625</v>
      </c>
      <c r="L13" s="68">
        <f t="shared" si="0"/>
        <v>6.6041275797373358E-2</v>
      </c>
    </row>
    <row r="14" spans="1:12" x14ac:dyDescent="0.25">
      <c r="A14" s="48" t="s">
        <v>84</v>
      </c>
      <c r="B14" s="21">
        <v>10500</v>
      </c>
      <c r="C14" s="20">
        <v>9980</v>
      </c>
      <c r="D14" s="20">
        <v>87200</v>
      </c>
      <c r="E14" s="22">
        <v>8737</v>
      </c>
      <c r="F14" s="21">
        <v>128395</v>
      </c>
      <c r="G14" s="20">
        <v>126515</v>
      </c>
      <c r="H14" s="20">
        <v>2171698</v>
      </c>
      <c r="I14" s="22">
        <v>17166</v>
      </c>
      <c r="J14" s="66">
        <f t="shared" si="1"/>
        <v>8.1778885470618012E-2</v>
      </c>
      <c r="K14" s="67">
        <f t="shared" si="0"/>
        <v>7.8883926807097979E-2</v>
      </c>
      <c r="L14" s="68">
        <f t="shared" si="0"/>
        <v>4.0152912605712215E-2</v>
      </c>
    </row>
    <row r="15" spans="1:12" x14ac:dyDescent="0.25">
      <c r="A15" s="48" t="s">
        <v>85</v>
      </c>
      <c r="B15" s="21">
        <v>8900</v>
      </c>
      <c r="C15" s="20">
        <v>8000</v>
      </c>
      <c r="D15" s="20">
        <v>81000</v>
      </c>
      <c r="E15" s="22">
        <v>10125</v>
      </c>
      <c r="F15" s="21">
        <v>112540</v>
      </c>
      <c r="G15" s="20">
        <v>110570</v>
      </c>
      <c r="H15" s="20">
        <v>1347890</v>
      </c>
      <c r="I15" s="22">
        <v>12190</v>
      </c>
      <c r="J15" s="66">
        <f t="shared" si="1"/>
        <v>7.9082992713701797E-2</v>
      </c>
      <c r="K15" s="67">
        <f t="shared" si="0"/>
        <v>7.2352355973591395E-2</v>
      </c>
      <c r="L15" s="68">
        <f t="shared" si="0"/>
        <v>6.0093924578415156E-2</v>
      </c>
    </row>
    <row r="16" spans="1:12" x14ac:dyDescent="0.25">
      <c r="A16" s="48" t="s">
        <v>86</v>
      </c>
      <c r="B16" s="21">
        <v>10500</v>
      </c>
      <c r="C16" s="20">
        <v>9900</v>
      </c>
      <c r="D16" s="20">
        <v>100500</v>
      </c>
      <c r="E16" s="22">
        <v>10152</v>
      </c>
      <c r="F16" s="21">
        <v>109680</v>
      </c>
      <c r="G16" s="20">
        <v>107680</v>
      </c>
      <c r="H16" s="20">
        <v>1525481</v>
      </c>
      <c r="I16" s="22">
        <v>14167</v>
      </c>
      <c r="J16" s="66">
        <f t="shared" si="1"/>
        <v>9.5733041575492339E-2</v>
      </c>
      <c r="K16" s="67">
        <f t="shared" si="0"/>
        <v>9.1939078751857362E-2</v>
      </c>
      <c r="L16" s="68">
        <f t="shared" si="0"/>
        <v>6.5880859873049882E-2</v>
      </c>
    </row>
    <row r="17" spans="1:12" x14ac:dyDescent="0.25">
      <c r="A17" s="48" t="s">
        <v>87</v>
      </c>
      <c r="B17" s="21">
        <v>8900</v>
      </c>
      <c r="C17" s="20">
        <v>7150</v>
      </c>
      <c r="D17" s="20">
        <v>55400</v>
      </c>
      <c r="E17" s="22">
        <v>7748</v>
      </c>
      <c r="F17" s="21">
        <v>114805</v>
      </c>
      <c r="G17" s="20">
        <v>111265</v>
      </c>
      <c r="H17" s="20">
        <v>1768320</v>
      </c>
      <c r="I17" s="22">
        <v>15893</v>
      </c>
      <c r="J17" s="66">
        <f t="shared" si="1"/>
        <v>7.7522755977527114E-2</v>
      </c>
      <c r="K17" s="67">
        <f t="shared" si="0"/>
        <v>6.4260998517053886E-2</v>
      </c>
      <c r="L17" s="68">
        <f t="shared" si="0"/>
        <v>3.1329171190734709E-2</v>
      </c>
    </row>
    <row r="18" spans="1:12" x14ac:dyDescent="0.25">
      <c r="A18" s="48" t="s">
        <v>88</v>
      </c>
      <c r="B18" s="21">
        <v>7800</v>
      </c>
      <c r="C18" s="20">
        <v>7000</v>
      </c>
      <c r="D18" s="20">
        <v>42600</v>
      </c>
      <c r="E18" s="22">
        <v>6086</v>
      </c>
      <c r="F18" s="21">
        <v>119420</v>
      </c>
      <c r="G18" s="20">
        <v>115335</v>
      </c>
      <c r="H18" s="20">
        <v>1592350</v>
      </c>
      <c r="I18" s="22">
        <v>13806</v>
      </c>
      <c r="J18" s="66">
        <f t="shared" si="1"/>
        <v>6.5315692513816775E-2</v>
      </c>
      <c r="K18" s="67">
        <f t="shared" si="0"/>
        <v>6.06927645554255E-2</v>
      </c>
      <c r="L18" s="68">
        <f t="shared" si="0"/>
        <v>2.6752912362231922E-2</v>
      </c>
    </row>
    <row r="19" spans="1:12" x14ac:dyDescent="0.25">
      <c r="A19" s="48" t="s">
        <v>89</v>
      </c>
      <c r="B19" s="21">
        <v>7200</v>
      </c>
      <c r="C19" s="20">
        <v>6880</v>
      </c>
      <c r="D19" s="20">
        <v>101000</v>
      </c>
      <c r="E19" s="22">
        <v>14680</v>
      </c>
      <c r="F19" s="21">
        <v>113125</v>
      </c>
      <c r="G19" s="20">
        <v>109425</v>
      </c>
      <c r="H19" s="20">
        <v>1693285</v>
      </c>
      <c r="I19" s="22">
        <v>15474</v>
      </c>
      <c r="J19" s="66">
        <f t="shared" si="1"/>
        <v>6.3646408839779012E-2</v>
      </c>
      <c r="K19" s="67">
        <f t="shared" si="0"/>
        <v>6.2874114690427238E-2</v>
      </c>
      <c r="L19" s="68">
        <f t="shared" si="0"/>
        <v>5.9647371824589485E-2</v>
      </c>
    </row>
    <row r="20" spans="1:12" x14ac:dyDescent="0.25">
      <c r="A20" s="48" t="s">
        <v>90</v>
      </c>
      <c r="B20" s="21">
        <v>9300</v>
      </c>
      <c r="C20" s="20">
        <v>9040</v>
      </c>
      <c r="D20" s="20">
        <v>103000</v>
      </c>
      <c r="E20" s="22">
        <v>11394</v>
      </c>
      <c r="F20" s="21">
        <v>120040</v>
      </c>
      <c r="G20" s="20">
        <v>112415</v>
      </c>
      <c r="H20" s="20">
        <v>1567615</v>
      </c>
      <c r="I20" s="22">
        <v>13945</v>
      </c>
      <c r="J20" s="66">
        <f t="shared" si="1"/>
        <v>7.7474175274908366E-2</v>
      </c>
      <c r="K20" s="67">
        <f t="shared" si="0"/>
        <v>8.0416314548770185E-2</v>
      </c>
      <c r="L20" s="68">
        <f t="shared" si="0"/>
        <v>6.5704908411823054E-2</v>
      </c>
    </row>
    <row r="21" spans="1:12" x14ac:dyDescent="0.25">
      <c r="A21" s="48" t="s">
        <v>91</v>
      </c>
      <c r="B21" s="21">
        <v>9320</v>
      </c>
      <c r="C21" s="20">
        <v>7610</v>
      </c>
      <c r="D21" s="20">
        <v>55600</v>
      </c>
      <c r="E21" s="22">
        <v>7306</v>
      </c>
      <c r="F21" s="21">
        <v>120935</v>
      </c>
      <c r="G21" s="20">
        <v>116635</v>
      </c>
      <c r="H21" s="20">
        <v>2246470</v>
      </c>
      <c r="I21" s="22">
        <v>19261</v>
      </c>
      <c r="J21" s="66">
        <f t="shared" si="1"/>
        <v>7.7066192582792403E-2</v>
      </c>
      <c r="K21" s="67">
        <f t="shared" si="0"/>
        <v>6.5246281133450504E-2</v>
      </c>
      <c r="L21" s="68">
        <f t="shared" si="0"/>
        <v>2.4749941018575809E-2</v>
      </c>
    </row>
    <row r="22" spans="1:12" x14ac:dyDescent="0.25">
      <c r="A22" s="48" t="s">
        <v>92</v>
      </c>
      <c r="B22" s="21">
        <v>9200</v>
      </c>
      <c r="C22" s="20">
        <v>8820</v>
      </c>
      <c r="D22" s="20">
        <v>90500</v>
      </c>
      <c r="E22" s="22">
        <v>10261</v>
      </c>
      <c r="F22" s="21">
        <v>104130</v>
      </c>
      <c r="G22" s="20">
        <v>102210</v>
      </c>
      <c r="H22" s="20">
        <v>1816780</v>
      </c>
      <c r="I22" s="22">
        <v>17775</v>
      </c>
      <c r="J22" s="66">
        <f t="shared" si="1"/>
        <v>8.8351099587054643E-2</v>
      </c>
      <c r="K22" s="67">
        <f t="shared" si="0"/>
        <v>8.6292926328147931E-2</v>
      </c>
      <c r="L22" s="68">
        <f t="shared" si="0"/>
        <v>4.9813406136130958E-2</v>
      </c>
    </row>
    <row r="23" spans="1:12" x14ac:dyDescent="0.25">
      <c r="A23" s="48" t="s">
        <v>93</v>
      </c>
      <c r="B23" s="21">
        <v>7600</v>
      </c>
      <c r="C23" s="20">
        <v>7530</v>
      </c>
      <c r="D23" s="20">
        <v>113100</v>
      </c>
      <c r="E23" s="22">
        <v>15020</v>
      </c>
      <c r="F23" s="21">
        <v>108840</v>
      </c>
      <c r="G23" s="20">
        <v>108130</v>
      </c>
      <c r="H23" s="20">
        <v>2013080</v>
      </c>
      <c r="I23" s="22">
        <v>18617</v>
      </c>
      <c r="J23" s="66">
        <f t="shared" si="1"/>
        <v>6.9827269386255053E-2</v>
      </c>
      <c r="K23" s="67">
        <f t="shared" si="0"/>
        <v>6.9638398224359563E-2</v>
      </c>
      <c r="L23" s="68">
        <f t="shared" si="0"/>
        <v>5.6182566018240704E-2</v>
      </c>
    </row>
    <row r="24" spans="1:12" x14ac:dyDescent="0.25">
      <c r="A24" s="48" t="s">
        <v>94</v>
      </c>
      <c r="B24" s="21">
        <v>8100</v>
      </c>
      <c r="C24" s="20">
        <v>7550</v>
      </c>
      <c r="D24" s="20">
        <v>108300</v>
      </c>
      <c r="E24" s="22">
        <v>14344</v>
      </c>
      <c r="F24" s="21">
        <v>115190</v>
      </c>
      <c r="G24" s="20">
        <v>113440</v>
      </c>
      <c r="H24" s="20">
        <v>2105580</v>
      </c>
      <c r="I24" s="22">
        <v>18561</v>
      </c>
      <c r="J24" s="66">
        <f t="shared" si="1"/>
        <v>7.0318604045490063E-2</v>
      </c>
      <c r="K24" s="67">
        <f t="shared" si="0"/>
        <v>6.6555007052186171E-2</v>
      </c>
      <c r="L24" s="68">
        <f t="shared" si="0"/>
        <v>5.1434759068760154E-2</v>
      </c>
    </row>
    <row r="25" spans="1:12" x14ac:dyDescent="0.25">
      <c r="A25" s="48" t="s">
        <v>95</v>
      </c>
      <c r="B25" s="21">
        <v>7840</v>
      </c>
      <c r="C25" s="20">
        <v>7482</v>
      </c>
      <c r="D25" s="20">
        <v>115500</v>
      </c>
      <c r="E25" s="22">
        <v>15437</v>
      </c>
      <c r="F25" s="21">
        <v>106940</v>
      </c>
      <c r="G25" s="20">
        <v>106245</v>
      </c>
      <c r="H25" s="20">
        <v>2243180</v>
      </c>
      <c r="I25" s="22">
        <v>21113</v>
      </c>
      <c r="J25" s="66">
        <f t="shared" si="1"/>
        <v>7.3312137647278841E-2</v>
      </c>
      <c r="K25" s="67">
        <f t="shared" si="0"/>
        <v>7.0422137512353516E-2</v>
      </c>
      <c r="L25" s="68">
        <f t="shared" si="0"/>
        <v>5.1489403436193258E-2</v>
      </c>
    </row>
    <row r="26" spans="1:12" x14ac:dyDescent="0.25">
      <c r="A26" s="48" t="s">
        <v>96</v>
      </c>
      <c r="B26" s="21">
        <v>9970</v>
      </c>
      <c r="C26" s="20">
        <v>7870</v>
      </c>
      <c r="D26" s="20">
        <v>84700</v>
      </c>
      <c r="E26" s="22">
        <v>10762</v>
      </c>
      <c r="F26" s="21">
        <v>111595</v>
      </c>
      <c r="G26" s="20">
        <v>109199</v>
      </c>
      <c r="H26" s="20">
        <v>2057540</v>
      </c>
      <c r="I26" s="22">
        <v>18842</v>
      </c>
      <c r="J26" s="66">
        <f t="shared" si="1"/>
        <v>8.9340920292127785E-2</v>
      </c>
      <c r="K26" s="67">
        <f t="shared" si="1"/>
        <v>7.2070257053636025E-2</v>
      </c>
      <c r="L26" s="68">
        <f t="shared" si="1"/>
        <v>4.1165663851006541E-2</v>
      </c>
    </row>
    <row r="27" spans="1:12" x14ac:dyDescent="0.25">
      <c r="A27" s="48" t="s">
        <v>97</v>
      </c>
      <c r="B27" s="21">
        <v>6300</v>
      </c>
      <c r="C27" s="20">
        <v>6300</v>
      </c>
      <c r="D27" s="20">
        <v>71100</v>
      </c>
      <c r="E27" s="22">
        <v>11286</v>
      </c>
      <c r="F27" s="21">
        <v>109190</v>
      </c>
      <c r="G27" s="20">
        <v>105186</v>
      </c>
      <c r="H27" s="20">
        <v>2103300</v>
      </c>
      <c r="I27" s="22">
        <v>19996</v>
      </c>
      <c r="J27" s="66">
        <f t="shared" si="1"/>
        <v>5.7697591354519642E-2</v>
      </c>
      <c r="K27" s="67">
        <f t="shared" si="1"/>
        <v>5.9893902230334833E-2</v>
      </c>
      <c r="L27" s="68">
        <f t="shared" si="1"/>
        <v>3.3804022250748821E-2</v>
      </c>
    </row>
    <row r="28" spans="1:12" x14ac:dyDescent="0.25">
      <c r="A28" s="48" t="s">
        <v>98</v>
      </c>
      <c r="B28" s="21">
        <v>5700</v>
      </c>
      <c r="C28" s="20">
        <v>5425</v>
      </c>
      <c r="D28" s="20">
        <v>95700</v>
      </c>
      <c r="E28" s="22">
        <v>17641</v>
      </c>
      <c r="F28" s="21">
        <v>111745</v>
      </c>
      <c r="G28" s="20">
        <v>111380</v>
      </c>
      <c r="H28" s="20">
        <v>2859030</v>
      </c>
      <c r="I28" s="22">
        <v>25669</v>
      </c>
      <c r="J28" s="66">
        <f t="shared" si="1"/>
        <v>5.1008993690992883E-2</v>
      </c>
      <c r="K28" s="67">
        <f t="shared" si="1"/>
        <v>4.87071287484288E-2</v>
      </c>
      <c r="L28" s="68">
        <f t="shared" si="1"/>
        <v>3.3472891155391864E-2</v>
      </c>
    </row>
    <row r="29" spans="1:12" x14ac:dyDescent="0.25">
      <c r="A29" s="48" t="s">
        <v>99</v>
      </c>
      <c r="B29" s="21">
        <v>4020</v>
      </c>
      <c r="C29" s="20">
        <v>4020</v>
      </c>
      <c r="D29" s="20">
        <v>43700</v>
      </c>
      <c r="E29" s="22">
        <v>10871</v>
      </c>
      <c r="F29" s="21">
        <v>98448</v>
      </c>
      <c r="G29" s="20">
        <v>97119</v>
      </c>
      <c r="H29" s="20">
        <v>2064575</v>
      </c>
      <c r="I29" s="22">
        <v>21258</v>
      </c>
      <c r="J29" s="66">
        <f t="shared" si="1"/>
        <v>4.0833739639200388E-2</v>
      </c>
      <c r="K29" s="67">
        <f t="shared" si="1"/>
        <v>4.1392518456738643E-2</v>
      </c>
      <c r="L29" s="68">
        <f t="shared" si="1"/>
        <v>2.1166583921630358E-2</v>
      </c>
    </row>
    <row r="30" spans="1:12" x14ac:dyDescent="0.25">
      <c r="A30" s="48" t="s">
        <v>100</v>
      </c>
      <c r="B30" s="21">
        <v>5580</v>
      </c>
      <c r="C30" s="20">
        <v>5470</v>
      </c>
      <c r="D30" s="20">
        <v>79699</v>
      </c>
      <c r="E30" s="22">
        <v>14570</v>
      </c>
      <c r="F30" s="21">
        <v>81383</v>
      </c>
      <c r="G30" s="20">
        <v>78823</v>
      </c>
      <c r="H30" s="20">
        <v>1598121</v>
      </c>
      <c r="I30" s="22">
        <v>20275</v>
      </c>
      <c r="J30" s="66">
        <f t="shared" si="1"/>
        <v>6.8564687956944328E-2</v>
      </c>
      <c r="K30" s="67">
        <f t="shared" si="1"/>
        <v>6.9395988480519644E-2</v>
      </c>
      <c r="L30" s="68">
        <f t="shared" si="1"/>
        <v>4.9870441599853828E-2</v>
      </c>
    </row>
    <row r="31" spans="1:12" x14ac:dyDescent="0.25">
      <c r="A31" s="48" t="s">
        <v>101</v>
      </c>
      <c r="B31" s="21">
        <v>5360</v>
      </c>
      <c r="C31" s="20">
        <v>5260</v>
      </c>
      <c r="D31" s="20">
        <v>71092</v>
      </c>
      <c r="E31" s="22">
        <v>13516</v>
      </c>
      <c r="F31" s="21">
        <v>86457</v>
      </c>
      <c r="G31" s="20">
        <v>85070</v>
      </c>
      <c r="H31" s="20">
        <v>1749842</v>
      </c>
      <c r="I31" s="22">
        <v>20569</v>
      </c>
      <c r="J31" s="66">
        <f t="shared" si="1"/>
        <v>6.199613680789294E-2</v>
      </c>
      <c r="K31" s="67">
        <f t="shared" si="1"/>
        <v>6.1831432937580817E-2</v>
      </c>
      <c r="L31" s="68">
        <f t="shared" si="1"/>
        <v>4.0627668098033996E-2</v>
      </c>
    </row>
    <row r="32" spans="1:12" x14ac:dyDescent="0.25">
      <c r="A32" s="48" t="s">
        <v>102</v>
      </c>
      <c r="B32" s="21">
        <v>5150</v>
      </c>
      <c r="C32" s="20">
        <v>5035</v>
      </c>
      <c r="D32" s="20">
        <v>69194</v>
      </c>
      <c r="E32" s="22">
        <v>13743</v>
      </c>
      <c r="F32" s="21">
        <v>83541</v>
      </c>
      <c r="G32" s="20">
        <v>81815</v>
      </c>
      <c r="H32" s="20">
        <v>1628460</v>
      </c>
      <c r="I32" s="22">
        <v>19904</v>
      </c>
      <c r="J32" s="66">
        <f t="shared" si="1"/>
        <v>6.1646377227947954E-2</v>
      </c>
      <c r="K32" s="67">
        <f t="shared" si="1"/>
        <v>6.1541282160972925E-2</v>
      </c>
      <c r="L32" s="68">
        <f t="shared" si="1"/>
        <v>4.2490451101040244E-2</v>
      </c>
    </row>
    <row r="33" spans="1:12" x14ac:dyDescent="0.25">
      <c r="A33" s="48" t="s">
        <v>103</v>
      </c>
      <c r="B33" s="21">
        <v>4900</v>
      </c>
      <c r="C33" s="20">
        <v>4700</v>
      </c>
      <c r="D33" s="20">
        <v>58881</v>
      </c>
      <c r="E33" s="22">
        <v>12528</v>
      </c>
      <c r="F33" s="21">
        <v>102037</v>
      </c>
      <c r="G33" s="20">
        <v>100083</v>
      </c>
      <c r="H33" s="20">
        <v>2104907</v>
      </c>
      <c r="I33" s="22">
        <v>21032</v>
      </c>
      <c r="J33" s="66">
        <f t="shared" si="1"/>
        <v>4.8021796015170967E-2</v>
      </c>
      <c r="K33" s="67">
        <f t="shared" si="1"/>
        <v>4.6961022351448299E-2</v>
      </c>
      <c r="L33" s="68">
        <f t="shared" si="1"/>
        <v>2.7973207367356371E-2</v>
      </c>
    </row>
    <row r="34" spans="1:12" x14ac:dyDescent="0.25">
      <c r="A34" s="48" t="s">
        <v>104</v>
      </c>
      <c r="B34" s="21">
        <v>4100</v>
      </c>
      <c r="C34" s="20">
        <v>3965</v>
      </c>
      <c r="D34" s="20">
        <v>50247</v>
      </c>
      <c r="E34" s="22">
        <v>12673</v>
      </c>
      <c r="F34" s="21">
        <v>107068</v>
      </c>
      <c r="G34" s="20">
        <v>105253</v>
      </c>
      <c r="H34" s="20">
        <v>2422577</v>
      </c>
      <c r="I34" s="22">
        <v>23017</v>
      </c>
      <c r="J34" s="66">
        <f t="shared" si="1"/>
        <v>3.829342100347443E-2</v>
      </c>
      <c r="K34" s="67">
        <f t="shared" si="1"/>
        <v>3.7671135264553027E-2</v>
      </c>
      <c r="L34" s="68">
        <f t="shared" si="1"/>
        <v>2.0741136401443587E-2</v>
      </c>
    </row>
    <row r="35" spans="1:12" x14ac:dyDescent="0.25">
      <c r="A35" s="48" t="s">
        <v>105</v>
      </c>
      <c r="B35" s="21">
        <v>3630</v>
      </c>
      <c r="C35" s="20">
        <v>3425</v>
      </c>
      <c r="D35" s="20">
        <v>43803</v>
      </c>
      <c r="E35" s="22">
        <v>12789</v>
      </c>
      <c r="F35" s="21">
        <v>98565</v>
      </c>
      <c r="G35" s="20">
        <v>88516</v>
      </c>
      <c r="H35" s="20">
        <v>2427742</v>
      </c>
      <c r="I35" s="22">
        <v>27427</v>
      </c>
      <c r="J35" s="66">
        <f t="shared" si="1"/>
        <v>3.68284888144879E-2</v>
      </c>
      <c r="K35" s="67">
        <f t="shared" si="1"/>
        <v>3.8693569524153829E-2</v>
      </c>
      <c r="L35" s="68">
        <f t="shared" si="1"/>
        <v>1.8042691521586725E-2</v>
      </c>
    </row>
    <row r="36" spans="1:12" x14ac:dyDescent="0.25">
      <c r="A36" s="48" t="s">
        <v>106</v>
      </c>
      <c r="B36" s="21">
        <v>3620</v>
      </c>
      <c r="C36" s="20">
        <v>3128</v>
      </c>
      <c r="D36" s="20">
        <v>39764</v>
      </c>
      <c r="E36" s="22">
        <v>12712</v>
      </c>
      <c r="F36" s="21">
        <v>101753</v>
      </c>
      <c r="G36" s="20">
        <v>99395</v>
      </c>
      <c r="H36" s="20">
        <v>2274945</v>
      </c>
      <c r="I36" s="22">
        <v>22888</v>
      </c>
      <c r="J36" s="66">
        <f t="shared" si="1"/>
        <v>3.5576346643342208E-2</v>
      </c>
      <c r="K36" s="67">
        <f t="shared" si="1"/>
        <v>3.1470395895165752E-2</v>
      </c>
      <c r="L36" s="68">
        <f t="shared" si="1"/>
        <v>1.7479103890423724E-2</v>
      </c>
    </row>
    <row r="37" spans="1:12" x14ac:dyDescent="0.25">
      <c r="A37" s="48" t="s">
        <v>23</v>
      </c>
      <c r="B37" s="21">
        <v>2760</v>
      </c>
      <c r="C37" s="20">
        <v>2085</v>
      </c>
      <c r="D37" s="20">
        <v>22122</v>
      </c>
      <c r="E37" s="22">
        <v>10610</v>
      </c>
      <c r="F37" s="21">
        <v>114692</v>
      </c>
      <c r="G37" s="20">
        <v>112153</v>
      </c>
      <c r="H37" s="20">
        <v>3011328</v>
      </c>
      <c r="I37" s="22">
        <v>26850</v>
      </c>
      <c r="J37" s="66">
        <f t="shared" si="1"/>
        <v>2.4064450877131795E-2</v>
      </c>
      <c r="K37" s="67">
        <f t="shared" si="1"/>
        <v>1.8590675238290548E-2</v>
      </c>
      <c r="L37" s="68">
        <f t="shared" si="1"/>
        <v>7.3462605202754402E-3</v>
      </c>
    </row>
    <row r="38" spans="1:12" x14ac:dyDescent="0.25">
      <c r="A38" s="48" t="s">
        <v>24</v>
      </c>
      <c r="B38" s="21">
        <v>2320</v>
      </c>
      <c r="C38" s="20">
        <v>1555</v>
      </c>
      <c r="D38" s="20">
        <v>20222</v>
      </c>
      <c r="E38" s="22">
        <v>13005</v>
      </c>
      <c r="F38" s="21">
        <v>119165</v>
      </c>
      <c r="G38" s="20">
        <v>116245</v>
      </c>
      <c r="H38" s="20">
        <v>3406761</v>
      </c>
      <c r="I38" s="22">
        <v>29307</v>
      </c>
      <c r="J38" s="66">
        <f t="shared" si="1"/>
        <v>1.9468803759493138E-2</v>
      </c>
      <c r="K38" s="67">
        <f t="shared" si="1"/>
        <v>1.3376919437395158E-2</v>
      </c>
      <c r="L38" s="68">
        <f t="shared" si="1"/>
        <v>5.9358434595206417E-3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>B56/F56</f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si="1"/>
        <v>#N/A</v>
      </c>
      <c r="K66" s="67" t="e">
        <f t="shared" si="1"/>
        <v>#N/A</v>
      </c>
      <c r="L66" s="68" t="e">
        <f t="shared" si="1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ref="J67:L67" si="2">B67/F67</f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9A74871F-15DD-468C-B71D-855B28F45D57}"/>
  </hyperlinks>
  <pageMargins left="0.7" right="0.7" top="0.75" bottom="0.75" header="0.3" footer="0.3"/>
  <pageSetup paperSize="9" fitToWidth="0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2540-EE86-4F67-9EAD-8B93A374CBBE}">
  <dimension ref="A1:L67"/>
  <sheetViews>
    <sheetView zoomScale="115" zoomScaleNormal="11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72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>
        <v>1770</v>
      </c>
      <c r="E10" s="50" t="e">
        <v>#N/A</v>
      </c>
      <c r="F10" s="42" t="e">
        <v>#N/A</v>
      </c>
      <c r="G10" s="40" t="e">
        <v>#N/A</v>
      </c>
      <c r="H10" s="40">
        <v>130995</v>
      </c>
      <c r="I10" s="50" t="e">
        <v>#N/A</v>
      </c>
      <c r="J10" s="63" t="e">
        <f>B10/F10</f>
        <v>#N/A</v>
      </c>
      <c r="K10" s="64" t="e">
        <f t="shared" ref="K10:L25" si="0">C10/G10</f>
        <v>#N/A</v>
      </c>
      <c r="L10" s="65">
        <f t="shared" si="0"/>
        <v>1.3511966105576549E-2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>
        <v>2050</v>
      </c>
      <c r="E11" s="22" t="e">
        <v>#N/A</v>
      </c>
      <c r="F11" s="21" t="e">
        <v>#N/A</v>
      </c>
      <c r="G11" s="20" t="e">
        <v>#N/A</v>
      </c>
      <c r="H11" s="20">
        <v>143584</v>
      </c>
      <c r="I11" s="22" t="e">
        <v>#N/A</v>
      </c>
      <c r="J11" s="66" t="e">
        <f>B11/F11</f>
        <v>#N/A</v>
      </c>
      <c r="K11" s="67" t="e">
        <f t="shared" si="0"/>
        <v>#N/A</v>
      </c>
      <c r="L11" s="68">
        <f t="shared" si="0"/>
        <v>1.4277356808558057E-2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>
        <v>2000</v>
      </c>
      <c r="E12" s="22" t="e">
        <v>#N/A</v>
      </c>
      <c r="F12" s="21" t="e">
        <v>#N/A</v>
      </c>
      <c r="G12" s="20" t="e">
        <v>#N/A</v>
      </c>
      <c r="H12" s="20">
        <v>139854</v>
      </c>
      <c r="I12" s="22" t="e">
        <v>#N/A</v>
      </c>
      <c r="J12" s="66" t="e">
        <f t="shared" ref="J12:L65" si="1">B12/F12</f>
        <v>#N/A</v>
      </c>
      <c r="K12" s="67" t="e">
        <f t="shared" si="0"/>
        <v>#N/A</v>
      </c>
      <c r="L12" s="68">
        <f t="shared" si="0"/>
        <v>1.4300627797560313E-2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>
        <v>2200</v>
      </c>
      <c r="E13" s="22" t="e">
        <v>#N/A</v>
      </c>
      <c r="F13" s="21" t="e">
        <v>#N/A</v>
      </c>
      <c r="G13" s="20" t="e">
        <v>#N/A</v>
      </c>
      <c r="H13" s="20">
        <v>179230</v>
      </c>
      <c r="I13" s="22" t="e">
        <v>#N/A</v>
      </c>
      <c r="J13" s="66" t="e">
        <f t="shared" si="1"/>
        <v>#N/A</v>
      </c>
      <c r="K13" s="67" t="e">
        <f t="shared" si="0"/>
        <v>#N/A</v>
      </c>
      <c r="L13" s="68">
        <f t="shared" si="0"/>
        <v>1.227473079283602E-2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>
        <v>2700</v>
      </c>
      <c r="E14" s="22" t="e">
        <v>#N/A</v>
      </c>
      <c r="F14" s="21" t="e">
        <v>#N/A</v>
      </c>
      <c r="G14" s="20" t="e">
        <v>#N/A</v>
      </c>
      <c r="H14" s="20">
        <v>177000</v>
      </c>
      <c r="I14" s="22" t="e">
        <v>#N/A</v>
      </c>
      <c r="J14" s="66" t="e">
        <f t="shared" si="1"/>
        <v>#N/A</v>
      </c>
      <c r="K14" s="67" t="e">
        <f t="shared" si="0"/>
        <v>#N/A</v>
      </c>
      <c r="L14" s="68">
        <f t="shared" si="0"/>
        <v>1.5254237288135594E-2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>
        <v>2240</v>
      </c>
      <c r="E15" s="22" t="e">
        <v>#N/A</v>
      </c>
      <c r="F15" s="21" t="e">
        <v>#N/A</v>
      </c>
      <c r="G15" s="20" t="e">
        <v>#N/A</v>
      </c>
      <c r="H15" s="20">
        <v>185000</v>
      </c>
      <c r="I15" s="22" t="e">
        <v>#N/A</v>
      </c>
      <c r="J15" s="66" t="e">
        <f t="shared" si="1"/>
        <v>#N/A</v>
      </c>
      <c r="K15" s="67" t="e">
        <f t="shared" si="0"/>
        <v>#N/A</v>
      </c>
      <c r="L15" s="68">
        <f t="shared" si="0"/>
        <v>1.2108108108108109E-2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>
        <v>2100</v>
      </c>
      <c r="E16" s="22" t="e">
        <v>#N/A</v>
      </c>
      <c r="F16" s="21" t="e">
        <v>#N/A</v>
      </c>
      <c r="G16" s="20" t="e">
        <v>#N/A</v>
      </c>
      <c r="H16" s="20">
        <v>180000</v>
      </c>
      <c r="I16" s="22" t="e">
        <v>#N/A</v>
      </c>
      <c r="J16" s="66" t="e">
        <f t="shared" si="1"/>
        <v>#N/A</v>
      </c>
      <c r="K16" s="67" t="e">
        <f t="shared" si="0"/>
        <v>#N/A</v>
      </c>
      <c r="L16" s="68">
        <f t="shared" si="0"/>
        <v>1.1666666666666667E-2</v>
      </c>
    </row>
    <row r="17" spans="1:12" x14ac:dyDescent="0.25">
      <c r="A17" s="48" t="s">
        <v>87</v>
      </c>
      <c r="B17" s="21">
        <v>200</v>
      </c>
      <c r="C17" s="20">
        <v>180</v>
      </c>
      <c r="D17" s="20">
        <v>2200</v>
      </c>
      <c r="E17" s="22">
        <v>12222</v>
      </c>
      <c r="F17" s="21">
        <v>19000</v>
      </c>
      <c r="G17" s="20">
        <v>15000</v>
      </c>
      <c r="H17" s="20">
        <v>170000</v>
      </c>
      <c r="I17" s="22">
        <v>11333</v>
      </c>
      <c r="J17" s="66">
        <f t="shared" si="1"/>
        <v>1.0526315789473684E-2</v>
      </c>
      <c r="K17" s="67">
        <f t="shared" si="0"/>
        <v>1.2E-2</v>
      </c>
      <c r="L17" s="68">
        <f t="shared" si="0"/>
        <v>1.2941176470588235E-2</v>
      </c>
    </row>
    <row r="18" spans="1:12" x14ac:dyDescent="0.25">
      <c r="A18" s="48" t="s">
        <v>88</v>
      </c>
      <c r="B18" s="21">
        <v>190</v>
      </c>
      <c r="C18" s="20">
        <v>175</v>
      </c>
      <c r="D18" s="20">
        <v>2400</v>
      </c>
      <c r="E18" s="22">
        <v>13714</v>
      </c>
      <c r="F18" s="21">
        <v>19000</v>
      </c>
      <c r="G18" s="20">
        <v>15500</v>
      </c>
      <c r="H18" s="20">
        <v>145000</v>
      </c>
      <c r="I18" s="22">
        <v>9355</v>
      </c>
      <c r="J18" s="66">
        <f t="shared" si="1"/>
        <v>0.01</v>
      </c>
      <c r="K18" s="67">
        <f t="shared" si="0"/>
        <v>1.1290322580645161E-2</v>
      </c>
      <c r="L18" s="68">
        <f t="shared" si="0"/>
        <v>1.6551724137931035E-2</v>
      </c>
    </row>
    <row r="19" spans="1:12" x14ac:dyDescent="0.25">
      <c r="A19" s="48" t="s">
        <v>89</v>
      </c>
      <c r="B19" s="21">
        <v>230</v>
      </c>
      <c r="C19" s="20">
        <v>200</v>
      </c>
      <c r="D19" s="20">
        <v>1900</v>
      </c>
      <c r="E19" s="22">
        <v>9500</v>
      </c>
      <c r="F19" s="21">
        <v>18000</v>
      </c>
      <c r="G19" s="20">
        <v>14800</v>
      </c>
      <c r="H19" s="20">
        <v>134000</v>
      </c>
      <c r="I19" s="22">
        <v>9054</v>
      </c>
      <c r="J19" s="66">
        <f t="shared" si="1"/>
        <v>1.2777777777777779E-2</v>
      </c>
      <c r="K19" s="67">
        <f t="shared" si="0"/>
        <v>1.3513513513513514E-2</v>
      </c>
      <c r="L19" s="68">
        <f t="shared" si="0"/>
        <v>1.4179104477611941E-2</v>
      </c>
    </row>
    <row r="20" spans="1:12" x14ac:dyDescent="0.25">
      <c r="A20" s="48" t="s">
        <v>90</v>
      </c>
      <c r="B20" s="21">
        <v>261</v>
      </c>
      <c r="C20" s="20">
        <v>240</v>
      </c>
      <c r="D20" s="20">
        <v>1700</v>
      </c>
      <c r="E20" s="22">
        <v>7083</v>
      </c>
      <c r="F20" s="21">
        <v>16200</v>
      </c>
      <c r="G20" s="20">
        <v>13700</v>
      </c>
      <c r="H20" s="20">
        <v>164000</v>
      </c>
      <c r="I20" s="22">
        <v>11971</v>
      </c>
      <c r="J20" s="66">
        <f t="shared" si="1"/>
        <v>1.6111111111111111E-2</v>
      </c>
      <c r="K20" s="67">
        <f t="shared" si="0"/>
        <v>1.7518248175182483E-2</v>
      </c>
      <c r="L20" s="68">
        <f t="shared" si="0"/>
        <v>1.0365853658536586E-2</v>
      </c>
    </row>
    <row r="21" spans="1:12" x14ac:dyDescent="0.25">
      <c r="A21" s="48" t="s">
        <v>91</v>
      </c>
      <c r="B21" s="21">
        <v>254</v>
      </c>
      <c r="C21" s="20">
        <v>238</v>
      </c>
      <c r="D21" s="20">
        <v>2700</v>
      </c>
      <c r="E21" s="22">
        <v>11345</v>
      </c>
      <c r="F21" s="21">
        <v>16600</v>
      </c>
      <c r="G21" s="20">
        <v>14100</v>
      </c>
      <c r="H21" s="20">
        <v>150000</v>
      </c>
      <c r="I21" s="22">
        <v>10638</v>
      </c>
      <c r="J21" s="66">
        <f t="shared" si="1"/>
        <v>1.5301204819277109E-2</v>
      </c>
      <c r="K21" s="67">
        <f t="shared" si="0"/>
        <v>1.6879432624113476E-2</v>
      </c>
      <c r="L21" s="68">
        <f t="shared" si="0"/>
        <v>1.7999999999999999E-2</v>
      </c>
    </row>
    <row r="22" spans="1:12" x14ac:dyDescent="0.25">
      <c r="A22" s="48" t="s">
        <v>92</v>
      </c>
      <c r="B22" s="21">
        <v>240</v>
      </c>
      <c r="C22" s="20">
        <v>225</v>
      </c>
      <c r="D22" s="20">
        <v>3100</v>
      </c>
      <c r="E22" s="22">
        <v>13778</v>
      </c>
      <c r="F22" s="21">
        <v>16600</v>
      </c>
      <c r="G22" s="20">
        <v>13150</v>
      </c>
      <c r="H22" s="20">
        <v>147600</v>
      </c>
      <c r="I22" s="22">
        <v>11224</v>
      </c>
      <c r="J22" s="66">
        <f t="shared" si="1"/>
        <v>1.4457831325301205E-2</v>
      </c>
      <c r="K22" s="67">
        <f t="shared" si="0"/>
        <v>1.7110266159695818E-2</v>
      </c>
      <c r="L22" s="68">
        <f t="shared" si="0"/>
        <v>2.1002710027100271E-2</v>
      </c>
    </row>
    <row r="23" spans="1:12" x14ac:dyDescent="0.25">
      <c r="A23" s="48" t="s">
        <v>93</v>
      </c>
      <c r="B23" s="21">
        <v>240</v>
      </c>
      <c r="C23" s="20">
        <v>230</v>
      </c>
      <c r="D23" s="20">
        <v>2600</v>
      </c>
      <c r="E23" s="22">
        <v>11304</v>
      </c>
      <c r="F23" s="21">
        <v>16250</v>
      </c>
      <c r="G23" s="20">
        <v>12800</v>
      </c>
      <c r="H23" s="20">
        <v>147000</v>
      </c>
      <c r="I23" s="22">
        <v>11484</v>
      </c>
      <c r="J23" s="66">
        <f t="shared" si="1"/>
        <v>1.4769230769230769E-2</v>
      </c>
      <c r="K23" s="67">
        <f t="shared" si="0"/>
        <v>1.7968749999999999E-2</v>
      </c>
      <c r="L23" s="68">
        <f t="shared" si="0"/>
        <v>1.7687074829931974E-2</v>
      </c>
    </row>
    <row r="24" spans="1:12" x14ac:dyDescent="0.25">
      <c r="A24" s="48" t="s">
        <v>94</v>
      </c>
      <c r="B24" s="21">
        <v>230</v>
      </c>
      <c r="C24" s="20">
        <v>230</v>
      </c>
      <c r="D24" s="20">
        <v>2300</v>
      </c>
      <c r="E24" s="22">
        <v>10000</v>
      </c>
      <c r="F24" s="21">
        <v>16000</v>
      </c>
      <c r="G24" s="20">
        <v>12600</v>
      </c>
      <c r="H24" s="20">
        <v>145000</v>
      </c>
      <c r="I24" s="22">
        <v>11508</v>
      </c>
      <c r="J24" s="66">
        <f t="shared" si="1"/>
        <v>1.4375000000000001E-2</v>
      </c>
      <c r="K24" s="67">
        <f t="shared" si="0"/>
        <v>1.8253968253968255E-2</v>
      </c>
      <c r="L24" s="68">
        <f t="shared" si="0"/>
        <v>1.5862068965517243E-2</v>
      </c>
    </row>
    <row r="25" spans="1:12" x14ac:dyDescent="0.25">
      <c r="A25" s="48" t="s">
        <v>95</v>
      </c>
      <c r="B25" s="21">
        <v>230</v>
      </c>
      <c r="C25" s="20">
        <v>230</v>
      </c>
      <c r="D25" s="20">
        <v>2400</v>
      </c>
      <c r="E25" s="22">
        <v>10435</v>
      </c>
      <c r="F25" s="21">
        <v>14200</v>
      </c>
      <c r="G25" s="20">
        <v>12400</v>
      </c>
      <c r="H25" s="20">
        <v>173700</v>
      </c>
      <c r="I25" s="22">
        <v>14008</v>
      </c>
      <c r="J25" s="66">
        <f t="shared" si="1"/>
        <v>1.6197183098591549E-2</v>
      </c>
      <c r="K25" s="67">
        <f t="shared" si="0"/>
        <v>1.8548387096774192E-2</v>
      </c>
      <c r="L25" s="68">
        <f t="shared" si="0"/>
        <v>1.3816925734024179E-2</v>
      </c>
    </row>
    <row r="26" spans="1:12" x14ac:dyDescent="0.25">
      <c r="A26" s="48" t="s">
        <v>96</v>
      </c>
      <c r="B26" s="21">
        <v>240</v>
      </c>
      <c r="C26" s="20">
        <v>240</v>
      </c>
      <c r="D26" s="20">
        <v>1900</v>
      </c>
      <c r="E26" s="22">
        <v>7917</v>
      </c>
      <c r="F26" s="21">
        <v>13650</v>
      </c>
      <c r="G26" s="20">
        <v>11950</v>
      </c>
      <c r="H26" s="20">
        <v>177900</v>
      </c>
      <c r="I26" s="22">
        <v>14887</v>
      </c>
      <c r="J26" s="66">
        <f t="shared" si="1"/>
        <v>1.7582417582417582E-2</v>
      </c>
      <c r="K26" s="67">
        <f t="shared" si="1"/>
        <v>2.0083682008368201E-2</v>
      </c>
      <c r="L26" s="68">
        <f t="shared" si="1"/>
        <v>1.0680157391793142E-2</v>
      </c>
    </row>
    <row r="27" spans="1:12" x14ac:dyDescent="0.25">
      <c r="A27" s="48" t="s">
        <v>97</v>
      </c>
      <c r="B27" s="21">
        <v>240</v>
      </c>
      <c r="C27" s="20">
        <v>240</v>
      </c>
      <c r="D27" s="20">
        <v>1600</v>
      </c>
      <c r="E27" s="22">
        <v>6667</v>
      </c>
      <c r="F27" s="21">
        <v>12640</v>
      </c>
      <c r="G27" s="20">
        <v>11489</v>
      </c>
      <c r="H27" s="20">
        <v>174193</v>
      </c>
      <c r="I27" s="22">
        <v>15162</v>
      </c>
      <c r="J27" s="66">
        <f t="shared" si="1"/>
        <v>1.8987341772151899E-2</v>
      </c>
      <c r="K27" s="67">
        <f t="shared" si="1"/>
        <v>2.0889546522760902E-2</v>
      </c>
      <c r="L27" s="68">
        <f t="shared" si="1"/>
        <v>9.1852141015999495E-3</v>
      </c>
    </row>
    <row r="28" spans="1:12" x14ac:dyDescent="0.25">
      <c r="A28" s="48" t="s">
        <v>98</v>
      </c>
      <c r="B28" s="21">
        <v>240</v>
      </c>
      <c r="C28" s="20">
        <v>240</v>
      </c>
      <c r="D28" s="20">
        <v>1650</v>
      </c>
      <c r="E28" s="22">
        <v>6875</v>
      </c>
      <c r="F28" s="21">
        <v>11300</v>
      </c>
      <c r="G28" s="20">
        <v>9900</v>
      </c>
      <c r="H28" s="20">
        <v>176100</v>
      </c>
      <c r="I28" s="22">
        <v>17788</v>
      </c>
      <c r="J28" s="66">
        <f t="shared" si="1"/>
        <v>2.1238938053097345E-2</v>
      </c>
      <c r="K28" s="67">
        <f t="shared" si="1"/>
        <v>2.4242424242424242E-2</v>
      </c>
      <c r="L28" s="68">
        <f t="shared" si="1"/>
        <v>9.3696763202725727E-3</v>
      </c>
    </row>
    <row r="29" spans="1:12" x14ac:dyDescent="0.25">
      <c r="A29" s="48" t="s">
        <v>99</v>
      </c>
      <c r="B29" s="21">
        <v>240</v>
      </c>
      <c r="C29" s="20">
        <v>240</v>
      </c>
      <c r="D29" s="20">
        <v>1350</v>
      </c>
      <c r="E29" s="22">
        <v>5625</v>
      </c>
      <c r="F29" s="21">
        <v>10000</v>
      </c>
      <c r="G29" s="20">
        <v>9200</v>
      </c>
      <c r="H29" s="20">
        <v>154700</v>
      </c>
      <c r="I29" s="22">
        <v>16815</v>
      </c>
      <c r="J29" s="66">
        <f t="shared" si="1"/>
        <v>2.4E-2</v>
      </c>
      <c r="K29" s="67">
        <f t="shared" si="1"/>
        <v>2.6086956521739129E-2</v>
      </c>
      <c r="L29" s="68">
        <f t="shared" si="1"/>
        <v>8.7265675500969621E-3</v>
      </c>
    </row>
    <row r="30" spans="1:12" x14ac:dyDescent="0.25">
      <c r="A30" s="48" t="s">
        <v>100</v>
      </c>
      <c r="B30" s="21">
        <v>240</v>
      </c>
      <c r="C30" s="20">
        <v>240</v>
      </c>
      <c r="D30" s="20">
        <v>1339</v>
      </c>
      <c r="E30" s="22">
        <v>5579</v>
      </c>
      <c r="F30" s="21">
        <v>10745</v>
      </c>
      <c r="G30" s="20">
        <v>9100</v>
      </c>
      <c r="H30" s="20">
        <v>166580</v>
      </c>
      <c r="I30" s="22">
        <v>18305</v>
      </c>
      <c r="J30" s="66">
        <f t="shared" si="1"/>
        <v>2.2335970218706376E-2</v>
      </c>
      <c r="K30" s="67">
        <f t="shared" si="1"/>
        <v>2.6373626373626374E-2</v>
      </c>
      <c r="L30" s="68">
        <f t="shared" si="1"/>
        <v>8.0381798535238327E-3</v>
      </c>
    </row>
    <row r="31" spans="1:12" x14ac:dyDescent="0.25">
      <c r="A31" s="48" t="s">
        <v>101</v>
      </c>
      <c r="B31" s="21">
        <v>250</v>
      </c>
      <c r="C31" s="20">
        <v>250</v>
      </c>
      <c r="D31" s="20">
        <v>4570</v>
      </c>
      <c r="E31" s="22">
        <v>18280</v>
      </c>
      <c r="F31" s="21">
        <v>11490</v>
      </c>
      <c r="G31" s="20">
        <v>10392</v>
      </c>
      <c r="H31" s="20">
        <v>203900</v>
      </c>
      <c r="I31" s="22">
        <v>19621</v>
      </c>
      <c r="J31" s="66">
        <f t="shared" si="1"/>
        <v>2.1758050478677109E-2</v>
      </c>
      <c r="K31" s="67">
        <f t="shared" si="1"/>
        <v>2.4056966897613549E-2</v>
      </c>
      <c r="L31" s="68">
        <f t="shared" si="1"/>
        <v>2.2412947523295732E-2</v>
      </c>
    </row>
    <row r="32" spans="1:12" x14ac:dyDescent="0.25">
      <c r="A32" s="48" t="s">
        <v>102</v>
      </c>
      <c r="B32" s="21">
        <v>252</v>
      </c>
      <c r="C32" s="20">
        <v>250</v>
      </c>
      <c r="D32" s="20">
        <v>5000</v>
      </c>
      <c r="E32" s="22">
        <v>20000</v>
      </c>
      <c r="F32" s="21">
        <v>11800</v>
      </c>
      <c r="G32" s="20">
        <v>9305</v>
      </c>
      <c r="H32" s="20">
        <v>191900</v>
      </c>
      <c r="I32" s="22">
        <v>20623</v>
      </c>
      <c r="J32" s="66">
        <f t="shared" si="1"/>
        <v>2.135593220338983E-2</v>
      </c>
      <c r="K32" s="67">
        <f t="shared" si="1"/>
        <v>2.6867275658248254E-2</v>
      </c>
      <c r="L32" s="68">
        <f t="shared" si="1"/>
        <v>2.6055237102657634E-2</v>
      </c>
    </row>
    <row r="33" spans="1:12" x14ac:dyDescent="0.25">
      <c r="A33" s="48" t="s">
        <v>103</v>
      </c>
      <c r="B33" s="21">
        <v>255</v>
      </c>
      <c r="C33" s="20">
        <v>250</v>
      </c>
      <c r="D33" s="20">
        <v>4655</v>
      </c>
      <c r="E33" s="22">
        <v>18620</v>
      </c>
      <c r="F33" s="21">
        <v>12462</v>
      </c>
      <c r="G33" s="20">
        <v>10033</v>
      </c>
      <c r="H33" s="20">
        <v>196540</v>
      </c>
      <c r="I33" s="22">
        <v>19589</v>
      </c>
      <c r="J33" s="66">
        <f t="shared" si="1"/>
        <v>2.0462205103514684E-2</v>
      </c>
      <c r="K33" s="67">
        <f t="shared" si="1"/>
        <v>2.4917771354530049E-2</v>
      </c>
      <c r="L33" s="68">
        <f t="shared" si="1"/>
        <v>2.3684746107662562E-2</v>
      </c>
    </row>
    <row r="34" spans="1:12" x14ac:dyDescent="0.25">
      <c r="A34" s="48" t="s">
        <v>104</v>
      </c>
      <c r="B34" s="21">
        <v>54</v>
      </c>
      <c r="C34" s="20">
        <v>44</v>
      </c>
      <c r="D34" s="20">
        <v>446</v>
      </c>
      <c r="E34" s="22">
        <v>10136</v>
      </c>
      <c r="F34" s="21">
        <v>13120</v>
      </c>
      <c r="G34" s="20">
        <v>11539</v>
      </c>
      <c r="H34" s="20">
        <v>228671</v>
      </c>
      <c r="I34" s="22">
        <v>19817</v>
      </c>
      <c r="J34" s="66">
        <f t="shared" si="1"/>
        <v>4.1158536585365856E-3</v>
      </c>
      <c r="K34" s="67">
        <f t="shared" si="1"/>
        <v>3.8131553860819827E-3</v>
      </c>
      <c r="L34" s="68">
        <f t="shared" si="1"/>
        <v>1.9504003568445495E-3</v>
      </c>
    </row>
    <row r="35" spans="1:12" x14ac:dyDescent="0.25">
      <c r="A35" s="48" t="s">
        <v>105</v>
      </c>
      <c r="B35" s="21">
        <v>55</v>
      </c>
      <c r="C35" s="20">
        <v>50</v>
      </c>
      <c r="D35" s="20">
        <v>441</v>
      </c>
      <c r="E35" s="22">
        <v>8820</v>
      </c>
      <c r="F35" s="21">
        <v>11103</v>
      </c>
      <c r="G35" s="20">
        <v>9533</v>
      </c>
      <c r="H35" s="20">
        <v>195918</v>
      </c>
      <c r="I35" s="22">
        <v>20552</v>
      </c>
      <c r="J35" s="66">
        <f t="shared" si="1"/>
        <v>4.9536161397820411E-3</v>
      </c>
      <c r="K35" s="67">
        <f t="shared" si="1"/>
        <v>5.2449386342179796E-3</v>
      </c>
      <c r="L35" s="68">
        <f t="shared" si="1"/>
        <v>2.2509417205157259E-3</v>
      </c>
    </row>
    <row r="36" spans="1:12" x14ac:dyDescent="0.25">
      <c r="A36" s="48" t="s">
        <v>106</v>
      </c>
      <c r="B36" s="21">
        <v>51</v>
      </c>
      <c r="C36" s="20">
        <v>46</v>
      </c>
      <c r="D36" s="20">
        <v>208</v>
      </c>
      <c r="E36" s="22">
        <v>4522</v>
      </c>
      <c r="F36" s="21">
        <v>11324</v>
      </c>
      <c r="G36" s="20">
        <v>9599</v>
      </c>
      <c r="H36" s="20">
        <v>166784</v>
      </c>
      <c r="I36" s="22">
        <v>17375</v>
      </c>
      <c r="J36" s="66">
        <f t="shared" si="1"/>
        <v>4.5037089367714585E-3</v>
      </c>
      <c r="K36" s="67">
        <f t="shared" si="1"/>
        <v>4.7921658506094381E-3</v>
      </c>
      <c r="L36" s="68">
        <f t="shared" si="1"/>
        <v>1.2471220260936301E-3</v>
      </c>
    </row>
    <row r="37" spans="1:12" x14ac:dyDescent="0.25">
      <c r="A37" s="48" t="s">
        <v>23</v>
      </c>
      <c r="B37" s="21">
        <v>56</v>
      </c>
      <c r="C37" s="20">
        <v>56</v>
      </c>
      <c r="D37" s="20">
        <v>486</v>
      </c>
      <c r="E37" s="22">
        <v>8679</v>
      </c>
      <c r="F37" s="21">
        <v>13458</v>
      </c>
      <c r="G37" s="20">
        <v>9440</v>
      </c>
      <c r="H37" s="20">
        <v>232766</v>
      </c>
      <c r="I37" s="22">
        <v>24657</v>
      </c>
      <c r="J37" s="66">
        <f t="shared" si="1"/>
        <v>4.161093773220389E-3</v>
      </c>
      <c r="K37" s="67">
        <f t="shared" si="1"/>
        <v>5.9322033898305086E-3</v>
      </c>
      <c r="L37" s="68">
        <f t="shared" si="1"/>
        <v>2.087933804765301E-3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 t="e">
        <v>#N/A</v>
      </c>
      <c r="G38" s="20" t="e">
        <v>#N/A</v>
      </c>
      <c r="H38" s="20" t="e">
        <v>#N/A</v>
      </c>
      <c r="I38" s="22" t="e">
        <v>#N/A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 t="e">
        <v>#N/A</v>
      </c>
      <c r="C39" s="20" t="e">
        <v>#N/A</v>
      </c>
      <c r="D39" s="20" t="e">
        <v>#N/A</v>
      </c>
      <c r="E39" s="22" t="e">
        <v>#N/A</v>
      </c>
      <c r="F39" s="21" t="e">
        <v>#N/A</v>
      </c>
      <c r="G39" s="20" t="e">
        <v>#N/A</v>
      </c>
      <c r="H39" s="20" t="e">
        <v>#N/A</v>
      </c>
      <c r="I39" s="22" t="e">
        <v>#N/A</v>
      </c>
      <c r="J39" s="66" t="e">
        <f t="shared" si="1"/>
        <v>#N/A</v>
      </c>
      <c r="K39" s="67" t="e">
        <f t="shared" si="1"/>
        <v>#N/A</v>
      </c>
      <c r="L39" s="68" t="e">
        <f t="shared" si="1"/>
        <v>#N/A</v>
      </c>
    </row>
    <row r="40" spans="1:12" x14ac:dyDescent="0.25">
      <c r="A40" s="48" t="s">
        <v>26</v>
      </c>
      <c r="B40" s="21" t="e">
        <v>#N/A</v>
      </c>
      <c r="C40" s="20" t="e">
        <v>#N/A</v>
      </c>
      <c r="D40" s="20" t="e">
        <v>#N/A</v>
      </c>
      <c r="E40" s="22" t="e">
        <v>#N/A</v>
      </c>
      <c r="F40" s="21" t="e">
        <v>#N/A</v>
      </c>
      <c r="G40" s="20" t="e">
        <v>#N/A</v>
      </c>
      <c r="H40" s="20" t="e">
        <v>#N/A</v>
      </c>
      <c r="I40" s="22" t="e">
        <v>#N/A</v>
      </c>
      <c r="J40" s="66" t="e">
        <f t="shared" si="1"/>
        <v>#N/A</v>
      </c>
      <c r="K40" s="67" t="e">
        <f t="shared" si="1"/>
        <v>#N/A</v>
      </c>
      <c r="L40" s="68" t="e">
        <f t="shared" si="1"/>
        <v>#N/A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 t="e">
        <v>#N/A</v>
      </c>
      <c r="G41" s="20" t="e">
        <v>#N/A</v>
      </c>
      <c r="H41" s="20" t="e">
        <v>#N/A</v>
      </c>
      <c r="I41" s="22" t="e">
        <v>#N/A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 t="e">
        <v>#N/A</v>
      </c>
      <c r="G42" s="20" t="e">
        <v>#N/A</v>
      </c>
      <c r="H42" s="20" t="e">
        <v>#N/A</v>
      </c>
      <c r="I42" s="22" t="e">
        <v>#N/A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 t="e">
        <v>#N/A</v>
      </c>
      <c r="G43" s="20" t="e">
        <v>#N/A</v>
      </c>
      <c r="H43" s="20" t="e">
        <v>#N/A</v>
      </c>
      <c r="I43" s="22" t="e">
        <v>#N/A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 t="e">
        <v>#N/A</v>
      </c>
      <c r="G44" s="20" t="e">
        <v>#N/A</v>
      </c>
      <c r="H44" s="20" t="e">
        <v>#N/A</v>
      </c>
      <c r="I44" s="22" t="e">
        <v>#N/A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 t="e">
        <v>#N/A</v>
      </c>
      <c r="G45" s="20" t="e">
        <v>#N/A</v>
      </c>
      <c r="H45" s="20" t="e">
        <v>#N/A</v>
      </c>
      <c r="I45" s="22" t="e">
        <v>#N/A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 t="e">
        <v>#N/A</v>
      </c>
      <c r="G46" s="20" t="e">
        <v>#N/A</v>
      </c>
      <c r="H46" s="20" t="e">
        <v>#N/A</v>
      </c>
      <c r="I46" s="22" t="e">
        <v>#N/A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 t="e">
        <v>#N/A</v>
      </c>
      <c r="G47" s="20" t="e">
        <v>#N/A</v>
      </c>
      <c r="H47" s="20" t="e">
        <v>#N/A</v>
      </c>
      <c r="I47" s="22" t="e">
        <v>#N/A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 t="e">
        <v>#N/A</v>
      </c>
      <c r="G48" s="20" t="e">
        <v>#N/A</v>
      </c>
      <c r="H48" s="20" t="e">
        <v>#N/A</v>
      </c>
      <c r="I48" s="22" t="e">
        <v>#N/A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 t="e">
        <v>#N/A</v>
      </c>
      <c r="G49" s="20" t="e">
        <v>#N/A</v>
      </c>
      <c r="H49" s="20" t="e">
        <v>#N/A</v>
      </c>
      <c r="I49" s="22" t="e">
        <v>#N/A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 t="e">
        <v>#N/A</v>
      </c>
      <c r="G50" s="20" t="e">
        <v>#N/A</v>
      </c>
      <c r="H50" s="20" t="e">
        <v>#N/A</v>
      </c>
      <c r="I50" s="22" t="e">
        <v>#N/A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 t="e">
        <v>#N/A</v>
      </c>
      <c r="G51" s="20" t="e">
        <v>#N/A</v>
      </c>
      <c r="H51" s="20" t="e">
        <v>#N/A</v>
      </c>
      <c r="I51" s="22" t="e">
        <v>#N/A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 t="e">
        <v>#N/A</v>
      </c>
      <c r="G52" s="20" t="e">
        <v>#N/A</v>
      </c>
      <c r="H52" s="20" t="e">
        <v>#N/A</v>
      </c>
      <c r="I52" s="22" t="e">
        <v>#N/A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 t="e">
        <v>#N/A</v>
      </c>
      <c r="G53" s="20" t="e">
        <v>#N/A</v>
      </c>
      <c r="H53" s="20" t="e">
        <v>#N/A</v>
      </c>
      <c r="I53" s="22" t="e">
        <v>#N/A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 t="e">
        <v>#N/A</v>
      </c>
      <c r="G54" s="20" t="e">
        <v>#N/A</v>
      </c>
      <c r="H54" s="20" t="e">
        <v>#N/A</v>
      </c>
      <c r="I54" s="22" t="e">
        <v>#N/A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 t="e">
        <v>#N/A</v>
      </c>
      <c r="G55" s="20" t="e">
        <v>#N/A</v>
      </c>
      <c r="H55" s="20" t="e">
        <v>#N/A</v>
      </c>
      <c r="I55" s="22" t="e">
        <v>#N/A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 t="e">
        <v>#N/A</v>
      </c>
      <c r="G56" s="20" t="e">
        <v>#N/A</v>
      </c>
      <c r="H56" s="20" t="e">
        <v>#N/A</v>
      </c>
      <c r="I56" s="22" t="e">
        <v>#N/A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 t="e">
        <v>#N/A</v>
      </c>
      <c r="G57" s="20" t="e">
        <v>#N/A</v>
      </c>
      <c r="H57" s="20" t="e">
        <v>#N/A</v>
      </c>
      <c r="I57" s="22" t="e">
        <v>#N/A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 t="e">
        <v>#N/A</v>
      </c>
      <c r="G58" s="20" t="e">
        <v>#N/A</v>
      </c>
      <c r="H58" s="20" t="e">
        <v>#N/A</v>
      </c>
      <c r="I58" s="22" t="e">
        <v>#N/A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 t="e">
        <v>#N/A</v>
      </c>
      <c r="G59" s="20" t="e">
        <v>#N/A</v>
      </c>
      <c r="H59" s="20" t="e">
        <v>#N/A</v>
      </c>
      <c r="I59" s="22" t="e">
        <v>#N/A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 t="e">
        <v>#N/A</v>
      </c>
      <c r="G60" s="20" t="e">
        <v>#N/A</v>
      </c>
      <c r="H60" s="20" t="e">
        <v>#N/A</v>
      </c>
      <c r="I60" s="22" t="e">
        <v>#N/A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 t="e">
        <v>#N/A</v>
      </c>
      <c r="G61" s="20" t="e">
        <v>#N/A</v>
      </c>
      <c r="H61" s="20" t="e">
        <v>#N/A</v>
      </c>
      <c r="I61" s="22" t="e">
        <v>#N/A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 t="e">
        <v>#N/A</v>
      </c>
      <c r="G62" s="20" t="e">
        <v>#N/A</v>
      </c>
      <c r="H62" s="20" t="e">
        <v>#N/A</v>
      </c>
      <c r="I62" s="22" t="e">
        <v>#N/A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 t="e">
        <v>#N/A</v>
      </c>
      <c r="G63" s="20" t="e">
        <v>#N/A</v>
      </c>
      <c r="H63" s="20" t="e">
        <v>#N/A</v>
      </c>
      <c r="I63" s="22" t="e">
        <v>#N/A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 t="e">
        <v>#N/A</v>
      </c>
      <c r="G64" s="20" t="e">
        <v>#N/A</v>
      </c>
      <c r="H64" s="20" t="e">
        <v>#N/A</v>
      </c>
      <c r="I64" s="22" t="e">
        <v>#N/A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 t="e">
        <v>#N/A</v>
      </c>
      <c r="G65" s="20" t="e">
        <v>#N/A</v>
      </c>
      <c r="H65" s="20" t="e">
        <v>#N/A</v>
      </c>
      <c r="I65" s="22" t="e">
        <v>#N/A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3B44E1D1-9D4E-4010-BC9F-A1C494E82673}"/>
  </hyperlinks>
  <pageMargins left="0.7" right="0.7" top="0.75" bottom="0.75" header="0.3" footer="0.3"/>
  <pageSetup paperSize="9" fitToWidth="0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D225-72DE-46C3-A4CD-E29F18E4B872}">
  <dimension ref="A1:L67"/>
  <sheetViews>
    <sheetView zoomScale="115" zoomScaleNormal="115" workbookViewId="0">
      <pane xSplit="1" ySplit="9" topLeftCell="B10" activePane="bottomRight" state="frozen"/>
      <selection activeCell="A5" sqref="A5"/>
      <selection pane="topRight" activeCell="A5" sqref="A5"/>
      <selection pane="bottomLeft" activeCell="A5" sqref="A5"/>
      <selection pane="bottomRight" activeCell="B10" sqref="B10"/>
    </sheetView>
  </sheetViews>
  <sheetFormatPr baseColWidth="10" defaultColWidth="11.42578125" defaultRowHeight="15" x14ac:dyDescent="0.25"/>
  <cols>
    <col min="1" max="12" width="11.42578125" style="10"/>
  </cols>
  <sheetData>
    <row r="1" spans="1:12" ht="8.25" customHeight="1" x14ac:dyDescent="0.25">
      <c r="A1" s="36"/>
      <c r="B1" s="43"/>
      <c r="C1" s="1"/>
      <c r="D1" s="1"/>
      <c r="E1" s="1"/>
      <c r="F1" s="1"/>
      <c r="G1" s="1"/>
      <c r="H1" s="1"/>
      <c r="I1" s="1"/>
      <c r="J1" s="1"/>
      <c r="K1" s="1"/>
      <c r="L1" s="74"/>
    </row>
    <row r="2" spans="1:12" x14ac:dyDescent="0.25">
      <c r="A2" s="37" t="s">
        <v>2</v>
      </c>
      <c r="B2" s="2" t="s">
        <v>73</v>
      </c>
      <c r="C2" s="3"/>
      <c r="D2" s="3"/>
      <c r="E2" s="3"/>
      <c r="F2" s="3"/>
      <c r="G2" s="3"/>
      <c r="H2" s="3"/>
      <c r="I2" s="3"/>
      <c r="J2" s="51"/>
      <c r="K2" s="51"/>
      <c r="L2" s="51"/>
    </row>
    <row r="3" spans="1:12" ht="20.100000000000001" customHeight="1" x14ac:dyDescent="0.25">
      <c r="A3" s="37" t="s">
        <v>3</v>
      </c>
      <c r="B3" s="2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A4" s="37"/>
      <c r="B4" s="44" t="s">
        <v>78</v>
      </c>
      <c r="C4" s="4"/>
      <c r="D4" s="4"/>
      <c r="E4" s="4"/>
      <c r="F4" s="4" t="s">
        <v>1</v>
      </c>
      <c r="G4" s="4"/>
      <c r="H4" s="4"/>
      <c r="I4" s="4"/>
      <c r="J4" s="4" t="s">
        <v>117</v>
      </c>
      <c r="K4" s="4"/>
      <c r="L4" s="4"/>
    </row>
    <row r="5" spans="1:12" ht="22.5" x14ac:dyDescent="0.25">
      <c r="A5" s="58" t="s">
        <v>16</v>
      </c>
      <c r="B5" s="45" t="s">
        <v>17</v>
      </c>
      <c r="C5" s="24" t="s">
        <v>120</v>
      </c>
      <c r="D5" s="25" t="s">
        <v>18</v>
      </c>
      <c r="E5" s="11" t="s">
        <v>19</v>
      </c>
      <c r="F5" s="13" t="s">
        <v>17</v>
      </c>
      <c r="G5" s="24" t="s">
        <v>120</v>
      </c>
      <c r="H5" s="25" t="s">
        <v>18</v>
      </c>
      <c r="I5" s="11" t="s">
        <v>19</v>
      </c>
      <c r="J5" s="13" t="s">
        <v>17</v>
      </c>
      <c r="K5" s="24" t="s">
        <v>120</v>
      </c>
      <c r="L5" s="53" t="s">
        <v>18</v>
      </c>
    </row>
    <row r="6" spans="1:12" ht="9" customHeight="1" x14ac:dyDescent="0.25">
      <c r="A6" s="37"/>
      <c r="B6" s="46"/>
      <c r="C6" s="6"/>
      <c r="D6" s="6"/>
      <c r="E6" s="7"/>
      <c r="F6" s="5"/>
      <c r="G6" s="6"/>
      <c r="H6" s="6"/>
      <c r="I6" s="7"/>
      <c r="J6" s="5"/>
      <c r="K6" s="6"/>
      <c r="L6" s="7"/>
    </row>
    <row r="7" spans="1:12" ht="22.5" x14ac:dyDescent="0.25">
      <c r="A7" s="37" t="s">
        <v>20</v>
      </c>
      <c r="B7" s="47" t="s">
        <v>21</v>
      </c>
      <c r="C7" s="23" t="s">
        <v>21</v>
      </c>
      <c r="D7" s="23" t="s">
        <v>22</v>
      </c>
      <c r="E7" s="12" t="s">
        <v>121</v>
      </c>
      <c r="F7" s="14" t="s">
        <v>21</v>
      </c>
      <c r="G7" s="23" t="s">
        <v>21</v>
      </c>
      <c r="H7" s="23" t="s">
        <v>22</v>
      </c>
      <c r="I7" s="12" t="s">
        <v>121</v>
      </c>
      <c r="J7" s="5" t="s">
        <v>79</v>
      </c>
      <c r="K7" s="6"/>
      <c r="L7" s="7"/>
    </row>
    <row r="8" spans="1:12" ht="6" customHeight="1" x14ac:dyDescent="0.25">
      <c r="A8" s="72" t="s">
        <v>116</v>
      </c>
      <c r="B8" s="8"/>
      <c r="C8" s="8"/>
      <c r="D8" s="8"/>
      <c r="E8" s="9"/>
      <c r="F8" s="8"/>
      <c r="G8" s="8"/>
      <c r="H8" s="8"/>
      <c r="I8" s="9"/>
      <c r="J8" s="8"/>
      <c r="K8" s="8"/>
      <c r="L8" s="9"/>
    </row>
    <row r="9" spans="1:12" ht="6" customHeight="1" thickBot="1" x14ac:dyDescent="0.3">
      <c r="A9" s="73"/>
      <c r="B9" s="38"/>
      <c r="C9" s="38"/>
      <c r="D9" s="38"/>
      <c r="E9" s="39"/>
      <c r="F9" s="38"/>
      <c r="G9" s="38"/>
      <c r="H9" s="38"/>
      <c r="I9" s="39"/>
      <c r="J9" s="38"/>
      <c r="K9" s="38"/>
      <c r="L9" s="39"/>
    </row>
    <row r="10" spans="1:12" x14ac:dyDescent="0.25">
      <c r="A10" s="48" t="s">
        <v>80</v>
      </c>
      <c r="B10" s="42" t="e">
        <v>#N/A</v>
      </c>
      <c r="C10" s="40" t="e">
        <v>#N/A</v>
      </c>
      <c r="D10" s="40" t="e">
        <v>#N/A</v>
      </c>
      <c r="E10" s="50" t="e">
        <v>#N/A</v>
      </c>
      <c r="F10" s="41">
        <v>46088</v>
      </c>
      <c r="G10" s="40">
        <v>41188</v>
      </c>
      <c r="H10" s="40">
        <v>39388</v>
      </c>
      <c r="I10" s="50">
        <v>956</v>
      </c>
      <c r="J10" s="63" t="e">
        <f>B10/F10</f>
        <v>#N/A</v>
      </c>
      <c r="K10" s="64" t="e">
        <f t="shared" ref="K10:L25" si="0">C10/G10</f>
        <v>#N/A</v>
      </c>
      <c r="L10" s="65" t="e">
        <f t="shared" si="0"/>
        <v>#N/A</v>
      </c>
    </row>
    <row r="11" spans="1:12" x14ac:dyDescent="0.25">
      <c r="A11" s="48" t="s">
        <v>81</v>
      </c>
      <c r="B11" s="21" t="e">
        <v>#N/A</v>
      </c>
      <c r="C11" s="20" t="e">
        <v>#N/A</v>
      </c>
      <c r="D11" s="20" t="e">
        <v>#N/A</v>
      </c>
      <c r="E11" s="22" t="e">
        <v>#N/A</v>
      </c>
      <c r="F11" s="21">
        <v>64040</v>
      </c>
      <c r="G11" s="20">
        <v>60540</v>
      </c>
      <c r="H11" s="20">
        <v>58920</v>
      </c>
      <c r="I11" s="22">
        <v>973</v>
      </c>
      <c r="J11" s="66" t="e">
        <f t="shared" ref="J11:L65" si="1">B11/F11</f>
        <v>#N/A</v>
      </c>
      <c r="K11" s="67" t="e">
        <f t="shared" si="0"/>
        <v>#N/A</v>
      </c>
      <c r="L11" s="68" t="e">
        <f t="shared" si="0"/>
        <v>#N/A</v>
      </c>
    </row>
    <row r="12" spans="1:12" x14ac:dyDescent="0.25">
      <c r="A12" s="48" t="s">
        <v>82</v>
      </c>
      <c r="B12" s="21" t="e">
        <v>#N/A</v>
      </c>
      <c r="C12" s="20" t="e">
        <v>#N/A</v>
      </c>
      <c r="D12" s="20" t="e">
        <v>#N/A</v>
      </c>
      <c r="E12" s="22" t="e">
        <v>#N/A</v>
      </c>
      <c r="F12" s="21">
        <v>62920</v>
      </c>
      <c r="G12" s="20">
        <v>62120</v>
      </c>
      <c r="H12" s="20">
        <v>57923</v>
      </c>
      <c r="I12" s="22">
        <v>932</v>
      </c>
      <c r="J12" s="66" t="e">
        <f t="shared" si="1"/>
        <v>#N/A</v>
      </c>
      <c r="K12" s="67" t="e">
        <f t="shared" si="0"/>
        <v>#N/A</v>
      </c>
      <c r="L12" s="68" t="e">
        <f t="shared" si="0"/>
        <v>#N/A</v>
      </c>
    </row>
    <row r="13" spans="1:12" x14ac:dyDescent="0.25">
      <c r="A13" s="48" t="s">
        <v>83</v>
      </c>
      <c r="B13" s="21" t="e">
        <v>#N/A</v>
      </c>
      <c r="C13" s="20" t="e">
        <v>#N/A</v>
      </c>
      <c r="D13" s="20" t="e">
        <v>#N/A</v>
      </c>
      <c r="E13" s="22" t="e">
        <v>#N/A</v>
      </c>
      <c r="F13" s="21">
        <v>83162</v>
      </c>
      <c r="G13" s="20">
        <v>78582</v>
      </c>
      <c r="H13" s="20">
        <v>72791</v>
      </c>
      <c r="I13" s="22">
        <v>926</v>
      </c>
      <c r="J13" s="66" t="e">
        <f t="shared" si="1"/>
        <v>#N/A</v>
      </c>
      <c r="K13" s="67" t="e">
        <f t="shared" si="0"/>
        <v>#N/A</v>
      </c>
      <c r="L13" s="68" t="e">
        <f t="shared" si="0"/>
        <v>#N/A</v>
      </c>
    </row>
    <row r="14" spans="1:12" x14ac:dyDescent="0.25">
      <c r="A14" s="48" t="s">
        <v>84</v>
      </c>
      <c r="B14" s="21" t="e">
        <v>#N/A</v>
      </c>
      <c r="C14" s="20" t="e">
        <v>#N/A</v>
      </c>
      <c r="D14" s="20" t="e">
        <v>#N/A</v>
      </c>
      <c r="E14" s="22" t="e">
        <v>#N/A</v>
      </c>
      <c r="F14" s="21">
        <v>109252</v>
      </c>
      <c r="G14" s="20">
        <v>107852</v>
      </c>
      <c r="H14" s="20">
        <v>115150</v>
      </c>
      <c r="I14" s="22">
        <v>1068</v>
      </c>
      <c r="J14" s="66" t="e">
        <f t="shared" si="1"/>
        <v>#N/A</v>
      </c>
      <c r="K14" s="67" t="e">
        <f t="shared" si="0"/>
        <v>#N/A</v>
      </c>
      <c r="L14" s="68" t="e">
        <f t="shared" si="0"/>
        <v>#N/A</v>
      </c>
    </row>
    <row r="15" spans="1:12" x14ac:dyDescent="0.25">
      <c r="A15" s="48" t="s">
        <v>85</v>
      </c>
      <c r="B15" s="21" t="e">
        <v>#N/A</v>
      </c>
      <c r="C15" s="20" t="e">
        <v>#N/A</v>
      </c>
      <c r="D15" s="20" t="e">
        <v>#N/A</v>
      </c>
      <c r="E15" s="22" t="e">
        <v>#N/A</v>
      </c>
      <c r="F15" s="21">
        <v>150630</v>
      </c>
      <c r="G15" s="20">
        <v>137210</v>
      </c>
      <c r="H15" s="20">
        <v>108535</v>
      </c>
      <c r="I15" s="22">
        <v>791</v>
      </c>
      <c r="J15" s="66" t="e">
        <f t="shared" si="1"/>
        <v>#N/A</v>
      </c>
      <c r="K15" s="67" t="e">
        <f t="shared" si="0"/>
        <v>#N/A</v>
      </c>
      <c r="L15" s="68" t="e">
        <f t="shared" si="0"/>
        <v>#N/A</v>
      </c>
    </row>
    <row r="16" spans="1:12" x14ac:dyDescent="0.25">
      <c r="A16" s="48" t="s">
        <v>86</v>
      </c>
      <c r="B16" s="21" t="e">
        <v>#N/A</v>
      </c>
      <c r="C16" s="20" t="e">
        <v>#N/A</v>
      </c>
      <c r="D16" s="20" t="e">
        <v>#N/A</v>
      </c>
      <c r="E16" s="22" t="e">
        <v>#N/A</v>
      </c>
      <c r="F16" s="21">
        <v>150600</v>
      </c>
      <c r="G16" s="20">
        <v>146860</v>
      </c>
      <c r="H16" s="20">
        <v>170390</v>
      </c>
      <c r="I16" s="22">
        <v>1160</v>
      </c>
      <c r="J16" s="66" t="e">
        <f t="shared" si="1"/>
        <v>#N/A</v>
      </c>
      <c r="K16" s="67" t="e">
        <f t="shared" si="0"/>
        <v>#N/A</v>
      </c>
      <c r="L16" s="68" t="e">
        <f t="shared" si="0"/>
        <v>#N/A</v>
      </c>
    </row>
    <row r="17" spans="1:12" x14ac:dyDescent="0.25">
      <c r="A17" s="48" t="s">
        <v>87</v>
      </c>
      <c r="B17" s="21" t="e">
        <v>#N/A</v>
      </c>
      <c r="C17" s="20" t="e">
        <v>#N/A</v>
      </c>
      <c r="D17" s="20" t="e">
        <v>#N/A</v>
      </c>
      <c r="E17" s="22" t="e">
        <v>#N/A</v>
      </c>
      <c r="F17" s="21">
        <v>184850</v>
      </c>
      <c r="G17" s="20">
        <v>170850</v>
      </c>
      <c r="H17" s="20">
        <v>154798</v>
      </c>
      <c r="I17" s="22">
        <v>906</v>
      </c>
      <c r="J17" s="66" t="e">
        <f t="shared" si="1"/>
        <v>#N/A</v>
      </c>
      <c r="K17" s="67" t="e">
        <f t="shared" si="0"/>
        <v>#N/A</v>
      </c>
      <c r="L17" s="68" t="e">
        <f t="shared" si="0"/>
        <v>#N/A</v>
      </c>
    </row>
    <row r="18" spans="1:12" x14ac:dyDescent="0.25">
      <c r="A18" s="48" t="s">
        <v>88</v>
      </c>
      <c r="B18" s="21" t="e">
        <v>#N/A</v>
      </c>
      <c r="C18" s="20" t="e">
        <v>#N/A</v>
      </c>
      <c r="D18" s="20" t="e">
        <v>#N/A</v>
      </c>
      <c r="E18" s="22" t="e">
        <v>#N/A</v>
      </c>
      <c r="F18" s="21">
        <v>153730</v>
      </c>
      <c r="G18" s="20">
        <v>135730</v>
      </c>
      <c r="H18" s="20">
        <v>132720</v>
      </c>
      <c r="I18" s="22">
        <v>978</v>
      </c>
      <c r="J18" s="66" t="e">
        <f t="shared" si="1"/>
        <v>#N/A</v>
      </c>
      <c r="K18" s="67" t="e">
        <f t="shared" si="0"/>
        <v>#N/A</v>
      </c>
      <c r="L18" s="68" t="e">
        <f t="shared" si="0"/>
        <v>#N/A</v>
      </c>
    </row>
    <row r="19" spans="1:12" x14ac:dyDescent="0.25">
      <c r="A19" s="48" t="s">
        <v>89</v>
      </c>
      <c r="B19" s="21" t="e">
        <v>#N/A</v>
      </c>
      <c r="C19" s="20" t="e">
        <v>#N/A</v>
      </c>
      <c r="D19" s="20" t="e">
        <v>#N/A</v>
      </c>
      <c r="E19" s="22" t="e">
        <v>#N/A</v>
      </c>
      <c r="F19" s="21">
        <v>236000</v>
      </c>
      <c r="G19" s="20">
        <v>231300</v>
      </c>
      <c r="H19" s="20">
        <v>235000</v>
      </c>
      <c r="I19" s="22">
        <v>1016</v>
      </c>
      <c r="J19" s="66" t="e">
        <f t="shared" si="1"/>
        <v>#N/A</v>
      </c>
      <c r="K19" s="67" t="e">
        <f t="shared" si="0"/>
        <v>#N/A</v>
      </c>
      <c r="L19" s="68" t="e">
        <f t="shared" si="0"/>
        <v>#N/A</v>
      </c>
    </row>
    <row r="20" spans="1:12" x14ac:dyDescent="0.25">
      <c r="A20" s="48" t="s">
        <v>90</v>
      </c>
      <c r="B20" s="21" t="e">
        <v>#N/A</v>
      </c>
      <c r="C20" s="20" t="e">
        <v>#N/A</v>
      </c>
      <c r="D20" s="20" t="e">
        <v>#N/A</v>
      </c>
      <c r="E20" s="22" t="e">
        <v>#N/A</v>
      </c>
      <c r="F20" s="21">
        <v>243000</v>
      </c>
      <c r="G20" s="20">
        <v>205000</v>
      </c>
      <c r="H20" s="20">
        <v>146000</v>
      </c>
      <c r="I20" s="22">
        <v>712</v>
      </c>
      <c r="J20" s="66" t="e">
        <f t="shared" si="1"/>
        <v>#N/A</v>
      </c>
      <c r="K20" s="67" t="e">
        <f t="shared" si="0"/>
        <v>#N/A</v>
      </c>
      <c r="L20" s="68" t="e">
        <f t="shared" si="0"/>
        <v>#N/A</v>
      </c>
    </row>
    <row r="21" spans="1:12" x14ac:dyDescent="0.25">
      <c r="A21" s="48" t="s">
        <v>91</v>
      </c>
      <c r="B21" s="21" t="e">
        <v>#N/A</v>
      </c>
      <c r="C21" s="20" t="e">
        <v>#N/A</v>
      </c>
      <c r="D21" s="20" t="e">
        <v>#N/A</v>
      </c>
      <c r="E21" s="22" t="e">
        <v>#N/A</v>
      </c>
      <c r="F21" s="21">
        <v>221800</v>
      </c>
      <c r="G21" s="20">
        <v>211400</v>
      </c>
      <c r="H21" s="20">
        <v>224000</v>
      </c>
      <c r="I21" s="22">
        <v>1060</v>
      </c>
      <c r="J21" s="66" t="e">
        <f t="shared" si="1"/>
        <v>#N/A</v>
      </c>
      <c r="K21" s="67" t="e">
        <f t="shared" si="0"/>
        <v>#N/A</v>
      </c>
      <c r="L21" s="68" t="e">
        <f t="shared" si="0"/>
        <v>#N/A</v>
      </c>
    </row>
    <row r="22" spans="1:12" x14ac:dyDescent="0.25">
      <c r="A22" s="48" t="s">
        <v>92</v>
      </c>
      <c r="B22" s="21" t="e">
        <v>#N/A</v>
      </c>
      <c r="C22" s="20" t="e">
        <v>#N/A</v>
      </c>
      <c r="D22" s="20" t="e">
        <v>#N/A</v>
      </c>
      <c r="E22" s="22" t="e">
        <v>#N/A</v>
      </c>
      <c r="F22" s="21">
        <v>235500</v>
      </c>
      <c r="G22" s="20">
        <v>229700</v>
      </c>
      <c r="H22" s="20">
        <v>254000</v>
      </c>
      <c r="I22" s="22">
        <v>1106</v>
      </c>
      <c r="J22" s="66" t="e">
        <f t="shared" si="1"/>
        <v>#N/A</v>
      </c>
      <c r="K22" s="67" t="e">
        <f t="shared" si="0"/>
        <v>#N/A</v>
      </c>
      <c r="L22" s="68" t="e">
        <f t="shared" si="0"/>
        <v>#N/A</v>
      </c>
    </row>
    <row r="23" spans="1:12" x14ac:dyDescent="0.25">
      <c r="A23" s="48" t="s">
        <v>93</v>
      </c>
      <c r="B23" s="21" t="e">
        <v>#N/A</v>
      </c>
      <c r="C23" s="20" t="e">
        <v>#N/A</v>
      </c>
      <c r="D23" s="20" t="e">
        <v>#N/A</v>
      </c>
      <c r="E23" s="22" t="e">
        <v>#N/A</v>
      </c>
      <c r="F23" s="21">
        <v>228600</v>
      </c>
      <c r="G23" s="20">
        <v>199900</v>
      </c>
      <c r="H23" s="20">
        <v>216500</v>
      </c>
      <c r="I23" s="22">
        <v>1083</v>
      </c>
      <c r="J23" s="66" t="e">
        <f t="shared" si="1"/>
        <v>#N/A</v>
      </c>
      <c r="K23" s="67" t="e">
        <f t="shared" si="0"/>
        <v>#N/A</v>
      </c>
      <c r="L23" s="68" t="e">
        <f t="shared" si="0"/>
        <v>#N/A</v>
      </c>
    </row>
    <row r="24" spans="1:12" x14ac:dyDescent="0.25">
      <c r="A24" s="48" t="s">
        <v>94</v>
      </c>
      <c r="B24" s="21" t="e">
        <v>#N/A</v>
      </c>
      <c r="C24" s="20" t="e">
        <v>#N/A</v>
      </c>
      <c r="D24" s="20" t="e">
        <v>#N/A</v>
      </c>
      <c r="E24" s="22" t="e">
        <v>#N/A</v>
      </c>
      <c r="F24" s="21">
        <v>210000</v>
      </c>
      <c r="G24" s="20">
        <v>184805</v>
      </c>
      <c r="H24" s="20">
        <v>191200</v>
      </c>
      <c r="I24" s="22">
        <v>1035</v>
      </c>
      <c r="J24" s="66" t="e">
        <f t="shared" si="1"/>
        <v>#N/A</v>
      </c>
      <c r="K24" s="67" t="e">
        <f t="shared" si="0"/>
        <v>#N/A</v>
      </c>
      <c r="L24" s="68" t="e">
        <f t="shared" si="0"/>
        <v>#N/A</v>
      </c>
    </row>
    <row r="25" spans="1:12" x14ac:dyDescent="0.25">
      <c r="A25" s="48" t="s">
        <v>95</v>
      </c>
      <c r="B25" s="21" t="e">
        <v>#N/A</v>
      </c>
      <c r="C25" s="20" t="e">
        <v>#N/A</v>
      </c>
      <c r="D25" s="20" t="e">
        <v>#N/A</v>
      </c>
      <c r="E25" s="22" t="e">
        <v>#N/A</v>
      </c>
      <c r="F25" s="21">
        <v>193200</v>
      </c>
      <c r="G25" s="20">
        <v>191350</v>
      </c>
      <c r="H25" s="20">
        <v>198300</v>
      </c>
      <c r="I25" s="22">
        <v>1036</v>
      </c>
      <c r="J25" s="66" t="e">
        <f t="shared" si="1"/>
        <v>#N/A</v>
      </c>
      <c r="K25" s="67" t="e">
        <f t="shared" si="0"/>
        <v>#N/A</v>
      </c>
      <c r="L25" s="68" t="e">
        <f t="shared" si="0"/>
        <v>#N/A</v>
      </c>
    </row>
    <row r="26" spans="1:12" x14ac:dyDescent="0.25">
      <c r="A26" s="48" t="s">
        <v>96</v>
      </c>
      <c r="B26" s="21" t="e">
        <v>#N/A</v>
      </c>
      <c r="C26" s="20" t="e">
        <v>#N/A</v>
      </c>
      <c r="D26" s="20" t="e">
        <v>#N/A</v>
      </c>
      <c r="E26" s="22" t="e">
        <v>#N/A</v>
      </c>
      <c r="F26" s="21">
        <v>234900</v>
      </c>
      <c r="G26" s="20">
        <v>225780</v>
      </c>
      <c r="H26" s="20">
        <v>210500</v>
      </c>
      <c r="I26" s="22">
        <v>932</v>
      </c>
      <c r="J26" s="66" t="e">
        <f t="shared" si="1"/>
        <v>#N/A</v>
      </c>
      <c r="K26" s="67" t="e">
        <f t="shared" si="1"/>
        <v>#N/A</v>
      </c>
      <c r="L26" s="68" t="e">
        <f t="shared" si="1"/>
        <v>#N/A</v>
      </c>
    </row>
    <row r="27" spans="1:12" x14ac:dyDescent="0.25">
      <c r="A27" s="48" t="s">
        <v>97</v>
      </c>
      <c r="B27" s="21" t="e">
        <v>#N/A</v>
      </c>
      <c r="C27" s="20" t="e">
        <v>#N/A</v>
      </c>
      <c r="D27" s="20" t="e">
        <v>#N/A</v>
      </c>
      <c r="E27" s="22" t="e">
        <v>#N/A</v>
      </c>
      <c r="F27" s="21">
        <v>241250</v>
      </c>
      <c r="G27" s="20">
        <v>160903</v>
      </c>
      <c r="H27" s="20">
        <v>135255</v>
      </c>
      <c r="I27" s="22">
        <v>841</v>
      </c>
      <c r="J27" s="66" t="e">
        <f t="shared" si="1"/>
        <v>#N/A</v>
      </c>
      <c r="K27" s="67" t="e">
        <f t="shared" si="1"/>
        <v>#N/A</v>
      </c>
      <c r="L27" s="68" t="e">
        <f t="shared" si="1"/>
        <v>#N/A</v>
      </c>
    </row>
    <row r="28" spans="1:12" x14ac:dyDescent="0.25">
      <c r="A28" s="48" t="s">
        <v>98</v>
      </c>
      <c r="B28" s="21" t="e">
        <v>#N/A</v>
      </c>
      <c r="C28" s="20" t="e">
        <v>#N/A</v>
      </c>
      <c r="D28" s="20" t="e">
        <v>#N/A</v>
      </c>
      <c r="E28" s="22" t="e">
        <v>#N/A</v>
      </c>
      <c r="F28" s="21">
        <v>170950</v>
      </c>
      <c r="G28" s="20">
        <v>170900</v>
      </c>
      <c r="H28" s="20">
        <v>172300</v>
      </c>
      <c r="I28" s="22">
        <v>1008</v>
      </c>
      <c r="J28" s="66" t="e">
        <f t="shared" si="1"/>
        <v>#N/A</v>
      </c>
      <c r="K28" s="67" t="e">
        <f t="shared" si="1"/>
        <v>#N/A</v>
      </c>
      <c r="L28" s="68" t="e">
        <f t="shared" si="1"/>
        <v>#N/A</v>
      </c>
    </row>
    <row r="29" spans="1:12" x14ac:dyDescent="0.25">
      <c r="A29" s="48" t="s">
        <v>99</v>
      </c>
      <c r="B29" s="21" t="e">
        <v>#N/A</v>
      </c>
      <c r="C29" s="20" t="e">
        <v>#N/A</v>
      </c>
      <c r="D29" s="20" t="e">
        <v>#N/A</v>
      </c>
      <c r="E29" s="22" t="e">
        <v>#N/A</v>
      </c>
      <c r="F29" s="21">
        <v>168350</v>
      </c>
      <c r="G29" s="20">
        <v>137100</v>
      </c>
      <c r="H29" s="20">
        <v>124800</v>
      </c>
      <c r="I29" s="22">
        <v>910</v>
      </c>
      <c r="J29" s="66" t="e">
        <f t="shared" si="1"/>
        <v>#N/A</v>
      </c>
      <c r="K29" s="67" t="e">
        <f t="shared" si="1"/>
        <v>#N/A</v>
      </c>
      <c r="L29" s="68" t="e">
        <f t="shared" si="1"/>
        <v>#N/A</v>
      </c>
    </row>
    <row r="30" spans="1:12" x14ac:dyDescent="0.25">
      <c r="A30" s="48" t="s">
        <v>100</v>
      </c>
      <c r="B30" s="21" t="e">
        <v>#N/A</v>
      </c>
      <c r="C30" s="20" t="e">
        <v>#N/A</v>
      </c>
      <c r="D30" s="20" t="e">
        <v>#N/A</v>
      </c>
      <c r="E30" s="22" t="e">
        <v>#N/A</v>
      </c>
      <c r="F30" s="21">
        <v>213400</v>
      </c>
      <c r="G30" s="20">
        <v>207400</v>
      </c>
      <c r="H30" s="20">
        <v>207845</v>
      </c>
      <c r="I30" s="22">
        <v>1002</v>
      </c>
      <c r="J30" s="66" t="e">
        <f t="shared" si="1"/>
        <v>#N/A</v>
      </c>
      <c r="K30" s="67" t="e">
        <f t="shared" si="1"/>
        <v>#N/A</v>
      </c>
      <c r="L30" s="68" t="e">
        <f t="shared" si="1"/>
        <v>#N/A</v>
      </c>
    </row>
    <row r="31" spans="1:12" x14ac:dyDescent="0.25">
      <c r="A31" s="48" t="s">
        <v>101</v>
      </c>
      <c r="B31" s="21" t="e">
        <v>#N/A</v>
      </c>
      <c r="C31" s="20" t="e">
        <v>#N/A</v>
      </c>
      <c r="D31" s="20" t="e">
        <v>#N/A</v>
      </c>
      <c r="E31" s="22" t="e">
        <v>#N/A</v>
      </c>
      <c r="F31" s="21">
        <v>189630</v>
      </c>
      <c r="G31" s="20">
        <v>189630</v>
      </c>
      <c r="H31" s="20">
        <v>241578</v>
      </c>
      <c r="I31" s="22">
        <v>1274</v>
      </c>
      <c r="J31" s="66" t="e">
        <f t="shared" si="1"/>
        <v>#N/A</v>
      </c>
      <c r="K31" s="67" t="e">
        <f t="shared" si="1"/>
        <v>#N/A</v>
      </c>
      <c r="L31" s="68" t="e">
        <f t="shared" si="1"/>
        <v>#N/A</v>
      </c>
    </row>
    <row r="32" spans="1:12" x14ac:dyDescent="0.25">
      <c r="A32" s="48" t="s">
        <v>102</v>
      </c>
      <c r="B32" s="21" t="e">
        <v>#N/A</v>
      </c>
      <c r="C32" s="20" t="e">
        <v>#N/A</v>
      </c>
      <c r="D32" s="20" t="e">
        <v>#N/A</v>
      </c>
      <c r="E32" s="22" t="e">
        <v>#N/A</v>
      </c>
      <c r="F32" s="21">
        <v>186150</v>
      </c>
      <c r="G32" s="20">
        <v>181000</v>
      </c>
      <c r="H32" s="20">
        <v>210410</v>
      </c>
      <c r="I32" s="22">
        <v>1162</v>
      </c>
      <c r="J32" s="66" t="e">
        <f t="shared" si="1"/>
        <v>#N/A</v>
      </c>
      <c r="K32" s="67" t="e">
        <f t="shared" si="1"/>
        <v>#N/A</v>
      </c>
      <c r="L32" s="68" t="e">
        <f t="shared" si="1"/>
        <v>#N/A</v>
      </c>
    </row>
    <row r="33" spans="1:12" x14ac:dyDescent="0.25">
      <c r="A33" s="48" t="s">
        <v>103</v>
      </c>
      <c r="B33" s="21" t="e">
        <v>#N/A</v>
      </c>
      <c r="C33" s="20" t="e">
        <v>#N/A</v>
      </c>
      <c r="D33" s="20" t="e">
        <v>#N/A</v>
      </c>
      <c r="E33" s="22" t="e">
        <v>#N/A</v>
      </c>
      <c r="F33" s="21">
        <v>154500</v>
      </c>
      <c r="G33" s="20">
        <v>148800</v>
      </c>
      <c r="H33" s="20">
        <v>164440</v>
      </c>
      <c r="I33" s="22">
        <v>1105</v>
      </c>
      <c r="J33" s="66" t="e">
        <f t="shared" si="1"/>
        <v>#N/A</v>
      </c>
      <c r="K33" s="67" t="e">
        <f t="shared" si="1"/>
        <v>#N/A</v>
      </c>
      <c r="L33" s="68" t="e">
        <f t="shared" si="1"/>
        <v>#N/A</v>
      </c>
    </row>
    <row r="34" spans="1:12" x14ac:dyDescent="0.25">
      <c r="A34" s="48" t="s">
        <v>104</v>
      </c>
      <c r="B34" s="21" t="e">
        <v>#N/A</v>
      </c>
      <c r="C34" s="20" t="e">
        <v>#N/A</v>
      </c>
      <c r="D34" s="20" t="e">
        <v>#N/A</v>
      </c>
      <c r="E34" s="22" t="e">
        <v>#N/A</v>
      </c>
      <c r="F34" s="21">
        <v>191300</v>
      </c>
      <c r="G34" s="20">
        <v>168090</v>
      </c>
      <c r="H34" s="20">
        <v>195626</v>
      </c>
      <c r="I34" s="22">
        <v>1164</v>
      </c>
      <c r="J34" s="66" t="e">
        <f t="shared" si="1"/>
        <v>#N/A</v>
      </c>
      <c r="K34" s="67" t="e">
        <f t="shared" si="1"/>
        <v>#N/A</v>
      </c>
      <c r="L34" s="68" t="e">
        <f t="shared" si="1"/>
        <v>#N/A</v>
      </c>
    </row>
    <row r="35" spans="1:12" x14ac:dyDescent="0.25">
      <c r="A35" s="48" t="s">
        <v>105</v>
      </c>
      <c r="B35" s="21" t="e">
        <v>#N/A</v>
      </c>
      <c r="C35" s="20" t="e">
        <v>#N/A</v>
      </c>
      <c r="D35" s="20" t="e">
        <v>#N/A</v>
      </c>
      <c r="E35" s="22" t="e">
        <v>#N/A</v>
      </c>
      <c r="F35" s="21">
        <v>238600</v>
      </c>
      <c r="G35" s="20">
        <v>220130</v>
      </c>
      <c r="H35" s="20">
        <v>236285</v>
      </c>
      <c r="I35" s="22">
        <v>1073</v>
      </c>
      <c r="J35" s="66" t="e">
        <f t="shared" si="1"/>
        <v>#N/A</v>
      </c>
      <c r="K35" s="67" t="e">
        <f t="shared" si="1"/>
        <v>#N/A</v>
      </c>
      <c r="L35" s="68" t="e">
        <f t="shared" si="1"/>
        <v>#N/A</v>
      </c>
    </row>
    <row r="36" spans="1:12" x14ac:dyDescent="0.25">
      <c r="A36" s="48" t="s">
        <v>106</v>
      </c>
      <c r="B36" s="21" t="e">
        <v>#N/A</v>
      </c>
      <c r="C36" s="20" t="e">
        <v>#N/A</v>
      </c>
      <c r="D36" s="20" t="e">
        <v>#N/A</v>
      </c>
      <c r="E36" s="22" t="e">
        <v>#N/A</v>
      </c>
      <c r="F36" s="21">
        <v>265220</v>
      </c>
      <c r="G36" s="20">
        <v>239570</v>
      </c>
      <c r="H36" s="20">
        <v>218313</v>
      </c>
      <c r="I36" s="22">
        <v>911</v>
      </c>
      <c r="J36" s="66" t="e">
        <f t="shared" si="1"/>
        <v>#N/A</v>
      </c>
      <c r="K36" s="67" t="e">
        <f t="shared" si="1"/>
        <v>#N/A</v>
      </c>
      <c r="L36" s="68" t="e">
        <f t="shared" si="1"/>
        <v>#N/A</v>
      </c>
    </row>
    <row r="37" spans="1:12" x14ac:dyDescent="0.25">
      <c r="A37" s="48" t="s">
        <v>23</v>
      </c>
      <c r="B37" s="21" t="e">
        <v>#N/A</v>
      </c>
      <c r="C37" s="20" t="e">
        <v>#N/A</v>
      </c>
      <c r="D37" s="20" t="e">
        <v>#N/A</v>
      </c>
      <c r="E37" s="22" t="e">
        <v>#N/A</v>
      </c>
      <c r="F37" s="21">
        <v>260160</v>
      </c>
      <c r="G37" s="20">
        <v>256373</v>
      </c>
      <c r="H37" s="20">
        <v>268279</v>
      </c>
      <c r="I37" s="22">
        <v>1046</v>
      </c>
      <c r="J37" s="66" t="e">
        <f t="shared" si="1"/>
        <v>#N/A</v>
      </c>
      <c r="K37" s="67" t="e">
        <f t="shared" si="1"/>
        <v>#N/A</v>
      </c>
      <c r="L37" s="68" t="e">
        <f t="shared" si="1"/>
        <v>#N/A</v>
      </c>
    </row>
    <row r="38" spans="1:12" x14ac:dyDescent="0.25">
      <c r="A38" s="48" t="s">
        <v>24</v>
      </c>
      <c r="B38" s="21" t="e">
        <v>#N/A</v>
      </c>
      <c r="C38" s="20" t="e">
        <v>#N/A</v>
      </c>
      <c r="D38" s="20" t="e">
        <v>#N/A</v>
      </c>
      <c r="E38" s="22" t="e">
        <v>#N/A</v>
      </c>
      <c r="F38" s="21">
        <v>292680</v>
      </c>
      <c r="G38" s="20">
        <v>269380</v>
      </c>
      <c r="H38" s="20">
        <v>303245</v>
      </c>
      <c r="I38" s="22">
        <v>1126</v>
      </c>
      <c r="J38" s="66" t="e">
        <f t="shared" si="1"/>
        <v>#N/A</v>
      </c>
      <c r="K38" s="67" t="e">
        <f t="shared" si="1"/>
        <v>#N/A</v>
      </c>
      <c r="L38" s="68" t="e">
        <f t="shared" si="1"/>
        <v>#N/A</v>
      </c>
    </row>
    <row r="39" spans="1:12" x14ac:dyDescent="0.25">
      <c r="A39" s="48" t="s">
        <v>25</v>
      </c>
      <c r="B39" s="21">
        <v>1000</v>
      </c>
      <c r="C39" s="20">
        <v>0</v>
      </c>
      <c r="D39" s="20">
        <v>0</v>
      </c>
      <c r="E39" s="22">
        <v>0</v>
      </c>
      <c r="F39" s="21">
        <v>428450</v>
      </c>
      <c r="G39" s="20">
        <v>322200</v>
      </c>
      <c r="H39" s="20">
        <v>340214</v>
      </c>
      <c r="I39" s="22">
        <v>1056</v>
      </c>
      <c r="J39" s="66">
        <f t="shared" si="1"/>
        <v>2.3339946318123466E-3</v>
      </c>
      <c r="K39" s="67">
        <f t="shared" si="1"/>
        <v>0</v>
      </c>
      <c r="L39" s="68">
        <f t="shared" si="1"/>
        <v>0</v>
      </c>
    </row>
    <row r="40" spans="1:12" x14ac:dyDescent="0.25">
      <c r="A40" s="48" t="s">
        <v>26</v>
      </c>
      <c r="B40" s="21">
        <v>800</v>
      </c>
      <c r="C40" s="20">
        <v>700</v>
      </c>
      <c r="D40" s="20">
        <v>630</v>
      </c>
      <c r="E40" s="22">
        <v>900</v>
      </c>
      <c r="F40" s="21">
        <v>292680</v>
      </c>
      <c r="G40" s="20">
        <v>276170</v>
      </c>
      <c r="H40" s="20">
        <v>297157</v>
      </c>
      <c r="I40" s="22">
        <v>1076</v>
      </c>
      <c r="J40" s="66">
        <f t="shared" si="1"/>
        <v>2.7333606669400026E-3</v>
      </c>
      <c r="K40" s="67">
        <f t="shared" si="1"/>
        <v>2.5346706738603036E-3</v>
      </c>
      <c r="L40" s="68">
        <f t="shared" si="1"/>
        <v>2.1200913994958892E-3</v>
      </c>
    </row>
    <row r="41" spans="1:12" x14ac:dyDescent="0.25">
      <c r="A41" s="48" t="s">
        <v>27</v>
      </c>
      <c r="B41" s="21" t="e">
        <v>#N/A</v>
      </c>
      <c r="C41" s="20" t="e">
        <v>#N/A</v>
      </c>
      <c r="D41" s="20" t="e">
        <v>#N/A</v>
      </c>
      <c r="E41" s="22" t="e">
        <v>#N/A</v>
      </c>
      <c r="F41" s="21">
        <v>274850</v>
      </c>
      <c r="G41" s="20">
        <v>257050</v>
      </c>
      <c r="H41" s="20">
        <v>262985</v>
      </c>
      <c r="I41" s="22">
        <v>1023</v>
      </c>
      <c r="J41" s="66" t="e">
        <f t="shared" si="1"/>
        <v>#N/A</v>
      </c>
      <c r="K41" s="67" t="e">
        <f t="shared" si="1"/>
        <v>#N/A</v>
      </c>
      <c r="L41" s="68" t="e">
        <f t="shared" si="1"/>
        <v>#N/A</v>
      </c>
    </row>
    <row r="42" spans="1:12" x14ac:dyDescent="0.25">
      <c r="A42" s="48" t="s">
        <v>28</v>
      </c>
      <c r="B42" s="21" t="e">
        <v>#N/A</v>
      </c>
      <c r="C42" s="20" t="e">
        <v>#N/A</v>
      </c>
      <c r="D42" s="20" t="e">
        <v>#N/A</v>
      </c>
      <c r="E42" s="22" t="e">
        <v>#N/A</v>
      </c>
      <c r="F42" s="21">
        <v>262600</v>
      </c>
      <c r="G42" s="20">
        <v>256750</v>
      </c>
      <c r="H42" s="20">
        <v>278100</v>
      </c>
      <c r="I42" s="22">
        <v>1083</v>
      </c>
      <c r="J42" s="66" t="e">
        <f t="shared" si="1"/>
        <v>#N/A</v>
      </c>
      <c r="K42" s="67" t="e">
        <f t="shared" si="1"/>
        <v>#N/A</v>
      </c>
      <c r="L42" s="68" t="e">
        <f t="shared" si="1"/>
        <v>#N/A</v>
      </c>
    </row>
    <row r="43" spans="1:12" x14ac:dyDescent="0.25">
      <c r="A43" s="48" t="s">
        <v>29</v>
      </c>
      <c r="B43" s="21" t="e">
        <v>#N/A</v>
      </c>
      <c r="C43" s="20" t="e">
        <v>#N/A</v>
      </c>
      <c r="D43" s="20" t="e">
        <v>#N/A</v>
      </c>
      <c r="E43" s="22" t="e">
        <v>#N/A</v>
      </c>
      <c r="F43" s="21">
        <v>206125</v>
      </c>
      <c r="G43" s="20">
        <v>185400</v>
      </c>
      <c r="H43" s="20">
        <v>215552</v>
      </c>
      <c r="I43" s="22">
        <v>1163</v>
      </c>
      <c r="J43" s="66" t="e">
        <f t="shared" si="1"/>
        <v>#N/A</v>
      </c>
      <c r="K43" s="67" t="e">
        <f t="shared" si="1"/>
        <v>#N/A</v>
      </c>
      <c r="L43" s="68" t="e">
        <f t="shared" si="1"/>
        <v>#N/A</v>
      </c>
    </row>
    <row r="44" spans="1:12" x14ac:dyDescent="0.25">
      <c r="A44" s="48" t="s">
        <v>30</v>
      </c>
      <c r="B44" s="21" t="e">
        <v>#N/A</v>
      </c>
      <c r="C44" s="20" t="e">
        <v>#N/A</v>
      </c>
      <c r="D44" s="20" t="e">
        <v>#N/A</v>
      </c>
      <c r="E44" s="22" t="e">
        <v>#N/A</v>
      </c>
      <c r="F44" s="21">
        <v>133795</v>
      </c>
      <c r="G44" s="20">
        <v>120525</v>
      </c>
      <c r="H44" s="20">
        <v>151278</v>
      </c>
      <c r="I44" s="22">
        <v>1255</v>
      </c>
      <c r="J44" s="66" t="e">
        <f t="shared" si="1"/>
        <v>#N/A</v>
      </c>
      <c r="K44" s="67" t="e">
        <f t="shared" si="1"/>
        <v>#N/A</v>
      </c>
      <c r="L44" s="68" t="e">
        <f t="shared" si="1"/>
        <v>#N/A</v>
      </c>
    </row>
    <row r="45" spans="1:12" x14ac:dyDescent="0.25">
      <c r="A45" s="48" t="s">
        <v>31</v>
      </c>
      <c r="B45" s="21" t="e">
        <v>#N/A</v>
      </c>
      <c r="C45" s="20" t="e">
        <v>#N/A</v>
      </c>
      <c r="D45" s="20" t="e">
        <v>#N/A</v>
      </c>
      <c r="E45" s="22" t="e">
        <v>#N/A</v>
      </c>
      <c r="F45" s="21">
        <v>145600</v>
      </c>
      <c r="G45" s="20">
        <v>142660</v>
      </c>
      <c r="H45" s="20">
        <v>169257</v>
      </c>
      <c r="I45" s="22">
        <v>1186</v>
      </c>
      <c r="J45" s="66" t="e">
        <f t="shared" si="1"/>
        <v>#N/A</v>
      </c>
      <c r="K45" s="67" t="e">
        <f t="shared" si="1"/>
        <v>#N/A</v>
      </c>
      <c r="L45" s="68" t="e">
        <f t="shared" si="1"/>
        <v>#N/A</v>
      </c>
    </row>
    <row r="46" spans="1:12" x14ac:dyDescent="0.25">
      <c r="A46" s="48" t="s">
        <v>32</v>
      </c>
      <c r="B46" s="21" t="e">
        <v>#N/A</v>
      </c>
      <c r="C46" s="20" t="e">
        <v>#N/A</v>
      </c>
      <c r="D46" s="20" t="e">
        <v>#N/A</v>
      </c>
      <c r="E46" s="22" t="e">
        <v>#N/A</v>
      </c>
      <c r="F46" s="21">
        <v>235310</v>
      </c>
      <c r="G46" s="20">
        <v>235090</v>
      </c>
      <c r="H46" s="20">
        <v>322775</v>
      </c>
      <c r="I46" s="22">
        <v>1373</v>
      </c>
      <c r="J46" s="66" t="e">
        <f t="shared" si="1"/>
        <v>#N/A</v>
      </c>
      <c r="K46" s="67" t="e">
        <f t="shared" si="1"/>
        <v>#N/A</v>
      </c>
      <c r="L46" s="68" t="e">
        <f t="shared" si="1"/>
        <v>#N/A</v>
      </c>
    </row>
    <row r="47" spans="1:12" x14ac:dyDescent="0.25">
      <c r="A47" s="48" t="s">
        <v>33</v>
      </c>
      <c r="B47" s="21" t="e">
        <v>#N/A</v>
      </c>
      <c r="C47" s="20" t="e">
        <v>#N/A</v>
      </c>
      <c r="D47" s="20" t="e">
        <v>#N/A</v>
      </c>
      <c r="E47" s="22" t="e">
        <v>#N/A</v>
      </c>
      <c r="F47" s="21">
        <v>250890</v>
      </c>
      <c r="G47" s="20">
        <v>250790</v>
      </c>
      <c r="H47" s="20">
        <v>327689</v>
      </c>
      <c r="I47" s="22">
        <v>1307</v>
      </c>
      <c r="J47" s="66" t="e">
        <f t="shared" si="1"/>
        <v>#N/A</v>
      </c>
      <c r="K47" s="67" t="e">
        <f t="shared" si="1"/>
        <v>#N/A</v>
      </c>
      <c r="L47" s="68" t="e">
        <f t="shared" si="1"/>
        <v>#N/A</v>
      </c>
    </row>
    <row r="48" spans="1:12" x14ac:dyDescent="0.25">
      <c r="A48" s="48" t="s">
        <v>34</v>
      </c>
      <c r="B48" s="21" t="e">
        <v>#N/A</v>
      </c>
      <c r="C48" s="20" t="e">
        <v>#N/A</v>
      </c>
      <c r="D48" s="20" t="e">
        <v>#N/A</v>
      </c>
      <c r="E48" s="22" t="e">
        <v>#N/A</v>
      </c>
      <c r="F48" s="21">
        <v>255120</v>
      </c>
      <c r="G48" s="20">
        <v>254940</v>
      </c>
      <c r="H48" s="20">
        <v>336779</v>
      </c>
      <c r="I48" s="22">
        <v>1321</v>
      </c>
      <c r="J48" s="66" t="e">
        <f t="shared" si="1"/>
        <v>#N/A</v>
      </c>
      <c r="K48" s="67" t="e">
        <f t="shared" si="1"/>
        <v>#N/A</v>
      </c>
      <c r="L48" s="68" t="e">
        <f t="shared" si="1"/>
        <v>#N/A</v>
      </c>
    </row>
    <row r="49" spans="1:12" x14ac:dyDescent="0.25">
      <c r="A49" s="48" t="s">
        <v>35</v>
      </c>
      <c r="B49" s="21" t="e">
        <v>#N/A</v>
      </c>
      <c r="C49" s="20" t="e">
        <v>#N/A</v>
      </c>
      <c r="D49" s="20" t="e">
        <v>#N/A</v>
      </c>
      <c r="E49" s="22" t="e">
        <v>#N/A</v>
      </c>
      <c r="F49" s="21">
        <v>278970</v>
      </c>
      <c r="G49" s="20">
        <v>276670</v>
      </c>
      <c r="H49" s="20">
        <v>312998</v>
      </c>
      <c r="I49" s="22">
        <v>1131</v>
      </c>
      <c r="J49" s="66" t="e">
        <f t="shared" si="1"/>
        <v>#N/A</v>
      </c>
      <c r="K49" s="67" t="e">
        <f t="shared" si="1"/>
        <v>#N/A</v>
      </c>
      <c r="L49" s="68" t="e">
        <f t="shared" si="1"/>
        <v>#N/A</v>
      </c>
    </row>
    <row r="50" spans="1:12" x14ac:dyDescent="0.25">
      <c r="A50" s="48" t="s">
        <v>36</v>
      </c>
      <c r="B50" s="21" t="e">
        <v>#N/A</v>
      </c>
      <c r="C50" s="20" t="e">
        <v>#N/A</v>
      </c>
      <c r="D50" s="20" t="e">
        <v>#N/A</v>
      </c>
      <c r="E50" s="22" t="e">
        <v>#N/A</v>
      </c>
      <c r="F50" s="21">
        <v>268380</v>
      </c>
      <c r="G50" s="20">
        <v>268105</v>
      </c>
      <c r="H50" s="20">
        <v>338120</v>
      </c>
      <c r="I50" s="22">
        <v>1261</v>
      </c>
      <c r="J50" s="66" t="e">
        <f t="shared" si="1"/>
        <v>#N/A</v>
      </c>
      <c r="K50" s="67" t="e">
        <f t="shared" si="1"/>
        <v>#N/A</v>
      </c>
      <c r="L50" s="68" t="e">
        <f t="shared" si="1"/>
        <v>#N/A</v>
      </c>
    </row>
    <row r="51" spans="1:12" x14ac:dyDescent="0.25">
      <c r="A51" s="48" t="s">
        <v>37</v>
      </c>
      <c r="B51" s="21" t="e">
        <v>#N/A</v>
      </c>
      <c r="C51" s="20" t="e">
        <v>#N/A</v>
      </c>
      <c r="D51" s="20" t="e">
        <v>#N/A</v>
      </c>
      <c r="E51" s="22" t="e">
        <v>#N/A</v>
      </c>
      <c r="F51" s="21">
        <v>272850</v>
      </c>
      <c r="G51" s="20">
        <v>272745</v>
      </c>
      <c r="H51" s="20">
        <v>332782</v>
      </c>
      <c r="I51" s="22">
        <v>1220</v>
      </c>
      <c r="J51" s="66" t="e">
        <f t="shared" si="1"/>
        <v>#N/A</v>
      </c>
      <c r="K51" s="67" t="e">
        <f t="shared" si="1"/>
        <v>#N/A</v>
      </c>
      <c r="L51" s="68" t="e">
        <f t="shared" si="1"/>
        <v>#N/A</v>
      </c>
    </row>
    <row r="52" spans="1:12" x14ac:dyDescent="0.25">
      <c r="A52" s="48" t="s">
        <v>38</v>
      </c>
      <c r="B52" s="21" t="e">
        <v>#N/A</v>
      </c>
      <c r="C52" s="20" t="e">
        <v>#N/A</v>
      </c>
      <c r="D52" s="20" t="e">
        <v>#N/A</v>
      </c>
      <c r="E52" s="22" t="e">
        <v>#N/A</v>
      </c>
      <c r="F52" s="21">
        <v>337923</v>
      </c>
      <c r="G52" s="20">
        <v>299963</v>
      </c>
      <c r="H52" s="20">
        <v>361153</v>
      </c>
      <c r="I52" s="22">
        <v>1204</v>
      </c>
      <c r="J52" s="66" t="e">
        <f t="shared" si="1"/>
        <v>#N/A</v>
      </c>
      <c r="K52" s="67" t="e">
        <f t="shared" si="1"/>
        <v>#N/A</v>
      </c>
      <c r="L52" s="68" t="e">
        <f t="shared" si="1"/>
        <v>#N/A</v>
      </c>
    </row>
    <row r="53" spans="1:12" x14ac:dyDescent="0.25">
      <c r="A53" s="48" t="s">
        <v>39</v>
      </c>
      <c r="B53" s="21" t="e">
        <v>#N/A</v>
      </c>
      <c r="C53" s="20" t="e">
        <v>#N/A</v>
      </c>
      <c r="D53" s="20" t="e">
        <v>#N/A</v>
      </c>
      <c r="E53" s="22" t="e">
        <v>#N/A</v>
      </c>
      <c r="F53" s="21">
        <v>276240</v>
      </c>
      <c r="G53" s="20">
        <v>144080</v>
      </c>
      <c r="H53" s="20">
        <v>95741</v>
      </c>
      <c r="I53" s="22">
        <v>665</v>
      </c>
      <c r="J53" s="66" t="e">
        <f t="shared" si="1"/>
        <v>#N/A</v>
      </c>
      <c r="K53" s="67" t="e">
        <f t="shared" si="1"/>
        <v>#N/A</v>
      </c>
      <c r="L53" s="68" t="e">
        <f t="shared" si="1"/>
        <v>#N/A</v>
      </c>
    </row>
    <row r="54" spans="1:12" x14ac:dyDescent="0.25">
      <c r="A54" s="48" t="s">
        <v>40</v>
      </c>
      <c r="B54" s="21" t="e">
        <v>#N/A</v>
      </c>
      <c r="C54" s="20" t="e">
        <v>#N/A</v>
      </c>
      <c r="D54" s="20" t="e">
        <v>#N/A</v>
      </c>
      <c r="E54" s="22" t="e">
        <v>#N/A</v>
      </c>
      <c r="F54" s="21">
        <v>352180</v>
      </c>
      <c r="G54" s="20">
        <v>350150</v>
      </c>
      <c r="H54" s="20">
        <v>429832</v>
      </c>
      <c r="I54" s="22">
        <v>1228</v>
      </c>
      <c r="J54" s="66" t="e">
        <f t="shared" si="1"/>
        <v>#N/A</v>
      </c>
      <c r="K54" s="67" t="e">
        <f t="shared" si="1"/>
        <v>#N/A</v>
      </c>
      <c r="L54" s="68" t="e">
        <f t="shared" si="1"/>
        <v>#N/A</v>
      </c>
    </row>
    <row r="55" spans="1:12" x14ac:dyDescent="0.25">
      <c r="A55" s="48" t="s">
        <v>41</v>
      </c>
      <c r="B55" s="21" t="e">
        <v>#N/A</v>
      </c>
      <c r="C55" s="20" t="e">
        <v>#N/A</v>
      </c>
      <c r="D55" s="20" t="e">
        <v>#N/A</v>
      </c>
      <c r="E55" s="22" t="e">
        <v>#N/A</v>
      </c>
      <c r="F55" s="21">
        <v>438140</v>
      </c>
      <c r="G55" s="20">
        <v>436560</v>
      </c>
      <c r="H55" s="20">
        <v>604817</v>
      </c>
      <c r="I55" s="22">
        <v>1385</v>
      </c>
      <c r="J55" s="66" t="e">
        <f t="shared" si="1"/>
        <v>#N/A</v>
      </c>
      <c r="K55" s="67" t="e">
        <f t="shared" si="1"/>
        <v>#N/A</v>
      </c>
      <c r="L55" s="68" t="e">
        <f t="shared" si="1"/>
        <v>#N/A</v>
      </c>
    </row>
    <row r="56" spans="1:12" x14ac:dyDescent="0.25">
      <c r="A56" s="48" t="s">
        <v>42</v>
      </c>
      <c r="B56" s="21" t="e">
        <v>#N/A</v>
      </c>
      <c r="C56" s="20" t="e">
        <v>#N/A</v>
      </c>
      <c r="D56" s="20" t="e">
        <v>#N/A</v>
      </c>
      <c r="E56" s="22" t="e">
        <v>#N/A</v>
      </c>
      <c r="F56" s="21">
        <v>377296</v>
      </c>
      <c r="G56" s="20">
        <v>361135</v>
      </c>
      <c r="H56" s="20">
        <v>366588</v>
      </c>
      <c r="I56" s="22">
        <v>1015</v>
      </c>
      <c r="J56" s="66" t="e">
        <f t="shared" si="1"/>
        <v>#N/A</v>
      </c>
      <c r="K56" s="67" t="e">
        <f t="shared" si="1"/>
        <v>#N/A</v>
      </c>
      <c r="L56" s="68" t="e">
        <f t="shared" si="1"/>
        <v>#N/A</v>
      </c>
    </row>
    <row r="57" spans="1:12" x14ac:dyDescent="0.25">
      <c r="A57" s="48" t="s">
        <v>43</v>
      </c>
      <c r="B57" s="21" t="e">
        <v>#N/A</v>
      </c>
      <c r="C57" s="20" t="e">
        <v>#N/A</v>
      </c>
      <c r="D57" s="20" t="e">
        <v>#N/A</v>
      </c>
      <c r="E57" s="22" t="e">
        <v>#N/A</v>
      </c>
      <c r="F57" s="21">
        <v>423833</v>
      </c>
      <c r="G57" s="20">
        <v>415340</v>
      </c>
      <c r="H57" s="20">
        <v>413605</v>
      </c>
      <c r="I57" s="22">
        <v>996</v>
      </c>
      <c r="J57" s="66" t="e">
        <f t="shared" si="1"/>
        <v>#N/A</v>
      </c>
      <c r="K57" s="67" t="e">
        <f t="shared" si="1"/>
        <v>#N/A</v>
      </c>
      <c r="L57" s="68" t="e">
        <f t="shared" si="1"/>
        <v>#N/A</v>
      </c>
    </row>
    <row r="58" spans="1:12" x14ac:dyDescent="0.25">
      <c r="A58" s="48" t="s">
        <v>44</v>
      </c>
      <c r="B58" s="21" t="e">
        <v>#N/A</v>
      </c>
      <c r="C58" s="20" t="e">
        <v>#N/A</v>
      </c>
      <c r="D58" s="20" t="e">
        <v>#N/A</v>
      </c>
      <c r="E58" s="22" t="e">
        <v>#N/A</v>
      </c>
      <c r="F58" s="21">
        <v>418129</v>
      </c>
      <c r="G58" s="20">
        <v>416209</v>
      </c>
      <c r="H58" s="20">
        <v>473389</v>
      </c>
      <c r="I58" s="22">
        <v>1137</v>
      </c>
      <c r="J58" s="66" t="e">
        <f t="shared" si="1"/>
        <v>#N/A</v>
      </c>
      <c r="K58" s="67" t="e">
        <f t="shared" si="1"/>
        <v>#N/A</v>
      </c>
      <c r="L58" s="68" t="e">
        <f t="shared" si="1"/>
        <v>#N/A</v>
      </c>
    </row>
    <row r="59" spans="1:12" x14ac:dyDescent="0.25">
      <c r="A59" s="48" t="s">
        <v>45</v>
      </c>
      <c r="B59" s="21" t="e">
        <v>#N/A</v>
      </c>
      <c r="C59" s="20" t="e">
        <v>#N/A</v>
      </c>
      <c r="D59" s="20" t="e">
        <v>#N/A</v>
      </c>
      <c r="E59" s="22" t="e">
        <v>#N/A</v>
      </c>
      <c r="F59" s="21">
        <v>420827</v>
      </c>
      <c r="G59" s="20">
        <v>419927</v>
      </c>
      <c r="H59" s="20">
        <v>578713</v>
      </c>
      <c r="I59" s="22">
        <v>1378</v>
      </c>
      <c r="J59" s="66" t="e">
        <f t="shared" si="1"/>
        <v>#N/A</v>
      </c>
      <c r="K59" s="67" t="e">
        <f t="shared" si="1"/>
        <v>#N/A</v>
      </c>
      <c r="L59" s="68" t="e">
        <f t="shared" si="1"/>
        <v>#N/A</v>
      </c>
    </row>
    <row r="60" spans="1:12" x14ac:dyDescent="0.25">
      <c r="A60" s="49" t="s">
        <v>46</v>
      </c>
      <c r="B60" s="21" t="e">
        <v>#N/A</v>
      </c>
      <c r="C60" s="20" t="e">
        <v>#N/A</v>
      </c>
      <c r="D60" s="20" t="e">
        <v>#N/A</v>
      </c>
      <c r="E60" s="22" t="e">
        <v>#N/A</v>
      </c>
      <c r="F60" s="21">
        <v>489602</v>
      </c>
      <c r="G60" s="20">
        <v>488232</v>
      </c>
      <c r="H60" s="20">
        <v>633823</v>
      </c>
      <c r="I60" s="22">
        <v>1298</v>
      </c>
      <c r="J60" s="66" t="e">
        <f t="shared" si="1"/>
        <v>#N/A</v>
      </c>
      <c r="K60" s="67" t="e">
        <f t="shared" si="1"/>
        <v>#N/A</v>
      </c>
      <c r="L60" s="68" t="e">
        <f t="shared" si="1"/>
        <v>#N/A</v>
      </c>
    </row>
    <row r="61" spans="1:12" x14ac:dyDescent="0.25">
      <c r="A61" s="49" t="s">
        <v>47</v>
      </c>
      <c r="B61" s="21" t="e">
        <v>#N/A</v>
      </c>
      <c r="C61" s="20" t="e">
        <v>#N/A</v>
      </c>
      <c r="D61" s="20" t="e">
        <v>#N/A</v>
      </c>
      <c r="E61" s="22" t="e">
        <v>#N/A</v>
      </c>
      <c r="F61" s="21">
        <v>523453</v>
      </c>
      <c r="G61" s="20">
        <v>523218</v>
      </c>
      <c r="H61" s="20">
        <v>758750</v>
      </c>
      <c r="I61" s="22">
        <v>1450</v>
      </c>
      <c r="J61" s="66" t="e">
        <f t="shared" si="1"/>
        <v>#N/A</v>
      </c>
      <c r="K61" s="67" t="e">
        <f t="shared" si="1"/>
        <v>#N/A</v>
      </c>
      <c r="L61" s="68" t="e">
        <f t="shared" si="1"/>
        <v>#N/A</v>
      </c>
    </row>
    <row r="62" spans="1:12" x14ac:dyDescent="0.25">
      <c r="A62" s="49" t="s">
        <v>48</v>
      </c>
      <c r="B62" s="21" t="e">
        <v>#N/A</v>
      </c>
      <c r="C62" s="20" t="e">
        <v>#N/A</v>
      </c>
      <c r="D62" s="20" t="e">
        <v>#N/A</v>
      </c>
      <c r="E62" s="22" t="e">
        <v>#N/A</v>
      </c>
      <c r="F62" s="21">
        <v>536681</v>
      </c>
      <c r="G62" s="20">
        <v>535466</v>
      </c>
      <c r="H62" s="20">
        <v>679744</v>
      </c>
      <c r="I62" s="22">
        <v>1269</v>
      </c>
      <c r="J62" s="66" t="e">
        <f t="shared" si="1"/>
        <v>#N/A</v>
      </c>
      <c r="K62" s="67" t="e">
        <f t="shared" si="1"/>
        <v>#N/A</v>
      </c>
      <c r="L62" s="68" t="e">
        <f t="shared" si="1"/>
        <v>#N/A</v>
      </c>
    </row>
    <row r="63" spans="1:12" x14ac:dyDescent="0.25">
      <c r="A63" s="49" t="s">
        <v>49</v>
      </c>
      <c r="B63" s="21" t="e">
        <v>#N/A</v>
      </c>
      <c r="C63" s="20" t="e">
        <v>#N/A</v>
      </c>
      <c r="D63" s="20" t="e">
        <v>#N/A</v>
      </c>
      <c r="E63" s="22" t="e">
        <v>#N/A</v>
      </c>
      <c r="F63" s="21">
        <v>573654</v>
      </c>
      <c r="G63" s="20">
        <v>572364</v>
      </c>
      <c r="H63" s="20">
        <v>792564</v>
      </c>
      <c r="I63" s="22">
        <v>1385</v>
      </c>
      <c r="J63" s="66" t="e">
        <f t="shared" si="1"/>
        <v>#N/A</v>
      </c>
      <c r="K63" s="67" t="e">
        <f t="shared" si="1"/>
        <v>#N/A</v>
      </c>
      <c r="L63" s="68" t="e">
        <f t="shared" si="1"/>
        <v>#N/A</v>
      </c>
    </row>
    <row r="64" spans="1:12" x14ac:dyDescent="0.25">
      <c r="A64" s="49" t="s">
        <v>50</v>
      </c>
      <c r="B64" s="21" t="e">
        <v>#N/A</v>
      </c>
      <c r="C64" s="20" t="e">
        <v>#N/A</v>
      </c>
      <c r="D64" s="20" t="e">
        <v>#N/A</v>
      </c>
      <c r="E64" s="22" t="e">
        <v>#N/A</v>
      </c>
      <c r="F64" s="21">
        <v>571618</v>
      </c>
      <c r="G64" s="20">
        <v>565899</v>
      </c>
      <c r="H64" s="20">
        <v>474764</v>
      </c>
      <c r="I64" s="22">
        <v>839</v>
      </c>
      <c r="J64" s="66" t="e">
        <f t="shared" si="1"/>
        <v>#N/A</v>
      </c>
      <c r="K64" s="67" t="e">
        <f t="shared" si="1"/>
        <v>#N/A</v>
      </c>
      <c r="L64" s="68" t="e">
        <f t="shared" si="1"/>
        <v>#N/A</v>
      </c>
    </row>
    <row r="65" spans="1:12" x14ac:dyDescent="0.25">
      <c r="A65" s="49" t="s">
        <v>51</v>
      </c>
      <c r="B65" s="21" t="e">
        <v>#N/A</v>
      </c>
      <c r="C65" s="20" t="e">
        <v>#N/A</v>
      </c>
      <c r="D65" s="20" t="e">
        <v>#N/A</v>
      </c>
      <c r="E65" s="22" t="e">
        <v>#N/A</v>
      </c>
      <c r="F65" s="21">
        <v>665879</v>
      </c>
      <c r="G65" s="20">
        <v>635283</v>
      </c>
      <c r="H65" s="20">
        <v>810215</v>
      </c>
      <c r="I65" s="22">
        <v>1275</v>
      </c>
      <c r="J65" s="66" t="e">
        <f t="shared" si="1"/>
        <v>#N/A</v>
      </c>
      <c r="K65" s="67" t="e">
        <f t="shared" si="1"/>
        <v>#N/A</v>
      </c>
      <c r="L65" s="68" t="e">
        <f t="shared" si="1"/>
        <v>#N/A</v>
      </c>
    </row>
    <row r="66" spans="1:12" x14ac:dyDescent="0.25">
      <c r="A66" s="49" t="s">
        <v>52</v>
      </c>
      <c r="B66" s="21" t="e">
        <v>#N/A</v>
      </c>
      <c r="C66" s="20" t="e">
        <v>#N/A</v>
      </c>
      <c r="D66" s="20" t="e">
        <v>#N/A</v>
      </c>
      <c r="E66" s="22" t="e">
        <v>#N/A</v>
      </c>
      <c r="F66" s="21" t="e">
        <v>#N/A</v>
      </c>
      <c r="G66" s="20" t="e">
        <v>#N/A</v>
      </c>
      <c r="H66" s="20" t="e">
        <v>#N/A</v>
      </c>
      <c r="I66" s="22" t="e">
        <v>#N/A</v>
      </c>
      <c r="J66" s="66" t="e">
        <f t="shared" ref="J66:L67" si="2">B66/F66</f>
        <v>#N/A</v>
      </c>
      <c r="K66" s="67" t="e">
        <f t="shared" si="2"/>
        <v>#N/A</v>
      </c>
      <c r="L66" s="68" t="e">
        <f t="shared" si="2"/>
        <v>#N/A</v>
      </c>
    </row>
    <row r="67" spans="1:12" x14ac:dyDescent="0.25">
      <c r="A67" s="49" t="s">
        <v>107</v>
      </c>
      <c r="B67" s="21" t="e">
        <v>#N/A</v>
      </c>
      <c r="C67" s="20" t="e">
        <v>#N/A</v>
      </c>
      <c r="D67" s="20" t="e">
        <v>#N/A</v>
      </c>
      <c r="E67" s="22" t="e">
        <v>#N/A</v>
      </c>
      <c r="F67" s="21" t="e">
        <v>#N/A</v>
      </c>
      <c r="G67" s="20" t="e">
        <v>#N/A</v>
      </c>
      <c r="H67" s="20" t="e">
        <v>#N/A</v>
      </c>
      <c r="I67" s="22" t="e">
        <v>#N/A</v>
      </c>
      <c r="J67" s="66" t="e">
        <f t="shared" si="2"/>
        <v>#N/A</v>
      </c>
      <c r="K67" s="67" t="e">
        <f t="shared" si="2"/>
        <v>#N/A</v>
      </c>
      <c r="L67" s="68" t="e">
        <f t="shared" si="2"/>
        <v>#N/A</v>
      </c>
    </row>
  </sheetData>
  <mergeCells count="1">
    <mergeCell ref="A8:A9"/>
  </mergeCells>
  <hyperlinks>
    <hyperlink ref="A5" location="Índice!A1" display="VOLVER AL INDICE" xr:uid="{7A52A22E-058F-4A27-A2C9-037576CB56CF}"/>
  </hyperlinks>
  <pageMargins left="0.7" right="0.7" top="0.75" bottom="0.75" header="0.3" footer="0.3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760F99-80B9-4320-8CAE-7EB715E2A892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</ds:schemaRefs>
</ds:datastoreItem>
</file>

<file path=customXml/itemProps2.xml><?xml version="1.0" encoding="utf-8"?>
<ds:datastoreItem xmlns:ds="http://schemas.openxmlformats.org/officeDocument/2006/customXml" ds:itemID="{292FC988-2085-4339-878A-9861C8EA4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4176-d247-4204-85b8-921214f3ccea"/>
    <ds:schemaRef ds:uri="359b39ce-e1f9-4933-8424-33b611e6f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B25CAF-1D59-4C6F-9D51-E32BFAC50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Índice</vt:lpstr>
      <vt:lpstr>Alpiste</vt:lpstr>
      <vt:lpstr>Arroz</vt:lpstr>
      <vt:lpstr>Avena</vt:lpstr>
      <vt:lpstr>Cebada cervecera</vt:lpstr>
      <vt:lpstr>Cebada forrajera</vt:lpstr>
      <vt:lpstr>Cebada total</vt:lpstr>
      <vt:lpstr>Centeno</vt:lpstr>
      <vt:lpstr>Maíz</vt:lpstr>
      <vt:lpstr>Mijo</vt:lpstr>
      <vt:lpstr>Sorgo</vt:lpstr>
      <vt:lpstr>Trigo candeal</vt:lpstr>
      <vt:lpstr>Trigo total</vt:lpstr>
      <vt:lpstr>Cártamo</vt:lpstr>
      <vt:lpstr>Colza</vt:lpstr>
      <vt:lpstr>Girasol</vt:lpstr>
      <vt:lpstr>Lino</vt:lpstr>
      <vt:lpstr>Soja 1era</vt:lpstr>
      <vt:lpstr>Soja 2da</vt:lpstr>
      <vt:lpstr>Soja total</vt:lpstr>
      <vt:lpstr>Ajo</vt:lpstr>
      <vt:lpstr>Algodón</vt:lpstr>
      <vt:lpstr>Arveja</vt:lpstr>
      <vt:lpstr>Caña de azúcar</vt:lpstr>
      <vt:lpstr>Garbanzo</vt:lpstr>
      <vt:lpstr>Lenteja</vt:lpstr>
      <vt:lpstr>Limón</vt:lpstr>
      <vt:lpstr>Mandarina</vt:lpstr>
      <vt:lpstr>Maní</vt:lpstr>
      <vt:lpstr>Naranja</vt:lpstr>
      <vt:lpstr>Papa total</vt:lpstr>
      <vt:lpstr>Pomelo</vt:lpstr>
      <vt:lpstr>Poroto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CES-BCSF</dc:creator>
  <cp:keywords/>
  <dc:description/>
  <cp:lastModifiedBy>Luciano Flores</cp:lastModifiedBy>
  <cp:revision/>
  <dcterms:created xsi:type="dcterms:W3CDTF">2021-03-31T12:20:29Z</dcterms:created>
  <dcterms:modified xsi:type="dcterms:W3CDTF">2026-08-14T15:07:23Z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